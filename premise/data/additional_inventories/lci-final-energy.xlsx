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74B0084E-C5D0-5F44-B688-5D156721CCD5}" xr6:coauthVersionLast="47" xr6:coauthVersionMax="47" xr10:uidLastSave="{00000000-0000-0000-0000-000000000000}"/>
  <bookViews>
    <workbookView xWindow="3020" yWindow="1860" windowWidth="25800" windowHeight="18880" xr2:uid="{B8299F2D-33B8-E148-B485-6429887DEB23}"/>
  </bookViews>
  <sheets>
    <sheet name="Inventories" sheetId="1" r:id="rId1"/>
    <sheet name="Parameters" sheetId="2" r:id="rId2"/>
  </sheets>
  <definedNames>
    <definedName name="_xlnm._FilterDatabase" localSheetId="0" hidden="1">Inventories!$A$1:$O$4689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56" i="1" l="1"/>
  <c r="B1089" i="1" s="1"/>
  <c r="B1057" i="1"/>
  <c r="B1091" i="1" s="1"/>
  <c r="B967" i="1"/>
  <c r="B1001" i="1" s="1"/>
  <c r="B966" i="1"/>
  <c r="B999" i="1" s="1"/>
  <c r="B877" i="1"/>
  <c r="B911" i="1" s="1"/>
  <c r="B876" i="1"/>
  <c r="B909" i="1" s="1"/>
  <c r="B787" i="1"/>
  <c r="B786" i="1"/>
  <c r="B697" i="1"/>
  <c r="B696" i="1"/>
  <c r="B3669" i="1"/>
  <c r="B3670" i="1"/>
  <c r="B3759" i="1"/>
  <c r="B3794" i="1" s="1"/>
  <c r="B3758" i="1"/>
  <c r="B3792" i="1" s="1"/>
  <c r="B3847" i="1"/>
  <c r="B3881" i="1" s="1"/>
  <c r="B3848" i="1"/>
  <c r="B3883" i="1" s="1"/>
  <c r="B3937" i="1"/>
  <c r="B3936" i="1"/>
  <c r="AL15" i="2"/>
  <c r="AL14" i="2"/>
  <c r="AL13" i="2"/>
  <c r="B892" i="1"/>
  <c r="B488" i="1"/>
  <c r="B3167" i="1"/>
  <c r="B3128" i="1"/>
  <c r="B3089" i="1"/>
  <c r="B3085" i="1"/>
  <c r="B3124" i="1"/>
  <c r="B3163" i="1"/>
  <c r="G3162" i="1"/>
  <c r="E3162" i="1"/>
  <c r="C3162" i="1"/>
  <c r="A3162" i="1"/>
  <c r="G3123" i="1"/>
  <c r="E3123" i="1"/>
  <c r="C3123" i="1"/>
  <c r="A3123" i="1"/>
  <c r="G3084" i="1"/>
  <c r="E3084" i="1"/>
  <c r="C3084" i="1"/>
  <c r="A3084" i="1"/>
  <c r="B478" i="1"/>
  <c r="B479" i="1"/>
  <c r="E477" i="1"/>
  <c r="C477" i="1"/>
  <c r="A477" i="1"/>
  <c r="B2825" i="1"/>
  <c r="B2790" i="1"/>
  <c r="B2789" i="1"/>
  <c r="B2786" i="1"/>
  <c r="G2785" i="1"/>
  <c r="E2785" i="1"/>
  <c r="C2785" i="1"/>
  <c r="A2785" i="1"/>
  <c r="B2829" i="1"/>
  <c r="B2828" i="1"/>
  <c r="G2824" i="1"/>
  <c r="E2824" i="1"/>
  <c r="C2824" i="1"/>
  <c r="A2824" i="1"/>
  <c r="B2751" i="1"/>
  <c r="B2750" i="1"/>
  <c r="B2747" i="1"/>
  <c r="G2746" i="1"/>
  <c r="E2746" i="1"/>
  <c r="C2746" i="1"/>
  <c r="A2746" i="1"/>
  <c r="B883" i="1"/>
  <c r="A700" i="1"/>
  <c r="A790" i="1"/>
  <c r="A880" i="1"/>
  <c r="L882" i="1"/>
  <c r="K882" i="1"/>
  <c r="B882" i="1"/>
  <c r="J882" i="1" s="1"/>
  <c r="L881" i="1"/>
  <c r="K881" i="1"/>
  <c r="B881" i="1"/>
  <c r="J881" i="1" s="1"/>
  <c r="B4312" i="1"/>
  <c r="B4326" i="1" s="1"/>
  <c r="G4311" i="1"/>
  <c r="E4311" i="1"/>
  <c r="C4311" i="1"/>
  <c r="A4311" i="1"/>
  <c r="B4308" i="1"/>
  <c r="B4347" i="1" s="1"/>
  <c r="B4307" i="1"/>
  <c r="B4345" i="1" s="1"/>
  <c r="B4306" i="1"/>
  <c r="B4305" i="1"/>
  <c r="B4304" i="1"/>
  <c r="B4303" i="1"/>
  <c r="B4302" i="1"/>
  <c r="B4301" i="1"/>
  <c r="B4300" i="1"/>
  <c r="B4299" i="1"/>
  <c r="B4298" i="1"/>
  <c r="B4297" i="1"/>
  <c r="B4296" i="1"/>
  <c r="B4295" i="1"/>
  <c r="B4294" i="1"/>
  <c r="B4293" i="1"/>
  <c r="B4292" i="1"/>
  <c r="B4291" i="1"/>
  <c r="B4290" i="1"/>
  <c r="B4289" i="1"/>
  <c r="B4288" i="1"/>
  <c r="B4287" i="1"/>
  <c r="B4286" i="1"/>
  <c r="B4285" i="1"/>
  <c r="B4284" i="1"/>
  <c r="B4283" i="1"/>
  <c r="B4282" i="1"/>
  <c r="B4281" i="1"/>
  <c r="B4280" i="1"/>
  <c r="B4279" i="1"/>
  <c r="B4278" i="1"/>
  <c r="B4277" i="1"/>
  <c r="B4276" i="1"/>
  <c r="B4275" i="1"/>
  <c r="B4274" i="1"/>
  <c r="B4273" i="1"/>
  <c r="B4272" i="1"/>
  <c r="B4218" i="1"/>
  <c r="B4232" i="1" s="1"/>
  <c r="G4217" i="1"/>
  <c r="E4217" i="1"/>
  <c r="C4217" i="1"/>
  <c r="A4217" i="1"/>
  <c r="B4214" i="1"/>
  <c r="B4253" i="1" s="1"/>
  <c r="B4213" i="1"/>
  <c r="B4251" i="1" s="1"/>
  <c r="B4212" i="1"/>
  <c r="B4211" i="1"/>
  <c r="B4210" i="1"/>
  <c r="B4209" i="1"/>
  <c r="B4208" i="1"/>
  <c r="B4207" i="1"/>
  <c r="B4206" i="1"/>
  <c r="B4205" i="1"/>
  <c r="B4204" i="1"/>
  <c r="B4203" i="1"/>
  <c r="B4202" i="1"/>
  <c r="B4201" i="1"/>
  <c r="B4200" i="1"/>
  <c r="B4199" i="1"/>
  <c r="B4198" i="1"/>
  <c r="B4197" i="1"/>
  <c r="B4196" i="1"/>
  <c r="B4195" i="1"/>
  <c r="B4194" i="1"/>
  <c r="B4193" i="1"/>
  <c r="B4192" i="1"/>
  <c r="B4191" i="1"/>
  <c r="B4190" i="1"/>
  <c r="B4189" i="1"/>
  <c r="B4188" i="1"/>
  <c r="B4187" i="1"/>
  <c r="B4186" i="1"/>
  <c r="B4185" i="1"/>
  <c r="B4184" i="1"/>
  <c r="B4183" i="1"/>
  <c r="B4182" i="1"/>
  <c r="B4181" i="1"/>
  <c r="B4180" i="1"/>
  <c r="B4179" i="1"/>
  <c r="B4178" i="1"/>
  <c r="B4124" i="1"/>
  <c r="B4138" i="1" s="1"/>
  <c r="G4123" i="1"/>
  <c r="E4123" i="1"/>
  <c r="C4123" i="1"/>
  <c r="A4123" i="1"/>
  <c r="B4120" i="1"/>
  <c r="B4159" i="1" s="1"/>
  <c r="B4119" i="1"/>
  <c r="B4157" i="1" s="1"/>
  <c r="B4118" i="1"/>
  <c r="B4117" i="1"/>
  <c r="B4116" i="1"/>
  <c r="B4115" i="1"/>
  <c r="B4114" i="1"/>
  <c r="B4113" i="1"/>
  <c r="B4112" i="1"/>
  <c r="B4111" i="1"/>
  <c r="B4110" i="1"/>
  <c r="B4109" i="1"/>
  <c r="B4108" i="1"/>
  <c r="B4107" i="1"/>
  <c r="B4106" i="1"/>
  <c r="B4105" i="1"/>
  <c r="B4104" i="1"/>
  <c r="B4103" i="1"/>
  <c r="B4102" i="1"/>
  <c r="B4101" i="1"/>
  <c r="B4100" i="1"/>
  <c r="B4099" i="1"/>
  <c r="B4098" i="1"/>
  <c r="B4097" i="1"/>
  <c r="B4096" i="1"/>
  <c r="B4095" i="1"/>
  <c r="B4094" i="1"/>
  <c r="B4093" i="1"/>
  <c r="B4092" i="1"/>
  <c r="B4091" i="1"/>
  <c r="B4090" i="1"/>
  <c r="B4089" i="1"/>
  <c r="B4088" i="1"/>
  <c r="B4087" i="1"/>
  <c r="B4086" i="1"/>
  <c r="B4085" i="1"/>
  <c r="B4084" i="1"/>
  <c r="B2017" i="1"/>
  <c r="B2021" i="1" s="1"/>
  <c r="G2016" i="1"/>
  <c r="E2016" i="1"/>
  <c r="A2016" i="1"/>
  <c r="B2013" i="1"/>
  <c r="B2030" i="1" s="1"/>
  <c r="B2012" i="1"/>
  <c r="B2029" i="1" s="1"/>
  <c r="B2011" i="1"/>
  <c r="B2010" i="1"/>
  <c r="B2009" i="1"/>
  <c r="B2008" i="1"/>
  <c r="B2007" i="1"/>
  <c r="B2006" i="1"/>
  <c r="B2005" i="1"/>
  <c r="B2004" i="1"/>
  <c r="B2003" i="1"/>
  <c r="B2002" i="1"/>
  <c r="B2001" i="1"/>
  <c r="B2000" i="1"/>
  <c r="B1999" i="1"/>
  <c r="B1998" i="1"/>
  <c r="B1997" i="1"/>
  <c r="B1945" i="1"/>
  <c r="B1949" i="1" s="1"/>
  <c r="G1944" i="1"/>
  <c r="E1944" i="1"/>
  <c r="A1944" i="1"/>
  <c r="B1941" i="1"/>
  <c r="B1958" i="1" s="1"/>
  <c r="B1940" i="1"/>
  <c r="B1957" i="1" s="1"/>
  <c r="B1939" i="1"/>
  <c r="B1938" i="1"/>
  <c r="B1937" i="1"/>
  <c r="B1936" i="1"/>
  <c r="B1935" i="1"/>
  <c r="B1934" i="1"/>
  <c r="B1933" i="1"/>
  <c r="B1932" i="1"/>
  <c r="B1931" i="1"/>
  <c r="B1930" i="1"/>
  <c r="B1929" i="1"/>
  <c r="B1928" i="1"/>
  <c r="B1927" i="1"/>
  <c r="B1926" i="1"/>
  <c r="B1925" i="1"/>
  <c r="B1873" i="1"/>
  <c r="B1877" i="1" s="1"/>
  <c r="G1872" i="1"/>
  <c r="E1872" i="1"/>
  <c r="A1872" i="1"/>
  <c r="B1869" i="1"/>
  <c r="B1886" i="1" s="1"/>
  <c r="B1868" i="1"/>
  <c r="B1885" i="1" s="1"/>
  <c r="B1867" i="1"/>
  <c r="B1866" i="1"/>
  <c r="B1865" i="1"/>
  <c r="B1864" i="1"/>
  <c r="B1863" i="1"/>
  <c r="B1862" i="1"/>
  <c r="B1861" i="1"/>
  <c r="B1860" i="1"/>
  <c r="B1859" i="1"/>
  <c r="B1858" i="1"/>
  <c r="B1857" i="1"/>
  <c r="B1856" i="1"/>
  <c r="B1855" i="1"/>
  <c r="B1854" i="1"/>
  <c r="B1853" i="1"/>
  <c r="B34" i="1"/>
  <c r="G33" i="1"/>
  <c r="E33" i="1"/>
  <c r="C33" i="1"/>
  <c r="A33" i="1"/>
  <c r="A101" i="1"/>
  <c r="C101" i="1"/>
  <c r="E101" i="1"/>
  <c r="G101" i="1"/>
  <c r="B105" i="1"/>
  <c r="G44" i="1"/>
  <c r="E44" i="1"/>
  <c r="C44" i="1"/>
  <c r="A44" i="1"/>
  <c r="B386" i="1"/>
  <c r="A386" i="1"/>
  <c r="G385" i="1"/>
  <c r="E385" i="1"/>
  <c r="C385" i="1"/>
  <c r="A385" i="1"/>
  <c r="B374" i="1"/>
  <c r="B364" i="1"/>
  <c r="A363" i="1"/>
  <c r="A330" i="1"/>
  <c r="A297" i="1"/>
  <c r="B353" i="1"/>
  <c r="A353" i="1"/>
  <c r="G352" i="1"/>
  <c r="E352" i="1"/>
  <c r="C352" i="1"/>
  <c r="A352" i="1"/>
  <c r="B341" i="1"/>
  <c r="B331" i="1"/>
  <c r="B320" i="1"/>
  <c r="A320" i="1"/>
  <c r="G319" i="1"/>
  <c r="E319" i="1"/>
  <c r="C319" i="1"/>
  <c r="A319" i="1"/>
  <c r="B308" i="1"/>
  <c r="B298" i="1"/>
  <c r="B305" i="1" s="1"/>
  <c r="B3446" i="1"/>
  <c r="B3450" i="1" s="1"/>
  <c r="G3445" i="1"/>
  <c r="E3445" i="1"/>
  <c r="C3445" i="1"/>
  <c r="A3445" i="1"/>
  <c r="B3854" i="1"/>
  <c r="J3854" i="1" s="1"/>
  <c r="L3853" i="1"/>
  <c r="K3853" i="1"/>
  <c r="B3853" i="1"/>
  <c r="J3853" i="1" s="1"/>
  <c r="B3852" i="1"/>
  <c r="B3864" i="1" s="1"/>
  <c r="G3851" i="1"/>
  <c r="E3851" i="1"/>
  <c r="C3851" i="1"/>
  <c r="A3851" i="1"/>
  <c r="B3514" i="1"/>
  <c r="B3518" i="1" s="1"/>
  <c r="G3513" i="1"/>
  <c r="E3513" i="1"/>
  <c r="C3513" i="1"/>
  <c r="A3513" i="1"/>
  <c r="B1063" i="1"/>
  <c r="B1072" i="1" s="1"/>
  <c r="L1062" i="1"/>
  <c r="K1062" i="1"/>
  <c r="B1062" i="1"/>
  <c r="J1062" i="1" s="1"/>
  <c r="L1061" i="1"/>
  <c r="K1061" i="1"/>
  <c r="B1061" i="1"/>
  <c r="J1061" i="1" s="1"/>
  <c r="A1060" i="1"/>
  <c r="B571" i="1"/>
  <c r="B570" i="1"/>
  <c r="B580" i="1" s="1"/>
  <c r="E569" i="1"/>
  <c r="C569" i="1"/>
  <c r="A569" i="1"/>
  <c r="B433" i="1"/>
  <c r="B432" i="1"/>
  <c r="B442" i="1" s="1"/>
  <c r="E431" i="1"/>
  <c r="C431" i="1"/>
  <c r="A431" i="1"/>
  <c r="B3763" i="1"/>
  <c r="B3775" i="1" s="1"/>
  <c r="G3762" i="1"/>
  <c r="E3762" i="1"/>
  <c r="C3762" i="1"/>
  <c r="A3762" i="1"/>
  <c r="L3764" i="1"/>
  <c r="B3480" i="1"/>
  <c r="B3484" i="1" s="1"/>
  <c r="G3479" i="1"/>
  <c r="E3479" i="1"/>
  <c r="C3479" i="1"/>
  <c r="A3479" i="1"/>
  <c r="A970" i="1"/>
  <c r="B973" i="1"/>
  <c r="B982" i="1" s="1"/>
  <c r="B525" i="1"/>
  <c r="B524" i="1"/>
  <c r="B534" i="1" s="1"/>
  <c r="E523" i="1"/>
  <c r="C523" i="1"/>
  <c r="A523" i="1"/>
  <c r="B4314" i="1" l="1"/>
  <c r="L4313" i="1"/>
  <c r="K4313" i="1"/>
  <c r="B4313" i="1"/>
  <c r="J4313" i="1" s="1"/>
  <c r="B4220" i="1"/>
  <c r="L4219" i="1"/>
  <c r="K4219" i="1"/>
  <c r="B4219" i="1"/>
  <c r="J4219" i="1" s="1"/>
  <c r="B4126" i="1"/>
  <c r="L4125" i="1"/>
  <c r="K4125" i="1"/>
  <c r="B4125" i="1"/>
  <c r="J4125" i="1" s="1"/>
  <c r="K2018" i="1"/>
  <c r="J2018" i="1"/>
  <c r="B2018" i="1"/>
  <c r="L2018" i="1" s="1"/>
  <c r="K1946" i="1"/>
  <c r="J1946" i="1"/>
  <c r="B1946" i="1"/>
  <c r="L1946" i="1" s="1"/>
  <c r="B2020" i="1"/>
  <c r="L2020" i="1" s="1"/>
  <c r="B2019" i="1"/>
  <c r="L2019" i="1" s="1"/>
  <c r="B1874" i="1"/>
  <c r="L1874" i="1" s="1"/>
  <c r="J1874" i="1"/>
  <c r="K1874" i="1"/>
  <c r="B1948" i="1"/>
  <c r="L1948" i="1" s="1"/>
  <c r="B1947" i="1"/>
  <c r="L1947" i="1" s="1"/>
  <c r="B1876" i="1"/>
  <c r="L1876" i="1" s="1"/>
  <c r="B1875" i="1"/>
  <c r="L1875" i="1" s="1"/>
  <c r="B372" i="1"/>
  <c r="B371" i="1"/>
  <c r="B338" i="1"/>
  <c r="B339" i="1"/>
  <c r="B306" i="1"/>
  <c r="B3855" i="1"/>
  <c r="J3855" i="1" s="1"/>
  <c r="K3854" i="1"/>
  <c r="K3855" i="1" s="1"/>
  <c r="L3854" i="1"/>
  <c r="L3855" i="1" s="1"/>
  <c r="K3764" i="1"/>
  <c r="B3765" i="1"/>
  <c r="B3764" i="1"/>
  <c r="J3764" i="1" s="1"/>
  <c r="B971" i="1"/>
  <c r="J971" i="1" s="1"/>
  <c r="L972" i="1"/>
  <c r="B972" i="1"/>
  <c r="J972" i="1" s="1"/>
  <c r="K971" i="1"/>
  <c r="L971" i="1"/>
  <c r="K972" i="1"/>
  <c r="J4314" i="1" l="1"/>
  <c r="B4315" i="1"/>
  <c r="J4315" i="1" s="1"/>
  <c r="B4221" i="1"/>
  <c r="J4221" i="1" s="1"/>
  <c r="J4220" i="1"/>
  <c r="J4126" i="1"/>
  <c r="B4127" i="1"/>
  <c r="J4127" i="1" s="1"/>
  <c r="J3765" i="1"/>
  <c r="B3766" i="1"/>
  <c r="J3766" i="1" s="1"/>
  <c r="J2019" i="1"/>
  <c r="J2020" i="1" s="1"/>
  <c r="K2019" i="1"/>
  <c r="K2020" i="1" s="1"/>
  <c r="J1947" i="1"/>
  <c r="J1948" i="1" s="1"/>
  <c r="K1947" i="1"/>
  <c r="K1948" i="1" s="1"/>
  <c r="J1875" i="1"/>
  <c r="J1876" i="1" s="1"/>
  <c r="K1875" i="1"/>
  <c r="K1876" i="1" s="1"/>
  <c r="B3207" i="1"/>
  <c r="B3206" i="1"/>
  <c r="K4314" i="1" l="1"/>
  <c r="K4315" i="1" s="1"/>
  <c r="L4314" i="1"/>
  <c r="L4315" i="1" s="1"/>
  <c r="K4220" i="1"/>
  <c r="K4221" i="1" s="1"/>
  <c r="L4220" i="1"/>
  <c r="L4221" i="1" s="1"/>
  <c r="K3765" i="1"/>
  <c r="K3766" i="1" s="1"/>
  <c r="L3765" i="1"/>
  <c r="L3766" i="1" s="1"/>
  <c r="K4126" i="1"/>
  <c r="K4127" i="1" s="1"/>
  <c r="L4126" i="1"/>
  <c r="L4127" i="1" s="1"/>
  <c r="B276" i="1"/>
  <c r="G275" i="1"/>
  <c r="E275" i="1"/>
  <c r="C275" i="1"/>
  <c r="A275" i="1"/>
  <c r="B3304" i="1"/>
  <c r="B3308" i="1" s="1"/>
  <c r="B3255" i="1"/>
  <c r="B3046" i="1" l="1"/>
  <c r="G3045" i="1"/>
  <c r="E3045" i="1"/>
  <c r="C3045" i="1"/>
  <c r="A3045" i="1"/>
  <c r="B3066" i="1" l="1"/>
  <c r="B3065" i="1"/>
  <c r="B3050" i="1"/>
  <c r="B3281" i="1"/>
  <c r="B3280" i="1"/>
  <c r="B3279" i="1"/>
  <c r="B3300" i="1"/>
  <c r="B3299" i="1"/>
  <c r="B3298" i="1"/>
  <c r="B3297" i="1"/>
  <c r="B3296" i="1"/>
  <c r="B3295" i="1"/>
  <c r="B3294" i="1"/>
  <c r="B3293" i="1"/>
  <c r="B3292" i="1"/>
  <c r="B3291" i="1"/>
  <c r="B3290" i="1"/>
  <c r="B3289" i="1"/>
  <c r="B3288" i="1"/>
  <c r="B3287" i="1"/>
  <c r="B3286" i="1"/>
  <c r="B3285" i="1"/>
  <c r="B3284" i="1"/>
  <c r="B3283" i="1"/>
  <c r="B3282" i="1"/>
  <c r="B3278" i="1"/>
  <c r="B3277" i="1"/>
  <c r="B3276" i="1"/>
  <c r="B3275" i="1"/>
  <c r="B3274" i="1"/>
  <c r="B3273" i="1"/>
  <c r="B3272" i="1"/>
  <c r="B3271" i="1"/>
  <c r="B3270" i="1"/>
  <c r="B3269" i="1"/>
  <c r="B3268" i="1"/>
  <c r="B3267" i="1"/>
  <c r="B3266" i="1"/>
  <c r="B3265" i="1"/>
  <c r="B3264" i="1"/>
  <c r="A3254"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V58" i="2"/>
  <c r="U58" i="2"/>
  <c r="T58" i="2"/>
  <c r="AA58" i="2"/>
  <c r="AB58" i="2"/>
  <c r="Z58" i="2"/>
  <c r="S58" i="2"/>
  <c r="R58" i="2"/>
  <c r="Q58" i="2"/>
  <c r="J58" i="2"/>
  <c r="I58" i="2"/>
  <c r="H58" i="2"/>
  <c r="J59" i="2"/>
  <c r="I59" i="2"/>
  <c r="H59" i="2"/>
  <c r="G3303" i="1"/>
  <c r="E3303" i="1"/>
  <c r="C3303" i="1"/>
  <c r="A3303" i="1"/>
  <c r="G3254" i="1"/>
  <c r="E3254" i="1"/>
  <c r="C3254" i="1"/>
  <c r="B3320" i="1"/>
  <c r="B3319" i="1"/>
  <c r="B3322" i="1" s="1"/>
  <c r="G3318" i="1"/>
  <c r="E3318" i="1"/>
  <c r="C3318" i="1"/>
  <c r="A3318" i="1"/>
  <c r="J53" i="2"/>
  <c r="B2909" i="1" s="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8" i="1"/>
  <c r="B2906" i="1"/>
  <c r="B2905" i="1"/>
  <c r="B2904" i="1"/>
  <c r="B2903" i="1"/>
  <c r="B2902" i="1"/>
  <c r="B2901"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I53" i="2"/>
  <c r="H53" i="2"/>
  <c r="B2907" i="1" s="1"/>
  <c r="J52" i="2"/>
  <c r="I52" i="2"/>
  <c r="H52" i="2"/>
  <c r="J51" i="2"/>
  <c r="I51" i="2"/>
  <c r="H51" i="2"/>
  <c r="H50" i="2"/>
  <c r="I50" i="2"/>
  <c r="J50" i="2"/>
  <c r="B3305" i="1" l="1"/>
  <c r="J3305" i="1" s="1"/>
  <c r="B3307" i="1"/>
  <c r="J3307" i="1" s="1"/>
  <c r="L3305" i="1"/>
  <c r="K3307" i="1"/>
  <c r="L3307" i="1"/>
  <c r="K3305" i="1"/>
  <c r="B3306" i="1"/>
  <c r="J3306" i="1" s="1"/>
  <c r="K3306" i="1"/>
  <c r="L3306" i="1"/>
  <c r="K3256" i="1"/>
  <c r="B3256" i="1"/>
  <c r="J3256" i="1" s="1"/>
  <c r="L3256" i="1"/>
  <c r="B3321" i="1"/>
  <c r="B2942" i="1"/>
  <c r="J2942" i="1" s="1"/>
  <c r="K2942" i="1"/>
  <c r="L2942" i="1"/>
  <c r="K2992" i="1"/>
  <c r="B2992" i="1"/>
  <c r="J2992" i="1" s="1"/>
  <c r="L2992" i="1"/>
  <c r="B2941" i="1" l="1"/>
  <c r="B2991" i="1"/>
  <c r="G2990" i="1"/>
  <c r="E2990" i="1"/>
  <c r="C2990" i="1"/>
  <c r="A2990" i="1"/>
  <c r="G2940" i="1"/>
  <c r="E2940" i="1"/>
  <c r="C2940" i="1"/>
  <c r="A2940" i="1"/>
  <c r="B2626" i="1"/>
  <c r="B2645" i="1" s="1"/>
  <c r="B2625" i="1"/>
  <c r="B2647" i="1" s="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49" i="1"/>
  <c r="B2568" i="1" s="1"/>
  <c r="B2548" i="1"/>
  <c r="B2570" i="1" s="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471" i="1"/>
  <c r="B2490" i="1" s="1"/>
  <c r="B2470" i="1"/>
  <c r="B2492" i="1" s="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268" i="1"/>
  <c r="B2289" i="1" s="1"/>
  <c r="B2267" i="1"/>
  <c r="B2292" i="1" s="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180" i="1"/>
  <c r="B2201" i="1" s="1"/>
  <c r="B2179" i="1"/>
  <c r="B2204" i="1" s="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68" i="1"/>
  <c r="B1384" i="1" s="1"/>
  <c r="B1367" i="1"/>
  <c r="B1383" i="1" s="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03" i="1"/>
  <c r="B1319" i="1" s="1"/>
  <c r="B1302" i="1"/>
  <c r="B1318" i="1" s="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38" i="1"/>
  <c r="B1254" i="1" s="1"/>
  <c r="B1237" i="1"/>
  <c r="B1253" i="1" s="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147" i="1"/>
  <c r="B1181" i="1" s="1"/>
  <c r="B1146" i="1"/>
  <c r="B1179" i="1" s="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821" i="1"/>
  <c r="B819" i="1"/>
  <c r="B731" i="1"/>
  <c r="B729"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4639" i="1"/>
  <c r="B4655" i="1" s="1"/>
  <c r="B4638" i="1"/>
  <c r="B4654" i="1" s="1"/>
  <c r="B4637" i="1"/>
  <c r="B4636" i="1"/>
  <c r="B4635" i="1"/>
  <c r="B4634" i="1"/>
  <c r="B4633" i="1"/>
  <c r="B4632" i="1"/>
  <c r="B4631" i="1"/>
  <c r="B4630" i="1"/>
  <c r="B4629" i="1"/>
  <c r="B4628" i="1"/>
  <c r="B4627" i="1"/>
  <c r="B4626" i="1"/>
  <c r="B4625" i="1"/>
  <c r="B4624" i="1"/>
  <c r="B4623" i="1"/>
  <c r="B4622" i="1"/>
  <c r="B4621" i="1"/>
  <c r="B4620" i="1"/>
  <c r="B4619" i="1"/>
  <c r="B4618" i="1"/>
  <c r="B4617" i="1"/>
  <c r="B4616" i="1"/>
  <c r="B4615" i="1"/>
  <c r="B4614" i="1"/>
  <c r="B4613" i="1"/>
  <c r="B4612" i="1"/>
  <c r="B4611" i="1"/>
  <c r="B4610" i="1"/>
  <c r="B4609" i="1"/>
  <c r="B4608" i="1"/>
  <c r="B4607" i="1"/>
  <c r="B4606" i="1"/>
  <c r="B4605" i="1"/>
  <c r="B4604" i="1"/>
  <c r="B4603" i="1"/>
  <c r="B4577" i="1"/>
  <c r="B4593" i="1" s="1"/>
  <c r="B4576" i="1"/>
  <c r="B4592" i="1" s="1"/>
  <c r="B4575" i="1"/>
  <c r="B4574" i="1"/>
  <c r="B4573" i="1"/>
  <c r="B4572" i="1"/>
  <c r="B4571" i="1"/>
  <c r="B4570" i="1"/>
  <c r="B4569" i="1"/>
  <c r="B4568" i="1"/>
  <c r="B4567" i="1"/>
  <c r="B4566" i="1"/>
  <c r="B4565" i="1"/>
  <c r="B4564" i="1"/>
  <c r="B4563" i="1"/>
  <c r="B4562" i="1"/>
  <c r="B4561" i="1"/>
  <c r="B4560" i="1"/>
  <c r="B4559" i="1"/>
  <c r="B4558" i="1"/>
  <c r="B4557" i="1"/>
  <c r="B4556" i="1"/>
  <c r="B4555" i="1"/>
  <c r="B4554" i="1"/>
  <c r="B4553" i="1"/>
  <c r="B4552" i="1"/>
  <c r="B4551" i="1"/>
  <c r="B4550" i="1"/>
  <c r="B4549" i="1"/>
  <c r="B4548" i="1"/>
  <c r="B4547" i="1"/>
  <c r="B4546" i="1"/>
  <c r="B4545" i="1"/>
  <c r="B4544" i="1"/>
  <c r="B4543" i="1"/>
  <c r="B4542" i="1"/>
  <c r="B4541" i="1"/>
  <c r="B4515" i="1"/>
  <c r="B4531" i="1" s="1"/>
  <c r="B4514" i="1"/>
  <c r="B4530" i="1" s="1"/>
  <c r="B4513" i="1"/>
  <c r="B4512" i="1"/>
  <c r="B4511" i="1"/>
  <c r="B4510" i="1"/>
  <c r="B4509" i="1"/>
  <c r="B4508" i="1"/>
  <c r="B4507" i="1"/>
  <c r="B4506" i="1"/>
  <c r="B4505" i="1"/>
  <c r="B4504" i="1"/>
  <c r="B4503" i="1"/>
  <c r="B4502" i="1"/>
  <c r="B4501" i="1"/>
  <c r="B4500" i="1"/>
  <c r="B4499" i="1"/>
  <c r="B4498" i="1"/>
  <c r="B4497" i="1"/>
  <c r="B4496" i="1"/>
  <c r="B4495" i="1"/>
  <c r="B4494" i="1"/>
  <c r="B4493" i="1"/>
  <c r="B4492" i="1"/>
  <c r="B4491" i="1"/>
  <c r="B4490" i="1"/>
  <c r="B4489" i="1"/>
  <c r="B4488" i="1"/>
  <c r="B4487" i="1"/>
  <c r="B4486" i="1"/>
  <c r="B4485" i="1"/>
  <c r="B4484" i="1"/>
  <c r="B4483" i="1"/>
  <c r="B4482" i="1"/>
  <c r="B4481" i="1"/>
  <c r="B4480" i="1"/>
  <c r="B4479" i="1"/>
  <c r="B4458" i="1"/>
  <c r="B4457" i="1"/>
  <c r="B4456" i="1"/>
  <c r="B4455" i="1"/>
  <c r="B4454" i="1"/>
  <c r="B4453" i="1"/>
  <c r="B4452" i="1"/>
  <c r="B4451" i="1"/>
  <c r="B4450" i="1"/>
  <c r="B4449" i="1"/>
  <c r="B4448" i="1"/>
  <c r="B4447" i="1"/>
  <c r="B4446" i="1"/>
  <c r="B4445" i="1"/>
  <c r="B4444" i="1"/>
  <c r="B4443" i="1"/>
  <c r="B4442" i="1"/>
  <c r="B4441" i="1"/>
  <c r="B4440" i="1"/>
  <c r="B4439" i="1"/>
  <c r="B4438" i="1"/>
  <c r="B4437" i="1"/>
  <c r="B4436" i="1"/>
  <c r="B4435" i="1"/>
  <c r="B4434" i="1"/>
  <c r="B4433" i="1"/>
  <c r="B4432" i="1"/>
  <c r="B4431" i="1"/>
  <c r="B4430" i="1"/>
  <c r="B4429" i="1"/>
  <c r="B4428" i="1"/>
  <c r="B4427" i="1"/>
  <c r="B4426" i="1"/>
  <c r="B4425" i="1"/>
  <c r="B4424" i="1"/>
  <c r="B4423" i="1"/>
  <c r="B4422" i="1"/>
  <c r="B4403" i="1"/>
  <c r="B4402" i="1"/>
  <c r="B4401" i="1"/>
  <c r="B4400" i="1"/>
  <c r="B4399" i="1"/>
  <c r="B4398" i="1"/>
  <c r="B4397" i="1"/>
  <c r="B4396" i="1"/>
  <c r="B4395" i="1"/>
  <c r="B4394" i="1"/>
  <c r="B4393" i="1"/>
  <c r="B4392" i="1"/>
  <c r="B4391" i="1"/>
  <c r="B4390" i="1"/>
  <c r="B4389" i="1"/>
  <c r="B4388" i="1"/>
  <c r="B4387" i="1"/>
  <c r="B4386" i="1"/>
  <c r="B4385" i="1"/>
  <c r="B4384" i="1"/>
  <c r="B4383" i="1"/>
  <c r="B4382" i="1"/>
  <c r="B4381" i="1"/>
  <c r="B4380" i="1"/>
  <c r="B4379" i="1"/>
  <c r="B4378" i="1"/>
  <c r="B4377" i="1"/>
  <c r="B4376" i="1"/>
  <c r="B4375" i="1"/>
  <c r="B4374" i="1"/>
  <c r="B4373" i="1"/>
  <c r="B4372" i="1"/>
  <c r="B4371" i="1"/>
  <c r="B4370" i="1"/>
  <c r="B4369" i="1"/>
  <c r="B4368" i="1"/>
  <c r="B4367" i="1"/>
  <c r="B4026" i="1"/>
  <c r="B4065" i="1" s="1"/>
  <c r="B4025" i="1"/>
  <c r="B4063" i="1" s="1"/>
  <c r="B4024" i="1"/>
  <c r="B4023" i="1"/>
  <c r="B4022" i="1"/>
  <c r="B4021" i="1"/>
  <c r="B4020" i="1"/>
  <c r="B4019" i="1"/>
  <c r="B4018" i="1"/>
  <c r="B4017" i="1"/>
  <c r="B4016" i="1"/>
  <c r="B4015" i="1"/>
  <c r="B4014" i="1"/>
  <c r="B4013" i="1"/>
  <c r="B4012" i="1"/>
  <c r="B4011" i="1"/>
  <c r="B4010" i="1"/>
  <c r="B4009" i="1"/>
  <c r="B4008" i="1"/>
  <c r="B4007" i="1"/>
  <c r="B4006" i="1"/>
  <c r="B4005" i="1"/>
  <c r="B4004" i="1"/>
  <c r="B4003" i="1"/>
  <c r="B4002" i="1"/>
  <c r="B4001" i="1"/>
  <c r="B4000" i="1"/>
  <c r="B3999" i="1"/>
  <c r="B3998" i="1"/>
  <c r="B3997" i="1"/>
  <c r="B3996" i="1"/>
  <c r="B3995" i="1"/>
  <c r="B3994" i="1"/>
  <c r="B3993" i="1"/>
  <c r="B3992" i="1"/>
  <c r="B3991" i="1"/>
  <c r="B3990" i="1"/>
  <c r="B3972" i="1"/>
  <c r="B3970" i="1"/>
  <c r="B3935" i="1"/>
  <c r="B3934" i="1"/>
  <c r="B3933" i="1"/>
  <c r="B3932" i="1"/>
  <c r="B3931" i="1"/>
  <c r="B3930" i="1"/>
  <c r="B3929" i="1"/>
  <c r="B3928" i="1"/>
  <c r="B3927" i="1"/>
  <c r="B3926" i="1"/>
  <c r="B3925" i="1"/>
  <c r="B3924" i="1"/>
  <c r="B3923" i="1"/>
  <c r="B3922" i="1"/>
  <c r="B3921" i="1"/>
  <c r="B3920" i="1"/>
  <c r="B3919" i="1"/>
  <c r="B3917" i="1"/>
  <c r="B3916" i="1"/>
  <c r="B3915" i="1"/>
  <c r="B3914" i="1"/>
  <c r="B3913" i="1"/>
  <c r="B3912" i="1"/>
  <c r="B3911" i="1"/>
  <c r="B3910" i="1"/>
  <c r="B3909" i="1"/>
  <c r="B3908" i="1"/>
  <c r="B3907" i="1"/>
  <c r="B3906" i="1"/>
  <c r="B3905" i="1"/>
  <c r="B3904" i="1"/>
  <c r="B3903" i="1"/>
  <c r="B3902" i="1"/>
  <c r="B3901" i="1"/>
  <c r="B3705" i="1"/>
  <c r="B3703" i="1"/>
  <c r="B3581" i="1"/>
  <c r="B3616" i="1" s="1"/>
  <c r="B3580" i="1"/>
  <c r="B3614" i="1" s="1"/>
  <c r="B3579" i="1"/>
  <c r="B3578" i="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1687" i="1"/>
  <c r="B1686" i="1"/>
  <c r="B1685" i="1"/>
  <c r="B1684" i="1"/>
  <c r="B1683" i="1"/>
  <c r="L1309" i="1" l="1"/>
  <c r="L1244" i="1"/>
  <c r="L1374" i="1"/>
  <c r="B2993" i="1"/>
  <c r="B2994" i="1"/>
  <c r="K2421" i="1"/>
  <c r="L2632" i="1"/>
  <c r="B2631" i="1"/>
  <c r="J2631" i="1" s="1"/>
  <c r="K2631" i="1"/>
  <c r="L2631" i="1"/>
  <c r="L2555" i="1"/>
  <c r="B2632" i="1"/>
  <c r="J2632" i="1" s="1"/>
  <c r="K2554" i="1"/>
  <c r="K2632" i="1"/>
  <c r="K2555" i="1"/>
  <c r="B2554" i="1"/>
  <c r="J2554" i="1" s="1"/>
  <c r="L2554" i="1"/>
  <c r="K2423" i="1"/>
  <c r="L2476" i="1"/>
  <c r="B2476" i="1"/>
  <c r="B2555" i="1"/>
  <c r="J2555" i="1" s="1"/>
  <c r="K2477" i="1"/>
  <c r="L2477" i="1"/>
  <c r="K2422" i="1"/>
  <c r="K2476" i="1"/>
  <c r="K2424" i="1"/>
  <c r="B2477" i="1"/>
  <c r="L2423" i="1"/>
  <c r="L2422" i="1"/>
  <c r="L2421" i="1"/>
  <c r="L2424" i="1"/>
  <c r="K2365" i="1"/>
  <c r="B2423" i="1"/>
  <c r="B2419" i="1"/>
  <c r="B2421" i="1"/>
  <c r="B2422" i="1"/>
  <c r="K2366" i="1"/>
  <c r="B2420" i="1"/>
  <c r="B2424" i="1"/>
  <c r="B2365" i="1"/>
  <c r="B2418" i="1"/>
  <c r="L2365" i="1"/>
  <c r="L2366" i="1"/>
  <c r="B2364" i="1"/>
  <c r="B2272" i="1"/>
  <c r="J2272" i="1" s="1"/>
  <c r="L2273" i="1"/>
  <c r="B2362" i="1"/>
  <c r="B2366" i="1"/>
  <c r="B2363" i="1"/>
  <c r="L2272" i="1"/>
  <c r="B2273" i="1"/>
  <c r="J2273" i="1" s="1"/>
  <c r="K2273" i="1"/>
  <c r="K2272" i="1"/>
  <c r="K2185" i="1"/>
  <c r="L2185" i="1"/>
  <c r="B2184" i="1"/>
  <c r="K2184" i="1"/>
  <c r="L2184" i="1"/>
  <c r="B2185" i="1"/>
  <c r="J2185" i="1" s="1"/>
  <c r="L1574" i="1"/>
  <c r="B1573" i="1"/>
  <c r="B1576" i="1"/>
  <c r="B1574" i="1"/>
  <c r="K1574" i="1"/>
  <c r="B1577" i="1"/>
  <c r="B1575" i="1"/>
  <c r="K1577" i="1"/>
  <c r="L1577" i="1"/>
  <c r="L1517" i="1"/>
  <c r="K1520" i="1"/>
  <c r="L1520" i="1"/>
  <c r="K1515" i="1"/>
  <c r="K1514" i="1"/>
  <c r="L1514" i="1"/>
  <c r="K1517" i="1"/>
  <c r="L1515" i="1"/>
  <c r="B1517" i="1"/>
  <c r="B1516" i="1"/>
  <c r="B1445" i="1"/>
  <c r="B1444" i="1"/>
  <c r="B1519" i="1"/>
  <c r="B1514" i="1"/>
  <c r="J1514" i="1" s="1"/>
  <c r="B1520" i="1"/>
  <c r="B1518" i="1"/>
  <c r="B1515" i="1"/>
  <c r="B1442" i="1"/>
  <c r="B1439" i="1"/>
  <c r="B1440" i="1"/>
  <c r="B1373" i="1"/>
  <c r="J1373" i="1" s="1"/>
  <c r="K1440" i="1"/>
  <c r="B1443" i="1"/>
  <c r="B1441" i="1"/>
  <c r="B1243" i="1"/>
  <c r="L1440" i="1"/>
  <c r="K1443" i="1"/>
  <c r="L1443" i="1"/>
  <c r="K1373" i="1"/>
  <c r="L1373" i="1"/>
  <c r="K1374" i="1"/>
  <c r="B1374" i="1"/>
  <c r="J1374" i="1" s="1"/>
  <c r="K1309" i="1"/>
  <c r="B1309" i="1"/>
  <c r="J1309" i="1" s="1"/>
  <c r="K1308" i="1"/>
  <c r="L1308" i="1"/>
  <c r="B1308" i="1"/>
  <c r="J1308" i="1" s="1"/>
  <c r="B1244" i="1"/>
  <c r="K1244" i="1"/>
  <c r="K1243" i="1"/>
  <c r="L1243" i="1"/>
  <c r="L1151" i="1"/>
  <c r="B1151" i="1"/>
  <c r="J1151" i="1" s="1"/>
  <c r="K1152" i="1"/>
  <c r="L1152" i="1"/>
  <c r="K1151" i="1"/>
  <c r="B1152" i="1"/>
  <c r="J1152" i="1" s="1"/>
  <c r="B792" i="1"/>
  <c r="J792" i="1" s="1"/>
  <c r="B791" i="1"/>
  <c r="J791" i="1" s="1"/>
  <c r="L791" i="1"/>
  <c r="K791" i="1"/>
  <c r="B701" i="1"/>
  <c r="J701" i="1" s="1"/>
  <c r="K701" i="1"/>
  <c r="K792" i="1"/>
  <c r="L701" i="1"/>
  <c r="B702" i="1"/>
  <c r="J702" i="1" s="1"/>
  <c r="L792" i="1"/>
  <c r="K702" i="1"/>
  <c r="L702" i="1"/>
  <c r="L4521" i="1"/>
  <c r="K4644" i="1"/>
  <c r="L4644" i="1"/>
  <c r="B4645" i="1"/>
  <c r="J4645" i="1" s="1"/>
  <c r="K4645" i="1"/>
  <c r="L4645" i="1"/>
  <c r="B4644" i="1"/>
  <c r="J4644" i="1" s="1"/>
  <c r="K4582" i="1"/>
  <c r="K4583" i="1"/>
  <c r="B4583" i="1"/>
  <c r="J4583" i="1" s="1"/>
  <c r="L4582" i="1"/>
  <c r="L4583" i="1"/>
  <c r="B4582" i="1"/>
  <c r="J4582" i="1" s="1"/>
  <c r="K4520" i="1"/>
  <c r="B4521" i="1"/>
  <c r="J4521" i="1" s="1"/>
  <c r="L4520" i="1"/>
  <c r="K4521" i="1"/>
  <c r="B4520" i="1"/>
  <c r="J4520" i="1" s="1"/>
  <c r="B4466" i="1"/>
  <c r="B4465" i="1"/>
  <c r="K4465" i="1"/>
  <c r="L4466" i="1"/>
  <c r="L4465" i="1"/>
  <c r="K4466" i="1"/>
  <c r="B4469" i="1"/>
  <c r="L4463" i="1"/>
  <c r="K4463" i="1"/>
  <c r="K4464" i="1"/>
  <c r="B4464" i="1"/>
  <c r="B4467" i="1"/>
  <c r="L4464" i="1"/>
  <c r="B4468" i="1"/>
  <c r="B4413" i="1"/>
  <c r="B4463" i="1"/>
  <c r="L4412" i="1"/>
  <c r="B4411" i="1"/>
  <c r="L4408" i="1"/>
  <c r="K4412" i="1"/>
  <c r="B4409" i="1"/>
  <c r="B4408" i="1"/>
  <c r="J4408" i="1" s="1"/>
  <c r="K4408" i="1"/>
  <c r="B4412" i="1"/>
  <c r="J4412" i="1" s="1"/>
  <c r="B4410" i="1"/>
  <c r="B4031" i="1"/>
  <c r="J4031" i="1" s="1"/>
  <c r="B4032" i="1"/>
  <c r="B4033" i="1" s="1"/>
  <c r="J4033" i="1" s="1"/>
  <c r="L4031" i="1"/>
  <c r="K4031" i="1"/>
  <c r="B3942" i="1"/>
  <c r="J3942" i="1" s="1"/>
  <c r="L3942" i="1"/>
  <c r="L3675" i="1"/>
  <c r="B3943" i="1"/>
  <c r="B3944" i="1" s="1"/>
  <c r="J3944" i="1" s="1"/>
  <c r="K3942" i="1"/>
  <c r="B3675" i="1"/>
  <c r="J3675" i="1" s="1"/>
  <c r="K3675" i="1"/>
  <c r="B3676" i="1"/>
  <c r="J3676" i="1" s="1"/>
  <c r="B3587" i="1"/>
  <c r="B3588" i="1" s="1"/>
  <c r="J3588" i="1" s="1"/>
  <c r="K3587" i="1"/>
  <c r="K3588" i="1" s="1"/>
  <c r="L3586" i="1"/>
  <c r="L3587" i="1"/>
  <c r="L3588" i="1" s="1"/>
  <c r="B3586" i="1"/>
  <c r="J3586" i="1" s="1"/>
  <c r="K3586" i="1"/>
  <c r="B1626" i="1"/>
  <c r="B1627" i="1"/>
  <c r="B1628" i="1"/>
  <c r="B1629" i="1"/>
  <c r="B1630" i="1"/>
  <c r="AB11" i="2"/>
  <c r="B1679" i="1" s="1"/>
  <c r="AA11" i="2"/>
  <c r="Z11" i="2"/>
  <c r="B1689" i="1"/>
  <c r="B1688" i="1"/>
  <c r="B1682" i="1"/>
  <c r="B1681" i="1"/>
  <c r="B1680"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32" i="1"/>
  <c r="B1631"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2085" i="1"/>
  <c r="B2102" i="1" s="1"/>
  <c r="B2084" i="1"/>
  <c r="B2101" i="1" s="1"/>
  <c r="B2083" i="1"/>
  <c r="B2082" i="1"/>
  <c r="B2081" i="1"/>
  <c r="B2080" i="1"/>
  <c r="B2079" i="1"/>
  <c r="B2078" i="1"/>
  <c r="B2077" i="1"/>
  <c r="B2076" i="1"/>
  <c r="B2075" i="1"/>
  <c r="B2074" i="1"/>
  <c r="B2073" i="1"/>
  <c r="B2072" i="1"/>
  <c r="B2071" i="1"/>
  <c r="B2070" i="1"/>
  <c r="B2069" i="1"/>
  <c r="B1797" i="1"/>
  <c r="B1814" i="1" s="1"/>
  <c r="B1796" i="1"/>
  <c r="B1813" i="1" s="1"/>
  <c r="B1795" i="1"/>
  <c r="B1794" i="1"/>
  <c r="B1793" i="1"/>
  <c r="B1792" i="1"/>
  <c r="B1791" i="1"/>
  <c r="B1790" i="1"/>
  <c r="B1789" i="1"/>
  <c r="B1788" i="1"/>
  <c r="B1787" i="1"/>
  <c r="B1786" i="1"/>
  <c r="B1785" i="1"/>
  <c r="B1784" i="1"/>
  <c r="B1783" i="1"/>
  <c r="B1782" i="1"/>
  <c r="B1781" i="1"/>
  <c r="K3676" i="1" l="1"/>
  <c r="K3677" i="1" s="1"/>
  <c r="L3676" i="1"/>
  <c r="L3677" i="1" s="1"/>
  <c r="J4032" i="1"/>
  <c r="J3943" i="1"/>
  <c r="B3677" i="1"/>
  <c r="J3677" i="1" s="1"/>
  <c r="J3587" i="1"/>
  <c r="B1700" i="1"/>
  <c r="B1697" i="1"/>
  <c r="B1698" i="1"/>
  <c r="B1699" i="1"/>
  <c r="B1642" i="1"/>
  <c r="B1640" i="1"/>
  <c r="B1643" i="1"/>
  <c r="B1644" i="1"/>
  <c r="B1641" i="1"/>
  <c r="K1638" i="1"/>
  <c r="K1694" i="1"/>
  <c r="L1696" i="1"/>
  <c r="K1693" i="1"/>
  <c r="B1693" i="1"/>
  <c r="L1638" i="1"/>
  <c r="B1638" i="1"/>
  <c r="B1696" i="1"/>
  <c r="L1693" i="1"/>
  <c r="K1696" i="1"/>
  <c r="B1694" i="1"/>
  <c r="L1694" i="1"/>
  <c r="L1639" i="1"/>
  <c r="K1639" i="1"/>
  <c r="B1639" i="1"/>
  <c r="J1639" i="1" s="1"/>
  <c r="B1637" i="1"/>
  <c r="J1637" i="1" s="1"/>
  <c r="B2090" i="1"/>
  <c r="L2090" i="1" s="1"/>
  <c r="K1637" i="1"/>
  <c r="L1637" i="1"/>
  <c r="J2090" i="1"/>
  <c r="B2091" i="1"/>
  <c r="L2091" i="1" s="1"/>
  <c r="K2090" i="1"/>
  <c r="B2092" i="1"/>
  <c r="L2092" i="1" s="1"/>
  <c r="K1802" i="1"/>
  <c r="B1802" i="1"/>
  <c r="L1802" i="1" s="1"/>
  <c r="J1802" i="1"/>
  <c r="B1804" i="1"/>
  <c r="L1804" i="1" s="1"/>
  <c r="B1803" i="1"/>
  <c r="L1803" i="1" s="1"/>
  <c r="B1710" i="1"/>
  <c r="B1711" i="1"/>
  <c r="B1712" i="1"/>
  <c r="B1713" i="1"/>
  <c r="B1714" i="1"/>
  <c r="B1715" i="1"/>
  <c r="B1716" i="1"/>
  <c r="B1717" i="1"/>
  <c r="B1718" i="1"/>
  <c r="B1719" i="1"/>
  <c r="B1720" i="1"/>
  <c r="B1721" i="1"/>
  <c r="B1722" i="1"/>
  <c r="B1723" i="1"/>
  <c r="B1724" i="1"/>
  <c r="B1741" i="1" s="1"/>
  <c r="B1725" i="1"/>
  <c r="B1742" i="1" s="1"/>
  <c r="B1709" i="1"/>
  <c r="K4032" i="1" l="1"/>
  <c r="K4033" i="1" s="1"/>
  <c r="L4032" i="1"/>
  <c r="L4033" i="1" s="1"/>
  <c r="K3943" i="1"/>
  <c r="K3944" i="1" s="1"/>
  <c r="L3943" i="1"/>
  <c r="L3944" i="1" s="1"/>
  <c r="K2091" i="1"/>
  <c r="K2092" i="1" s="1"/>
  <c r="J2091" i="1"/>
  <c r="J2092" i="1" s="1"/>
  <c r="J1803" i="1"/>
  <c r="J1804" i="1" s="1"/>
  <c r="K1803" i="1"/>
  <c r="K1804" i="1" s="1"/>
  <c r="B1732" i="1"/>
  <c r="L1732" i="1" s="1"/>
  <c r="B1731" i="1"/>
  <c r="L1731" i="1" s="1"/>
  <c r="K1730" i="1"/>
  <c r="J1730" i="1"/>
  <c r="B1730" i="1"/>
  <c r="L1730" i="1" s="1"/>
  <c r="G2666" i="1"/>
  <c r="B23" i="1"/>
  <c r="G22" i="1"/>
  <c r="E22" i="1"/>
  <c r="C22" i="1"/>
  <c r="A22" i="1"/>
  <c r="B174" i="1"/>
  <c r="K1731" i="1" l="1"/>
  <c r="K1732" i="1" s="1"/>
  <c r="J1731" i="1"/>
  <c r="J1732" i="1" s="1"/>
  <c r="B2089" i="1"/>
  <c r="B3333" i="1" l="1"/>
  <c r="B4689" i="1"/>
  <c r="B1729" i="1"/>
  <c r="B1733" i="1" s="1"/>
  <c r="E4667" i="1" l="1"/>
  <c r="C4667" i="1"/>
  <c r="A4667" i="1"/>
  <c r="B2868" i="1"/>
  <c r="B2867" i="1"/>
  <c r="B2864" i="1"/>
  <c r="G2863" i="1"/>
  <c r="E2863" i="1"/>
  <c r="C2863" i="1"/>
  <c r="A2863" i="1"/>
  <c r="B2093" i="1"/>
  <c r="G2088" i="1"/>
  <c r="E2088" i="1"/>
  <c r="A2088" i="1"/>
  <c r="B1153" i="1"/>
  <c r="B1162" i="1" s="1"/>
  <c r="B3941" i="1"/>
  <c r="B3953" i="1" s="1"/>
  <c r="G3940" i="1"/>
  <c r="E3940" i="1"/>
  <c r="C3940" i="1"/>
  <c r="A3940" i="1"/>
  <c r="B3378" i="1"/>
  <c r="B3382" i="1" s="1"/>
  <c r="G3377" i="1"/>
  <c r="E3377" i="1"/>
  <c r="C3377" i="1"/>
  <c r="A3377" i="1"/>
  <c r="B2274" i="1"/>
  <c r="B2290" i="1" s="1"/>
  <c r="B2475" i="1"/>
  <c r="B2491" i="1" s="1"/>
  <c r="J2477" i="1"/>
  <c r="J2476" i="1"/>
  <c r="B2630" i="1"/>
  <c r="B2646" i="1" s="1"/>
  <c r="B1307" i="1"/>
  <c r="B1312" i="1" s="1"/>
  <c r="B4581" i="1"/>
  <c r="B4586" i="1" s="1"/>
  <c r="G4580" i="1"/>
  <c r="E4580" i="1"/>
  <c r="C4580" i="1"/>
  <c r="A4580" i="1"/>
  <c r="B409" i="1"/>
  <c r="B410" i="1" s="1"/>
  <c r="E407" i="1"/>
  <c r="C407" i="1"/>
  <c r="A407" i="1"/>
  <c r="B1801" i="1"/>
  <c r="B1805" i="1" s="1"/>
  <c r="G1800" i="1"/>
  <c r="E1800" i="1"/>
  <c r="A1800" i="1"/>
  <c r="B4643" i="1"/>
  <c r="B4648" i="1" s="1"/>
  <c r="G4642" i="1"/>
  <c r="E4642" i="1"/>
  <c r="C4642" i="1"/>
  <c r="A4642" i="1"/>
  <c r="B793" i="1"/>
  <c r="B802" i="1" s="1"/>
  <c r="B1372" i="1"/>
  <c r="B1377" i="1" s="1"/>
  <c r="G3332" i="1"/>
  <c r="E3332" i="1"/>
  <c r="C3332" i="1"/>
  <c r="A3332" i="1"/>
  <c r="B2361" i="1"/>
  <c r="B2553" i="1"/>
  <c r="B2569" i="1" s="1"/>
  <c r="J2424" i="1"/>
  <c r="J2423" i="1"/>
  <c r="J2422" i="1"/>
  <c r="J2421" i="1"/>
  <c r="B2417" i="1"/>
  <c r="J2366" i="1"/>
  <c r="J2365" i="1"/>
  <c r="B2186" i="1"/>
  <c r="B2202" i="1" s="1"/>
  <c r="J2184" i="1"/>
  <c r="G1728" i="1"/>
  <c r="E1728" i="1"/>
  <c r="A1728" i="1"/>
  <c r="J1696" i="1"/>
  <c r="B1695" i="1"/>
  <c r="B1701" i="1" s="1"/>
  <c r="J1694" i="1"/>
  <c r="J1693" i="1"/>
  <c r="J1638" i="1"/>
  <c r="B1636" i="1"/>
  <c r="B1587" i="1"/>
  <c r="J1577" i="1"/>
  <c r="J1574" i="1"/>
  <c r="B1572" i="1"/>
  <c r="J1520" i="1"/>
  <c r="J1517" i="1"/>
  <c r="J1515" i="1"/>
  <c r="B1513" i="1"/>
  <c r="B1521" i="1" s="1"/>
  <c r="J1443" i="1"/>
  <c r="J1440" i="1"/>
  <c r="B1438" i="1"/>
  <c r="J1244" i="1"/>
  <c r="J1243" i="1"/>
  <c r="B1242" i="1"/>
  <c r="B1247" i="1" s="1"/>
  <c r="B703" i="1"/>
  <c r="B712" i="1" s="1"/>
  <c r="J4464" i="1"/>
  <c r="J4465" i="1"/>
  <c r="J4466" i="1"/>
  <c r="J4463" i="1"/>
  <c r="B4462" i="1"/>
  <c r="B4471" i="1" s="1"/>
  <c r="G4461" i="1"/>
  <c r="E4461" i="1"/>
  <c r="C4461" i="1"/>
  <c r="A4461" i="1"/>
  <c r="B4407" i="1"/>
  <c r="G4406" i="1"/>
  <c r="E4406" i="1"/>
  <c r="C4406" i="1"/>
  <c r="A4406" i="1"/>
  <c r="B3412" i="1"/>
  <c r="B3416" i="1" s="1"/>
  <c r="G3411" i="1"/>
  <c r="E3411" i="1"/>
  <c r="C3411" i="1"/>
  <c r="A3411" i="1"/>
  <c r="B163" i="1"/>
  <c r="G162" i="1"/>
  <c r="E162" i="1"/>
  <c r="C162" i="1"/>
  <c r="A162" i="1"/>
  <c r="G173" i="1"/>
  <c r="E173" i="1"/>
  <c r="C173" i="1"/>
  <c r="A173" i="1"/>
  <c r="B152" i="1"/>
  <c r="G151" i="1"/>
  <c r="E151" i="1"/>
  <c r="A151" i="1"/>
  <c r="B119" i="1"/>
  <c r="G118" i="1"/>
  <c r="E118" i="1"/>
  <c r="C118" i="1"/>
  <c r="A118" i="1"/>
  <c r="B141" i="1"/>
  <c r="G140" i="1"/>
  <c r="E140" i="1"/>
  <c r="A140" i="1"/>
  <c r="B130" i="1"/>
  <c r="G129" i="1"/>
  <c r="E129" i="1"/>
  <c r="A129" i="1"/>
  <c r="B4470" i="1" l="1"/>
  <c r="B617" i="1" l="1"/>
  <c r="B3585" i="1"/>
  <c r="B3597" i="1" s="1"/>
  <c r="B3344" i="1"/>
  <c r="B3348" i="1" s="1"/>
  <c r="G3343" i="1"/>
  <c r="E3343" i="1"/>
  <c r="C3343" i="1"/>
  <c r="A3343" i="1"/>
  <c r="B616" i="1"/>
  <c r="B626" i="1" s="1"/>
  <c r="E615" i="1"/>
  <c r="C615" i="1"/>
  <c r="A615" i="1"/>
  <c r="B2712" i="1"/>
  <c r="B2711" i="1"/>
  <c r="B2708" i="1"/>
  <c r="G2707" i="1"/>
  <c r="E2707" i="1"/>
  <c r="C2707" i="1"/>
  <c r="A2707" i="1"/>
  <c r="B3203" i="1"/>
  <c r="G3201" i="1"/>
  <c r="E3201" i="1"/>
  <c r="C3201" i="1"/>
  <c r="A3201" i="1"/>
  <c r="B3674" i="1"/>
  <c r="B3686" i="1" s="1"/>
  <c r="G3673" i="1"/>
  <c r="E3673" i="1"/>
  <c r="C3673" i="1"/>
  <c r="A3673" i="1"/>
  <c r="B207" i="1" l="1"/>
  <c r="B208" i="1"/>
  <c r="B210" i="1" s="1"/>
  <c r="B209" i="1" l="1"/>
  <c r="G206" i="1" l="1"/>
  <c r="E206" i="1"/>
  <c r="C206" i="1"/>
  <c r="A206" i="1"/>
  <c r="B3006" i="1"/>
  <c r="G3005" i="1"/>
  <c r="E3005" i="1"/>
  <c r="C3005" i="1"/>
  <c r="A3005" i="1"/>
  <c r="B2667" i="1"/>
  <c r="E2666" i="1"/>
  <c r="C2666" i="1"/>
  <c r="A2666" i="1"/>
  <c r="B4519" i="1"/>
  <c r="B4524" i="1" s="1"/>
  <c r="G4518" i="1"/>
  <c r="E4518" i="1"/>
  <c r="C4518" i="1"/>
  <c r="A4518" i="1"/>
  <c r="B4030" i="1"/>
  <c r="B4044" i="1" s="1"/>
  <c r="G4029" i="1"/>
  <c r="E4029" i="1"/>
  <c r="C4029" i="1"/>
  <c r="A4029" i="1"/>
  <c r="G3584" i="1"/>
  <c r="E3584" i="1"/>
  <c r="C3584" i="1"/>
  <c r="A3584" i="1"/>
  <c r="B265" i="1"/>
  <c r="G264" i="1"/>
  <c r="E264" i="1"/>
  <c r="C264" i="1"/>
  <c r="A264" i="1"/>
  <c r="B254" i="1"/>
  <c r="G253" i="1"/>
  <c r="E253" i="1"/>
  <c r="C253" i="1"/>
  <c r="A253" i="1"/>
  <c r="B232" i="1"/>
  <c r="G231" i="1"/>
  <c r="E231" i="1"/>
  <c r="C231" i="1"/>
  <c r="A231" i="1"/>
  <c r="B397" i="1"/>
  <c r="G396" i="1"/>
  <c r="E396" i="1"/>
  <c r="C396" i="1"/>
  <c r="A396" i="1"/>
  <c r="B185" i="1"/>
  <c r="G184" i="1"/>
  <c r="E184" i="1"/>
  <c r="C184" i="1"/>
  <c r="A184" i="1"/>
  <c r="B287" i="1"/>
  <c r="G286" i="1"/>
  <c r="E286" i="1"/>
  <c r="C286" i="1"/>
  <c r="A286" i="1"/>
  <c r="B243" i="1"/>
  <c r="B12" i="1"/>
  <c r="G242" i="1"/>
  <c r="E242" i="1"/>
  <c r="C242" i="1"/>
  <c r="A242" i="1"/>
  <c r="G220" i="1"/>
  <c r="E220" i="1"/>
  <c r="C220" i="1"/>
  <c r="A220" i="1"/>
  <c r="B196" i="1"/>
  <c r="B3028" i="1" l="1"/>
  <c r="B3026" i="1"/>
  <c r="B3025" i="1"/>
  <c r="G195" i="1"/>
  <c r="E195" i="1"/>
  <c r="C195" i="1"/>
  <c r="A195" i="1"/>
  <c r="G11" i="1"/>
  <c r="E11" i="1"/>
  <c r="C11" i="1"/>
  <c r="A11" i="1"/>
</calcChain>
</file>

<file path=xl/sharedStrings.xml><?xml version="1.0" encoding="utf-8"?>
<sst xmlns="http://schemas.openxmlformats.org/spreadsheetml/2006/main" count="14523" uniqueCount="505">
  <si>
    <t>database</t>
  </si>
  <si>
    <t>heat</t>
  </si>
  <si>
    <t>Activity</t>
  </si>
  <si>
    <t>location</t>
  </si>
  <si>
    <t>production amount</t>
  </si>
  <si>
    <t>reference product</t>
  </si>
  <si>
    <t>type</t>
  </si>
  <si>
    <t>process</t>
  </si>
  <si>
    <t>unit</t>
  </si>
  <si>
    <t>kilogram</t>
  </si>
  <si>
    <t>Exchanges</t>
  </si>
  <si>
    <t>name</t>
  </si>
  <si>
    <t>amount</t>
  </si>
  <si>
    <t>categories</t>
  </si>
  <si>
    <t>air::urban air close to ground</t>
  </si>
  <si>
    <t>biosphere</t>
  </si>
  <si>
    <t>soft wood chips from forest, burned in furnace 1000kW</t>
  </si>
  <si>
    <t>megajoule</t>
  </si>
  <si>
    <t>RER</t>
  </si>
  <si>
    <t>production</t>
  </si>
  <si>
    <t>heat production, softwood chips from forest, at furnace 1000kW</t>
  </si>
  <si>
    <t>heat, district or industrial, other than natural gas</t>
  </si>
  <si>
    <t>CH</t>
  </si>
  <si>
    <t>technosphere</t>
  </si>
  <si>
    <t>heat production, from hydrogen-fired one gigawatt gas turbine</t>
  </si>
  <si>
    <t>hard coal, burned in hard coal industrial furnace 1-10MW</t>
  </si>
  <si>
    <t>heat production, at hard coal industrial furnace 1-10MW</t>
  </si>
  <si>
    <t>Europe without Switzerland</t>
  </si>
  <si>
    <t>light fuel oil, burned in industrial furnace 1MW</t>
  </si>
  <si>
    <t>heat production, light fuel oil, at industrial furnace 1MW</t>
  </si>
  <si>
    <t>heat, residential, by combustion of methanol using boiler, distributed by truck, produced with biomass</t>
  </si>
  <si>
    <t>heat, from residential heating system</t>
  </si>
  <si>
    <t>methanol from biomass, burned in residential boiler</t>
  </si>
  <si>
    <t>wood pellet, burned in residential stove 9kW</t>
  </si>
  <si>
    <t>hydrogen, burned in gas turbine 1GW</t>
  </si>
  <si>
    <t>methanol from coal, burned in residential boiler</t>
  </si>
  <si>
    <t>heat, residential, by combustion of methanol using boiler, distributed by truck, produced with coal</t>
  </si>
  <si>
    <t>hard coal briquettes, burned in stove 5-15kW</t>
  </si>
  <si>
    <t>heat production, hard coal briquette, stove 5-15kW</t>
  </si>
  <si>
    <t>heat, central or small-scale, other than natural gas</t>
  </si>
  <si>
    <t>light fuel oil, burned in residential boiler 10kW</t>
  </si>
  <si>
    <t>heat production, light fuel oil, at boiler 10kW condensing, non-modulating</t>
  </si>
  <si>
    <t>propane, burned in industrial furnace &gt;100kW</t>
  </si>
  <si>
    <t>heat production, propane, at industrial furnace &gt;100kW</t>
  </si>
  <si>
    <t>diesel, low-sulfur</t>
  </si>
  <si>
    <t>Acetaldehyde</t>
  </si>
  <si>
    <t>Acetone</t>
  </si>
  <si>
    <t>Acrolein</t>
  </si>
  <si>
    <t>Ammonia</t>
  </si>
  <si>
    <t>Benzaldehyde</t>
  </si>
  <si>
    <t>Benzene</t>
  </si>
  <si>
    <t>Butane</t>
  </si>
  <si>
    <t>Cadmium II</t>
  </si>
  <si>
    <t>Carbon dioxide, fossil</t>
  </si>
  <si>
    <t>Carbon monoxide, fossil</t>
  </si>
  <si>
    <t>Chromium III</t>
  </si>
  <si>
    <t>Chromium VI</t>
  </si>
  <si>
    <t>Copper ion</t>
  </si>
  <si>
    <t>Dinitrogen monoxide</t>
  </si>
  <si>
    <t>Ethane</t>
  </si>
  <si>
    <t>Ethylene oxide</t>
  </si>
  <si>
    <t>Formaldehyde</t>
  </si>
  <si>
    <t>Heptane</t>
  </si>
  <si>
    <t>Lead II</t>
  </si>
  <si>
    <t>Mercury II</t>
  </si>
  <si>
    <t>Methane, fossil</t>
  </si>
  <si>
    <t>Methyl ethyl ketone</t>
  </si>
  <si>
    <t>NMVOC, non-methane volatile organic compounds</t>
  </si>
  <si>
    <t>Nickel II</t>
  </si>
  <si>
    <t>Nitrogen oxides</t>
  </si>
  <si>
    <t>PAH, polycyclic aromatic hydrocarbons</t>
  </si>
  <si>
    <t>Particulate Matter, &lt; 2.5 um</t>
  </si>
  <si>
    <t>Pentane</t>
  </si>
  <si>
    <t>Propane</t>
  </si>
  <si>
    <t>Propylene oxide</t>
  </si>
  <si>
    <t>Selenium IV</t>
  </si>
  <si>
    <t>Styrene</t>
  </si>
  <si>
    <t>Sulfur dioxide</t>
  </si>
  <si>
    <t>Toluene</t>
  </si>
  <si>
    <t>Zinc II</t>
  </si>
  <si>
    <t>m-Xylene</t>
  </si>
  <si>
    <t>o-Xylene</t>
  </si>
  <si>
    <t>petrol, low-sulfur</t>
  </si>
  <si>
    <t>1-Pentene</t>
  </si>
  <si>
    <t>Ethylene</t>
  </si>
  <si>
    <t>Hexane</t>
  </si>
  <si>
    <t>Propene</t>
  </si>
  <si>
    <t>diesel, burned in passenger car</t>
  </si>
  <si>
    <t>petrol, burned in passenger car</t>
  </si>
  <si>
    <t>diesel, burned in heavy-duty vehicle</t>
  </si>
  <si>
    <t>Arsenic ion</t>
  </si>
  <si>
    <t>compressed gas, burned in passenger car</t>
  </si>
  <si>
    <t>market group for natural gas, high pressure</t>
  </si>
  <si>
    <t>natural gas, high pressure</t>
  </si>
  <si>
    <t>cubic meter</t>
  </si>
  <si>
    <t>kerosene, burned in aircraft</t>
  </si>
  <si>
    <t>market for kerosene</t>
  </si>
  <si>
    <t>kerosene</t>
  </si>
  <si>
    <t>Water</t>
  </si>
  <si>
    <t>air::lower stratosphere + upper troposphere</t>
  </si>
  <si>
    <t>air::non-urban air or from high stacks</t>
  </si>
  <si>
    <t>heavy fuel oil, burned in container ship</t>
  </si>
  <si>
    <t>heavy fuel oil</t>
  </si>
  <si>
    <t>Dioxins, measured as 2,3,7,8-tetrachlorodibenzo-p-dioxin</t>
  </si>
  <si>
    <t>Hydrochloric acid</t>
  </si>
  <si>
    <t>Hydrogen fluoride</t>
  </si>
  <si>
    <t>Particulate Matter, &gt; 10 um</t>
  </si>
  <si>
    <t>Particulate Matter, &gt; 2.5 um and &lt; 10um</t>
  </si>
  <si>
    <t>Fungicides, unspecified</t>
  </si>
  <si>
    <t>Hydrocarbons, unspecified</t>
  </si>
  <si>
    <t>Thiocyanate</t>
  </si>
  <si>
    <t>Tributyltin compounds</t>
  </si>
  <si>
    <t>water::ocean</t>
  </si>
  <si>
    <t>fuel cell system assembly, 1 kWe, proton exchange membrane (PEM)</t>
  </si>
  <si>
    <t>GLO</t>
  </si>
  <si>
    <t>fuel cell system, 1 kWe, proton exchange membrane (PEM)</t>
  </si>
  <si>
    <t>air</t>
  </si>
  <si>
    <t>hydrogen, converted in 1kWe fuel cell</t>
  </si>
  <si>
    <t>Hydrogen</t>
  </si>
  <si>
    <t>diesel production, low-sulfur, petroleum refinery operation</t>
  </si>
  <si>
    <t>petrol production, low-sulfur</t>
  </si>
  <si>
    <t>biodiesel, burned in passenger car</t>
  </si>
  <si>
    <t>Carbon dioxide, non-fossil</t>
  </si>
  <si>
    <t>Carbon monoxide, non-fossil</t>
  </si>
  <si>
    <t>biodiesel, burned in heavy-duty vehicle</t>
  </si>
  <si>
    <t>heavy fuel oil production, petroleum refinery operation</t>
  </si>
  <si>
    <t>methanol, from biomass</t>
  </si>
  <si>
    <t>RoW</t>
  </si>
  <si>
    <t>methanol from biomass, burned in container ship</t>
  </si>
  <si>
    <t>kerosene production, via Fischer-Tropsch, from forest product (non-residual), energy allocation</t>
  </si>
  <si>
    <t>kerosene, from forest residues</t>
  </si>
  <si>
    <t>diesel from coal, burned in heavy-duty vehicle</t>
  </si>
  <si>
    <t>diesel production, synthetic, Fischer Tropsch process, hydrogen from coal gasification, energy allocation</t>
  </si>
  <si>
    <t>diesel, synthetic</t>
  </si>
  <si>
    <t>diesel blend, burned in heavy-duty vehicle</t>
  </si>
  <si>
    <t>diesel, burned in passenger train</t>
  </si>
  <si>
    <t>Xylene</t>
  </si>
  <si>
    <t>Iron ion</t>
  </si>
  <si>
    <t>soil</t>
  </si>
  <si>
    <t>electricity, used in passenger car</t>
  </si>
  <si>
    <t>market group for electricity, low voltage</t>
  </si>
  <si>
    <t>kilowatt hour</t>
  </si>
  <si>
    <t>electricity, low voltage</t>
  </si>
  <si>
    <t>market for internal combustion engine, passenger car</t>
  </si>
  <si>
    <t>internal combustion engine, passenger car</t>
  </si>
  <si>
    <t>internal combustion engine, for lorry</t>
  </si>
  <si>
    <t>market for electric motor, electric passenger car</t>
  </si>
  <si>
    <t>electric motor, electric passenger car</t>
  </si>
  <si>
    <t>methanol production, biomass gasification</t>
  </si>
  <si>
    <t>Isohexane</t>
  </si>
  <si>
    <t>Hydrocarbons, aliphatic, alkanes, cyclic</t>
  </si>
  <si>
    <t>comment</t>
  </si>
  <si>
    <t>market for gas boiler</t>
  </si>
  <si>
    <t>gas boiler</t>
  </si>
  <si>
    <t>market for chimney</t>
  </si>
  <si>
    <t>meter</t>
  </si>
  <si>
    <t>chimney</t>
  </si>
  <si>
    <t>market for electricity, low voltage</t>
  </si>
  <si>
    <t>market for hydrogen, gaseous, low pressure</t>
  </si>
  <si>
    <t>hydrogen, gaseous, low pressure</t>
  </si>
  <si>
    <t>natural gas, burned in residential natural gas boiler &lt;100kW</t>
  </si>
  <si>
    <t>heat production, natural gas, at boiler condensing modulating &lt;100kW</t>
  </si>
  <si>
    <t>heat, central or small-scale, natural gas</t>
  </si>
  <si>
    <t>natural gas, synthetic, burned in residential natural gas boiler &lt;100kW</t>
  </si>
  <si>
    <t>heat, residential, by combustion of synthetic natural gas from catalytic methanation using boiler, distributed by pipeline, produced by Electrolysis, PEM using electricity from grid and carbon sourced from DAC</t>
  </si>
  <si>
    <t>natural gas, coal-based, burned in residential natural gas boiler &lt;100kW</t>
  </si>
  <si>
    <t>heat, residential, by combustion of coal-based natural gas using boiler, distributed by pipeline</t>
  </si>
  <si>
    <t>heat, residential, by combustion of biomethane using boiler, distributed by pipeline</t>
  </si>
  <si>
    <t>electricity, used in residential heat pump</t>
  </si>
  <si>
    <t>heat production, air-water heat pump 10kW</t>
  </si>
  <si>
    <t>heat, air-water heat pump 10kW</t>
  </si>
  <si>
    <t>liquefied petroleum gas, burned in residential natural gas boiler &lt;100kW</t>
  </si>
  <si>
    <t>heat, residential, by combustion of liquefied petroleum gas using boiler, distributed by pipeline</t>
  </si>
  <si>
    <t>biomethane, burned in residential natural gas boiler &lt;100kW</t>
  </si>
  <si>
    <t>biodiesel, burned in passenger train</t>
  </si>
  <si>
    <t>biodiesel production, via transesterification, from used cooking oil, energy allocation</t>
  </si>
  <si>
    <t>biodiesel, from cooking oil</t>
  </si>
  <si>
    <t>Methane, non-fossil</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</si>
  <si>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</si>
  <si>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</si>
  <si>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loc</t>
  </si>
  <si>
    <t>minimum</t>
  </si>
  <si>
    <t>maximum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</si>
  <si>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</si>
  <si>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</si>
  <si>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</si>
  <si>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</si>
  <si>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</si>
  <si>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</si>
  <si>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market for battery capacity (MIX scenario)</t>
  </si>
  <si>
    <t>electricity storage capacity</t>
  </si>
  <si>
    <t>market for charger, electric passenger car</t>
  </si>
  <si>
    <t>charger, electric passenger car</t>
  </si>
  <si>
    <t>Assumed vehicle's lifetime: 200'000 km. Assumed vehicle energy consumption: 1.8 MJ/vkm.</t>
  </si>
  <si>
    <t>fuel tank, compressed hydrogen gas, 700bar, with HDPE liner</t>
  </si>
  <si>
    <t>hydrogen tank</t>
  </si>
  <si>
    <t>diesel, burned in single deck coach or urban bus</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</si>
  <si>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</si>
  <si>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description</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</si>
  <si>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</si>
  <si>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fuel tank, for diesel vehicle</t>
  </si>
  <si>
    <t>fuel tank</t>
  </si>
  <si>
    <t>compressed gas, burned in single deck coach or urban bus</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</si>
  <si>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</si>
  <si>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source</t>
  </si>
  <si>
    <t>Sacchi, R., Bauer, C., and Cox, B. Does size matter? The influence of size, load factor, range autonomy and application type on the Life Cycle Assessment of current and future trucks. 2021. Environmental Science and Technology.</t>
  </si>
  <si>
    <t>fuel tank assembly, compressed natural gas, 200 bar</t>
  </si>
  <si>
    <t>fuel tank, compressed natural gas, 200 bar</t>
  </si>
  <si>
    <t>electricity, used in single deck coach or urban bus</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</si>
  <si>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</si>
  <si>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</si>
  <si>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</si>
  <si>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</si>
  <si>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</si>
  <si>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special remark</t>
  </si>
  <si>
    <t>charger</t>
  </si>
  <si>
    <t>charging stand</t>
  </si>
  <si>
    <t>storage battery</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</si>
  <si>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</si>
  <si>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electricity, used in single deck trolleybus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</si>
  <si>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</si>
  <si>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market for battery capacity, Li-ion, LTO</t>
  </si>
  <si>
    <t>electricity, used in tram</t>
  </si>
  <si>
    <t>transport, tram</t>
  </si>
  <si>
    <t>person kilometer</t>
  </si>
  <si>
    <t>electricity, used in battery electric motorcycle</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</si>
  <si>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</si>
  <si>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</si>
  <si>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</si>
  <si>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petrol, burned in motorcycle</t>
  </si>
  <si>
    <t>Carbon dioxide, from soil or biomass stock</t>
  </si>
  <si>
    <t>Particulates, &lt; 2.5 um</t>
  </si>
  <si>
    <t>NMVOC, non-methane volatile organic compounds, unspecified origin</t>
  </si>
  <si>
    <t>Cyclohexane</t>
  </si>
  <si>
    <t>Ethene</t>
  </si>
  <si>
    <t>Arsenic</t>
  </si>
  <si>
    <t>Selenium</t>
  </si>
  <si>
    <t>Zinc</t>
  </si>
  <si>
    <t>Copper</t>
  </si>
  <si>
    <t>Nickel</t>
  </si>
  <si>
    <t>Chromium</t>
  </si>
  <si>
    <t>Mercury</t>
  </si>
  <si>
    <t>Cadmium</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</si>
  <si>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</si>
  <si>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</si>
  <si>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Ethane, 1,1,1,2-tetrafluoro-, HFC-134a</t>
  </si>
  <si>
    <t>Hydrocarbons, chlorinated</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</si>
  <si>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</si>
  <si>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</si>
  <si>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</si>
  <si>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</si>
  <si>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electricity, used in passenger train</t>
  </si>
  <si>
    <t>electricity, high voltage</t>
  </si>
  <si>
    <t>biomethane, burned in single deck coach or urban bus</t>
  </si>
  <si>
    <t>biomethane, gaseous, 5 bar, from sewage sludge fermentation, at fuelling station</t>
  </si>
  <si>
    <t>biomethane, high pressure</t>
  </si>
  <si>
    <t>biodiesel, burned in single deck coach or urban bus</t>
  </si>
  <si>
    <t>biomethane, burned in passenger car</t>
  </si>
  <si>
    <t>bioethanol, burned in motorcycle</t>
  </si>
  <si>
    <t>market for ethanol, without water, in 99.7% solution state, from fermentation, vehicle grade</t>
  </si>
  <si>
    <t>ethanol, without water, in 99.7% solution state, from fermentation, vehicle grade</t>
  </si>
  <si>
    <t>natural gas, synthetic, burned in gas turbine</t>
  </si>
  <si>
    <t>gas turbine, 10MW electrical</t>
  </si>
  <si>
    <t>gas turbine construction, 10MW electrical</t>
  </si>
  <si>
    <t>Heat, waste</t>
  </si>
  <si>
    <t>Oxygen</t>
  </si>
  <si>
    <t>natural resource::in air</t>
  </si>
  <si>
    <t>methane, from electrochemical methanation</t>
  </si>
  <si>
    <t>compressed gas, synthetic, burned in passenger car</t>
  </si>
  <si>
    <t>compressed gas, synthetic, burned in single deck coach or urban bus</t>
  </si>
  <si>
    <t>compressed gas, synthetic, burned in heavy duty vehicle</t>
  </si>
  <si>
    <t>biomethane, burned in heavy duty vehicle</t>
  </si>
  <si>
    <t>diesel, synthetic, burned in heavy duty vehicle</t>
  </si>
  <si>
    <t>diesel, synthetic, vehicle grade</t>
  </si>
  <si>
    <t>diesel, synthetic, burned in passenger train</t>
  </si>
  <si>
    <t>diesel, synthetic, burned in passenger car</t>
  </si>
  <si>
    <t>diesel, synthetic, burned in single deck coach or urban bus</t>
  </si>
  <si>
    <t>petrol, synthetic, burned in motorcycle</t>
  </si>
  <si>
    <t>gasoline, synthetic</t>
  </si>
  <si>
    <t>kerosene, synthetic, burned in aircraft</t>
  </si>
  <si>
    <t>kerosene, synthetic</t>
  </si>
  <si>
    <t>diesel, synthetic, burned in diesel-electric generating set, 10MW</t>
  </si>
  <si>
    <t>diesel-electric generating set, 10MW</t>
  </si>
  <si>
    <t>market for diesel-electric generating set, 10MW</t>
  </si>
  <si>
    <t>lubricating oil</t>
  </si>
  <si>
    <t>market for lubricating oil</t>
  </si>
  <si>
    <t>waste mineral oil</t>
  </si>
  <si>
    <t>market for waste mineral oil</t>
  </si>
  <si>
    <t>Benzo(a)pyrene</t>
  </si>
  <si>
    <t>heat production, hardwood chips from forest, at furnace 50kW</t>
  </si>
  <si>
    <t>LHV of biodiesel: 38 MJ/kg.</t>
  </si>
  <si>
    <t>2.74 kgCO2/kg CH4 combusted.</t>
  </si>
  <si>
    <t>1.96 kgCO2/Nm3 CH4</t>
  </si>
  <si>
    <t>2.74 kgCO2/kg CH4</t>
  </si>
  <si>
    <t>1.91 kgCO2/kg ethanol combusted.</t>
  </si>
  <si>
    <t>3.15 kgCO2/kg synthetic gasoline combusted.</t>
  </si>
  <si>
    <t>hydrogen, used in a fuel cell in a single deck coach or urban bus</t>
  </si>
  <si>
    <t>hydrogen, used in a fuel cell in a hydrogen motorcycle</t>
  </si>
  <si>
    <t>hydrogen, used in a fuel cell in a heavy duty vehicle</t>
  </si>
  <si>
    <t>hydrogen, used in a fuel cell in a passenger car</t>
  </si>
  <si>
    <t>market group for electricity, high voltage</t>
  </si>
  <si>
    <t>kerosene, from biomass, burned in aircraft</t>
  </si>
  <si>
    <t>electricity, used in heavy-duty vehicle</t>
  </si>
  <si>
    <t>heat production, mixed logs, at wood heater 6kW</t>
  </si>
  <si>
    <t>wood logs, burned in wood stove 6kW</t>
  </si>
  <si>
    <t>methane, from electrochemical methanation, with carbon from atmosphere, using heat pump heat</t>
  </si>
  <si>
    <t>skip</t>
  </si>
  <si>
    <t>Transport</t>
  </si>
  <si>
    <t>Passenger cars</t>
  </si>
  <si>
    <t>kW</t>
  </si>
  <si>
    <t>km</t>
  </si>
  <si>
    <t>kj/km</t>
  </si>
  <si>
    <t>kWh</t>
  </si>
  <si>
    <t>Lifetime, mean</t>
  </si>
  <si>
    <t>Lifetime, min</t>
  </si>
  <si>
    <t>Lifetime, max</t>
  </si>
  <si>
    <t>Energy use, mean</t>
  </si>
  <si>
    <t>Energy use, min</t>
  </si>
  <si>
    <t>Energy use, max</t>
  </si>
  <si>
    <t>Battery capacity, mean</t>
  </si>
  <si>
    <t>Battery capacity, min</t>
  </si>
  <si>
    <t>Battery capacity, max</t>
  </si>
  <si>
    <t>Two-wheelers</t>
  </si>
  <si>
    <t>Public transport</t>
  </si>
  <si>
    <t>Road freight</t>
  </si>
  <si>
    <t>Passenger aviation</t>
  </si>
  <si>
    <t>Sea shipping</t>
  </si>
  <si>
    <t>Battery replacement, mean</t>
  </si>
  <si>
    <t>Battery replacement, min</t>
  </si>
  <si>
    <t>Battery replacement, max</t>
  </si>
  <si>
    <t>Fuel tank, mean</t>
  </si>
  <si>
    <t>Fuel tank, min</t>
  </si>
  <si>
    <t>Fuel tank, max</t>
  </si>
  <si>
    <t>kg</t>
  </si>
  <si>
    <t>Electric motor, mean</t>
  </si>
  <si>
    <t>Electric motor, min</t>
  </si>
  <si>
    <t>Electric motor, max</t>
  </si>
  <si>
    <t>Combustion engine, mean</t>
  </si>
  <si>
    <t>Combustion engine, min</t>
  </si>
  <si>
    <t>Combustion engine, max</t>
  </si>
  <si>
    <t>PM 2.5</t>
  </si>
  <si>
    <t>NOx</t>
  </si>
  <si>
    <t>g/MJ</t>
  </si>
  <si>
    <t>Fuel cell system, mean</t>
  </si>
  <si>
    <t>Fuel cell system, min</t>
  </si>
  <si>
    <t>Fuel cell system, max</t>
  </si>
  <si>
    <t>Fuel cell stack replacement, mean</t>
  </si>
  <si>
    <t>Fuel cell replacement, min</t>
  </si>
  <si>
    <t>Fuel cell replacement, max</t>
  </si>
  <si>
    <t>Power, mean</t>
  </si>
  <si>
    <t>Power, min</t>
  </si>
  <si>
    <t>Power, max</t>
  </si>
  <si>
    <t>Source</t>
  </si>
  <si>
    <t>carculator-two-wheelers https://github.com/Laboratory-for-Energy-Systems-Analysis/carculator_two_wheeler</t>
  </si>
  <si>
    <t>injection moulding</t>
  </si>
  <si>
    <t>market for injection moulding</t>
  </si>
  <si>
    <t>market for polyethylene, low density, granulate</t>
  </si>
  <si>
    <t>polyethylene, low density, granulate</t>
  </si>
  <si>
    <t>Fuel tank</t>
  </si>
  <si>
    <t>Power: 13 kW. Lifetime: 100000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</si>
  <si>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Assumed 8kg hydrogen tank, according to recent prototypes.</t>
  </si>
  <si>
    <t>9 kg H2O/kg H2</t>
  </si>
  <si>
    <t>Onboard charger mass</t>
  </si>
  <si>
    <t>Controller mass</t>
  </si>
  <si>
    <t>Converter mass</t>
  </si>
  <si>
    <t>Electrical powertrain mass</t>
  </si>
  <si>
    <t>Inverter mass</t>
  </si>
  <si>
    <t>Onboard charger</t>
  </si>
  <si>
    <t>External charger</t>
  </si>
  <si>
    <t>carculator https://github.com/Laboratory-for-Energy-Systems-Analysis/carculator</t>
  </si>
  <si>
    <t>carculator-bus https://github.com/Laboratory-for-Energy-Systems-Analysis/carculator-bus</t>
  </si>
  <si>
    <t>Combustion engine power: 245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</si>
  <si>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Combustion engine power: 245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</si>
  <si>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External charger - Assumed shared with 19 pther buses.</t>
  </si>
  <si>
    <t>electricity, used in container ship</t>
  </si>
  <si>
    <t>electricity, used in aircraft</t>
  </si>
  <si>
    <t>hydrogen, used in passenger train</t>
  </si>
  <si>
    <t>carculator-truck https://github.com/Laboratory-for-Energy-Systems-Analysis/carculator-truck</t>
  </si>
  <si>
    <t>Fuel consumption: https://www.oag.com/blog/which-part-flight-uses-most-fuel. Lifetime from Life cycle assessment of air transportation and the Swiss commercial air transport fleet, Cox, Jemiolo, Mutel, 2018.</t>
  </si>
  <si>
    <t>hydrogen, burned in aircraft</t>
  </si>
  <si>
    <t>Hydrogen consumption from Prospective Life-Cycle Impact Modelling of Aviation Decarbonization Strategies, Julien McTighe, Master thesis, PSI, 2024. Assumes 2000 km flight to calculate LH2 tank mass, with a gravimetric efficiency of 0.5.</t>
  </si>
  <si>
    <t>Lifetime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t>
  </si>
  <si>
    <t>Hydrogen consumption from Prospective Life-Cycle Impact Modelling of Aviation Decarbonization Strategies, Julien McTighe, Master thesis, PSI, 2024.
Assumes 2'000 km flight distance to calculate the liquid H2 tank mass, with a gravimetric efficiency of 0.5.
Emission factor fof NOx from https://pure.tudelft.nl/ws/portalfiles/portal/146460099/6.2023_2513.pdf</t>
  </si>
  <si>
    <t>10.8g NOx/kg H2, according to https://pure.tudelft.nl/ws/portalfiles/portal/146460099/6.2023_2513.pdf</t>
  </si>
  <si>
    <t xml:space="preserve">Lifetime values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
Assumes a flight distance of 1000 km to size the battery. Assumes an ambitious cycle life of 10,000 cycles for the future battery.
This still yields an average of 10 replacements over aircraft lifetime.
</t>
  </si>
  <si>
    <t>market for powertrain, for electric scooter</t>
  </si>
  <si>
    <t>powertrain, for electric scooter</t>
  </si>
  <si>
    <t>hydrogen, used in a fuel cell in a passenger train</t>
  </si>
  <si>
    <t>production of locomotive, fuel cell, hydrogen</t>
  </si>
  <si>
    <t>In ecoinvent, 2.4822e-10 unit of a train per passenger-km, for 0.0748 kWh of electricity consumed.</t>
  </si>
  <si>
    <t>hydrogen, used in a fuel cell in container ship</t>
  </si>
  <si>
    <t>https://en.wikipedia.org/wiki/MV_Yara_Birkeland for battery size. Assumes twice as efficient propulsion as regular ICE ship. Uses Emma Maersk as reference (225 kg fuel/km).</t>
  </si>
  <si>
    <t>Uses same specs as battery electric ship below, except for batteries and H2 tanks. Assumes fuel cell system power to be 50% of the electric motor power. Assumes same amount of onboard energy as battery electric ship, with a liquid H2 tank gravimetric efficiency of 0.5.</t>
  </si>
  <si>
    <t>hydrogen, burned in residential boiler</t>
  </si>
  <si>
    <t>diesel, synthetic, burned in container ship</t>
  </si>
  <si>
    <t>locomotive fuel cell, hydrogen</t>
  </si>
  <si>
    <t>methanol, synthetic, burned in residential boiler</t>
  </si>
  <si>
    <t>heat, residential, by combustion of methanol using boiler, distributed by truck, produced by Electrolysis, PEM using electricity from grid and carbon sourced from DAC</t>
  </si>
  <si>
    <t>SOx emissions have been updated to reflect the use of VLSFO.</t>
  </si>
  <si>
    <t>We assume the absence of sulfur in synthetic diesel. Additionally, according to Petzold et al., 2011, dx.doi.org/10.1021/es2021439, there's a reduction of about 60% in PM emissions relative to using HFO.</t>
  </si>
  <si>
    <t>Wartsila reports an emission factor of about 0.7g NOx/MJ methanol: https://www.wartsila.com/insights/article/next-port-of-call-the-methanol-bunkering-station
In the same report, they also report a reduction of 90% of PM emissions compared to using HFO.</t>
  </si>
  <si>
    <t>biodiesel, from non-residual cellulosic biomass, burned in heavy-duty vehicle</t>
  </si>
  <si>
    <t>biodiesel production, via Fischer-Tropsch, from forest product (non-residual), energy allocation</t>
  </si>
  <si>
    <t>biodiesel, from non-residual cellulosic biomass, burned in single deck coach or urban bus</t>
  </si>
  <si>
    <t>biodiesel, from forest residues</t>
  </si>
  <si>
    <t>biodiesel, from non-residual cellulosic biomass, burned in passenger train</t>
  </si>
  <si>
    <t>biodiesel, from non-residual cellulosic biomass, burned in passenger car</t>
  </si>
  <si>
    <t>biodiesel, from residual oily biomass, burned in heavy-duty vehicle</t>
  </si>
  <si>
    <t>biodiesel, from residual oily biomass, burned in single deck coach or urban bus</t>
  </si>
  <si>
    <t>biodiesel, from residual oily biomass, burned in passenger train</t>
  </si>
  <si>
    <t>biodiesel, from residual oily biomass, burned in passenger car</t>
  </si>
  <si>
    <t>biodiesel, from residual cellulosic biomass, burned in heavy-duty vehicle</t>
  </si>
  <si>
    <t>biodiesel production, via Fischer-Tropsch, from forest residues, energy allocation</t>
  </si>
  <si>
    <t>biodiesel, from residual cellulosic biomass, burned in single deck coach or urban bus</t>
  </si>
  <si>
    <t>biodiesel, from residual cellulosic biomass, burned in passenger train</t>
  </si>
  <si>
    <t>biodiesel, from residual cellulosic biomass, burned in passenger car</t>
  </si>
  <si>
    <t>biodiesel, from non-residual oily biomass, burned in passenger train</t>
  </si>
  <si>
    <t>biodiesel production, via transesterification, from rapeseed oil, energy allocation</t>
  </si>
  <si>
    <t>biodiesel, from rapeseed oil</t>
  </si>
  <si>
    <t>Sacchi, R. and Bauer, C. LCA of Power-to-X processes and applications in the residential sector. Paul Scherrer Institut, 2023.</t>
  </si>
  <si>
    <t>u1</t>
  </si>
  <si>
    <t>u2</t>
  </si>
  <si>
    <t>u3</t>
  </si>
  <si>
    <t>u4</t>
  </si>
  <si>
    <t>u5</t>
  </si>
  <si>
    <t>u6</t>
  </si>
  <si>
    <t>ub</t>
  </si>
  <si>
    <t>scale</t>
  </si>
  <si>
    <t>negative</t>
  </si>
  <si>
    <t>market for oil boiler, 10kW</t>
  </si>
  <si>
    <t>oil boiler, 10kW</t>
  </si>
  <si>
    <t>1/(Cap. [kW] * lifetime [y] * annual operation [h] * 3.6 [MJ/kWh])</t>
  </si>
  <si>
    <t>market for oil storage, 3000l</t>
  </si>
  <si>
    <t>oil storage, 3000l</t>
  </si>
  <si>
    <t>market for condensate from light oil boiler</t>
  </si>
  <si>
    <t>condensate from light oil boiler</t>
  </si>
  <si>
    <t>market for hazardous waste, for incineration</t>
  </si>
  <si>
    <t>hazardous waste, for incineration</t>
  </si>
  <si>
    <t>To operate the boiler.</t>
  </si>
  <si>
    <t>Adapted from "heat production, light fuel oil, at boiler 10kW condensing, non-modulating"</t>
  </si>
  <si>
    <t>Emission factor for light fuel oil reduced by 75% to consider the use of methanol.</t>
  </si>
  <si>
    <t>heat, residential, by combustion of light fuel oil, from cellulosic non-residual biomass, using boiler</t>
  </si>
  <si>
    <t>This dataset represents the supply of 1 megajoule of heat in a residence, by light fuel oil/diesel combustion in a boiler.  Heat conversion efficiency [% LHV input]: 90%. LHV [MJ/kg]: 20. Market price [Euro/MJ]: 0.0266666666666667. Distribution loss [% output]: 0%. Storage loss [% output]: 0%. Synthesis efficiency [% LHV input]: 0%. Hydrogen production efficiency [% LHV input]: 0. Total cap. Input-related [kW]: 10. CO2 biogenic share [%]: 100%. Power [kW]: 9. Lifetime [years]: 20. Annual operation [hours]: 2100. : .  Adapted from Sacchi, R. and Bauer, C. LCA of Power-to-X processes and applications in the residential sector. Paul Scherrer Institut, 2023.</t>
  </si>
  <si>
    <t>Light fuel oil input. 1 [MJ]/ 43 [MJ/kg methanol]/ eff.(th)</t>
  </si>
  <si>
    <t>1.24kg water per kg methanol</t>
  </si>
  <si>
    <t>heat, residential, by combustion of light fuel oil, from cellulosic residual biomass, using boiler</t>
  </si>
  <si>
    <t>heat, residential, by combustion of light fuel oil, from oily biomass, using boiler</t>
  </si>
  <si>
    <t>light fuel oil, from non-residual cellulosic biomass, burned in residential boiler</t>
  </si>
  <si>
    <t>light fuel oil, from residual cellulosic biomass, burned in residential boiler</t>
  </si>
  <si>
    <t>light fuel oil, from oily biomass, burned in residential boiler</t>
  </si>
  <si>
    <t>heat production, residues from forest, at furnace 1000kW</t>
  </si>
  <si>
    <t>market for dust collector, electrostatic precipitator, for industrial use</t>
  </si>
  <si>
    <t>dust collector, electrostatic precipitator, for industrial use</t>
  </si>
  <si>
    <t>furnace production, wood chips, with silo, 1000kW</t>
  </si>
  <si>
    <t>furnace, wood chips, with silo, 1000kW</t>
  </si>
  <si>
    <t>supply of forest residue</t>
  </si>
  <si>
    <t>forest residue</t>
  </si>
  <si>
    <t>Hydrocarbons, aliphatic, alkanes, unspecified</t>
  </si>
  <si>
    <t>super_db_23-07-2025</t>
  </si>
  <si>
    <t>('super_db_23-07-2025', 'deeaf649-381d-4aa8-a45d-74ee9b42c7bc')</t>
  </si>
  <si>
    <t>Calcium II</t>
  </si>
  <si>
    <t>Hexachlorobenzene</t>
  </si>
  <si>
    <t>Phosphorus</t>
  </si>
  <si>
    <t>Sodium I</t>
  </si>
  <si>
    <t>Manganese II</t>
  </si>
  <si>
    <t>Chlorine</t>
  </si>
  <si>
    <t>Magnesium</t>
  </si>
  <si>
    <t>Bromine</t>
  </si>
  <si>
    <t>Potassium I</t>
  </si>
  <si>
    <t>Ethyl benzene</t>
  </si>
  <si>
    <t>market for wood ash mixture, pure</t>
  </si>
  <si>
    <t>wood ash mixture, pure</t>
  </si>
  <si>
    <t>Fluorine</t>
  </si>
  <si>
    <t>Pentachlorophenol</t>
  </si>
  <si>
    <t>Hydrocarbons, aliphatic, unsaturated</t>
  </si>
  <si>
    <t>forest residues, burned in furnace 1000kW</t>
  </si>
  <si>
    <t>bioethanol, from eucalyptus, burned in motorcycle</t>
  </si>
  <si>
    <t>ethanol production, via fermentation, from eucalyptus</t>
  </si>
  <si>
    <t>ES</t>
  </si>
  <si>
    <t>ethanol, from eucalyptus</t>
  </si>
  <si>
    <t>bioethanol, from residues, burned in motorcycle</t>
  </si>
  <si>
    <t>ethanol production, via fermentation, from forest residue, economic allocation</t>
  </si>
  <si>
    <t>ethanol, from forest residue</t>
  </si>
  <si>
    <t>US</t>
  </si>
  <si>
    <t>bioethanol, from sugar crops, burned in motorcycle</t>
  </si>
  <si>
    <t>ethanol production, via fermentation, from sugarbeet, energy allocation</t>
  </si>
  <si>
    <t>ethanol, from sugarbeet</t>
  </si>
  <si>
    <t>bioethanol, from forest residues, burned in passenger car</t>
  </si>
  <si>
    <t>bioethanol, from sugar crops, burned in passenger car</t>
  </si>
  <si>
    <t>biodiesel, from non-residual oily biomass, burned in single deck coach or urban bus</t>
  </si>
  <si>
    <t>kerosene, from non-residual oily biomass, burned in aircraft</t>
  </si>
  <si>
    <t>kerosene, from cellulosic non-residual biomass, burned in aircraft</t>
  </si>
  <si>
    <t>kerosene, from cellulosic residual biomass, burned in aircraft</t>
  </si>
  <si>
    <t>kerosene production, via Fischer-Tropsch, from forest residues, energy allocation</t>
  </si>
  <si>
    <t>biodiesel, from non-residual oily biomass, burned in heavy-duty vehicle</t>
  </si>
  <si>
    <t>biodiesel, from residual cellulosic biomass, burned in container ship</t>
  </si>
  <si>
    <t>biodiesel, from non-residual cellulosic biomass, burned in container ship</t>
  </si>
  <si>
    <t>biodiesel, from non-residual oily biomass, burned in container ship</t>
  </si>
  <si>
    <t>bioethanol, from non-residual cellulosic biomass, burned in passenger car</t>
  </si>
  <si>
    <t>For NOx: between 0.023 and 0.046 g/MJ. https://www.bafu.admin.ch/dam/en/sd-web/lggkMIGXeKNu/real-driving-emissions-from-diesel-passenger-cars-measured-by-remote-sensing-and-as-compared-with-pems-and-chassis-dynamometer-measurements-conox-task-2-report.pdf</t>
  </si>
  <si>
    <t>For NOx: between 0.16 and 0.23 g/MJ. For PM2.5: between 0.0012 and 0.0023 g/MJ. https://www.bafu.admin.ch/dam/en/sd-web/lggkMIGXeKNu/real-driving-emissions-from-diesel-passenger-cars-measured-by-remote-sensing-and-as-compared-with-pems-and-chassis-dynamometer-measurements-conox-task-2-report.pdf</t>
  </si>
  <si>
    <t>diesel production, synthetic, from Fischer Tropsch process, market-average hydrogen, energy allocation, at fuelling station</t>
  </si>
  <si>
    <t>kerosene production, synthetic, Fischer Tropsch process, market-average hydrogen, energy allocation</t>
  </si>
  <si>
    <t>diesel production, from methanol, market-average hydrogen, CO2 from DAC, energy allocation</t>
  </si>
  <si>
    <t>gasoline production, from methanol, market-average hydrogen, CO2 from DAC, energy allocation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</si>
</sst>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 #,##0.00_ ;_ * \-#,##0.00_ ;_ * &quot;-&quot;??_ ;_ @_ "/>
    <numFmt numFmtId="164" formatCode="0.0"/>
    <numFmt numFmtId="165" formatCode="0.0000"/>
    <numFmt numFmtId="166" formatCode="0.000000"/>
    <numFmt numFmtId="167" formatCode="0.0E+00"/>
    <numFmt numFmtId="168" formatCode="_ * #,##0_ ;_ * \-#,##0_ ;_ * &quot;-&quot;??_ ;_ @_ "/>
    <numFmt numFmtId="169" formatCode="0.00000"/>
    <numFmt numFmtId="170" formatCode="0.0000000"/>
    <numFmt numFmtId="171" formatCode="_ * #,##0.00000_ ;_ * \-#,##0.00000_ ;_ * &quot;-&quot;??_ ;_ @_ "/>
    <numFmt numFmtId="172" formatCode="_ * #,##0.000000_ ;_ * \-#,##0.000000_ ;_ * &quot;-&quot;??_ ;_ @_ "/>
    <numFmt numFmtId="173" formatCode="0.000"/>
    <numFmt numFmtId="174" formatCode="_(* #,##0_);_(* \(#,##0\);_(* &quot;-&quot;??_);_(@_)"/>
    <numFmt numFmtId="175" formatCode="_ * #,##0.0_ ;_ * \-#,##0.0_ ;_ * &quot;-&quot;?_ ;_ @_ "/>
    <numFmt numFmtId="176" formatCode="0.000E+00"/>
  </numFmts>
  <fonts count="11" x14ac:knownFonts="1">
    <font>
      <sz val="12"/>
      <color theme="1"/>
      <name val="Calibri"/>
      <family val="2"/>
      <scheme val="minor"/>
    </font>
    <font>
      <b/>
      <sz val="12"/>
      <color theme="1"/>
      <name val="Calibri"/>
      <family val="2"/>
      <scheme val="minor"/>
    </font>
    <font>
      <sz val="11"/>
      <color theme="1"/>
      <name val="Calibri"/>
      <family val="2"/>
      <scheme val="minor"/>
    </font>
    <font>
      <sz val="12"/>
      <color theme="1"/>
      <name val="Calibri"/>
      <family val="2"/>
    </font>
    <font>
      <sz val="12"/>
      <color theme="1"/>
      <name val="Calibri"/>
      <family val="2"/>
      <scheme val="minor"/>
    </font>
    <font>
      <sz val="12"/>
      <name val="Calibri (Body)"/>
    </font>
    <font>
      <b/>
      <sz val="11"/>
      <color theme="1"/>
      <name val="Calibri"/>
      <family val="2"/>
      <scheme val="minor"/>
    </font>
    <font>
      <u/>
      <sz val="12"/>
      <color theme="10"/>
      <name val="Calibri"/>
      <family val="2"/>
      <scheme val="minor"/>
    </font>
    <font>
      <b/>
      <sz val="12"/>
      <color rgb="FF000000"/>
      <name val="Calibri"/>
      <family val="2"/>
    </font>
    <font>
      <b/>
      <sz val="11"/>
      <color rgb="FF00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43" fontId="4" fillId="0" borderId="0" applyFont="0" applyFill="0" applyBorder="0" applyAlignment="0" applyProtection="0"/>
    <xf numFmtId="0" fontId="7" fillId="0" borderId="0" applyNumberFormat="0" applyFill="0" applyBorder="0" applyAlignment="0" applyProtection="0"/>
  </cellStyleXfs>
  <cellXfs count="48">
    <xf numFmtId="0" fontId="0" fillId="0" borderId="0" xfId="0"/>
    <xf numFmtId="0" fontId="1" fillId="0" borderId="0" xfId="0" applyFont="1"/>
    <xf numFmtId="0" fontId="2" fillId="0" borderId="0" xfId="0" applyFont="1"/>
    <xf numFmtId="11" fontId="0" fillId="0" borderId="0" xfId="0" applyNumberFormat="1"/>
    <xf numFmtId="0" fontId="3" fillId="0" borderId="0" xfId="0" applyFont="1"/>
    <xf numFmtId="164" fontId="3" fillId="0" borderId="0" xfId="0" applyNumberFormat="1" applyFont="1"/>
    <xf numFmtId="11" fontId="3" fillId="0" borderId="0" xfId="0" applyNumberFormat="1" applyFont="1"/>
    <xf numFmtId="11" fontId="3" fillId="0" borderId="0" xfId="0" applyNumberFormat="1" applyFont="1" applyAlignment="1">
      <alignment horizontal="right"/>
    </xf>
    <xf numFmtId="165" fontId="0" fillId="0" borderId="0" xfId="0" applyNumberFormat="1"/>
    <xf numFmtId="166" fontId="0" fillId="0" borderId="0" xfId="0" applyNumberFormat="1"/>
    <xf numFmtId="1" fontId="0" fillId="0" borderId="0" xfId="0" applyNumberFormat="1"/>
    <xf numFmtId="165" fontId="3" fillId="0" borderId="0" xfId="0" applyNumberFormat="1" applyFont="1" applyAlignment="1">
      <alignment horizontal="right"/>
    </xf>
    <xf numFmtId="11" fontId="2" fillId="0" borderId="0" xfId="0" applyNumberFormat="1" applyFont="1"/>
    <xf numFmtId="2" fontId="0" fillId="0" borderId="0" xfId="0" applyNumberFormat="1"/>
    <xf numFmtId="0" fontId="5" fillId="0" borderId="0" xfId="0" applyFont="1"/>
    <xf numFmtId="0" fontId="0" fillId="0" borderId="0" xfId="0" applyAlignment="1">
      <alignment horizontal="right"/>
    </xf>
    <xf numFmtId="11" fontId="0" fillId="0" borderId="0" xfId="0" applyNumberFormat="1" applyAlignment="1">
      <alignment horizontal="right"/>
    </xf>
    <xf numFmtId="0" fontId="6" fillId="0" borderId="0" xfId="0" applyFont="1"/>
    <xf numFmtId="11" fontId="6" fillId="0" borderId="0" xfId="0" applyNumberFormat="1" applyFont="1"/>
    <xf numFmtId="167" fontId="3" fillId="0" borderId="0" xfId="0" applyNumberFormat="1" applyFont="1" applyAlignment="1">
      <alignment horizontal="right"/>
    </xf>
    <xf numFmtId="167" fontId="3" fillId="0" borderId="0" xfId="0" applyNumberFormat="1" applyFont="1"/>
    <xf numFmtId="167" fontId="0" fillId="0" borderId="0" xfId="0" applyNumberFormat="1" applyAlignment="1">
      <alignment horizontal="right"/>
    </xf>
    <xf numFmtId="0" fontId="4" fillId="0" borderId="0" xfId="0" applyFont="1"/>
    <xf numFmtId="168" fontId="0" fillId="0" borderId="0" xfId="1" applyNumberFormat="1" applyFont="1"/>
    <xf numFmtId="168" fontId="2" fillId="0" borderId="0" xfId="1" applyNumberFormat="1" applyFont="1"/>
    <xf numFmtId="169" fontId="0" fillId="0" borderId="0" xfId="0" applyNumberFormat="1"/>
    <xf numFmtId="170" fontId="2" fillId="0" borderId="0" xfId="0" applyNumberFormat="1" applyFont="1"/>
    <xf numFmtId="171" fontId="0" fillId="0" borderId="0" xfId="0" applyNumberFormat="1"/>
    <xf numFmtId="172" fontId="0" fillId="0" borderId="0" xfId="0" applyNumberFormat="1"/>
    <xf numFmtId="1" fontId="2" fillId="0" borderId="0" xfId="0" applyNumberFormat="1" applyFont="1"/>
    <xf numFmtId="170" fontId="0" fillId="0" borderId="0" xfId="0" applyNumberFormat="1"/>
    <xf numFmtId="167" fontId="0" fillId="0" borderId="0" xfId="0" applyNumberFormat="1"/>
    <xf numFmtId="166" fontId="2" fillId="0" borderId="0" xfId="0" applyNumberFormat="1" applyFont="1"/>
    <xf numFmtId="173" fontId="0" fillId="0" borderId="0" xfId="0" applyNumberFormat="1"/>
    <xf numFmtId="0" fontId="7" fillId="0" borderId="0" xfId="2"/>
    <xf numFmtId="174" fontId="0" fillId="0" borderId="0" xfId="0" applyNumberFormat="1"/>
    <xf numFmtId="175" fontId="0" fillId="0" borderId="0" xfId="0" applyNumberFormat="1"/>
    <xf numFmtId="171" fontId="3" fillId="0" borderId="0" xfId="1" applyNumberFormat="1" applyFont="1" applyAlignment="1">
      <alignment horizontal="right"/>
    </xf>
    <xf numFmtId="0" fontId="8" fillId="0" borderId="0" xfId="0" applyFont="1"/>
    <xf numFmtId="0" fontId="8" fillId="0" borderId="0" xfId="0" applyFont="1" applyAlignment="1">
      <alignment horizontal="left"/>
    </xf>
    <xf numFmtId="0" fontId="3" fillId="0" borderId="0" xfId="0" applyFont="1" applyAlignment="1">
      <alignment horizontal="left"/>
    </xf>
    <xf numFmtId="0" fontId="9" fillId="0" borderId="0" xfId="0" applyFont="1"/>
    <xf numFmtId="169" fontId="3" fillId="0" borderId="0" xfId="0" applyNumberFormat="1" applyFont="1" applyAlignment="1">
      <alignment horizontal="left"/>
    </xf>
    <xf numFmtId="0" fontId="10" fillId="0" borderId="0" xfId="0" applyFont="1"/>
    <xf numFmtId="11" fontId="3" fillId="0" borderId="0" xfId="0" applyNumberFormat="1" applyFont="1" applyAlignment="1">
      <alignment horizontal="left"/>
    </xf>
    <xf numFmtId="176" fontId="3" fillId="0" borderId="0" xfId="0" applyNumberFormat="1" applyFont="1" applyAlignment="1">
      <alignment horizontal="left"/>
    </xf>
    <xf numFmtId="0" fontId="0" fillId="2" borderId="0" xfId="0" applyFill="1"/>
    <xf numFmtId="169" fontId="2" fillId="0" borderId="0" xfId="0" applyNumberFormat="1" applyFon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2"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1" Type="http://schemas.openxmlformats.org/officeDocument/2006/relationships/hyperlink" Target="https://en.wikipedia.org/wiki/MV_Yara_Birkeland%20for%20battery%20size.%20Assumes%20twice%20as%20efficient%20propulsion%20as%20regular%20ICE%20ship.%20Uses%20Emma%20Maersk%20as%20reference%20(225%20kg%20fuel/km)." TargetMode="External"/><Relationship Id="rId5"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4"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9F0C42E2-D17A-554B-A2D9-4F73B84316EE}">
  <dimension ref="A1:Z5684"/>
  <sheetViews>
    <sheetView tabSelected="1" topLeftCell="A259" zoomScale="125" workbookViewId="0">
      <selection activeCell="D265" sqref="D265"/>
    </sheetView>
  </sheetViews>
  <sheetFormatPr baseColWidth="10" defaultRowHeight="15" ns3:dyDescent="0.2"/>
  <cols>
    <col min="1" max="1" width="61.6640625" style="2" customWidth="1"/>
    <col min="2" max="2" width="12.5" style="2" bestFit="1" customWidth="1"/>
    <col min="3" max="3" width="7.83203125" style="2" customWidth="1"/>
    <col min="4" max="4" width="38" style="2" customWidth="1"/>
    <col min="5" max="6" width="10.83203125" style="2"/>
    <col min="7" max="7" width="25.33203125" style="2" customWidth="1"/>
    <col min="8" max="8" width="10.83203125" style="2"/>
    <col min="9" max="9" width="14.1640625" style="2" bestFit="1" customWidth="1"/>
    <col min="10" max="10" width="10.6640625" style="2" customWidth="1"/>
    <col min="11" max="11" width="12.6640625" style="2" bestFit="1" customWidth="1"/>
    <col min="12" max="16384" width="10.83203125" style="2"/>
  </cols>
  <sheetData>
    <row r="1" spans="1:12" ns3:dyDescent="0.2">
      <c r="A1" s="17" t="s">
        <v>0</v>
      </c>
      <c r="B1" s="2" t="s">
        <v>1</v>
      </c>
    </row>
    <row r="2" spans="1:12" customFormat="1" ht="16" ns3:dyDescent="0.2"/>
    <row r="3" spans="1:12" ns3:dyDescent="0.2">
      <c r="A3" s="17" t="s">
        <v>2</v>
      </c>
      <c r="B3" s="17" t="s">
        <v>16</v>
      </c>
    </row>
    <row r="4" spans="1:12" customFormat="1" ht="16" ns3:dyDescent="0.2">
      <c r="A4" s="2" t="s">
        <v>3</v>
      </c>
      <c r="B4" s="2" t="s">
        <v>18</v>
      </c>
      <c r="C4" s="2"/>
      <c r="D4" s="2"/>
      <c r="E4" s="2"/>
      <c r="F4" s="2"/>
      <c r="G4" s="2"/>
      <c r="H4" s="2"/>
      <c r="I4" s="2"/>
      <c r="J4" s="2"/>
      <c r="K4" s="2"/>
      <c r="L4" s="2"/>
    </row>
    <row r="5" spans="1:12" customFormat="1" ht="16" ns3:dyDescent="0.2">
      <c r="A5" s="2" t="s">
        <v>4</v>
      </c>
      <c r="B5" s="2">
        <v>1</v>
      </c>
      <c r="C5" s="2"/>
      <c r="D5" s="2"/>
      <c r="E5" s="2"/>
      <c r="F5" s="2"/>
      <c r="G5" s="2"/>
      <c r="H5" s="2"/>
      <c r="I5" s="2"/>
      <c r="J5" s="2"/>
      <c r="K5" s="2"/>
      <c r="L5" s="2"/>
    </row>
    <row r="6" spans="1:12" customFormat="1" ht="16" ns3:dyDescent="0.2">
      <c r="A6" s="2" t="s">
        <v>5</v>
      </c>
      <c r="B6" s="2" t="s">
        <v>1</v>
      </c>
      <c r="C6" s="2"/>
      <c r="D6" s="2"/>
      <c r="E6" s="2"/>
      <c r="F6" s="2"/>
      <c r="G6" s="2"/>
      <c r="H6" s="2"/>
      <c r="I6" s="2"/>
      <c r="J6" s="2"/>
    </row>
    <row r="7" spans="1:12" customFormat="1" ht="16" ns3:dyDescent="0.2">
      <c r="A7" s="2" t="s">
        <v>6</v>
      </c>
      <c r="B7" s="2" t="s">
        <v>7</v>
      </c>
      <c r="C7" s="2"/>
      <c r="D7" s="2"/>
      <c r="E7" s="2"/>
      <c r="F7" s="2"/>
      <c r="G7" s="2"/>
      <c r="H7" s="2"/>
      <c r="I7" s="2"/>
      <c r="J7" s="2"/>
      <c r="K7" s="2"/>
      <c r="L7" s="2"/>
    </row>
    <row r="8" spans="1:12" customFormat="1" ht="16" ns3:dyDescent="0.2">
      <c r="A8" s="2" t="s">
        <v>8</v>
      </c>
      <c r="B8" s="2" t="s">
        <v>17</v>
      </c>
      <c r="C8" s="2"/>
      <c r="D8" s="2"/>
      <c r="E8" s="2"/>
      <c r="F8" s="2"/>
      <c r="G8" s="2"/>
      <c r="H8" s="2"/>
      <c r="I8" s="2"/>
      <c r="J8" s="2"/>
      <c r="K8" s="2"/>
      <c r="L8" s="2"/>
    </row>
    <row r="9" spans="1:12" customFormat="1" ht="16" ns3:dyDescent="0.2">
      <c r="A9" s="1" t="s">
        <v>10</v>
      </c>
      <c r="B9" s="2"/>
      <c r="C9" s="2"/>
      <c r="D9" s="2"/>
      <c r="E9" s="2"/>
      <c r="F9" s="2"/>
      <c r="G9" s="2"/>
      <c r="H9" s="2"/>
      <c r="I9" s="2"/>
      <c r="J9" s="2"/>
      <c r="K9" s="2"/>
      <c r="L9" s="2"/>
    </row>
    <row r="10" spans="1:12" ns3:dyDescent="0.2">
      <c r="A10" s="17" t="s">
        <v>11</v>
      </c>
      <c r="B10" s="17" t="s">
        <v>12</v>
      </c>
      <c r="C10" s="17" t="s">
        <v>3</v>
      </c>
      <c r="D10" s="17" t="s">
        <v>13</v>
      </c>
      <c r="E10" s="17" t="s">
        <v>8</v>
      </c>
      <c r="F10" s="17" t="s">
        <v>6</v>
      </c>
      <c r="G10" s="17" t="s">
        <v>5</v>
      </c>
    </row>
    <row r="11" spans="1:12" customFormat="1" ht="16" ns3:dyDescent="0.2">
      <c r="A11" s="2" t="str">
        <f>B3</f>
        <v>soft wood chips from forest, burned in furnace 1000kW</v>
      </c>
      <c r="B11" s="2">
        <v>1</v>
      </c>
      <c r="C11" s="2" t="str">
        <f>B4</f>
        <v>RER</v>
      </c>
      <c r="D11" s="2"/>
      <c r="E11" s="2" t="str">
        <f>B8</f>
        <v>megajoule</v>
      </c>
      <c r="F11" s="2" t="s">
        <v>19</v>
      </c>
      <c r="G11" s="2" t="str">
        <f>B6</f>
        <v>heat</v>
      </c>
      <c r="H11" s="2"/>
      <c r="I11" s="2"/>
      <c r="J11" s="2"/>
      <c r="K11" s="2"/>
      <c r="L11" s="2"/>
    </row>
    <row r="12" spans="1:12" customFormat="1" ht="16" ns3:dyDescent="0.2">
      <c r="A12" s="2" t="s">
        <v>20</v>
      </c>
      <c r="B12">
        <f>1/(0.069808*19.1)</f>
        <v>0.75000030000011997</v>
      </c>
      <c r="C12" t="s">
        <v>22</v>
      </c>
      <c r="E12" t="s">
        <v>17</v>
      </c>
      <c r="F12" t="s">
        <v>23</v>
      </c>
      <c r="G12" t="s">
        <v>21</v>
      </c>
      <c r="H12" s="2"/>
    </row>
    <row r="13" spans="1:12" customFormat="1" ht="16" ns3:dyDescent="0.2">
      <c r="H13" s="2"/>
    </row>
    <row r="14" spans="1:12" ns3:dyDescent="0.2">
      <c r="A14" s="17" t="s">
        <v>2</v>
      </c>
      <c r="B14" s="17" t="s">
        <v>304</v>
      </c>
    </row>
    <row r="15" spans="1:12" customFormat="1" ht="16" ns3:dyDescent="0.2">
      <c r="A15" s="2" t="s">
        <v>3</v>
      </c>
      <c r="B15" s="2" t="s">
        <v>18</v>
      </c>
      <c r="C15" s="2"/>
      <c r="D15" s="2"/>
      <c r="E15" s="2"/>
      <c r="F15" s="2"/>
      <c r="G15" s="2"/>
      <c r="H15" s="2"/>
      <c r="I15" s="2"/>
      <c r="J15" s="2"/>
      <c r="K15" s="2"/>
      <c r="L15" s="2"/>
    </row>
    <row r="16" spans="1:12" customFormat="1" ht="16" ns3:dyDescent="0.2">
      <c r="A16" s="2" t="s">
        <v>4</v>
      </c>
      <c r="B16" s="2">
        <v>1</v>
      </c>
      <c r="C16" s="2"/>
      <c r="D16" s="2"/>
      <c r="E16" s="2"/>
      <c r="F16" s="2"/>
      <c r="G16" s="2"/>
      <c r="H16" s="2"/>
      <c r="I16" s="2"/>
      <c r="J16" s="2"/>
      <c r="K16" s="2"/>
      <c r="L16" s="2"/>
    </row>
    <row r="17" spans="1:12" customFormat="1" ht="16" ns3:dyDescent="0.2">
      <c r="A17" s="2" t="s">
        <v>5</v>
      </c>
      <c r="B17" s="2" t="s">
        <v>1</v>
      </c>
      <c r="C17" s="2"/>
      <c r="D17" s="2"/>
      <c r="E17" s="2"/>
      <c r="F17" s="2"/>
      <c r="G17" s="2"/>
      <c r="H17" s="2"/>
      <c r="I17" s="2"/>
      <c r="J17" s="2"/>
    </row>
    <row r="18" spans="1:12" customFormat="1" ht="16" ns3:dyDescent="0.2">
      <c r="A18" s="2" t="s">
        <v>6</v>
      </c>
      <c r="B18" s="2" t="s">
        <v>7</v>
      </c>
      <c r="C18" s="2"/>
      <c r="D18" s="2"/>
      <c r="E18" s="2"/>
      <c r="F18" s="2"/>
      <c r="G18" s="2"/>
      <c r="H18" s="2"/>
      <c r="I18" s="2"/>
      <c r="J18" s="2"/>
      <c r="K18" s="2"/>
      <c r="L18" s="2"/>
    </row>
    <row r="19" spans="1:12" customFormat="1" ht="16" ns3:dyDescent="0.2">
      <c r="A19" s="2" t="s">
        <v>8</v>
      </c>
      <c r="B19" s="2" t="s">
        <v>17</v>
      </c>
      <c r="C19" s="2"/>
      <c r="D19" s="2"/>
      <c r="E19" s="2"/>
      <c r="F19" s="2"/>
      <c r="G19" s="2"/>
      <c r="H19" s="2"/>
      <c r="I19" s="2"/>
      <c r="J19" s="2"/>
      <c r="K19" s="2"/>
      <c r="L19" s="2"/>
    </row>
    <row r="20" spans="1:12" customFormat="1" ht="16" ns3:dyDescent="0.2">
      <c r="A20" s="1" t="s">
        <v>10</v>
      </c>
      <c r="B20" s="2"/>
      <c r="C20" s="2"/>
      <c r="D20" s="2"/>
      <c r="E20" s="2"/>
      <c r="F20" s="2"/>
      <c r="G20" s="2"/>
      <c r="H20" s="2"/>
      <c r="I20" s="2"/>
      <c r="J20" s="2"/>
      <c r="K20" s="2"/>
      <c r="L20" s="2"/>
    </row>
    <row r="21" spans="1:12" ns3:dyDescent="0.2">
      <c r="A21" s="17" t="s">
        <v>11</v>
      </c>
      <c r="B21" s="17" t="s">
        <v>12</v>
      </c>
      <c r="C21" s="17" t="s">
        <v>3</v>
      </c>
      <c r="D21" s="17" t="s">
        <v>13</v>
      </c>
      <c r="E21" s="17" t="s">
        <v>8</v>
      </c>
      <c r="F21" s="17" t="s">
        <v>6</v>
      </c>
      <c r="G21" s="17" t="s">
        <v>5</v>
      </c>
    </row>
    <row r="22" spans="1:12" customFormat="1" ht="16" ns3:dyDescent="0.2">
      <c r="A22" s="2" t="str">
        <f>B14</f>
        <v>wood logs, burned in wood stove 6kW</v>
      </c>
      <c r="B22" s="2">
        <v>1</v>
      </c>
      <c r="C22" s="2" t="str">
        <f>B15</f>
        <v>RER</v>
      </c>
      <c r="D22" s="2"/>
      <c r="E22" s="2" t="str">
        <f>B19</f>
        <v>megajoule</v>
      </c>
      <c r="F22" s="2" t="s">
        <v>19</v>
      </c>
      <c r="G22" s="2" t="str">
        <f>B17</f>
        <v>heat</v>
      </c>
      <c r="H22" s="2"/>
      <c r="I22" s="2"/>
      <c r="J22" s="2"/>
      <c r="K22" s="2"/>
      <c r="L22" s="2"/>
    </row>
    <row r="23" spans="1:12" customFormat="1" ht="16" ns3:dyDescent="0.2">
      <c r="A23" s="2" t="s">
        <v>303</v>
      </c>
      <c r="B23">
        <f>1/(0.1078*19.1)</f>
        <v>0.48567737423384383</v>
      </c>
      <c r="C23" t="s">
        <v>22</v>
      </c>
      <c r="E23" t="s">
        <v>17</v>
      </c>
      <c r="F23" t="s">
        <v>23</v>
      </c>
      <c r="G23" t="s">
        <v>39</v>
      </c>
      <c r="H23" s="2"/>
    </row>
    <row r="24" spans="1:12" customFormat="1" ht="16" ns3:dyDescent="0.2">
      <c r="A24" s="2"/>
      <c r="H24" s="2"/>
    </row>
    <row r="25" spans="1:12" ns3:dyDescent="0.2">
      <c r="A25" s="17" t="s">
        <v>2</v>
      </c>
      <c r="B25" s="17" t="s">
        <v>475</v>
      </c>
    </row>
    <row r="26" spans="1:12" customFormat="1" ht="16" ns3:dyDescent="0.2">
      <c r="A26" s="2" t="s">
        <v>3</v>
      </c>
      <c r="B26" s="2" t="s">
        <v>18</v>
      </c>
      <c r="C26" s="2"/>
      <c r="D26" s="2"/>
      <c r="E26" s="2"/>
      <c r="F26" s="2"/>
      <c r="G26" s="2"/>
      <c r="H26" s="2"/>
      <c r="I26" s="2"/>
      <c r="J26" s="2"/>
      <c r="K26" s="2"/>
      <c r="L26" s="2"/>
    </row>
    <row r="27" spans="1:12" customFormat="1" ht="16" ns3:dyDescent="0.2">
      <c r="A27" s="2" t="s">
        <v>4</v>
      </c>
      <c r="B27" s="2">
        <v>1</v>
      </c>
      <c r="C27" s="2"/>
      <c r="D27" s="2"/>
      <c r="E27" s="2"/>
      <c r="F27" s="2"/>
      <c r="G27" s="2"/>
      <c r="H27" s="2"/>
      <c r="I27" s="2"/>
      <c r="J27" s="2"/>
      <c r="K27" s="2"/>
      <c r="L27" s="2"/>
    </row>
    <row r="28" spans="1:12" customFormat="1" ht="16" ns3:dyDescent="0.2">
      <c r="A28" s="2" t="s">
        <v>5</v>
      </c>
      <c r="B28" s="2" t="s">
        <v>1</v>
      </c>
      <c r="C28" s="2"/>
      <c r="D28" s="2"/>
      <c r="E28" s="2"/>
      <c r="F28" s="2"/>
      <c r="G28" s="2"/>
      <c r="H28" s="2"/>
      <c r="I28" s="2"/>
      <c r="J28" s="2"/>
    </row>
    <row r="29" spans="1:12" customFormat="1" ht="16" ns3:dyDescent="0.2">
      <c r="A29" s="2" t="s">
        <v>6</v>
      </c>
      <c r="B29" s="2" t="s">
        <v>7</v>
      </c>
      <c r="C29" s="2"/>
      <c r="D29" s="2"/>
      <c r="E29" s="2"/>
      <c r="F29" s="2"/>
      <c r="G29" s="2"/>
      <c r="H29" s="2"/>
      <c r="I29" s="2"/>
      <c r="J29" s="2"/>
      <c r="K29" s="2"/>
      <c r="L29" s="2"/>
    </row>
    <row r="30" spans="1:12" customFormat="1" ht="16" ns3:dyDescent="0.2">
      <c r="A30" s="2" t="s">
        <v>8</v>
      </c>
      <c r="B30" s="2" t="s">
        <v>17</v>
      </c>
      <c r="C30" s="2"/>
      <c r="D30" s="2"/>
      <c r="E30" s="2"/>
      <c r="F30" s="2"/>
      <c r="G30" s="2"/>
      <c r="H30" s="2"/>
      <c r="I30" s="2"/>
      <c r="J30" s="2"/>
      <c r="K30" s="2"/>
      <c r="L30" s="2"/>
    </row>
    <row r="31" spans="1:12" customFormat="1" ht="16" ns3:dyDescent="0.2">
      <c r="A31" s="1" t="s">
        <v>10</v>
      </c>
      <c r="B31" s="2"/>
      <c r="C31" s="2"/>
      <c r="D31" s="2"/>
      <c r="E31" s="2"/>
      <c r="F31" s="2"/>
      <c r="G31" s="2"/>
      <c r="H31" s="2"/>
      <c r="I31" s="2"/>
      <c r="J31" s="2"/>
      <c r="K31" s="2"/>
      <c r="L31" s="2"/>
    </row>
    <row r="32" spans="1:12" ns3:dyDescent="0.2">
      <c r="A32" s="17" t="s">
        <v>11</v>
      </c>
      <c r="B32" s="17" t="s">
        <v>12</v>
      </c>
      <c r="C32" s="17" t="s">
        <v>3</v>
      </c>
      <c r="D32" s="17" t="s">
        <v>13</v>
      </c>
      <c r="E32" s="17" t="s">
        <v>8</v>
      </c>
      <c r="F32" s="17" t="s">
        <v>6</v>
      </c>
      <c r="G32" s="17" t="s">
        <v>5</v>
      </c>
    </row>
    <row r="33" spans="1:14" customFormat="1" ht="16" ns3:dyDescent="0.2">
      <c r="A33" s="2" t="str">
        <f>B25</f>
        <v>forest residues, burned in furnace 1000kW</v>
      </c>
      <c r="B33" s="2">
        <v>1</v>
      </c>
      <c r="C33" s="2" t="str">
        <f>B26</f>
        <v>RER</v>
      </c>
      <c r="D33" s="2"/>
      <c r="E33" s="2" t="str">
        <f>B30</f>
        <v>megajoule</v>
      </c>
      <c r="F33" s="2" t="s">
        <v>19</v>
      </c>
      <c r="G33" s="2" t="str">
        <f>B28</f>
        <v>heat</v>
      </c>
      <c r="H33" s="2"/>
      <c r="I33" s="2"/>
      <c r="J33" s="2"/>
      <c r="K33" s="2"/>
      <c r="L33" s="2"/>
    </row>
    <row r="34" spans="1:14" customFormat="1" ht="16" ns3:dyDescent="0.2">
      <c r="A34" s="2" t="s">
        <v>450</v>
      </c>
      <c r="B34">
        <f>1/(0.069808*19.1)</f>
        <v>0.75000030000011997</v>
      </c>
      <c r="C34" t="s">
        <v>18</v>
      </c>
      <c r="E34" t="s">
        <v>17</v>
      </c>
      <c r="F34" t="s">
        <v>23</v>
      </c>
      <c r="G34" t="s">
        <v>21</v>
      </c>
      <c r="H34" s="2"/>
    </row>
    <row r="35" spans="1:14" customFormat="1" ht="16" ns3:dyDescent="0.2">
      <c r="H35" s="2"/>
    </row>
    <row r="36" spans="1:14" ns3:dyDescent="0.2">
      <c r="A36" s="17" t="s">
        <v>2</v>
      </c>
      <c r="B36" s="17" t="s">
        <v>450</v>
      </c>
    </row>
    <row r="37" spans="1:14" customFormat="1" ht="16" ns3:dyDescent="0.2">
      <c r="A37" s="2" t="s">
        <v>3</v>
      </c>
      <c r="B37" s="2" t="s">
        <v>18</v>
      </c>
      <c r="C37" s="2"/>
      <c r="D37" s="2"/>
      <c r="E37" s="2"/>
      <c r="F37" s="2"/>
      <c r="G37" s="2"/>
      <c r="H37" s="2"/>
      <c r="I37" s="2"/>
      <c r="J37" s="2"/>
      <c r="K37" s="2"/>
      <c r="L37" s="2"/>
    </row>
    <row r="38" spans="1:14" customFormat="1" ht="16" ns3:dyDescent="0.2">
      <c r="A38" s="2" t="s">
        <v>4</v>
      </c>
      <c r="B38" s="2">
        <v>1</v>
      </c>
      <c r="C38" s="2"/>
      <c r="D38" s="2"/>
      <c r="E38" s="2"/>
      <c r="F38" s="2"/>
      <c r="G38" s="2"/>
      <c r="H38" s="2"/>
      <c r="I38" s="2"/>
      <c r="J38" s="2"/>
      <c r="K38" s="2"/>
      <c r="L38" s="2"/>
    </row>
    <row r="39" spans="1:14" customFormat="1" ht="16" ns3:dyDescent="0.2">
      <c r="A39" s="2" t="s">
        <v>5</v>
      </c>
      <c r="B39" s="2" t="s">
        <v>21</v>
      </c>
      <c r="C39" s="2"/>
      <c r="D39" s="2"/>
      <c r="E39" s="2"/>
      <c r="F39" s="2"/>
      <c r="G39" s="2"/>
      <c r="H39" s="2"/>
      <c r="I39" s="2"/>
      <c r="J39" s="2"/>
    </row>
    <row r="40" spans="1:14" customFormat="1" ht="16" ns3:dyDescent="0.2">
      <c r="A40" s="2" t="s">
        <v>6</v>
      </c>
      <c r="B40" s="2" t="s">
        <v>7</v>
      </c>
      <c r="C40" s="2"/>
      <c r="D40" s="2"/>
      <c r="E40" s="2"/>
      <c r="F40" s="2"/>
      <c r="G40" s="2"/>
      <c r="H40" s="2"/>
      <c r="I40" s="2"/>
      <c r="J40" s="2"/>
      <c r="K40" s="2"/>
      <c r="L40" s="2"/>
    </row>
    <row r="41" spans="1:14" customFormat="1" ht="16" ns3:dyDescent="0.2">
      <c r="A41" s="2" t="s">
        <v>8</v>
      </c>
      <c r="B41" s="2" t="s">
        <v>17</v>
      </c>
      <c r="C41" s="2"/>
      <c r="D41" s="2"/>
      <c r="E41" s="2"/>
      <c r="F41" s="2"/>
      <c r="G41" s="2"/>
      <c r="H41" s="2"/>
      <c r="I41" s="2"/>
      <c r="J41" s="2"/>
      <c r="K41" s="2"/>
      <c r="L41" s="2"/>
    </row>
    <row r="42" spans="1:14" customFormat="1" ht="16" ns3:dyDescent="0.2">
      <c r="A42" s="1" t="s">
        <v>10</v>
      </c>
      <c r="B42" s="2"/>
      <c r="C42" s="2"/>
      <c r="D42" s="2"/>
      <c r="E42" s="2"/>
      <c r="F42" s="2"/>
      <c r="G42" s="2"/>
      <c r="H42" s="2"/>
      <c r="I42" s="2"/>
      <c r="J42" s="2"/>
      <c r="K42" s="2"/>
      <c r="L42" s="2"/>
    </row>
    <row r="43" spans="1:14" ns3:dyDescent="0.2">
      <c r="A43" s="17" t="s">
        <v>11</v>
      </c>
      <c r="B43" s="17" t="s">
        <v>12</v>
      </c>
      <c r="C43" s="17" t="s">
        <v>3</v>
      </c>
      <c r="D43" s="17" t="s">
        <v>13</v>
      </c>
      <c r="E43" s="17" t="s">
        <v>8</v>
      </c>
      <c r="F43" s="17" t="s">
        <v>6</v>
      </c>
      <c r="G43" s="17" t="s">
        <v>5</v>
      </c>
    </row>
    <row r="44" spans="1:14" customFormat="1" ht="16" ns3:dyDescent="0.2">
      <c r="A44" s="2" t="str">
        <f>B36</f>
        <v>heat production, residues from forest, at furnace 1000kW</v>
      </c>
      <c r="B44" s="2">
        <v>1</v>
      </c>
      <c r="C44" s="2" t="str">
        <f>B37</f>
        <v>RER</v>
      </c>
      <c r="D44" s="2"/>
      <c r="E44" s="2" t="str">
        <f>B41</f>
        <v>megajoule</v>
      </c>
      <c r="F44" s="2" t="s">
        <v>19</v>
      </c>
      <c r="G44" s="2" t="str">
        <f>B39</f>
        <v>heat, district or industrial, other than natural gas</v>
      </c>
      <c r="H44" s="2"/>
      <c r="I44" s="2"/>
      <c r="J44" s="2"/>
      <c r="K44" s="2"/>
      <c r="L44" s="2"/>
    </row>
    <row r="45" spans="1:14" customFormat="1" ht="16" ns3:dyDescent="0.2">
      <c r="A45" s="2" t="s">
        <v>451</v>
      </c>
      <c r="B45" s="3">
        <v>6.9444444444444402E-9</v>
      </c>
      <c r="C45" t="s">
        <v>114</v>
      </c>
      <c r="E45" t="s">
        <v>8</v>
      </c>
      <c r="F45" t="s">
        <v>23</v>
      </c>
      <c r="G45" t="s">
        <v>452</v>
      </c>
      <c r="H45" s="2"/>
      <c r="N45" s="2"/>
    </row>
    <row r="46" spans="1:14" customFormat="1" ht="16" ns3:dyDescent="0.2">
      <c r="A46" s="2" t="s">
        <v>455</v>
      </c>
      <c r="B46">
        <v>6.5445026178010499E-2</v>
      </c>
      <c r="C46" t="s">
        <v>18</v>
      </c>
      <c r="E46" s="2" t="s">
        <v>9</v>
      </c>
      <c r="F46" t="s">
        <v>23</v>
      </c>
      <c r="G46" t="s">
        <v>456</v>
      </c>
      <c r="H46" s="2"/>
      <c r="N46" s="2"/>
    </row>
    <row r="47" spans="1:14" customFormat="1" ht="16" ns3:dyDescent="0.2">
      <c r="A47" s="2" t="s">
        <v>453</v>
      </c>
      <c r="B47" s="3">
        <v>6.9444444444444402E-9</v>
      </c>
      <c r="C47" t="s">
        <v>22</v>
      </c>
      <c r="E47" t="s">
        <v>8</v>
      </c>
      <c r="F47" t="s">
        <v>23</v>
      </c>
      <c r="G47" t="s">
        <v>454</v>
      </c>
      <c r="H47" s="2"/>
      <c r="N47" s="2"/>
    </row>
    <row r="48" spans="1:14" customFormat="1" ht="16" ns3:dyDescent="0.2">
      <c r="A48" s="2" t="s">
        <v>157</v>
      </c>
      <c r="B48">
        <v>5.2125000000000001E-3</v>
      </c>
      <c r="C48" t="s">
        <v>22</v>
      </c>
      <c r="E48" t="s">
        <v>141</v>
      </c>
      <c r="F48" t="s">
        <v>23</v>
      </c>
      <c r="G48" t="s">
        <v>142</v>
      </c>
      <c r="H48" s="2"/>
      <c r="N48" s="2"/>
    </row>
    <row r="49" spans="1:14" customFormat="1" ht="16" ns3:dyDescent="0.2">
      <c r="A49" s="2" t="s">
        <v>470</v>
      </c>
      <c r="B49">
        <v>-6.3466664869338198E-4</v>
      </c>
      <c r="C49" t="s">
        <v>22</v>
      </c>
      <c r="E49" s="2" t="s">
        <v>9</v>
      </c>
      <c r="F49" t="s">
        <v>23</v>
      </c>
      <c r="G49" s="2" t="s">
        <v>471</v>
      </c>
      <c r="H49" s="2"/>
      <c r="K49" t="s">
        <v>458</v>
      </c>
      <c r="L49" t="s">
        <v>459</v>
      </c>
      <c r="M49" t="s">
        <v>23</v>
      </c>
      <c r="N49" s="2"/>
    </row>
    <row r="50" spans="1:14" customFormat="1" ht="16" ns3:dyDescent="0.2">
      <c r="A50" s="2" t="s">
        <v>457</v>
      </c>
      <c r="B50" s="12">
        <v>1.2133333484598501E-6</v>
      </c>
      <c r="D50" t="s">
        <v>14</v>
      </c>
      <c r="E50" s="2" t="s">
        <v>9</v>
      </c>
      <c r="F50" t="s">
        <v>15</v>
      </c>
      <c r="H50" s="2"/>
      <c r="K50" t="s">
        <v>458</v>
      </c>
      <c r="L50" t="s">
        <v>459</v>
      </c>
      <c r="M50" t="s">
        <v>15</v>
      </c>
      <c r="N50" s="2"/>
    </row>
    <row r="51" spans="1:14" customFormat="1" ht="16" ns3:dyDescent="0.2">
      <c r="A51" s="2" t="s">
        <v>68</v>
      </c>
      <c r="B51" s="12">
        <v>7.99999977374454E-9</v>
      </c>
      <c r="D51" t="s">
        <v>14</v>
      </c>
      <c r="E51" s="2" t="s">
        <v>9</v>
      </c>
      <c r="F51" t="s">
        <v>15</v>
      </c>
      <c r="H51" s="2"/>
      <c r="K51" t="s">
        <v>458</v>
      </c>
      <c r="L51" t="s">
        <v>459</v>
      </c>
      <c r="M51" t="s">
        <v>15</v>
      </c>
      <c r="N51" s="2"/>
    </row>
    <row r="52" spans="1:14" customFormat="1" ht="16" ns3:dyDescent="0.2">
      <c r="A52" s="2" t="s">
        <v>77</v>
      </c>
      <c r="B52" s="12">
        <v>3.3333333249174702E-6</v>
      </c>
      <c r="D52" t="s">
        <v>14</v>
      </c>
      <c r="E52" s="2" t="s">
        <v>9</v>
      </c>
      <c r="F52" t="s">
        <v>15</v>
      </c>
      <c r="H52" s="2"/>
      <c r="K52" t="s">
        <v>458</v>
      </c>
      <c r="L52" t="s">
        <v>459</v>
      </c>
      <c r="M52" t="s">
        <v>15</v>
      </c>
      <c r="N52" s="2"/>
    </row>
    <row r="53" spans="1:14" customFormat="1" ht="16" ns3:dyDescent="0.2">
      <c r="A53" s="2" t="s">
        <v>122</v>
      </c>
      <c r="B53" s="2">
        <v>0.13600000739097501</v>
      </c>
      <c r="D53" t="s">
        <v>14</v>
      </c>
      <c r="E53" s="2" t="s">
        <v>9</v>
      </c>
      <c r="F53" t="s">
        <v>15</v>
      </c>
      <c r="H53" s="2"/>
      <c r="K53" t="s">
        <v>458</v>
      </c>
      <c r="L53" t="s">
        <v>459</v>
      </c>
      <c r="M53" t="s">
        <v>15</v>
      </c>
      <c r="N53" s="2"/>
    </row>
    <row r="54" spans="1:14" customFormat="1" ht="16" ns3:dyDescent="0.2">
      <c r="A54" s="2" t="s">
        <v>58</v>
      </c>
      <c r="B54" s="12">
        <v>3.0666667498735402E-6</v>
      </c>
      <c r="D54" t="s">
        <v>14</v>
      </c>
      <c r="E54" s="2" t="s">
        <v>9</v>
      </c>
      <c r="F54" t="s">
        <v>15</v>
      </c>
      <c r="H54" s="2"/>
      <c r="K54" t="s">
        <v>458</v>
      </c>
      <c r="L54" t="s">
        <v>459</v>
      </c>
      <c r="M54" t="s">
        <v>15</v>
      </c>
      <c r="N54" s="2"/>
    </row>
    <row r="55" spans="1:14" customFormat="1" ht="16" ns3:dyDescent="0.2">
      <c r="A55" s="2" t="s">
        <v>288</v>
      </c>
      <c r="B55" s="12">
        <v>6.6666666631576204E-10</v>
      </c>
      <c r="D55" t="s">
        <v>14</v>
      </c>
      <c r="E55" s="2" t="s">
        <v>9</v>
      </c>
      <c r="F55" t="s">
        <v>15</v>
      </c>
      <c r="H55" s="2"/>
      <c r="K55" t="s">
        <v>458</v>
      </c>
      <c r="L55" t="s">
        <v>459</v>
      </c>
      <c r="M55" t="s">
        <v>15</v>
      </c>
      <c r="N55" s="2"/>
    </row>
    <row r="56" spans="1:14" customFormat="1" ht="16" ns3:dyDescent="0.2">
      <c r="A56" s="2" t="s">
        <v>52</v>
      </c>
      <c r="B56" s="12">
        <v>9.3333329953537693E-10</v>
      </c>
      <c r="D56" t="s">
        <v>14</v>
      </c>
      <c r="E56" s="2" t="s">
        <v>9</v>
      </c>
      <c r="F56" t="s">
        <v>15</v>
      </c>
      <c r="H56" s="2"/>
      <c r="K56" t="s">
        <v>458</v>
      </c>
      <c r="L56" t="s">
        <v>459</v>
      </c>
      <c r="M56" t="s">
        <v>15</v>
      </c>
      <c r="N56" s="2"/>
    </row>
    <row r="57" spans="1:14" customFormat="1" ht="16" ns3:dyDescent="0.2">
      <c r="A57" s="2" t="s">
        <v>64</v>
      </c>
      <c r="B57" s="12">
        <v>4.0000000534057201E-10</v>
      </c>
      <c r="D57" t="s">
        <v>14</v>
      </c>
      <c r="E57" s="2" t="s">
        <v>9</v>
      </c>
      <c r="F57" t="s">
        <v>15</v>
      </c>
      <c r="H57" s="2"/>
      <c r="K57" t="s">
        <v>458</v>
      </c>
      <c r="L57" t="s">
        <v>459</v>
      </c>
      <c r="M57" t="s">
        <v>15</v>
      </c>
      <c r="N57" s="2"/>
    </row>
    <row r="58" spans="1:14" customFormat="1" ht="16" ns3:dyDescent="0.2">
      <c r="A58" s="2" t="s">
        <v>123</v>
      </c>
      <c r="B58" s="2">
        <v>3.9999998989515001E-4</v>
      </c>
      <c r="D58" t="s">
        <v>14</v>
      </c>
      <c r="E58" s="2" t="s">
        <v>9</v>
      </c>
      <c r="F58" t="s">
        <v>15</v>
      </c>
      <c r="H58" s="2"/>
      <c r="K58" t="s">
        <v>458</v>
      </c>
      <c r="L58" t="s">
        <v>459</v>
      </c>
      <c r="M58" t="s">
        <v>15</v>
      </c>
      <c r="N58" s="2"/>
    </row>
    <row r="59" spans="1:14" customFormat="1" ht="16" ns3:dyDescent="0.2">
      <c r="A59" s="2" t="s">
        <v>78</v>
      </c>
      <c r="B59" s="12">
        <v>4.0000000467443802E-7</v>
      </c>
      <c r="D59" t="s">
        <v>14</v>
      </c>
      <c r="E59" s="2" t="s">
        <v>9</v>
      </c>
      <c r="F59" t="s">
        <v>15</v>
      </c>
      <c r="H59" s="2"/>
      <c r="K59" t="s">
        <v>458</v>
      </c>
      <c r="L59" t="s">
        <v>459</v>
      </c>
      <c r="M59" t="s">
        <v>15</v>
      </c>
      <c r="N59" s="2"/>
    </row>
    <row r="60" spans="1:14" customFormat="1" ht="16" ns3:dyDescent="0.2">
      <c r="A60" s="2" t="s">
        <v>460</v>
      </c>
      <c r="B60" s="12">
        <v>7.8000002758926695E-6</v>
      </c>
      <c r="D60" t="s">
        <v>14</v>
      </c>
      <c r="E60" s="2" t="s">
        <v>9</v>
      </c>
      <c r="F60" t="s">
        <v>15</v>
      </c>
      <c r="H60" s="2"/>
      <c r="K60" t="s">
        <v>458</v>
      </c>
      <c r="L60" t="s">
        <v>459</v>
      </c>
      <c r="M60" t="s">
        <v>15</v>
      </c>
      <c r="N60" s="2"/>
    </row>
    <row r="61" spans="1:14" customFormat="1" ht="16" ns3:dyDescent="0.2">
      <c r="A61" s="2" t="s">
        <v>461</v>
      </c>
      <c r="B61" s="12">
        <v>9.6000003736371108E-15</v>
      </c>
      <c r="D61" t="s">
        <v>14</v>
      </c>
      <c r="E61" s="2" t="s">
        <v>9</v>
      </c>
      <c r="F61" t="s">
        <v>15</v>
      </c>
      <c r="H61" s="2"/>
      <c r="K61" t="s">
        <v>458</v>
      </c>
      <c r="L61" t="s">
        <v>459</v>
      </c>
      <c r="M61" t="s">
        <v>15</v>
      </c>
      <c r="N61" s="2"/>
    </row>
    <row r="62" spans="1:14" customFormat="1" ht="16" ns3:dyDescent="0.2">
      <c r="A62" s="2" t="s">
        <v>67</v>
      </c>
      <c r="B62" s="12">
        <v>9.3333337645162794E-6</v>
      </c>
      <c r="D62" t="s">
        <v>14</v>
      </c>
      <c r="E62" s="2" t="s">
        <v>9</v>
      </c>
      <c r="F62" t="s">
        <v>15</v>
      </c>
      <c r="H62" s="2"/>
      <c r="K62" t="s">
        <v>458</v>
      </c>
      <c r="L62" t="s">
        <v>459</v>
      </c>
      <c r="M62" t="s">
        <v>15</v>
      </c>
      <c r="N62" s="2"/>
    </row>
    <row r="63" spans="1:14" customFormat="1" ht="16" ns3:dyDescent="0.2">
      <c r="A63" s="2" t="s">
        <v>462</v>
      </c>
      <c r="B63" s="12">
        <v>4.0000000467443802E-7</v>
      </c>
      <c r="D63" t="s">
        <v>14</v>
      </c>
      <c r="E63" s="2" t="s">
        <v>9</v>
      </c>
      <c r="F63" t="s">
        <v>15</v>
      </c>
      <c r="H63" s="2"/>
      <c r="K63" t="s">
        <v>458</v>
      </c>
      <c r="L63" t="s">
        <v>459</v>
      </c>
      <c r="M63" t="s">
        <v>15</v>
      </c>
      <c r="N63" s="2"/>
    </row>
    <row r="64" spans="1:14" customFormat="1" ht="16" ns3:dyDescent="0.2">
      <c r="A64" s="2" t="s">
        <v>48</v>
      </c>
      <c r="B64" s="12">
        <v>2.3066666017257299E-6</v>
      </c>
      <c r="D64" t="s">
        <v>14</v>
      </c>
      <c r="E64" s="2" t="s">
        <v>9</v>
      </c>
      <c r="F64" t="s">
        <v>15</v>
      </c>
      <c r="H64" s="2"/>
      <c r="K64" t="s">
        <v>458</v>
      </c>
      <c r="L64" t="s">
        <v>459</v>
      </c>
      <c r="M64" t="s">
        <v>15</v>
      </c>
      <c r="N64" s="2"/>
    </row>
    <row r="65" spans="1:14" customFormat="1" ht="16" ns3:dyDescent="0.2">
      <c r="A65" s="2" t="s">
        <v>61</v>
      </c>
      <c r="B65" s="12">
        <v>1.73333333464142E-7</v>
      </c>
      <c r="D65" t="s">
        <v>14</v>
      </c>
      <c r="E65" s="2" t="s">
        <v>9</v>
      </c>
      <c r="F65" t="s">
        <v>15</v>
      </c>
      <c r="H65" s="2"/>
      <c r="K65" t="s">
        <v>458</v>
      </c>
      <c r="L65" t="s">
        <v>459</v>
      </c>
      <c r="M65" t="s">
        <v>15</v>
      </c>
      <c r="N65" s="2"/>
    </row>
    <row r="66" spans="1:14" customFormat="1" ht="16" ns3:dyDescent="0.2">
      <c r="A66" s="2" t="s">
        <v>463</v>
      </c>
      <c r="B66" s="12">
        <v>1.7333333062197101E-6</v>
      </c>
      <c r="D66" t="s">
        <v>14</v>
      </c>
      <c r="E66" s="2" t="s">
        <v>9</v>
      </c>
      <c r="F66" t="s">
        <v>15</v>
      </c>
      <c r="H66" s="2"/>
      <c r="K66" t="s">
        <v>458</v>
      </c>
      <c r="L66" t="s">
        <v>459</v>
      </c>
      <c r="M66" t="s">
        <v>15</v>
      </c>
      <c r="N66" s="2"/>
    </row>
    <row r="67" spans="1:14" customFormat="1" ht="16" ns3:dyDescent="0.2">
      <c r="A67" s="2" t="s">
        <v>56</v>
      </c>
      <c r="B67" s="12">
        <v>5.3333334276706097E-11</v>
      </c>
      <c r="D67" t="s">
        <v>14</v>
      </c>
      <c r="E67" s="2" t="s">
        <v>9</v>
      </c>
      <c r="F67" t="s">
        <v>15</v>
      </c>
      <c r="H67" s="2"/>
      <c r="K67" t="s">
        <v>458</v>
      </c>
      <c r="L67" t="s">
        <v>459</v>
      </c>
      <c r="M67" t="s">
        <v>15</v>
      </c>
      <c r="N67" s="2"/>
    </row>
    <row r="68" spans="1:14" customFormat="1" ht="16" ns3:dyDescent="0.2">
      <c r="A68" s="2" t="s">
        <v>80</v>
      </c>
      <c r="B68" s="12">
        <v>1.5999999902760401E-7</v>
      </c>
      <c r="D68" t="s">
        <v>14</v>
      </c>
      <c r="E68" s="2" t="s">
        <v>9</v>
      </c>
      <c r="F68" t="s">
        <v>15</v>
      </c>
      <c r="H68" s="2"/>
      <c r="K68" t="s">
        <v>458</v>
      </c>
      <c r="L68" t="s">
        <v>459</v>
      </c>
      <c r="M68" t="s">
        <v>15</v>
      </c>
      <c r="N68" s="2"/>
    </row>
    <row r="69" spans="1:14" customFormat="1" ht="16" ns3:dyDescent="0.2">
      <c r="A69" s="2" t="s">
        <v>464</v>
      </c>
      <c r="B69" s="3">
        <v>2.2666667121029599E-7</v>
      </c>
      <c r="D69" t="s">
        <v>14</v>
      </c>
      <c r="E69" s="2" t="s">
        <v>9</v>
      </c>
      <c r="F69" t="s">
        <v>15</v>
      </c>
      <c r="H69" s="2"/>
      <c r="K69" t="s">
        <v>458</v>
      </c>
      <c r="L69" t="s">
        <v>459</v>
      </c>
      <c r="M69" t="s">
        <v>15</v>
      </c>
      <c r="N69" s="2"/>
    </row>
    <row r="70" spans="1:14" customFormat="1" ht="16" ns3:dyDescent="0.2">
      <c r="A70" s="2" t="s">
        <v>465</v>
      </c>
      <c r="B70" s="3">
        <v>2.3999999143597897E-7</v>
      </c>
      <c r="D70" t="s">
        <v>14</v>
      </c>
      <c r="E70" s="2" t="s">
        <v>9</v>
      </c>
      <c r="F70" t="s">
        <v>15</v>
      </c>
      <c r="H70" s="2"/>
      <c r="K70" t="s">
        <v>458</v>
      </c>
      <c r="L70" t="s">
        <v>459</v>
      </c>
      <c r="M70" t="s">
        <v>15</v>
      </c>
      <c r="N70" s="2"/>
    </row>
    <row r="71" spans="1:14" customFormat="1" ht="16" ns3:dyDescent="0.2">
      <c r="A71" s="2" t="s">
        <v>79</v>
      </c>
      <c r="B71" s="3">
        <v>4.0000000467443802E-7</v>
      </c>
      <c r="D71" t="s">
        <v>14</v>
      </c>
      <c r="E71" s="2" t="s">
        <v>9</v>
      </c>
      <c r="F71" t="s">
        <v>15</v>
      </c>
      <c r="H71" s="2"/>
      <c r="K71" t="s">
        <v>458</v>
      </c>
      <c r="L71" t="s">
        <v>459</v>
      </c>
      <c r="M71" t="s">
        <v>15</v>
      </c>
      <c r="N71" s="2"/>
    </row>
    <row r="72" spans="1:14" customFormat="1" ht="16" ns3:dyDescent="0.2">
      <c r="A72" s="2" t="s">
        <v>466</v>
      </c>
      <c r="B72" s="3">
        <v>4.7999998287195901E-7</v>
      </c>
      <c r="D72" t="s">
        <v>14</v>
      </c>
      <c r="E72" s="2" t="s">
        <v>9</v>
      </c>
      <c r="F72" t="s">
        <v>15</v>
      </c>
      <c r="H72" s="2"/>
      <c r="K72" t="s">
        <v>458</v>
      </c>
      <c r="L72" t="s">
        <v>459</v>
      </c>
      <c r="M72" t="s">
        <v>15</v>
      </c>
      <c r="N72" s="2"/>
    </row>
    <row r="73" spans="1:14" customFormat="1" ht="16" ns3:dyDescent="0.2">
      <c r="A73" s="2" t="s">
        <v>71</v>
      </c>
      <c r="B73" s="3">
        <v>5.9999998484272503E-5</v>
      </c>
      <c r="D73" t="s">
        <v>14</v>
      </c>
      <c r="E73" s="2" t="s">
        <v>9</v>
      </c>
      <c r="F73" t="s">
        <v>15</v>
      </c>
      <c r="H73" s="2"/>
      <c r="K73" t="s">
        <v>458</v>
      </c>
      <c r="L73" t="s">
        <v>459</v>
      </c>
      <c r="M73" t="s">
        <v>15</v>
      </c>
      <c r="N73" s="2"/>
    </row>
    <row r="74" spans="1:14" customFormat="1" ht="16" ns3:dyDescent="0.2">
      <c r="A74" s="2" t="s">
        <v>467</v>
      </c>
      <c r="B74" s="3">
        <v>7.9999999513802296E-8</v>
      </c>
      <c r="D74" t="s">
        <v>14</v>
      </c>
      <c r="E74" s="2" t="s">
        <v>9</v>
      </c>
      <c r="F74" t="s">
        <v>15</v>
      </c>
      <c r="H74" s="2"/>
      <c r="K74" t="s">
        <v>458</v>
      </c>
      <c r="L74" t="s">
        <v>459</v>
      </c>
      <c r="M74" t="s">
        <v>15</v>
      </c>
      <c r="N74" s="2"/>
    </row>
    <row r="75" spans="1:14" customFormat="1" ht="16" ns3:dyDescent="0.2">
      <c r="A75" s="2" t="s">
        <v>177</v>
      </c>
      <c r="B75" s="3">
        <v>3.99999998990097E-6</v>
      </c>
      <c r="D75" t="s">
        <v>14</v>
      </c>
      <c r="E75" s="2" t="s">
        <v>9</v>
      </c>
      <c r="F75" t="s">
        <v>15</v>
      </c>
      <c r="H75" s="2"/>
      <c r="K75" t="s">
        <v>458</v>
      </c>
      <c r="L75" t="s">
        <v>459</v>
      </c>
      <c r="M75" t="s">
        <v>15</v>
      </c>
      <c r="N75" s="2"/>
    </row>
    <row r="76" spans="1:14" customFormat="1" ht="16" ns3:dyDescent="0.2">
      <c r="A76" s="2" t="s">
        <v>468</v>
      </c>
      <c r="B76" s="3">
        <v>3.1200001103570597E-5</v>
      </c>
      <c r="D76" t="s">
        <v>14</v>
      </c>
      <c r="E76" s="2" t="s">
        <v>9</v>
      </c>
      <c r="F76" t="s">
        <v>15</v>
      </c>
      <c r="H76" s="2"/>
      <c r="K76" t="s">
        <v>458</v>
      </c>
      <c r="L76" t="s">
        <v>459</v>
      </c>
      <c r="M76" t="s">
        <v>15</v>
      </c>
      <c r="N76" s="2"/>
    </row>
    <row r="77" spans="1:14" customFormat="1" ht="16" ns3:dyDescent="0.2">
      <c r="A77" s="2" t="s">
        <v>469</v>
      </c>
      <c r="B77" s="3">
        <v>3.9999999756901102E-8</v>
      </c>
      <c r="D77" t="s">
        <v>14</v>
      </c>
      <c r="E77" s="2" t="s">
        <v>9</v>
      </c>
      <c r="F77" t="s">
        <v>15</v>
      </c>
      <c r="H77" s="2"/>
      <c r="K77" t="s">
        <v>458</v>
      </c>
      <c r="L77" t="s">
        <v>459</v>
      </c>
      <c r="M77" t="s">
        <v>15</v>
      </c>
      <c r="N77" s="2"/>
    </row>
    <row r="78" spans="1:14" customFormat="1" ht="16" ns3:dyDescent="0.2">
      <c r="A78" s="2" t="s">
        <v>57</v>
      </c>
      <c r="B78" s="3">
        <v>2.93333339840273E-8</v>
      </c>
      <c r="D78" t="s">
        <v>14</v>
      </c>
      <c r="E78" s="2" t="s">
        <v>9</v>
      </c>
      <c r="F78" t="s">
        <v>15</v>
      </c>
      <c r="H78" s="2"/>
      <c r="K78" t="s">
        <v>458</v>
      </c>
      <c r="L78" t="s">
        <v>459</v>
      </c>
      <c r="M78" t="s">
        <v>15</v>
      </c>
      <c r="N78" s="2"/>
    </row>
    <row r="79" spans="1:14" customFormat="1" ht="16" ns3:dyDescent="0.2">
      <c r="A79" s="2" t="s">
        <v>98</v>
      </c>
      <c r="B79" s="3">
        <v>9.9999997473787503E-5</v>
      </c>
      <c r="D79" t="s">
        <v>14</v>
      </c>
      <c r="E79" s="2" t="s">
        <v>94</v>
      </c>
      <c r="F79" t="s">
        <v>15</v>
      </c>
      <c r="H79" s="2"/>
      <c r="K79" t="s">
        <v>458</v>
      </c>
      <c r="L79" t="s">
        <v>459</v>
      </c>
      <c r="M79" t="s">
        <v>15</v>
      </c>
      <c r="N79" s="2"/>
    </row>
    <row r="80" spans="1:14" customFormat="1" ht="16" ns3:dyDescent="0.2">
      <c r="A80" s="2" t="s">
        <v>70</v>
      </c>
      <c r="B80" s="3">
        <v>1.4800000336379E-8</v>
      </c>
      <c r="D80" t="s">
        <v>14</v>
      </c>
      <c r="E80" s="2" t="s">
        <v>9</v>
      </c>
      <c r="F80" t="s">
        <v>15</v>
      </c>
      <c r="H80" s="2"/>
      <c r="K80" t="s">
        <v>458</v>
      </c>
      <c r="L80" t="s">
        <v>459</v>
      </c>
      <c r="M80" t="s">
        <v>15</v>
      </c>
      <c r="N80" s="2"/>
    </row>
    <row r="81" spans="1:14" customFormat="1" ht="16" ns3:dyDescent="0.2">
      <c r="A81" s="2" t="s">
        <v>69</v>
      </c>
      <c r="B81">
        <v>1.5999999595806E-4</v>
      </c>
      <c r="D81" t="s">
        <v>14</v>
      </c>
      <c r="E81" s="2" t="s">
        <v>9</v>
      </c>
      <c r="F81" t="s">
        <v>15</v>
      </c>
      <c r="H81" s="2"/>
      <c r="K81" t="s">
        <v>458</v>
      </c>
      <c r="L81" t="s">
        <v>459</v>
      </c>
      <c r="M81" t="s">
        <v>15</v>
      </c>
      <c r="N81" s="2"/>
    </row>
    <row r="82" spans="1:14" customFormat="1" ht="16" ns3:dyDescent="0.2">
      <c r="A82" s="2" t="s">
        <v>50</v>
      </c>
      <c r="B82" s="3">
        <v>1.2133333484598501E-6</v>
      </c>
      <c r="D82" t="s">
        <v>14</v>
      </c>
      <c r="E82" s="2" t="s">
        <v>9</v>
      </c>
      <c r="F82" t="s">
        <v>15</v>
      </c>
      <c r="H82" s="2"/>
      <c r="K82" t="s">
        <v>458</v>
      </c>
      <c r="L82" t="s">
        <v>459</v>
      </c>
      <c r="M82" t="s">
        <v>15</v>
      </c>
      <c r="N82" s="2"/>
    </row>
    <row r="83" spans="1:14" customFormat="1" ht="16" ns3:dyDescent="0.2">
      <c r="A83" s="2" t="s">
        <v>472</v>
      </c>
      <c r="B83" s="3">
        <v>6.6666665077264003E-8</v>
      </c>
      <c r="D83" t="s">
        <v>14</v>
      </c>
      <c r="E83" s="2" t="s">
        <v>9</v>
      </c>
      <c r="F83" t="s">
        <v>15</v>
      </c>
      <c r="H83" s="2"/>
      <c r="K83" t="s">
        <v>458</v>
      </c>
      <c r="L83" t="s">
        <v>459</v>
      </c>
      <c r="M83" t="s">
        <v>15</v>
      </c>
      <c r="N83" s="2"/>
    </row>
    <row r="84" spans="1:14" customFormat="1" ht="16" ns3:dyDescent="0.2">
      <c r="A84" s="2" t="s">
        <v>55</v>
      </c>
      <c r="B84" s="3">
        <v>5.2799999927799399E-9</v>
      </c>
      <c r="D84" t="s">
        <v>14</v>
      </c>
      <c r="E84" s="2" t="s">
        <v>9</v>
      </c>
      <c r="F84" t="s">
        <v>15</v>
      </c>
      <c r="H84" s="2"/>
      <c r="K84" t="s">
        <v>458</v>
      </c>
      <c r="L84" t="s">
        <v>459</v>
      </c>
      <c r="M84" t="s">
        <v>15</v>
      </c>
      <c r="N84" s="2"/>
    </row>
    <row r="85" spans="1:14" customFormat="1" ht="16" ns3:dyDescent="0.2">
      <c r="A85" s="2" t="s">
        <v>103</v>
      </c>
      <c r="B85" s="3">
        <v>4.1333334189130498E-14</v>
      </c>
      <c r="D85" t="s">
        <v>14</v>
      </c>
      <c r="E85" s="2" t="s">
        <v>9</v>
      </c>
      <c r="F85" t="s">
        <v>15</v>
      </c>
      <c r="H85" s="2"/>
      <c r="K85" t="s">
        <v>458</v>
      </c>
      <c r="L85" t="s">
        <v>459</v>
      </c>
      <c r="M85" t="s">
        <v>15</v>
      </c>
      <c r="N85" s="2"/>
    </row>
    <row r="86" spans="1:14" customFormat="1" ht="16" ns3:dyDescent="0.2">
      <c r="A86" s="2" t="s">
        <v>473</v>
      </c>
      <c r="B86" s="3">
        <v>1.07999997833729E-11</v>
      </c>
      <c r="D86" t="s">
        <v>14</v>
      </c>
      <c r="E86" s="2" t="s">
        <v>9</v>
      </c>
      <c r="F86" t="s">
        <v>15</v>
      </c>
      <c r="H86" s="2"/>
      <c r="K86" t="s">
        <v>458</v>
      </c>
      <c r="L86" t="s">
        <v>459</v>
      </c>
      <c r="M86" t="s">
        <v>15</v>
      </c>
      <c r="N86" s="2"/>
    </row>
    <row r="87" spans="1:14" customFormat="1" ht="16" ns3:dyDescent="0.2">
      <c r="A87" s="2" t="s">
        <v>45</v>
      </c>
      <c r="B87" s="3">
        <v>8.1333332957456097E-8</v>
      </c>
      <c r="D87" t="s">
        <v>14</v>
      </c>
      <c r="E87" s="2" t="s">
        <v>9</v>
      </c>
      <c r="F87" t="s">
        <v>15</v>
      </c>
      <c r="H87" s="2"/>
      <c r="K87" t="s">
        <v>458</v>
      </c>
      <c r="L87" t="s">
        <v>459</v>
      </c>
      <c r="M87" t="s">
        <v>15</v>
      </c>
      <c r="N87" s="2"/>
    </row>
    <row r="88" spans="1:14" customFormat="1" ht="16" ns3:dyDescent="0.2">
      <c r="A88" s="2" t="s">
        <v>90</v>
      </c>
      <c r="B88" s="3">
        <v>1.33333333263152E-9</v>
      </c>
      <c r="D88" t="s">
        <v>14</v>
      </c>
      <c r="E88" s="2" t="s">
        <v>9</v>
      </c>
      <c r="F88" t="s">
        <v>15</v>
      </c>
      <c r="H88" s="2"/>
      <c r="K88" t="s">
        <v>458</v>
      </c>
      <c r="L88" t="s">
        <v>459</v>
      </c>
      <c r="M88" t="s">
        <v>15</v>
      </c>
      <c r="N88" s="2"/>
    </row>
    <row r="89" spans="1:14" customFormat="1" ht="16" ns3:dyDescent="0.2">
      <c r="A89" s="2" t="s">
        <v>63</v>
      </c>
      <c r="B89" s="3">
        <v>3.3333332538632001E-8</v>
      </c>
      <c r="D89" t="s">
        <v>14</v>
      </c>
      <c r="E89" s="2" t="s">
        <v>9</v>
      </c>
      <c r="F89" t="s">
        <v>15</v>
      </c>
      <c r="H89" s="2"/>
      <c r="K89" t="s">
        <v>458</v>
      </c>
      <c r="L89" t="s">
        <v>459</v>
      </c>
      <c r="M89" t="s">
        <v>15</v>
      </c>
      <c r="N89" s="2"/>
    </row>
    <row r="90" spans="1:14" customFormat="1" ht="16" ns3:dyDescent="0.2">
      <c r="A90" s="2" t="s">
        <v>474</v>
      </c>
      <c r="B90" s="3">
        <v>4.1333332774229297E-6</v>
      </c>
      <c r="D90" t="s">
        <v>14</v>
      </c>
      <c r="E90" s="2" t="s">
        <v>9</v>
      </c>
      <c r="F90" t="s">
        <v>15</v>
      </c>
      <c r="H90" s="2"/>
      <c r="K90" t="s">
        <v>458</v>
      </c>
      <c r="L90" t="s">
        <v>459</v>
      </c>
      <c r="M90" t="s">
        <v>15</v>
      </c>
      <c r="N90" s="2"/>
    </row>
    <row r="91" spans="1:14" customFormat="1" ht="16" ns3:dyDescent="0.2">
      <c r="A91" s="2" t="s">
        <v>107</v>
      </c>
      <c r="B91" s="3">
        <v>3.3333333249174702E-6</v>
      </c>
      <c r="D91" t="s">
        <v>14</v>
      </c>
      <c r="E91" s="2" t="s">
        <v>9</v>
      </c>
      <c r="F91" t="s">
        <v>15</v>
      </c>
      <c r="H91" s="2"/>
      <c r="K91" t="s">
        <v>458</v>
      </c>
      <c r="L91" t="s">
        <v>459</v>
      </c>
      <c r="M91" t="s">
        <v>15</v>
      </c>
      <c r="N91" s="2"/>
    </row>
    <row r="92" spans="1:14" customFormat="1" ht="16" ns3:dyDescent="0.2">
      <c r="H92" s="2"/>
    </row>
    <row r="93" spans="1:14" ns3:dyDescent="0.2">
      <c r="A93" s="17" t="s">
        <v>2</v>
      </c>
      <c r="B93" s="17" t="s">
        <v>393</v>
      </c>
    </row>
    <row r="94" spans="1:14" customFormat="1" ht="16" ns3:dyDescent="0.2">
      <c r="A94" s="2" t="s">
        <v>3</v>
      </c>
      <c r="B94" s="2" t="s">
        <v>22</v>
      </c>
      <c r="C94" s="2"/>
      <c r="D94" s="2"/>
      <c r="E94" s="2"/>
      <c r="F94" s="2"/>
      <c r="G94" s="2"/>
      <c r="H94" s="2"/>
      <c r="I94" s="2"/>
      <c r="J94" s="2"/>
      <c r="K94" s="2"/>
      <c r="L94" s="2"/>
    </row>
    <row r="95" spans="1:14" customFormat="1" ht="16" ns3:dyDescent="0.2">
      <c r="A95" s="2" t="s">
        <v>4</v>
      </c>
      <c r="B95" s="2">
        <v>1</v>
      </c>
      <c r="C95" s="2"/>
      <c r="D95" s="2"/>
      <c r="E95" s="2"/>
      <c r="F95" s="2"/>
      <c r="G95" s="2"/>
      <c r="H95" s="2"/>
      <c r="I95" s="2"/>
      <c r="J95" s="2"/>
      <c r="K95" s="2"/>
      <c r="L95" s="2"/>
    </row>
    <row r="96" spans="1:14" customFormat="1" ht="16" ns3:dyDescent="0.2">
      <c r="A96" s="2" t="s">
        <v>5</v>
      </c>
      <c r="B96" s="2" t="s">
        <v>1</v>
      </c>
      <c r="C96" s="2"/>
      <c r="D96" s="2"/>
      <c r="E96" s="2"/>
      <c r="F96" s="2"/>
      <c r="G96" s="2"/>
      <c r="H96" s="2"/>
      <c r="I96" s="2"/>
      <c r="J96" s="2"/>
    </row>
    <row r="97" spans="1:15" customFormat="1" ht="16" ns3:dyDescent="0.2">
      <c r="A97" s="2" t="s">
        <v>6</v>
      </c>
      <c r="B97" s="2" t="s">
        <v>7</v>
      </c>
      <c r="C97" s="2"/>
      <c r="D97" s="2"/>
      <c r="E97" s="2"/>
      <c r="F97" s="2"/>
      <c r="G97" s="2"/>
      <c r="H97" s="2"/>
      <c r="I97" s="2"/>
      <c r="J97" s="2"/>
      <c r="K97" s="2"/>
      <c r="L97" s="2"/>
    </row>
    <row r="98" spans="1:15" customFormat="1" ht="16" ns3:dyDescent="0.2">
      <c r="A98" s="2" t="s">
        <v>8</v>
      </c>
      <c r="B98" s="2" t="s">
        <v>17</v>
      </c>
      <c r="C98" s="2"/>
      <c r="D98" s="2"/>
      <c r="E98" s="2"/>
      <c r="F98" s="2"/>
      <c r="G98" s="2"/>
      <c r="H98" s="2"/>
      <c r="I98" s="2"/>
      <c r="J98" s="2"/>
      <c r="K98" s="2"/>
      <c r="L98" s="2"/>
    </row>
    <row r="99" spans="1:15" customFormat="1" ht="16" ns3:dyDescent="0.2">
      <c r="A99" s="1" t="s">
        <v>10</v>
      </c>
      <c r="B99" s="2"/>
      <c r="C99" s="2"/>
      <c r="D99" s="2"/>
      <c r="E99" s="2"/>
      <c r="F99" s="2"/>
      <c r="G99" s="2"/>
      <c r="H99" s="2"/>
      <c r="I99" s="2"/>
      <c r="J99" s="2"/>
      <c r="K99" s="2"/>
      <c r="L99" s="2"/>
    </row>
    <row r="100" spans="1:15" ns3:dyDescent="0.2">
      <c r="A100" s="17" t="s">
        <v>11</v>
      </c>
      <c r="B100" s="17" t="s">
        <v>12</v>
      </c>
      <c r="C100" s="17" t="s">
        <v>3</v>
      </c>
      <c r="D100" s="17" t="s">
        <v>13</v>
      </c>
      <c r="E100" s="17" t="s">
        <v>8</v>
      </c>
      <c r="F100" s="17" t="s">
        <v>6</v>
      </c>
      <c r="G100" s="17" t="s">
        <v>5</v>
      </c>
    </row>
    <row r="101" spans="1:15" customFormat="1" ht="16" ns3:dyDescent="0.2">
      <c r="A101" s="2" t="str">
        <f>B93</f>
        <v>hydrogen, burned in residential boiler</v>
      </c>
      <c r="B101" s="2">
        <v>1</v>
      </c>
      <c r="C101" s="2" t="str">
        <f>B94</f>
        <v>CH</v>
      </c>
      <c r="D101" s="2"/>
      <c r="E101" s="2" t="str">
        <f>B98</f>
        <v>megajoule</v>
      </c>
      <c r="F101" s="2" t="s">
        <v>19</v>
      </c>
      <c r="G101" s="2" t="str">
        <f>B96</f>
        <v>heat</v>
      </c>
      <c r="H101" s="2"/>
      <c r="I101" s="2"/>
      <c r="J101" s="2"/>
      <c r="K101" s="2"/>
      <c r="L101" s="2"/>
    </row>
    <row r="102" spans="1:15" customFormat="1" ht="16" ns3:dyDescent="0.2">
      <c r="A102" t="s">
        <v>152</v>
      </c>
      <c r="B102" s="3">
        <v>4.4004494642869032E-7</v>
      </c>
      <c r="C102" t="s">
        <v>114</v>
      </c>
      <c r="E102" t="s">
        <v>8</v>
      </c>
      <c r="F102" t="s">
        <v>23</v>
      </c>
      <c r="G102" t="s">
        <v>153</v>
      </c>
      <c r="H102" s="2"/>
    </row>
    <row r="103" spans="1:15" customFormat="1" ht="16" ns3:dyDescent="0.2">
      <c r="A103" t="s">
        <v>154</v>
      </c>
      <c r="B103" s="3">
        <v>8.8008989285738064E-7</v>
      </c>
      <c r="C103" t="s">
        <v>114</v>
      </c>
      <c r="E103" t="s">
        <v>155</v>
      </c>
      <c r="F103" t="s">
        <v>23</v>
      </c>
      <c r="G103" t="s">
        <v>156</v>
      </c>
      <c r="H103" s="2"/>
    </row>
    <row r="104" spans="1:15" customFormat="1" ht="16" ns3:dyDescent="0.2">
      <c r="A104" t="s">
        <v>157</v>
      </c>
      <c r="B104">
        <v>8.1068656716417958E-4</v>
      </c>
      <c r="C104" t="s">
        <v>22</v>
      </c>
      <c r="E104" t="s">
        <v>141</v>
      </c>
      <c r="F104" t="s">
        <v>23</v>
      </c>
      <c r="G104" t="s">
        <v>142</v>
      </c>
      <c r="H104" s="2"/>
    </row>
    <row r="105" spans="1:15" s="4" customFormat="1" ht="16" ns3:dyDescent="0.2">
      <c r="A105" s="2" t="s">
        <v>158</v>
      </c>
      <c r="B105" s="11">
        <f>1/120</f>
        <v>8.3333333333333332E-3</v>
      </c>
      <c r="C105" s="4" t="s">
        <v>18</v>
      </c>
      <c r="E105" s="4" t="s">
        <v>9</v>
      </c>
      <c r="F105" s="4" t="s">
        <v>23</v>
      </c>
      <c r="G105" s="2" t="s">
        <v>159</v>
      </c>
      <c r="K105" s="6"/>
      <c r="L105"/>
      <c r="M105"/>
      <c r="O105" s="5"/>
    </row>
    <row r="106" spans="1:15" customFormat="1" ht="16" ns3:dyDescent="0.2">
      <c r="A106" s="2" t="s">
        <v>98</v>
      </c>
      <c r="B106" s="12">
        <v>7.4626865671641873E-5</v>
      </c>
      <c r="C106" s="2"/>
      <c r="D106" s="2" t="s">
        <v>116</v>
      </c>
      <c r="E106" s="2" t="s">
        <v>94</v>
      </c>
      <c r="F106" t="s">
        <v>15</v>
      </c>
      <c r="G106" s="2"/>
      <c r="H106" s="2"/>
      <c r="I106" s="2"/>
      <c r="J106" s="2"/>
      <c r="K106" s="2"/>
      <c r="L106" s="2"/>
    </row>
    <row r="107" spans="1:15" customFormat="1" ht="16" ns3:dyDescent="0.2">
      <c r="A107" s="2" t="s">
        <v>69</v>
      </c>
      <c r="B107" s="12">
        <v>7.669983416252073E-6</v>
      </c>
      <c r="C107" s="2"/>
      <c r="D107" s="2" t="s">
        <v>116</v>
      </c>
      <c r="E107" s="2" t="s">
        <v>9</v>
      </c>
      <c r="F107" t="s">
        <v>15</v>
      </c>
      <c r="G107" s="2"/>
      <c r="H107" s="2"/>
      <c r="I107" s="2"/>
      <c r="J107" s="2"/>
      <c r="K107" s="2"/>
      <c r="L107" s="2"/>
    </row>
    <row r="108" spans="1:15" customFormat="1" ht="16" ns3:dyDescent="0.2">
      <c r="A108" s="2" t="s">
        <v>118</v>
      </c>
      <c r="B108" s="12">
        <v>4.1459369817577878E-5</v>
      </c>
      <c r="C108" s="2"/>
      <c r="D108" s="2" t="s">
        <v>116</v>
      </c>
      <c r="E108" s="2" t="s">
        <v>9</v>
      </c>
      <c r="F108" t="s">
        <v>15</v>
      </c>
      <c r="G108" s="2"/>
      <c r="H108" s="2"/>
      <c r="I108" s="2"/>
      <c r="J108" s="2"/>
    </row>
    <row r="109" spans="1:15" customFormat="1" ht="16" ns3:dyDescent="0.2">
      <c r="A109" s="2"/>
      <c r="B109" s="2"/>
      <c r="C109" s="2"/>
      <c r="D109" s="2"/>
      <c r="E109" s="2"/>
      <c r="F109" s="2"/>
      <c r="G109" s="2"/>
      <c r="H109" s="2"/>
      <c r="I109" s="2"/>
      <c r="J109" s="2"/>
      <c r="K109" s="2"/>
      <c r="L109" s="2"/>
    </row>
    <row r="110" spans="1:15" ns3:dyDescent="0.2">
      <c r="A110" s="17" t="s">
        <v>2</v>
      </c>
      <c r="B110" s="17" t="s">
        <v>160</v>
      </c>
    </row>
    <row r="111" spans="1:15" customFormat="1" ht="16" ns3:dyDescent="0.2">
      <c r="A111" s="2" t="s">
        <v>3</v>
      </c>
      <c r="B111" s="2" t="s">
        <v>18</v>
      </c>
      <c r="C111" s="2"/>
      <c r="D111" s="2"/>
      <c r="E111" s="2"/>
      <c r="F111" s="2"/>
      <c r="G111" s="2"/>
      <c r="H111" s="2"/>
      <c r="I111" s="2"/>
      <c r="J111" s="2"/>
      <c r="K111" s="2"/>
      <c r="L111" s="2"/>
    </row>
    <row r="112" spans="1:15" customFormat="1" ht="16" ns3:dyDescent="0.2">
      <c r="A112" s="2" t="s">
        <v>4</v>
      </c>
      <c r="B112" s="2">
        <v>1</v>
      </c>
      <c r="C112" s="2"/>
      <c r="D112" s="2"/>
      <c r="E112" s="2"/>
      <c r="F112" s="2"/>
      <c r="G112" s="2"/>
      <c r="H112" s="2"/>
      <c r="I112" s="2"/>
      <c r="J112" s="2"/>
      <c r="K112" s="2"/>
      <c r="L112" s="2"/>
    </row>
    <row r="113" spans="1:12" customFormat="1" ht="16" ns3:dyDescent="0.2">
      <c r="A113" s="2" t="s">
        <v>5</v>
      </c>
      <c r="B113" s="2" t="s">
        <v>1</v>
      </c>
      <c r="C113" s="2"/>
      <c r="D113" s="2"/>
      <c r="E113" s="2"/>
      <c r="F113" s="2"/>
      <c r="G113" s="2"/>
      <c r="H113" s="2"/>
      <c r="I113" s="2"/>
      <c r="J113" s="2"/>
    </row>
    <row r="114" spans="1:12" customFormat="1" ht="16" ns3:dyDescent="0.2">
      <c r="A114" s="2" t="s">
        <v>6</v>
      </c>
      <c r="B114" s="2" t="s">
        <v>7</v>
      </c>
      <c r="C114" s="2"/>
      <c r="D114" s="2"/>
      <c r="E114" s="2"/>
      <c r="F114" s="2"/>
      <c r="G114" s="2"/>
      <c r="H114" s="2"/>
      <c r="I114" s="2"/>
      <c r="J114" s="2"/>
      <c r="K114" s="2"/>
      <c r="L114" s="2"/>
    </row>
    <row r="115" spans="1:12" customFormat="1" ht="16" ns3:dyDescent="0.2">
      <c r="A115" s="2" t="s">
        <v>8</v>
      </c>
      <c r="B115" s="2" t="s">
        <v>17</v>
      </c>
      <c r="C115" s="2"/>
      <c r="D115" s="2"/>
      <c r="E115" s="2"/>
      <c r="F115" s="2"/>
      <c r="G115" s="2"/>
      <c r="H115" s="2"/>
      <c r="I115" s="2"/>
      <c r="J115" s="2"/>
      <c r="K115" s="2"/>
      <c r="L115" s="2"/>
    </row>
    <row r="116" spans="1:12" customFormat="1" ht="16" ns3:dyDescent="0.2">
      <c r="A116" s="1" t="s">
        <v>10</v>
      </c>
      <c r="B116" s="2"/>
      <c r="C116" s="2"/>
      <c r="D116" s="2"/>
      <c r="E116" s="2"/>
      <c r="F116" s="2"/>
      <c r="G116" s="2"/>
      <c r="H116" s="2"/>
      <c r="I116" s="2"/>
      <c r="J116" s="2"/>
      <c r="K116" s="2"/>
      <c r="L116" s="2"/>
    </row>
    <row r="117" spans="1:12" ns3:dyDescent="0.2">
      <c r="A117" s="17" t="s">
        <v>11</v>
      </c>
      <c r="B117" s="17" t="s">
        <v>12</v>
      </c>
      <c r="C117" s="17" t="s">
        <v>3</v>
      </c>
      <c r="D117" s="17" t="s">
        <v>13</v>
      </c>
      <c r="E117" s="17" t="s">
        <v>8</v>
      </c>
      <c r="F117" s="17" t="s">
        <v>6</v>
      </c>
      <c r="G117" s="17" t="s">
        <v>5</v>
      </c>
    </row>
    <row r="118" spans="1:12" customFormat="1" ht="16" ns3:dyDescent="0.2">
      <c r="A118" s="2" t="str">
        <f>B110</f>
        <v>natural gas, burned in residential natural gas boiler &lt;100kW</v>
      </c>
      <c r="B118" s="2">
        <v>1</v>
      </c>
      <c r="C118" s="2" t="str">
        <f>B111</f>
        <v>RER</v>
      </c>
      <c r="D118" s="2"/>
      <c r="E118" s="2" t="str">
        <f>B115</f>
        <v>megajoule</v>
      </c>
      <c r="F118" s="2" t="s">
        <v>19</v>
      </c>
      <c r="G118" s="2" t="str">
        <f>B113</f>
        <v>heat</v>
      </c>
      <c r="H118" s="2"/>
      <c r="I118" s="2"/>
      <c r="J118" s="2"/>
      <c r="K118" s="2"/>
      <c r="L118" s="2"/>
    </row>
    <row r="119" spans="1:12" customFormat="1" ht="16" ns3:dyDescent="0.2">
      <c r="A119" s="2" t="s">
        <v>161</v>
      </c>
      <c r="B119">
        <f>1/(0.025337607*36)</f>
        <v>1.0963062840850668</v>
      </c>
      <c r="C119" t="s">
        <v>27</v>
      </c>
      <c r="E119" t="s">
        <v>17</v>
      </c>
      <c r="F119" t="s">
        <v>23</v>
      </c>
      <c r="G119" t="s">
        <v>162</v>
      </c>
      <c r="H119" s="2"/>
    </row>
    <row r="120" spans="1:12" customFormat="1" ht="16" ns3:dyDescent="0.2">
      <c r="H120" s="2"/>
    </row>
    <row r="121" spans="1:12" ns3:dyDescent="0.2">
      <c r="A121" s="17" t="s">
        <v>2</v>
      </c>
      <c r="B121" s="17" t="s">
        <v>163</v>
      </c>
    </row>
    <row r="122" spans="1:12" customFormat="1" ht="16" ns3:dyDescent="0.2">
      <c r="A122" s="2" t="s">
        <v>3</v>
      </c>
      <c r="B122" s="2" t="s">
        <v>18</v>
      </c>
      <c r="C122" s="2"/>
      <c r="D122" s="2"/>
      <c r="E122" s="2"/>
      <c r="F122" s="2"/>
      <c r="G122" s="2"/>
      <c r="H122" s="2"/>
      <c r="I122" s="2"/>
      <c r="J122" s="2"/>
      <c r="K122" s="2"/>
      <c r="L122" s="2"/>
    </row>
    <row r="123" spans="1:12" customFormat="1" ht="16" ns3:dyDescent="0.2">
      <c r="A123" s="2" t="s">
        <v>4</v>
      </c>
      <c r="B123" s="2">
        <v>1</v>
      </c>
      <c r="C123" s="2"/>
      <c r="D123" s="2"/>
      <c r="E123" s="2"/>
      <c r="F123" s="2"/>
      <c r="G123" s="2"/>
      <c r="H123" s="2"/>
      <c r="I123" s="2"/>
      <c r="J123" s="2"/>
      <c r="K123" s="2"/>
      <c r="L123" s="2"/>
    </row>
    <row r="124" spans="1:12" customFormat="1" ht="16" ns3:dyDescent="0.2">
      <c r="A124" s="2" t="s">
        <v>5</v>
      </c>
      <c r="B124" s="2" t="s">
        <v>1</v>
      </c>
      <c r="C124" s="2"/>
      <c r="D124" s="2"/>
      <c r="E124" s="2"/>
      <c r="F124" s="2"/>
      <c r="G124" s="2"/>
      <c r="H124" s="2"/>
      <c r="I124" s="2"/>
      <c r="J124" s="2"/>
    </row>
    <row r="125" spans="1:12" customFormat="1" ht="16" ns3:dyDescent="0.2">
      <c r="A125" s="2" t="s">
        <v>6</v>
      </c>
      <c r="B125" s="2" t="s">
        <v>7</v>
      </c>
      <c r="C125" s="2"/>
      <c r="D125" s="2"/>
      <c r="E125" s="2"/>
      <c r="F125" s="2"/>
      <c r="G125" s="2"/>
      <c r="H125" s="2"/>
      <c r="I125" s="2"/>
      <c r="J125" s="2"/>
      <c r="K125" s="2"/>
      <c r="L125" s="2"/>
    </row>
    <row r="126" spans="1:12" customFormat="1" ht="16" ns3:dyDescent="0.2">
      <c r="A126" s="2" t="s">
        <v>8</v>
      </c>
      <c r="B126" s="2" t="s">
        <v>17</v>
      </c>
      <c r="C126" s="2"/>
      <c r="D126" s="2"/>
      <c r="E126" s="2"/>
      <c r="F126" s="2"/>
      <c r="G126" s="2"/>
      <c r="H126" s="2"/>
      <c r="I126" s="2"/>
      <c r="J126" s="2"/>
      <c r="K126" s="2"/>
      <c r="L126" s="2"/>
    </row>
    <row r="127" spans="1:12" customFormat="1" ht="16" ns3:dyDescent="0.2">
      <c r="A127" s="1" t="s">
        <v>10</v>
      </c>
      <c r="B127" s="2"/>
      <c r="C127" s="2"/>
      <c r="D127" s="2"/>
      <c r="E127" s="2"/>
      <c r="F127" s="2"/>
      <c r="G127" s="2"/>
      <c r="H127" s="2"/>
      <c r="I127" s="2"/>
      <c r="J127" s="2"/>
      <c r="K127" s="2"/>
      <c r="L127" s="2"/>
    </row>
    <row r="128" spans="1:12" ns3:dyDescent="0.2">
      <c r="A128" s="17" t="s">
        <v>11</v>
      </c>
      <c r="B128" s="17" t="s">
        <v>12</v>
      </c>
      <c r="C128" s="17" t="s">
        <v>3</v>
      </c>
      <c r="D128" s="17" t="s">
        <v>13</v>
      </c>
      <c r="E128" s="17" t="s">
        <v>8</v>
      </c>
      <c r="F128" s="17" t="s">
        <v>6</v>
      </c>
      <c r="G128" s="17" t="s">
        <v>5</v>
      </c>
    </row>
    <row r="129" spans="1:12" customFormat="1" ht="16" ns3:dyDescent="0.2">
      <c r="A129" s="2" t="str">
        <f>B121</f>
        <v>natural gas, synthetic, burned in residential natural gas boiler &lt;100kW</v>
      </c>
      <c r="B129" s="2">
        <v>1</v>
      </c>
      <c r="C129" s="2" t="s">
        <v>18</v>
      </c>
      <c r="D129" s="2"/>
      <c r="E129" s="2" t="str">
        <f>B126</f>
        <v>megajoule</v>
      </c>
      <c r="F129" s="2" t="s">
        <v>19</v>
      </c>
      <c r="G129" s="2" t="str">
        <f>B124</f>
        <v>heat</v>
      </c>
      <c r="H129" s="2"/>
      <c r="I129" s="2"/>
      <c r="J129" s="2"/>
      <c r="K129" s="2"/>
      <c r="L129" s="2"/>
    </row>
    <row r="130" spans="1:12" customFormat="1" ht="16" ns3:dyDescent="0.2">
      <c r="A130" s="2" t="s">
        <v>164</v>
      </c>
      <c r="B130">
        <f>1/(0.019025875*47.5)</f>
        <v>1.106526326854737</v>
      </c>
      <c r="C130" t="s">
        <v>18</v>
      </c>
      <c r="E130" t="s">
        <v>17</v>
      </c>
      <c r="F130" t="s">
        <v>23</v>
      </c>
      <c r="G130" t="s">
        <v>31</v>
      </c>
      <c r="H130" s="2"/>
    </row>
    <row r="131" spans="1:12" customFormat="1" ht="16" ns3:dyDescent="0.2">
      <c r="H131" s="2"/>
    </row>
    <row r="132" spans="1:12" ns3:dyDescent="0.2">
      <c r="A132" s="17" t="s">
        <v>2</v>
      </c>
      <c r="B132" s="17" t="s">
        <v>165</v>
      </c>
    </row>
    <row r="133" spans="1:12" customFormat="1" ht="16" ns3:dyDescent="0.2">
      <c r="A133" s="2" t="s">
        <v>3</v>
      </c>
      <c r="B133" s="2" t="s">
        <v>18</v>
      </c>
      <c r="C133" s="2"/>
      <c r="D133" s="2"/>
      <c r="E133" s="2"/>
      <c r="F133" s="2"/>
      <c r="G133" s="2"/>
      <c r="H133" s="2"/>
      <c r="I133" s="2"/>
      <c r="J133" s="2"/>
      <c r="K133" s="2"/>
      <c r="L133" s="2"/>
    </row>
    <row r="134" spans="1:12" customFormat="1" ht="16" ns3:dyDescent="0.2">
      <c r="A134" s="2" t="s">
        <v>4</v>
      </c>
      <c r="B134" s="2">
        <v>1</v>
      </c>
      <c r="C134" s="2"/>
      <c r="D134" s="2"/>
      <c r="E134" s="2"/>
      <c r="F134" s="2"/>
      <c r="G134" s="2"/>
      <c r="H134" s="2"/>
      <c r="I134" s="2"/>
      <c r="J134" s="2"/>
      <c r="K134" s="2"/>
      <c r="L134" s="2"/>
    </row>
    <row r="135" spans="1:12" customFormat="1" ht="16" ns3:dyDescent="0.2">
      <c r="A135" s="2" t="s">
        <v>5</v>
      </c>
      <c r="B135" s="2" t="s">
        <v>1</v>
      </c>
      <c r="C135" s="2"/>
      <c r="D135" s="2"/>
      <c r="E135" s="2"/>
      <c r="F135" s="2"/>
      <c r="G135" s="2"/>
      <c r="H135" s="2"/>
      <c r="I135" s="2"/>
      <c r="J135" s="2"/>
    </row>
    <row r="136" spans="1:12" customFormat="1" ht="16" ns3:dyDescent="0.2">
      <c r="A136" s="2" t="s">
        <v>6</v>
      </c>
      <c r="B136" s="2" t="s">
        <v>7</v>
      </c>
      <c r="C136" s="2"/>
      <c r="D136" s="2"/>
      <c r="E136" s="2"/>
      <c r="F136" s="2"/>
      <c r="G136" s="2"/>
      <c r="H136" s="2"/>
      <c r="I136" s="2"/>
      <c r="J136" s="2"/>
      <c r="K136" s="2"/>
      <c r="L136" s="2"/>
    </row>
    <row r="137" spans="1:12" customFormat="1" ht="16" ns3:dyDescent="0.2">
      <c r="A137" s="2" t="s">
        <v>8</v>
      </c>
      <c r="B137" s="2" t="s">
        <v>17</v>
      </c>
      <c r="C137" s="2"/>
      <c r="D137" s="2"/>
      <c r="E137" s="2"/>
      <c r="F137" s="2"/>
      <c r="G137" s="2"/>
      <c r="H137" s="2"/>
      <c r="I137" s="2"/>
      <c r="J137" s="2"/>
      <c r="K137" s="2"/>
      <c r="L137" s="2"/>
    </row>
    <row r="138" spans="1:12" customFormat="1" ht="16" ns3:dyDescent="0.2">
      <c r="A138" s="1" t="s">
        <v>10</v>
      </c>
      <c r="B138" s="2"/>
      <c r="C138" s="2"/>
      <c r="D138" s="2"/>
      <c r="E138" s="2"/>
      <c r="F138" s="2"/>
      <c r="G138" s="2"/>
      <c r="H138" s="2"/>
      <c r="I138" s="2"/>
      <c r="J138" s="2"/>
      <c r="K138" s="2"/>
      <c r="L138" s="2"/>
    </row>
    <row r="139" spans="1:12" ns3:dyDescent="0.2">
      <c r="A139" s="17" t="s">
        <v>11</v>
      </c>
      <c r="B139" s="17" t="s">
        <v>12</v>
      </c>
      <c r="C139" s="17" t="s">
        <v>3</v>
      </c>
      <c r="D139" s="17" t="s">
        <v>13</v>
      </c>
      <c r="E139" s="17" t="s">
        <v>8</v>
      </c>
      <c r="F139" s="17" t="s">
        <v>6</v>
      </c>
      <c r="G139" s="17" t="s">
        <v>5</v>
      </c>
    </row>
    <row r="140" spans="1:12" customFormat="1" ht="16" ns3:dyDescent="0.2">
      <c r="A140" s="2" t="str">
        <f>B132</f>
        <v>natural gas, coal-based, burned in residential natural gas boiler &lt;100kW</v>
      </c>
      <c r="B140" s="2">
        <v>1</v>
      </c>
      <c r="C140" s="2" t="s">
        <v>18</v>
      </c>
      <c r="D140" s="2"/>
      <c r="E140" s="2" t="str">
        <f>B137</f>
        <v>megajoule</v>
      </c>
      <c r="F140" s="2" t="s">
        <v>19</v>
      </c>
      <c r="G140" s="2" t="str">
        <f>B135</f>
        <v>heat</v>
      </c>
      <c r="H140" s="2"/>
      <c r="I140" s="2"/>
      <c r="J140" s="2"/>
      <c r="K140" s="2"/>
      <c r="L140" s="2"/>
    </row>
    <row r="141" spans="1:12" customFormat="1" ht="16" ns3:dyDescent="0.2">
      <c r="A141" s="2" t="s">
        <v>166</v>
      </c>
      <c r="B141">
        <f>1/(0.019025875*47.5)</f>
        <v>1.106526326854737</v>
      </c>
      <c r="C141" t="s">
        <v>18</v>
      </c>
      <c r="E141" t="s">
        <v>17</v>
      </c>
      <c r="F141" t="s">
        <v>23</v>
      </c>
      <c r="G141" t="s">
        <v>31</v>
      </c>
      <c r="H141" s="2"/>
    </row>
    <row r="142" spans="1:12" customFormat="1" ht="16" ns3:dyDescent="0.2">
      <c r="H142" s="2"/>
    </row>
    <row r="143" spans="1:12" ns3:dyDescent="0.2">
      <c r="A143" s="17" t="s">
        <v>2</v>
      </c>
      <c r="B143" s="17" t="s">
        <v>173</v>
      </c>
    </row>
    <row r="144" spans="1:12" customFormat="1" ht="16" ns3:dyDescent="0.2">
      <c r="A144" s="2" t="s">
        <v>3</v>
      </c>
      <c r="B144" s="2" t="s">
        <v>18</v>
      </c>
      <c r="C144" s="2"/>
      <c r="D144" s="2"/>
      <c r="E144" s="2"/>
      <c r="F144" s="2"/>
      <c r="G144" s="2"/>
      <c r="H144" s="2"/>
      <c r="I144" s="2"/>
      <c r="J144" s="2"/>
      <c r="K144" s="2"/>
      <c r="L144" s="2"/>
    </row>
    <row r="145" spans="1:12" customFormat="1" ht="16" ns3:dyDescent="0.2">
      <c r="A145" s="2" t="s">
        <v>4</v>
      </c>
      <c r="B145" s="2">
        <v>1</v>
      </c>
      <c r="C145" s="2"/>
      <c r="D145" s="2"/>
      <c r="E145" s="2"/>
      <c r="F145" s="2"/>
      <c r="G145" s="2"/>
      <c r="H145" s="2"/>
      <c r="I145" s="2"/>
      <c r="J145" s="2"/>
      <c r="K145" s="2"/>
      <c r="L145" s="2"/>
    </row>
    <row r="146" spans="1:12" customFormat="1" ht="16" ns3:dyDescent="0.2">
      <c r="A146" s="2" t="s">
        <v>5</v>
      </c>
      <c r="B146" s="2" t="s">
        <v>1</v>
      </c>
      <c r="C146" s="2"/>
      <c r="D146" s="2"/>
      <c r="E146" s="2"/>
      <c r="F146" s="2"/>
      <c r="G146" s="2"/>
      <c r="H146" s="2"/>
      <c r="I146" s="2"/>
      <c r="J146" s="2"/>
    </row>
    <row r="147" spans="1:12" customFormat="1" ht="16" ns3:dyDescent="0.2">
      <c r="A147" s="2" t="s">
        <v>6</v>
      </c>
      <c r="B147" s="2" t="s">
        <v>7</v>
      </c>
      <c r="C147" s="2"/>
      <c r="D147" s="2"/>
      <c r="E147" s="2"/>
      <c r="F147" s="2"/>
      <c r="G147" s="2"/>
      <c r="H147" s="2"/>
      <c r="I147" s="2"/>
      <c r="J147" s="2"/>
      <c r="K147" s="2"/>
      <c r="L147" s="2"/>
    </row>
    <row r="148" spans="1:12" customFormat="1" ht="16" ns3:dyDescent="0.2">
      <c r="A148" s="2" t="s">
        <v>8</v>
      </c>
      <c r="B148" s="2" t="s">
        <v>17</v>
      </c>
      <c r="C148" s="2"/>
      <c r="D148" s="2"/>
      <c r="E148" s="2"/>
      <c r="F148" s="2"/>
      <c r="G148" s="2"/>
      <c r="H148" s="2"/>
      <c r="I148" s="2"/>
      <c r="J148" s="2"/>
      <c r="K148" s="2"/>
      <c r="L148" s="2"/>
    </row>
    <row r="149" spans="1:12" customFormat="1" ht="16" ns3:dyDescent="0.2">
      <c r="A149" s="1" t="s">
        <v>10</v>
      </c>
      <c r="B149" s="2"/>
      <c r="C149" s="2"/>
      <c r="D149" s="2"/>
      <c r="E149" s="2"/>
      <c r="F149" s="2"/>
      <c r="G149" s="2"/>
      <c r="H149" s="2"/>
      <c r="I149" s="2"/>
      <c r="J149" s="2"/>
      <c r="K149" s="2"/>
      <c r="L149" s="2"/>
    </row>
    <row r="150" spans="1:12" ns3:dyDescent="0.2">
      <c r="A150" s="17" t="s">
        <v>11</v>
      </c>
      <c r="B150" s="17" t="s">
        <v>12</v>
      </c>
      <c r="C150" s="17" t="s">
        <v>3</v>
      </c>
      <c r="D150" s="17" t="s">
        <v>13</v>
      </c>
      <c r="E150" s="17" t="s">
        <v>8</v>
      </c>
      <c r="F150" s="17" t="s">
        <v>6</v>
      </c>
      <c r="G150" s="17" t="s">
        <v>5</v>
      </c>
    </row>
    <row r="151" spans="1:12" customFormat="1" ht="16" ns3:dyDescent="0.2">
      <c r="A151" s="2" t="str">
        <f>B143</f>
        <v>biomethane, burned in residential natural gas boiler &lt;100kW</v>
      </c>
      <c r="B151" s="2">
        <v>1</v>
      </c>
      <c r="C151" s="2" t="s">
        <v>18</v>
      </c>
      <c r="D151" s="2"/>
      <c r="E151" s="2" t="str">
        <f>B148</f>
        <v>megajoule</v>
      </c>
      <c r="F151" s="2" t="s">
        <v>19</v>
      </c>
      <c r="G151" s="2" t="str">
        <f>B146</f>
        <v>heat</v>
      </c>
      <c r="H151" s="2"/>
      <c r="I151" s="2"/>
      <c r="J151" s="2"/>
      <c r="K151" s="2"/>
      <c r="L151" s="2"/>
    </row>
    <row r="152" spans="1:12" customFormat="1" ht="16" ns3:dyDescent="0.2">
      <c r="A152" s="2" t="s">
        <v>167</v>
      </c>
      <c r="B152">
        <f>1/(0.019025875*47.5)</f>
        <v>1.106526326854737</v>
      </c>
      <c r="C152" t="s">
        <v>18</v>
      </c>
      <c r="E152" t="s">
        <v>17</v>
      </c>
      <c r="F152" t="s">
        <v>23</v>
      </c>
      <c r="G152" t="s">
        <v>31</v>
      </c>
      <c r="H152" s="2"/>
    </row>
    <row r="153" spans="1:12" customFormat="1" ht="16" ns3:dyDescent="0.2">
      <c r="H153" s="2"/>
    </row>
    <row r="154" spans="1:12" ns3:dyDescent="0.2">
      <c r="A154" s="17" t="s">
        <v>2</v>
      </c>
      <c r="B154" s="17" t="s">
        <v>171</v>
      </c>
    </row>
    <row r="155" spans="1:12" customFormat="1" ht="16" ns3:dyDescent="0.2">
      <c r="A155" s="2" t="s">
        <v>3</v>
      </c>
      <c r="B155" s="2" t="s">
        <v>18</v>
      </c>
      <c r="C155" s="2"/>
      <c r="D155" s="2"/>
      <c r="E155" s="2"/>
      <c r="F155" s="2"/>
      <c r="G155" s="2"/>
      <c r="H155" s="2"/>
      <c r="I155" s="2"/>
      <c r="J155" s="2"/>
      <c r="K155" s="2"/>
      <c r="L155" s="2"/>
    </row>
    <row r="156" spans="1:12" customFormat="1" ht="16" ns3:dyDescent="0.2">
      <c r="A156" s="2" t="s">
        <v>4</v>
      </c>
      <c r="B156" s="2">
        <v>1</v>
      </c>
      <c r="C156" s="2"/>
      <c r="D156" s="2"/>
      <c r="E156" s="2"/>
      <c r="F156" s="2"/>
      <c r="G156" s="2"/>
      <c r="H156" s="2"/>
      <c r="I156" s="2"/>
      <c r="J156" s="2"/>
      <c r="K156" s="2"/>
      <c r="L156" s="2"/>
    </row>
    <row r="157" spans="1:12" customFormat="1" ht="16" ns3:dyDescent="0.2">
      <c r="A157" s="2" t="s">
        <v>5</v>
      </c>
      <c r="B157" s="2" t="s">
        <v>1</v>
      </c>
      <c r="C157" s="2"/>
      <c r="D157" s="2"/>
      <c r="E157" s="2"/>
      <c r="F157" s="2"/>
      <c r="G157" s="2"/>
      <c r="H157" s="2"/>
      <c r="I157" s="2"/>
      <c r="J157" s="2"/>
    </row>
    <row r="158" spans="1:12" customFormat="1" ht="16" ns3:dyDescent="0.2">
      <c r="A158" s="2" t="s">
        <v>6</v>
      </c>
      <c r="B158" s="2" t="s">
        <v>7</v>
      </c>
      <c r="C158" s="2"/>
      <c r="D158" s="2"/>
      <c r="E158" s="2"/>
      <c r="F158" s="2"/>
      <c r="G158" s="2"/>
      <c r="H158" s="2"/>
      <c r="I158" s="2"/>
      <c r="J158" s="2"/>
      <c r="K158" s="2"/>
      <c r="L158" s="2"/>
    </row>
    <row r="159" spans="1:12" customFormat="1" ht="16" ns3:dyDescent="0.2">
      <c r="A159" s="2" t="s">
        <v>8</v>
      </c>
      <c r="B159" s="2" t="s">
        <v>17</v>
      </c>
      <c r="C159" s="2"/>
      <c r="D159" s="2"/>
      <c r="E159" s="2"/>
      <c r="F159" s="2"/>
      <c r="G159" s="2"/>
      <c r="H159" s="2"/>
      <c r="I159" s="2"/>
      <c r="J159" s="2"/>
      <c r="K159" s="2"/>
      <c r="L159" s="2"/>
    </row>
    <row r="160" spans="1:12" customFormat="1" ht="16" ns3:dyDescent="0.2">
      <c r="A160" s="1" t="s">
        <v>10</v>
      </c>
      <c r="B160" s="2"/>
      <c r="C160" s="2"/>
      <c r="D160" s="2"/>
      <c r="E160" s="2"/>
      <c r="F160" s="2"/>
      <c r="G160" s="2"/>
      <c r="H160" s="2"/>
      <c r="I160" s="2"/>
      <c r="J160" s="2"/>
      <c r="K160" s="2"/>
      <c r="L160" s="2"/>
    </row>
    <row r="161" spans="1:12" ns3:dyDescent="0.2">
      <c r="A161" s="17" t="s">
        <v>11</v>
      </c>
      <c r="B161" s="17" t="s">
        <v>12</v>
      </c>
      <c r="C161" s="17" t="s">
        <v>3</v>
      </c>
      <c r="D161" s="17" t="s">
        <v>13</v>
      </c>
      <c r="E161" s="17" t="s">
        <v>8</v>
      </c>
      <c r="F161" s="17" t="s">
        <v>6</v>
      </c>
      <c r="G161" s="17" t="s">
        <v>5</v>
      </c>
    </row>
    <row r="162" spans="1:12" customFormat="1" ht="16" ns3:dyDescent="0.2">
      <c r="A162" s="2" t="str">
        <f>B154</f>
        <v>liquefied petroleum gas, burned in residential natural gas boiler &lt;100kW</v>
      </c>
      <c r="B162" s="2">
        <v>1</v>
      </c>
      <c r="C162" s="2" t="str">
        <f>B155</f>
        <v>RER</v>
      </c>
      <c r="D162" s="2"/>
      <c r="E162" s="2" t="str">
        <f>B159</f>
        <v>megajoule</v>
      </c>
      <c r="F162" s="2" t="s">
        <v>19</v>
      </c>
      <c r="G162" s="2" t="str">
        <f>B157</f>
        <v>heat</v>
      </c>
      <c r="H162" s="2"/>
      <c r="I162" s="2"/>
      <c r="J162" s="2"/>
      <c r="K162" s="2"/>
      <c r="L162" s="2"/>
    </row>
    <row r="163" spans="1:12" customFormat="1" ht="16" ns3:dyDescent="0.2">
      <c r="A163" s="2" t="s">
        <v>172</v>
      </c>
      <c r="B163">
        <f>1/(0.025337607*36)</f>
        <v>1.0963062840850668</v>
      </c>
      <c r="C163" t="s">
        <v>18</v>
      </c>
      <c r="E163" t="s">
        <v>17</v>
      </c>
      <c r="F163" t="s">
        <v>23</v>
      </c>
      <c r="G163" t="s">
        <v>31</v>
      </c>
      <c r="H163" s="2"/>
    </row>
    <row r="164" spans="1:12" customFormat="1" ht="16" ns3:dyDescent="0.2">
      <c r="H164" s="2"/>
    </row>
    <row r="165" spans="1:12" ns3:dyDescent="0.2">
      <c r="A165" s="17" t="s">
        <v>2</v>
      </c>
      <c r="B165" s="17" t="s">
        <v>168</v>
      </c>
    </row>
    <row r="166" spans="1:12" customFormat="1" ht="16" ns3:dyDescent="0.2">
      <c r="A166" s="2" t="s">
        <v>3</v>
      </c>
      <c r="B166" s="2" t="s">
        <v>18</v>
      </c>
      <c r="C166" s="2"/>
      <c r="D166" s="2"/>
      <c r="E166" s="2"/>
      <c r="F166" s="2"/>
      <c r="G166" s="2"/>
      <c r="H166" s="2"/>
      <c r="I166" s="2"/>
      <c r="J166" s="2"/>
      <c r="K166" s="2"/>
      <c r="L166" s="2"/>
    </row>
    <row r="167" spans="1:12" customFormat="1" ht="16" ns3:dyDescent="0.2">
      <c r="A167" s="2" t="s">
        <v>4</v>
      </c>
      <c r="B167" s="2">
        <v>1</v>
      </c>
      <c r="C167" s="2"/>
      <c r="D167" s="2"/>
      <c r="E167" s="2"/>
      <c r="F167" s="2"/>
      <c r="G167" s="2"/>
      <c r="H167" s="2"/>
      <c r="I167" s="2"/>
      <c r="J167" s="2"/>
      <c r="K167" s="2"/>
      <c r="L167" s="2"/>
    </row>
    <row r="168" spans="1:12" customFormat="1" ht="16" ns3:dyDescent="0.2">
      <c r="A168" s="2" t="s">
        <v>5</v>
      </c>
      <c r="B168" s="2" t="s">
        <v>142</v>
      </c>
      <c r="C168" s="2"/>
      <c r="D168" s="2"/>
      <c r="E168" s="2"/>
      <c r="F168" s="2"/>
      <c r="G168" s="2"/>
      <c r="H168" s="2"/>
      <c r="I168" s="2"/>
      <c r="J168" s="2"/>
    </row>
    <row r="169" spans="1:12" customFormat="1" ht="16" ns3:dyDescent="0.2">
      <c r="A169" s="2" t="s">
        <v>6</v>
      </c>
      <c r="B169" s="2" t="s">
        <v>7</v>
      </c>
      <c r="C169" s="2"/>
      <c r="D169" s="2"/>
      <c r="E169" s="2"/>
      <c r="F169" s="2"/>
      <c r="G169" s="2"/>
      <c r="H169" s="2"/>
      <c r="I169" s="2"/>
      <c r="J169" s="2"/>
      <c r="K169" s="2"/>
      <c r="L169" s="2"/>
    </row>
    <row r="170" spans="1:12" customFormat="1" ht="16" ns3:dyDescent="0.2">
      <c r="A170" s="2" t="s">
        <v>8</v>
      </c>
      <c r="B170" s="2" t="s">
        <v>17</v>
      </c>
      <c r="C170" s="2"/>
      <c r="D170" s="2"/>
      <c r="E170" s="2"/>
      <c r="F170" s="2"/>
      <c r="G170" s="2"/>
      <c r="H170" s="2"/>
      <c r="I170" s="2"/>
      <c r="J170" s="2"/>
      <c r="K170" s="2"/>
      <c r="L170" s="2"/>
    </row>
    <row r="171" spans="1:12" customFormat="1" ht="16" ns3:dyDescent="0.2">
      <c r="A171" s="1" t="s">
        <v>10</v>
      </c>
      <c r="B171" s="2"/>
      <c r="C171" s="2"/>
      <c r="D171" s="2"/>
      <c r="E171" s="2"/>
      <c r="F171" s="2"/>
      <c r="G171" s="2"/>
      <c r="H171" s="2"/>
      <c r="I171" s="2"/>
      <c r="J171" s="2"/>
      <c r="K171" s="2"/>
      <c r="L171" s="2"/>
    </row>
    <row r="172" spans="1:12" ns3:dyDescent="0.2">
      <c r="A172" s="17" t="s">
        <v>11</v>
      </c>
      <c r="B172" s="17" t="s">
        <v>12</v>
      </c>
      <c r="C172" s="17" t="s">
        <v>3</v>
      </c>
      <c r="D172" s="17" t="s">
        <v>13</v>
      </c>
      <c r="E172" s="17" t="s">
        <v>8</v>
      </c>
      <c r="F172" s="17" t="s">
        <v>6</v>
      </c>
      <c r="G172" s="17" t="s">
        <v>5</v>
      </c>
    </row>
    <row r="173" spans="1:12" customFormat="1" ht="16" ns3:dyDescent="0.2">
      <c r="A173" s="2" t="str">
        <f>B165</f>
        <v>electricity, used in residential heat pump</v>
      </c>
      <c r="B173" s="2">
        <v>1</v>
      </c>
      <c r="C173" s="2" t="str">
        <f>B166</f>
        <v>RER</v>
      </c>
      <c r="D173" s="2"/>
      <c r="E173" s="2" t="str">
        <f>B170</f>
        <v>megajoule</v>
      </c>
      <c r="F173" s="2" t="s">
        <v>19</v>
      </c>
      <c r="G173" s="2" t="str">
        <f>B168</f>
        <v>electricity, low voltage</v>
      </c>
      <c r="H173" s="2"/>
      <c r="I173" s="2"/>
      <c r="J173" s="2"/>
      <c r="K173" s="2"/>
      <c r="L173" s="2"/>
    </row>
    <row r="174" spans="1:12" customFormat="1" ht="16" ns3:dyDescent="0.2">
      <c r="A174" s="2" t="s">
        <v>169</v>
      </c>
      <c r="B174" s="13">
        <f>1/0.0992/3.6</f>
        <v>2.8001792114695339</v>
      </c>
      <c r="C174" t="s">
        <v>27</v>
      </c>
      <c r="E174" t="s">
        <v>17</v>
      </c>
      <c r="F174" t="s">
        <v>23</v>
      </c>
      <c r="G174" t="s">
        <v>170</v>
      </c>
      <c r="H174" s="2"/>
    </row>
    <row r="175" spans="1:12" customFormat="1" ht="16" ns3:dyDescent="0.2">
      <c r="A175" s="2"/>
      <c r="H175" s="2"/>
    </row>
    <row r="176" spans="1:12" ns3:dyDescent="0.2">
      <c r="A176" s="17" t="s">
        <v>2</v>
      </c>
      <c r="B176" s="17" t="s">
        <v>33</v>
      </c>
    </row>
    <row r="177" spans="1:12" customFormat="1" ht="16" ns3:dyDescent="0.2">
      <c r="A177" s="2" t="s">
        <v>3</v>
      </c>
      <c r="B177" s="2" t="s">
        <v>18</v>
      </c>
      <c r="C177" s="2"/>
      <c r="D177" s="2"/>
      <c r="E177" s="2"/>
      <c r="F177" s="2"/>
      <c r="G177" s="2"/>
      <c r="H177" s="2"/>
      <c r="I177" s="2"/>
      <c r="J177" s="2"/>
      <c r="K177" s="2"/>
      <c r="L177" s="2"/>
    </row>
    <row r="178" spans="1:12" customFormat="1" ht="16" ns3:dyDescent="0.2">
      <c r="A178" s="2" t="s">
        <v>4</v>
      </c>
      <c r="B178" s="2">
        <v>1</v>
      </c>
      <c r="C178" s="2"/>
      <c r="D178" s="2"/>
      <c r="E178" s="2"/>
      <c r="F178" s="2"/>
      <c r="G178" s="2"/>
      <c r="H178" s="2"/>
      <c r="I178" s="2"/>
      <c r="J178" s="2"/>
      <c r="K178" s="2"/>
      <c r="L178" s="2"/>
    </row>
    <row r="179" spans="1:12" customFormat="1" ht="16" ns3:dyDescent="0.2">
      <c r="A179" s="2" t="s">
        <v>5</v>
      </c>
      <c r="B179" s="2" t="s">
        <v>1</v>
      </c>
      <c r="C179" s="2"/>
      <c r="D179" s="2"/>
      <c r="E179" s="2"/>
      <c r="F179" s="2"/>
      <c r="G179" s="2"/>
      <c r="H179" s="2"/>
      <c r="I179" s="2"/>
      <c r="J179" s="2"/>
    </row>
    <row r="180" spans="1:12" customFormat="1" ht="16" ns3:dyDescent="0.2">
      <c r="A180" s="2" t="s">
        <v>6</v>
      </c>
      <c r="B180" s="2" t="s">
        <v>7</v>
      </c>
      <c r="C180" s="2"/>
      <c r="D180" s="2"/>
      <c r="E180" s="2"/>
      <c r="F180" s="2"/>
      <c r="G180" s="2"/>
      <c r="H180" s="2"/>
      <c r="I180" s="2"/>
      <c r="J180" s="2"/>
      <c r="K180" s="2"/>
      <c r="L180" s="2"/>
    </row>
    <row r="181" spans="1:12" customFormat="1" ht="16" ns3:dyDescent="0.2">
      <c r="A181" s="2" t="s">
        <v>8</v>
      </c>
      <c r="B181" s="2" t="s">
        <v>17</v>
      </c>
      <c r="C181" s="2"/>
      <c r="D181" s="2"/>
      <c r="E181" s="2"/>
      <c r="F181" s="2"/>
      <c r="G181" s="2"/>
      <c r="H181" s="2"/>
      <c r="I181" s="2"/>
      <c r="J181" s="2"/>
      <c r="K181" s="2"/>
      <c r="L181" s="2"/>
    </row>
    <row r="182" spans="1:12" customFormat="1" ht="16" ns3:dyDescent="0.2">
      <c r="A182" s="1" t="s">
        <v>10</v>
      </c>
      <c r="B182" s="2"/>
      <c r="C182" s="2"/>
      <c r="D182" s="2"/>
      <c r="E182" s="2"/>
      <c r="F182" s="2"/>
      <c r="G182" s="2"/>
      <c r="H182" s="2"/>
      <c r="I182" s="2"/>
      <c r="J182" s="2"/>
      <c r="K182" s="2"/>
      <c r="L182" s="2"/>
    </row>
    <row r="183" spans="1:12" ns3:dyDescent="0.2">
      <c r="A183" s="17" t="s">
        <v>11</v>
      </c>
      <c r="B183" s="17" t="s">
        <v>12</v>
      </c>
      <c r="C183" s="17" t="s">
        <v>3</v>
      </c>
      <c r="D183" s="17" t="s">
        <v>13</v>
      </c>
      <c r="E183" s="17" t="s">
        <v>8</v>
      </c>
      <c r="F183" s="17" t="s">
        <v>6</v>
      </c>
      <c r="G183" s="17" t="s">
        <v>5</v>
      </c>
    </row>
    <row r="184" spans="1:12" customFormat="1" ht="16" ns3:dyDescent="0.2">
      <c r="A184" s="2" t="str">
        <f>B176</f>
        <v>wood pellet, burned in residential stove 9kW</v>
      </c>
      <c r="B184" s="2">
        <v>1</v>
      </c>
      <c r="C184" s="2" t="str">
        <f>B177</f>
        <v>RER</v>
      </c>
      <c r="D184" s="2"/>
      <c r="E184" s="2" t="str">
        <f>B181</f>
        <v>megajoule</v>
      </c>
      <c r="F184" s="2" t="s">
        <v>19</v>
      </c>
      <c r="G184" s="2" t="str">
        <f>B179</f>
        <v>heat</v>
      </c>
      <c r="H184" s="2"/>
      <c r="I184" s="2"/>
      <c r="J184" s="2"/>
      <c r="K184" s="2"/>
      <c r="L184" s="2"/>
    </row>
    <row r="185" spans="1:12" customFormat="1" ht="16" ns3:dyDescent="0.2">
      <c r="A185" s="2" t="s">
        <v>289</v>
      </c>
      <c r="B185">
        <f>1/(0.076236*19.1)</f>
        <v>0.68676243431460693</v>
      </c>
      <c r="C185" t="s">
        <v>22</v>
      </c>
      <c r="E185" t="s">
        <v>17</v>
      </c>
      <c r="F185" t="s">
        <v>23</v>
      </c>
      <c r="G185" t="s">
        <v>39</v>
      </c>
      <c r="H185" s="2"/>
    </row>
    <row r="186" spans="1:12" customFormat="1" ht="16" ns3:dyDescent="0.2">
      <c r="H186" s="2"/>
    </row>
    <row r="187" spans="1:12" ns3:dyDescent="0.2">
      <c r="A187" s="17" t="s">
        <v>2</v>
      </c>
      <c r="B187" s="17" t="s">
        <v>34</v>
      </c>
    </row>
    <row r="188" spans="1:12" customFormat="1" ht="16" ns3:dyDescent="0.2">
      <c r="A188" s="2" t="s">
        <v>3</v>
      </c>
      <c r="B188" s="2" t="s">
        <v>18</v>
      </c>
      <c r="C188" s="2"/>
      <c r="D188" s="2"/>
      <c r="E188" s="2"/>
      <c r="F188" s="2"/>
      <c r="G188" s="2"/>
      <c r="H188" s="2"/>
      <c r="I188" s="2"/>
      <c r="J188" s="2"/>
      <c r="K188" s="2"/>
      <c r="L188" s="2"/>
    </row>
    <row r="189" spans="1:12" customFormat="1" ht="16" ns3:dyDescent="0.2">
      <c r="A189" s="2" t="s">
        <v>4</v>
      </c>
      <c r="B189" s="2">
        <v>1</v>
      </c>
      <c r="C189" s="2"/>
      <c r="D189" s="2"/>
      <c r="E189" s="2"/>
      <c r="F189" s="2"/>
      <c r="G189" s="2"/>
      <c r="H189" s="2"/>
      <c r="I189" s="2"/>
      <c r="J189" s="2"/>
      <c r="K189" s="2"/>
      <c r="L189" s="2"/>
    </row>
    <row r="190" spans="1:12" customFormat="1" ht="16" ns3:dyDescent="0.2">
      <c r="A190" s="2" t="s">
        <v>5</v>
      </c>
      <c r="B190" s="2" t="s">
        <v>1</v>
      </c>
      <c r="C190" s="2"/>
      <c r="D190" s="2"/>
      <c r="E190" s="2"/>
      <c r="F190" s="2"/>
      <c r="G190" s="2"/>
      <c r="H190" s="2"/>
      <c r="I190" s="2"/>
      <c r="J190" s="2"/>
    </row>
    <row r="191" spans="1:12" customFormat="1" ht="16" ns3:dyDescent="0.2">
      <c r="A191" s="2" t="s">
        <v>6</v>
      </c>
      <c r="B191" s="2" t="s">
        <v>7</v>
      </c>
      <c r="C191" s="2"/>
      <c r="D191" s="2"/>
      <c r="E191" s="2"/>
      <c r="F191" s="2"/>
      <c r="G191" s="2"/>
      <c r="H191" s="2"/>
      <c r="I191" s="2"/>
      <c r="J191" s="2"/>
      <c r="K191" s="2"/>
      <c r="L191" s="2"/>
    </row>
    <row r="192" spans="1:12" customFormat="1" ht="16" ns3:dyDescent="0.2">
      <c r="A192" s="2" t="s">
        <v>8</v>
      </c>
      <c r="B192" s="2" t="s">
        <v>17</v>
      </c>
      <c r="C192" s="2"/>
      <c r="D192" s="2"/>
      <c r="E192" s="2"/>
      <c r="F192" s="2"/>
      <c r="G192" s="2"/>
      <c r="H192" s="2"/>
      <c r="I192" s="2"/>
      <c r="J192" s="2"/>
      <c r="K192" s="2"/>
      <c r="L192" s="2"/>
    </row>
    <row r="193" spans="1:15" customFormat="1" ht="16" ns3:dyDescent="0.2">
      <c r="A193" s="1" t="s">
        <v>10</v>
      </c>
      <c r="B193" s="2"/>
      <c r="C193" s="2"/>
      <c r="D193" s="2"/>
      <c r="E193" s="2"/>
      <c r="F193" s="2"/>
      <c r="G193" s="2"/>
      <c r="H193" s="2"/>
      <c r="I193" s="2"/>
      <c r="J193" s="2"/>
      <c r="K193" s="2"/>
      <c r="L193" s="2"/>
    </row>
    <row r="194" spans="1:15" ns3:dyDescent="0.2">
      <c r="A194" s="17" t="s">
        <v>11</v>
      </c>
      <c r="B194" s="17" t="s">
        <v>12</v>
      </c>
      <c r="C194" s="17" t="s">
        <v>3</v>
      </c>
      <c r="D194" s="17" t="s">
        <v>13</v>
      </c>
      <c r="E194" s="17" t="s">
        <v>8</v>
      </c>
      <c r="F194" s="17" t="s">
        <v>6</v>
      </c>
      <c r="G194" s="17" t="s">
        <v>5</v>
      </c>
    </row>
    <row r="195" spans="1:15" customFormat="1" ht="16" ns3:dyDescent="0.2">
      <c r="A195" s="2" t="str">
        <f>B187</f>
        <v>hydrogen, burned in gas turbine 1GW</v>
      </c>
      <c r="B195" s="2">
        <v>1</v>
      </c>
      <c r="C195" s="2" t="str">
        <f>B188</f>
        <v>RER</v>
      </c>
      <c r="D195" s="2"/>
      <c r="E195" s="2" t="str">
        <f>B192</f>
        <v>megajoule</v>
      </c>
      <c r="F195" s="2" t="s">
        <v>19</v>
      </c>
      <c r="G195" s="2" t="str">
        <f>B190</f>
        <v>heat</v>
      </c>
      <c r="H195" s="2"/>
      <c r="I195" s="2"/>
      <c r="J195" s="2"/>
      <c r="K195" s="2"/>
      <c r="L195" s="2"/>
    </row>
    <row r="196" spans="1:15" customFormat="1" ht="16" ns3:dyDescent="0.2">
      <c r="A196" s="2" t="s">
        <v>24</v>
      </c>
      <c r="B196">
        <f>1/(0.00877*120)</f>
        <v>0.9502090459901178</v>
      </c>
      <c r="C196" t="s">
        <v>18</v>
      </c>
      <c r="E196" t="s">
        <v>17</v>
      </c>
      <c r="F196" t="s">
        <v>23</v>
      </c>
      <c r="G196" t="s">
        <v>1</v>
      </c>
      <c r="H196" s="2"/>
    </row>
    <row r="197" spans="1:15" customFormat="1" ht="16" ns3:dyDescent="0.2">
      <c r="H197" s="2"/>
    </row>
    <row r="198" spans="1:15" ns3:dyDescent="0.2">
      <c r="A198" s="17" t="s">
        <v>2</v>
      </c>
      <c r="B198" s="17" t="s">
        <v>117</v>
      </c>
    </row>
    <row r="199" spans="1:15" customFormat="1" ht="16" ns3:dyDescent="0.2">
      <c r="A199" s="2" t="s">
        <v>3</v>
      </c>
      <c r="B199" s="2" t="s">
        <v>18</v>
      </c>
      <c r="C199" s="2"/>
      <c r="D199" s="2"/>
      <c r="E199" s="2"/>
      <c r="F199" s="2"/>
      <c r="G199" s="2"/>
      <c r="H199" s="2"/>
      <c r="I199" s="2"/>
      <c r="J199" s="2"/>
      <c r="K199" s="2"/>
      <c r="L199" s="2"/>
    </row>
    <row r="200" spans="1:15" customFormat="1" ht="16" ns3:dyDescent="0.2">
      <c r="A200" s="2" t="s">
        <v>4</v>
      </c>
      <c r="B200" s="2">
        <v>1</v>
      </c>
      <c r="C200" s="2"/>
      <c r="D200" s="2"/>
      <c r="E200" s="2"/>
      <c r="F200" s="2"/>
      <c r="G200" s="2"/>
      <c r="H200" s="2"/>
      <c r="I200" s="2"/>
      <c r="J200" s="2"/>
      <c r="K200" s="2"/>
      <c r="L200" s="2"/>
    </row>
    <row r="201" spans="1:15" customFormat="1" ht="16" ns3:dyDescent="0.2">
      <c r="A201" s="2" t="s">
        <v>5</v>
      </c>
      <c r="B201" s="2" t="s">
        <v>1</v>
      </c>
      <c r="C201" s="2"/>
      <c r="D201" s="2"/>
      <c r="E201" s="2"/>
      <c r="F201" s="2"/>
      <c r="G201" s="2"/>
      <c r="H201" s="2"/>
      <c r="I201" s="2"/>
      <c r="J201" s="2"/>
    </row>
    <row r="202" spans="1:15" customFormat="1" ht="16" ns3:dyDescent="0.2">
      <c r="A202" s="2" t="s">
        <v>6</v>
      </c>
      <c r="B202" s="2" t="s">
        <v>7</v>
      </c>
      <c r="C202" s="2"/>
      <c r="D202" s="2"/>
      <c r="E202" s="2"/>
      <c r="F202" s="2"/>
      <c r="G202" s="2"/>
      <c r="H202" s="2"/>
      <c r="I202" s="2"/>
      <c r="J202" s="2"/>
      <c r="K202" s="2"/>
      <c r="L202" s="2"/>
    </row>
    <row r="203" spans="1:15" customFormat="1" ht="16" ns3:dyDescent="0.2">
      <c r="A203" s="2" t="s">
        <v>8</v>
      </c>
      <c r="B203" s="2" t="s">
        <v>17</v>
      </c>
      <c r="C203" s="2"/>
      <c r="D203" s="2"/>
      <c r="E203" s="2"/>
      <c r="F203" s="2"/>
      <c r="G203" s="2"/>
      <c r="H203" s="2"/>
      <c r="I203" s="2"/>
      <c r="J203" s="2"/>
      <c r="K203" s="2"/>
      <c r="L203" s="2"/>
    </row>
    <row r="204" spans="1:15" customFormat="1" ht="16" ns3:dyDescent="0.2">
      <c r="A204" s="1" t="s">
        <v>10</v>
      </c>
      <c r="B204" s="2"/>
      <c r="C204" s="2"/>
      <c r="D204" s="2"/>
      <c r="E204" s="2"/>
      <c r="F204" s="2"/>
      <c r="G204" s="2"/>
      <c r="H204" s="2"/>
      <c r="I204" s="2"/>
      <c r="J204" s="2"/>
      <c r="K204" s="2"/>
      <c r="L204" s="2"/>
    </row>
    <row r="205" spans="1:15" ns3:dyDescent="0.2">
      <c r="A205" s="17" t="s">
        <v>11</v>
      </c>
      <c r="B205" s="17" t="s">
        <v>12</v>
      </c>
      <c r="C205" s="17" t="s">
        <v>3</v>
      </c>
      <c r="D205" s="17" t="s">
        <v>13</v>
      </c>
      <c r="E205" s="17" t="s">
        <v>8</v>
      </c>
      <c r="F205" s="17" t="s">
        <v>6</v>
      </c>
      <c r="G205" s="17" t="s">
        <v>5</v>
      </c>
    </row>
    <row r="206" spans="1:15" customFormat="1" ht="16" ns3:dyDescent="0.2">
      <c r="A206" s="2" t="str">
        <f>B198</f>
        <v>hydrogen, converted in 1kWe fuel cell</v>
      </c>
      <c r="B206" s="2">
        <v>1</v>
      </c>
      <c r="C206" s="2" t="str">
        <f>B199</f>
        <v>RER</v>
      </c>
      <c r="D206" s="2"/>
      <c r="E206" s="2" t="str">
        <f>B203</f>
        <v>megajoule</v>
      </c>
      <c r="F206" s="2" t="s">
        <v>19</v>
      </c>
      <c r="G206" s="2" t="str">
        <f>B201</f>
        <v>heat</v>
      </c>
      <c r="H206" s="2"/>
      <c r="I206" s="2"/>
      <c r="J206" s="2"/>
      <c r="K206" s="2"/>
      <c r="L206" s="2"/>
    </row>
    <row r="207" spans="1:15" s="4" customFormat="1" ht="16" ns3:dyDescent="0.2">
      <c r="A207" s="4" t="s">
        <v>113</v>
      </c>
      <c r="B207" s="7">
        <f>0.00000507/2</f>
        <v>2.5349999999999999E-6</v>
      </c>
      <c r="C207" s="4" t="s">
        <v>114</v>
      </c>
      <c r="E207" s="4" t="s">
        <v>8</v>
      </c>
      <c r="F207" s="4" t="s">
        <v>23</v>
      </c>
      <c r="G207" s="4" t="s">
        <v>115</v>
      </c>
      <c r="O207" s="5"/>
    </row>
    <row r="208" spans="1:15" s="4" customFormat="1" ht="16" ns3:dyDescent="0.2">
      <c r="A208" t="s">
        <v>158</v>
      </c>
      <c r="B208" s="11">
        <f>0.01676/2</f>
        <v>8.3800000000000003E-3</v>
      </c>
      <c r="C208" s="4" t="s">
        <v>18</v>
      </c>
      <c r="E208" s="4" t="s">
        <v>9</v>
      </c>
      <c r="F208" s="4" t="s">
        <v>23</v>
      </c>
      <c r="G208" s="4" t="s">
        <v>159</v>
      </c>
      <c r="J208" s="6"/>
      <c r="O208" s="5"/>
    </row>
    <row r="209" spans="1:15" s="4" customFormat="1" ht="16" ns3:dyDescent="0.2">
      <c r="A209" s="2" t="s">
        <v>118</v>
      </c>
      <c r="B209" s="7">
        <f>0.56%*B208</f>
        <v>4.6928000000000009E-5</v>
      </c>
      <c r="D209" s="4" t="s">
        <v>116</v>
      </c>
      <c r="E209" s="4" t="s">
        <v>9</v>
      </c>
      <c r="F209" s="2" t="s">
        <v>15</v>
      </c>
      <c r="J209" s="6"/>
      <c r="O209" s="5"/>
    </row>
    <row r="210" spans="1:15" s="4" customFormat="1" ht="16" ns3:dyDescent="0.2">
      <c r="A210" s="2" t="s">
        <v>98</v>
      </c>
      <c r="B210" s="7">
        <f>B208*9/1000</f>
        <v>7.5420000000000006E-5</v>
      </c>
      <c r="D210" s="4" t="s">
        <v>116</v>
      </c>
      <c r="E210" s="2" t="s">
        <v>94</v>
      </c>
      <c r="F210" s="2" t="s">
        <v>15</v>
      </c>
      <c r="O210" s="5"/>
    </row>
    <row r="211" spans="1:15" customFormat="1" ht="16" ns3:dyDescent="0.2">
      <c r="H211" s="2"/>
    </row>
    <row r="212" spans="1:15" ns3:dyDescent="0.2">
      <c r="A212" s="17" t="s">
        <v>2</v>
      </c>
      <c r="B212" s="17" t="s">
        <v>25</v>
      </c>
    </row>
    <row r="213" spans="1:15" customFormat="1" ht="16" ns3:dyDescent="0.2">
      <c r="A213" s="2" t="s">
        <v>3</v>
      </c>
      <c r="B213" s="2" t="s">
        <v>18</v>
      </c>
      <c r="C213" s="2"/>
      <c r="D213" s="2"/>
      <c r="E213" s="2"/>
      <c r="F213" s="2"/>
      <c r="G213" s="2"/>
      <c r="H213" s="2"/>
      <c r="I213" s="2"/>
      <c r="J213" s="2"/>
      <c r="K213" s="2"/>
      <c r="L213" s="2"/>
    </row>
    <row r="214" spans="1:15" customFormat="1" ht="16" ns3:dyDescent="0.2">
      <c r="A214" s="2" t="s">
        <v>4</v>
      </c>
      <c r="B214" s="2">
        <v>1</v>
      </c>
      <c r="C214" s="2"/>
      <c r="D214" s="2"/>
      <c r="E214" s="2"/>
      <c r="F214" s="2"/>
      <c r="G214" s="2"/>
      <c r="H214" s="2"/>
      <c r="I214" s="2"/>
      <c r="J214" s="2"/>
      <c r="K214" s="2"/>
      <c r="L214" s="2"/>
    </row>
    <row r="215" spans="1:15" customFormat="1" ht="16" ns3:dyDescent="0.2">
      <c r="A215" s="2" t="s">
        <v>5</v>
      </c>
      <c r="B215" s="2" t="s">
        <v>1</v>
      </c>
      <c r="C215" s="2"/>
      <c r="D215" s="2"/>
      <c r="E215" s="2"/>
      <c r="F215" s="2"/>
      <c r="G215" s="2"/>
      <c r="H215" s="2"/>
      <c r="I215" s="2"/>
      <c r="J215" s="2"/>
    </row>
    <row r="216" spans="1:15" customFormat="1" ht="16" ns3:dyDescent="0.2">
      <c r="A216" s="2" t="s">
        <v>6</v>
      </c>
      <c r="B216" s="2" t="s">
        <v>7</v>
      </c>
      <c r="C216" s="2"/>
      <c r="D216" s="2"/>
      <c r="E216" s="2"/>
      <c r="F216" s="2"/>
      <c r="G216" s="2"/>
      <c r="H216" s="2"/>
      <c r="I216" s="2"/>
      <c r="J216" s="2"/>
      <c r="K216" s="2"/>
      <c r="L216" s="2"/>
    </row>
    <row r="217" spans="1:15" customFormat="1" ht="16" ns3:dyDescent="0.2">
      <c r="A217" s="2" t="s">
        <v>8</v>
      </c>
      <c r="B217" s="2" t="s">
        <v>17</v>
      </c>
      <c r="C217" s="2"/>
      <c r="D217" s="2"/>
      <c r="E217" s="2"/>
      <c r="F217" s="2"/>
      <c r="G217" s="2"/>
      <c r="H217" s="2"/>
      <c r="I217" s="2"/>
      <c r="J217" s="2"/>
      <c r="K217" s="2"/>
      <c r="L217" s="2"/>
    </row>
    <row r="218" spans="1:15" customFormat="1" ht="16" ns3:dyDescent="0.2">
      <c r="A218" s="1" t="s">
        <v>10</v>
      </c>
      <c r="B218" s="2"/>
      <c r="C218" s="2"/>
      <c r="D218" s="2"/>
      <c r="E218" s="2"/>
      <c r="F218" s="2"/>
      <c r="G218" s="2"/>
      <c r="H218" s="2"/>
      <c r="I218" s="2"/>
      <c r="J218" s="2"/>
      <c r="K218" s="2"/>
      <c r="L218" s="2"/>
    </row>
    <row r="219" spans="1:15" ns3:dyDescent="0.2">
      <c r="A219" s="17" t="s">
        <v>11</v>
      </c>
      <c r="B219" s="17" t="s">
        <v>12</v>
      </c>
      <c r="C219" s="17" t="s">
        <v>3</v>
      </c>
      <c r="D219" s="17" t="s">
        <v>13</v>
      </c>
      <c r="E219" s="17" t="s">
        <v>8</v>
      </c>
      <c r="F219" s="17" t="s">
        <v>6</v>
      </c>
      <c r="G219" s="17" t="s">
        <v>5</v>
      </c>
    </row>
    <row r="220" spans="1:15" customFormat="1" ht="16" ns3:dyDescent="0.2">
      <c r="A220" s="2" t="str">
        <f>B212</f>
        <v>hard coal, burned in hard coal industrial furnace 1-10MW</v>
      </c>
      <c r="B220" s="2">
        <v>1</v>
      </c>
      <c r="C220" s="2" t="str">
        <f>B213</f>
        <v>RER</v>
      </c>
      <c r="D220" s="2"/>
      <c r="E220" s="2" t="str">
        <f>B217</f>
        <v>megajoule</v>
      </c>
      <c r="F220" s="2" t="s">
        <v>19</v>
      </c>
      <c r="G220" s="2" t="str">
        <f>B215</f>
        <v>heat</v>
      </c>
      <c r="H220" s="2"/>
      <c r="I220" s="2"/>
      <c r="J220" s="2"/>
      <c r="K220" s="2"/>
      <c r="L220" s="2"/>
    </row>
    <row r="221" spans="1:15" customFormat="1" ht="16" ns3:dyDescent="0.2">
      <c r="A221" s="2" t="s">
        <v>26</v>
      </c>
      <c r="B221">
        <v>0.8</v>
      </c>
      <c r="C221" t="s">
        <v>27</v>
      </c>
      <c r="E221" t="s">
        <v>17</v>
      </c>
      <c r="F221" t="s">
        <v>23</v>
      </c>
      <c r="G221" t="s">
        <v>21</v>
      </c>
      <c r="H221" s="2"/>
    </row>
    <row r="222" spans="1:15" customFormat="1" ht="16" ns3:dyDescent="0.2">
      <c r="H222" s="2"/>
    </row>
    <row r="223" spans="1:15" ns3:dyDescent="0.2">
      <c r="A223" s="17" t="s">
        <v>2</v>
      </c>
      <c r="B223" s="17" t="s">
        <v>37</v>
      </c>
    </row>
    <row r="224" spans="1:15" customFormat="1" ht="16" ns3:dyDescent="0.2">
      <c r="A224" s="2" t="s">
        <v>3</v>
      </c>
      <c r="B224" s="2" t="s">
        <v>18</v>
      </c>
      <c r="C224" s="2"/>
      <c r="D224" s="2"/>
      <c r="E224" s="2"/>
      <c r="F224" s="2"/>
      <c r="G224" s="2"/>
      <c r="H224" s="2"/>
      <c r="I224" s="2"/>
      <c r="J224" s="2"/>
      <c r="K224" s="2"/>
      <c r="L224" s="2"/>
    </row>
    <row r="225" spans="1:12" customFormat="1" ht="16" ns3:dyDescent="0.2">
      <c r="A225" s="2" t="s">
        <v>4</v>
      </c>
      <c r="B225" s="2">
        <v>1</v>
      </c>
      <c r="C225" s="2"/>
      <c r="D225" s="2"/>
      <c r="E225" s="2"/>
      <c r="F225" s="2"/>
      <c r="G225" s="2"/>
      <c r="H225" s="2"/>
      <c r="I225" s="2"/>
      <c r="J225" s="2"/>
      <c r="K225" s="2"/>
      <c r="L225" s="2"/>
    </row>
    <row r="226" spans="1:12" customFormat="1" ht="16" ns3:dyDescent="0.2">
      <c r="A226" s="2" t="s">
        <v>5</v>
      </c>
      <c r="B226" s="2" t="s">
        <v>1</v>
      </c>
      <c r="C226" s="2"/>
      <c r="D226" s="2"/>
      <c r="E226" s="2"/>
      <c r="F226" s="2"/>
      <c r="G226" s="2"/>
      <c r="H226" s="2"/>
      <c r="I226" s="2"/>
      <c r="J226" s="2"/>
    </row>
    <row r="227" spans="1:12" customFormat="1" ht="16" ns3:dyDescent="0.2">
      <c r="A227" s="2" t="s">
        <v>6</v>
      </c>
      <c r="B227" s="2" t="s">
        <v>7</v>
      </c>
      <c r="C227" s="2"/>
      <c r="D227" s="2"/>
      <c r="E227" s="2"/>
      <c r="F227" s="2"/>
      <c r="G227" s="2"/>
      <c r="H227" s="2"/>
      <c r="I227" s="2"/>
      <c r="J227" s="2"/>
      <c r="K227" s="2"/>
      <c r="L227" s="2"/>
    </row>
    <row r="228" spans="1:12" customFormat="1" ht="16" ns3:dyDescent="0.2">
      <c r="A228" s="2" t="s">
        <v>8</v>
      </c>
      <c r="B228" s="2" t="s">
        <v>17</v>
      </c>
      <c r="C228" s="2"/>
      <c r="D228" s="2"/>
      <c r="E228" s="2"/>
      <c r="F228" s="2"/>
      <c r="G228" s="2"/>
      <c r="H228" s="2"/>
      <c r="I228" s="2"/>
      <c r="J228" s="2"/>
      <c r="K228" s="2"/>
      <c r="L228" s="2"/>
    </row>
    <row r="229" spans="1:12" customFormat="1" ht="16" ns3:dyDescent="0.2">
      <c r="A229" s="1" t="s">
        <v>10</v>
      </c>
      <c r="B229" s="2"/>
      <c r="C229" s="2"/>
      <c r="D229" s="2"/>
      <c r="E229" s="2"/>
      <c r="F229" s="2"/>
      <c r="G229" s="2"/>
      <c r="H229" s="2"/>
      <c r="I229" s="2"/>
      <c r="J229" s="2"/>
      <c r="K229" s="2"/>
      <c r="L229" s="2"/>
    </row>
    <row r="230" spans="1:12" ns3:dyDescent="0.2">
      <c r="A230" s="17" t="s">
        <v>11</v>
      </c>
      <c r="B230" s="17" t="s">
        <v>12</v>
      </c>
      <c r="C230" s="17" t="s">
        <v>3</v>
      </c>
      <c r="D230" s="17" t="s">
        <v>13</v>
      </c>
      <c r="E230" s="17" t="s">
        <v>8</v>
      </c>
      <c r="F230" s="17" t="s">
        <v>6</v>
      </c>
      <c r="G230" s="17" t="s">
        <v>5</v>
      </c>
    </row>
    <row r="231" spans="1:12" customFormat="1" ht="16" ns3:dyDescent="0.2">
      <c r="A231" s="2" t="str">
        <f>B223</f>
        <v>hard coal briquettes, burned in stove 5-15kW</v>
      </c>
      <c r="B231" s="2">
        <v>1</v>
      </c>
      <c r="C231" s="2" t="str">
        <f>B224</f>
        <v>RER</v>
      </c>
      <c r="D231" s="2"/>
      <c r="E231" s="2" t="str">
        <f>B228</f>
        <v>megajoule</v>
      </c>
      <c r="F231" s="2" t="s">
        <v>19</v>
      </c>
      <c r="G231" s="2" t="str">
        <f>B226</f>
        <v>heat</v>
      </c>
      <c r="H231" s="2"/>
      <c r="I231" s="2"/>
      <c r="J231" s="2"/>
      <c r="K231" s="2"/>
      <c r="L231" s="2"/>
    </row>
    <row r="232" spans="1:12" customFormat="1" ht="16" ns3:dyDescent="0.2">
      <c r="A232" s="2" t="s">
        <v>38</v>
      </c>
      <c r="B232">
        <f>1/1.43</f>
        <v>0.69930069930069938</v>
      </c>
      <c r="C232" t="s">
        <v>27</v>
      </c>
      <c r="E232" t="s">
        <v>17</v>
      </c>
      <c r="F232" t="s">
        <v>23</v>
      </c>
      <c r="G232" t="s">
        <v>39</v>
      </c>
      <c r="H232" s="2"/>
    </row>
    <row r="233" spans="1:12" customFormat="1" ht="16" ns3:dyDescent="0.2">
      <c r="H233" s="2"/>
    </row>
    <row r="234" spans="1:12" ns3:dyDescent="0.2">
      <c r="A234" s="17" t="s">
        <v>2</v>
      </c>
      <c r="B234" s="17" t="s">
        <v>28</v>
      </c>
    </row>
    <row r="235" spans="1:12" customFormat="1" ht="16" ns3:dyDescent="0.2">
      <c r="A235" s="2" t="s">
        <v>3</v>
      </c>
      <c r="B235" s="2" t="s">
        <v>18</v>
      </c>
      <c r="C235" s="2"/>
      <c r="D235" s="2"/>
      <c r="E235" s="2"/>
      <c r="F235" s="2"/>
      <c r="G235" s="2"/>
      <c r="H235" s="2"/>
      <c r="I235" s="2"/>
      <c r="J235" s="2"/>
      <c r="K235" s="2"/>
      <c r="L235" s="2"/>
    </row>
    <row r="236" spans="1:12" customFormat="1" ht="16" ns3:dyDescent="0.2">
      <c r="A236" s="2" t="s">
        <v>4</v>
      </c>
      <c r="B236" s="2">
        <v>1</v>
      </c>
      <c r="C236" s="2"/>
      <c r="D236" s="2"/>
      <c r="E236" s="2"/>
      <c r="F236" s="2"/>
      <c r="G236" s="2"/>
      <c r="H236" s="2"/>
      <c r="I236" s="2"/>
      <c r="J236" s="2"/>
      <c r="K236" s="2"/>
      <c r="L236" s="2"/>
    </row>
    <row r="237" spans="1:12" customFormat="1" ht="16" ns3:dyDescent="0.2">
      <c r="A237" s="2" t="s">
        <v>5</v>
      </c>
      <c r="B237" s="2" t="s">
        <v>1</v>
      </c>
      <c r="C237" s="2"/>
      <c r="D237" s="2"/>
      <c r="E237" s="2"/>
      <c r="F237" s="2"/>
      <c r="G237" s="2"/>
      <c r="H237" s="2"/>
      <c r="I237" s="2"/>
      <c r="J237" s="2"/>
    </row>
    <row r="238" spans="1:12" customFormat="1" ht="16" ns3:dyDescent="0.2">
      <c r="A238" s="2" t="s">
        <v>6</v>
      </c>
      <c r="B238" s="2" t="s">
        <v>7</v>
      </c>
      <c r="C238" s="2"/>
      <c r="D238" s="2"/>
      <c r="E238" s="2"/>
      <c r="F238" s="2"/>
      <c r="G238" s="2"/>
      <c r="H238" s="2"/>
      <c r="I238" s="2"/>
      <c r="J238" s="2"/>
      <c r="K238" s="2"/>
      <c r="L238" s="2"/>
    </row>
    <row r="239" spans="1:12" customFormat="1" ht="16" ns3:dyDescent="0.2">
      <c r="A239" s="2" t="s">
        <v>8</v>
      </c>
      <c r="B239" s="2" t="s">
        <v>17</v>
      </c>
      <c r="C239" s="2"/>
      <c r="D239" s="2"/>
      <c r="E239" s="2"/>
      <c r="F239" s="2"/>
      <c r="G239" s="2"/>
      <c r="H239" s="2"/>
      <c r="I239" s="2"/>
      <c r="J239" s="2"/>
      <c r="K239" s="2"/>
      <c r="L239" s="2"/>
    </row>
    <row r="240" spans="1:12" customFormat="1" ht="16" ns3:dyDescent="0.2">
      <c r="A240" s="1" t="s">
        <v>10</v>
      </c>
      <c r="B240" s="2"/>
      <c r="C240" s="2"/>
      <c r="D240" s="2"/>
      <c r="E240" s="2"/>
      <c r="F240" s="2"/>
      <c r="G240" s="2"/>
      <c r="H240" s="2"/>
      <c r="I240" s="2"/>
      <c r="J240" s="2"/>
      <c r="K240" s="2"/>
      <c r="L240" s="2"/>
    </row>
    <row r="241" spans="1:12" ns3:dyDescent="0.2">
      <c r="A241" s="17" t="s">
        <v>11</v>
      </c>
      <c r="B241" s="17" t="s">
        <v>12</v>
      </c>
      <c r="C241" s="17" t="s">
        <v>3</v>
      </c>
      <c r="D241" s="17" t="s">
        <v>13</v>
      </c>
      <c r="E241" s="17" t="s">
        <v>8</v>
      </c>
      <c r="F241" s="17" t="s">
        <v>6</v>
      </c>
      <c r="G241" s="17" t="s">
        <v>5</v>
      </c>
    </row>
    <row r="242" spans="1:12" customFormat="1" ht="16" ns3:dyDescent="0.2">
      <c r="A242" s="2" t="str">
        <f>B234</f>
        <v>light fuel oil, burned in industrial furnace 1MW</v>
      </c>
      <c r="B242" s="2">
        <v>1</v>
      </c>
      <c r="C242" s="2" t="str">
        <f>B235</f>
        <v>RER</v>
      </c>
      <c r="D242" s="2"/>
      <c r="E242" s="2" t="str">
        <f>B239</f>
        <v>megajoule</v>
      </c>
      <c r="F242" s="2" t="s">
        <v>19</v>
      </c>
      <c r="G242" s="2" t="str">
        <f>B237</f>
        <v>heat</v>
      </c>
      <c r="H242" s="2"/>
      <c r="I242" s="2"/>
      <c r="J242" s="2"/>
      <c r="K242" s="2"/>
      <c r="L242" s="2"/>
    </row>
    <row r="243" spans="1:12" customFormat="1" ht="16" ns3:dyDescent="0.2">
      <c r="A243" s="2" t="s">
        <v>29</v>
      </c>
      <c r="B243">
        <f>1/(0.024653*40.1)</f>
        <v>1.0115464998316279</v>
      </c>
      <c r="C243" t="s">
        <v>27</v>
      </c>
      <c r="E243" t="s">
        <v>17</v>
      </c>
      <c r="F243" t="s">
        <v>23</v>
      </c>
      <c r="G243" t="s">
        <v>21</v>
      </c>
      <c r="H243" s="2"/>
    </row>
    <row r="244" spans="1:12" customFormat="1" ht="16" ns3:dyDescent="0.2">
      <c r="H244" s="2"/>
    </row>
    <row r="245" spans="1:12" ns3:dyDescent="0.2">
      <c r="A245" s="17" t="s">
        <v>2</v>
      </c>
      <c r="B245" s="17" t="s">
        <v>40</v>
      </c>
    </row>
    <row r="246" spans="1:12" customFormat="1" ht="16" ns3:dyDescent="0.2">
      <c r="A246" s="2" t="s">
        <v>3</v>
      </c>
      <c r="B246" s="2" t="s">
        <v>18</v>
      </c>
      <c r="C246" s="2"/>
      <c r="D246" s="2"/>
      <c r="E246" s="2"/>
      <c r="F246" s="2"/>
      <c r="G246" s="2"/>
      <c r="H246" s="2"/>
      <c r="I246" s="2"/>
      <c r="J246" s="2"/>
      <c r="K246" s="2"/>
      <c r="L246" s="2"/>
    </row>
    <row r="247" spans="1:12" customFormat="1" ht="16" ns3:dyDescent="0.2">
      <c r="A247" s="2" t="s">
        <v>4</v>
      </c>
      <c r="B247" s="2">
        <v>1</v>
      </c>
      <c r="C247" s="2"/>
      <c r="D247" s="2"/>
      <c r="E247" s="2"/>
      <c r="F247" s="2"/>
      <c r="G247" s="2"/>
      <c r="H247" s="2"/>
      <c r="I247" s="2"/>
      <c r="J247" s="2"/>
      <c r="K247" s="2"/>
      <c r="L247" s="2"/>
    </row>
    <row r="248" spans="1:12" customFormat="1" ht="16" ns3:dyDescent="0.2">
      <c r="A248" s="2" t="s">
        <v>5</v>
      </c>
      <c r="B248" s="2" t="s">
        <v>1</v>
      </c>
      <c r="C248" s="2"/>
      <c r="D248" s="2"/>
      <c r="E248" s="2"/>
      <c r="F248" s="2"/>
      <c r="G248" s="2"/>
      <c r="H248" s="2"/>
      <c r="I248" s="2"/>
      <c r="J248" s="2"/>
    </row>
    <row r="249" spans="1:12" customFormat="1" ht="16" ns3:dyDescent="0.2">
      <c r="A249" s="2" t="s">
        <v>6</v>
      </c>
      <c r="B249" s="2" t="s">
        <v>7</v>
      </c>
      <c r="C249" s="2"/>
      <c r="D249" s="2"/>
      <c r="E249" s="2"/>
      <c r="F249" s="2"/>
      <c r="G249" s="2"/>
      <c r="H249" s="2"/>
      <c r="I249" s="2"/>
      <c r="J249" s="2"/>
      <c r="K249" s="2"/>
      <c r="L249" s="2"/>
    </row>
    <row r="250" spans="1:12" customFormat="1" ht="16" ns3:dyDescent="0.2">
      <c r="A250" s="2" t="s">
        <v>8</v>
      </c>
      <c r="B250" s="2" t="s">
        <v>17</v>
      </c>
      <c r="C250" s="2"/>
      <c r="D250" s="2"/>
      <c r="E250" s="2"/>
      <c r="F250" s="2"/>
      <c r="G250" s="2"/>
      <c r="H250" s="2"/>
      <c r="I250" s="2"/>
      <c r="J250" s="2"/>
      <c r="K250" s="2"/>
      <c r="L250" s="2"/>
    </row>
    <row r="251" spans="1:12" customFormat="1" ht="16" ns3:dyDescent="0.2">
      <c r="A251" s="1" t="s">
        <v>10</v>
      </c>
      <c r="B251" s="2"/>
      <c r="C251" s="2"/>
      <c r="D251" s="2"/>
      <c r="E251" s="2"/>
      <c r="F251" s="2"/>
      <c r="G251" s="2"/>
      <c r="H251" s="2"/>
      <c r="I251" s="2"/>
      <c r="J251" s="2"/>
      <c r="K251" s="2"/>
      <c r="L251" s="2"/>
    </row>
    <row r="252" spans="1:12" ns3:dyDescent="0.2">
      <c r="A252" s="17" t="s">
        <v>11</v>
      </c>
      <c r="B252" s="17" t="s">
        <v>12</v>
      </c>
      <c r="C252" s="17" t="s">
        <v>3</v>
      </c>
      <c r="D252" s="17" t="s">
        <v>13</v>
      </c>
      <c r="E252" s="17" t="s">
        <v>8</v>
      </c>
      <c r="F252" s="17" t="s">
        <v>6</v>
      </c>
      <c r="G252" s="17" t="s">
        <v>5</v>
      </c>
    </row>
    <row r="253" spans="1:12" customFormat="1" ht="16" ns3:dyDescent="0.2">
      <c r="A253" s="2" t="str">
        <f>B245</f>
        <v>light fuel oil, burned in residential boiler 10kW</v>
      </c>
      <c r="B253" s="2">
        <v>1</v>
      </c>
      <c r="C253" s="2" t="str">
        <f>B246</f>
        <v>RER</v>
      </c>
      <c r="D253" s="2"/>
      <c r="E253" s="2" t="str">
        <f>B250</f>
        <v>megajoule</v>
      </c>
      <c r="F253" s="2" t="s">
        <v>19</v>
      </c>
      <c r="G253" s="2" t="str">
        <f>B248</f>
        <v>heat</v>
      </c>
      <c r="H253" s="2"/>
      <c r="I253" s="2"/>
      <c r="J253" s="2"/>
      <c r="K253" s="2"/>
      <c r="L253" s="2"/>
    </row>
    <row r="254" spans="1:12" customFormat="1" ht="16" ns3:dyDescent="0.2">
      <c r="A254" s="2" t="s">
        <v>41</v>
      </c>
      <c r="B254">
        <f>1/(0.02342*40.1)</f>
        <v>1.0648017019790403</v>
      </c>
      <c r="C254" t="s">
        <v>27</v>
      </c>
      <c r="E254" t="s">
        <v>17</v>
      </c>
      <c r="F254" t="s">
        <v>23</v>
      </c>
      <c r="G254" t="s">
        <v>39</v>
      </c>
      <c r="H254" s="2"/>
    </row>
    <row r="255" spans="1:12" customFormat="1" ht="16" ns3:dyDescent="0.2">
      <c r="H255" s="2"/>
    </row>
    <row r="256" spans="1:12" ns3:dyDescent="0.2">
      <c r="A256" s="17" t="s">
        <v>2</v>
      </c>
      <c r="B256" s="17" t="s">
        <v>42</v>
      </c>
    </row>
    <row r="257" spans="1:12" customFormat="1" ht="16" ns3:dyDescent="0.2">
      <c r="A257" s="2" t="s">
        <v>3</v>
      </c>
      <c r="B257" s="2" t="s">
        <v>18</v>
      </c>
      <c r="C257" s="2"/>
      <c r="D257" s="2"/>
      <c r="E257" s="2"/>
      <c r="F257" s="2"/>
      <c r="G257" s="2"/>
      <c r="H257" s="2"/>
      <c r="I257" s="2"/>
      <c r="J257" s="2"/>
      <c r="K257" s="2"/>
      <c r="L257" s="2"/>
    </row>
    <row r="258" spans="1:12" customFormat="1" ht="16" ns3:dyDescent="0.2">
      <c r="A258" s="2" t="s">
        <v>4</v>
      </c>
      <c r="B258" s="2">
        <v>1</v>
      </c>
      <c r="C258" s="2"/>
      <c r="D258" s="2"/>
      <c r="E258" s="2"/>
      <c r="F258" s="2"/>
      <c r="G258" s="2"/>
      <c r="H258" s="2"/>
      <c r="I258" s="2"/>
      <c r="J258" s="2"/>
      <c r="K258" s="2"/>
      <c r="L258" s="2"/>
    </row>
    <row r="259" spans="1:12" customFormat="1" ht="16" ns3:dyDescent="0.2">
      <c r="A259" s="2" t="s">
        <v>5</v>
      </c>
      <c r="B259" s="2" t="s">
        <v>1</v>
      </c>
      <c r="C259" s="2"/>
      <c r="D259" s="2"/>
      <c r="E259" s="2"/>
      <c r="F259" s="2"/>
      <c r="G259" s="2"/>
      <c r="H259" s="2"/>
      <c r="I259" s="2"/>
      <c r="J259" s="2"/>
    </row>
    <row r="260" spans="1:12" customFormat="1" ht="16" ns3:dyDescent="0.2">
      <c r="A260" s="2" t="s">
        <v>6</v>
      </c>
      <c r="B260" s="2" t="s">
        <v>7</v>
      </c>
      <c r="C260" s="2"/>
      <c r="D260" s="2"/>
      <c r="E260" s="2"/>
      <c r="F260" s="2"/>
      <c r="G260" s="2"/>
      <c r="H260" s="2"/>
      <c r="I260" s="2"/>
      <c r="J260" s="2"/>
      <c r="K260" s="2"/>
      <c r="L260" s="2"/>
    </row>
    <row r="261" spans="1:12" customFormat="1" ht="16" ns3:dyDescent="0.2">
      <c r="A261" s="2" t="s">
        <v>8</v>
      </c>
      <c r="B261" s="2" t="s">
        <v>17</v>
      </c>
      <c r="C261" s="2"/>
      <c r="D261" s="2"/>
      <c r="E261" s="2"/>
      <c r="F261" s="2"/>
      <c r="G261" s="2"/>
      <c r="H261" s="2"/>
      <c r="I261" s="2"/>
      <c r="J261" s="2"/>
      <c r="K261" s="2"/>
      <c r="L261" s="2"/>
    </row>
    <row r="262" spans="1:12" customFormat="1" ht="16" ns3:dyDescent="0.2">
      <c r="A262" s="1" t="s">
        <v>10</v>
      </c>
      <c r="B262" s="2"/>
      <c r="C262" s="2"/>
      <c r="D262" s="2"/>
      <c r="E262" s="2"/>
      <c r="F262" s="2"/>
      <c r="G262" s="2"/>
      <c r="H262" s="2"/>
      <c r="I262" s="2"/>
      <c r="J262" s="2"/>
      <c r="K262" s="2"/>
      <c r="L262" s="2"/>
    </row>
    <row r="263" spans="1:12" ns3:dyDescent="0.2">
      <c r="A263" s="17" t="s">
        <v>11</v>
      </c>
      <c r="B263" s="17" t="s">
        <v>12</v>
      </c>
      <c r="C263" s="17" t="s">
        <v>3</v>
      </c>
      <c r="D263" s="17" t="s">
        <v>13</v>
      </c>
      <c r="E263" s="17" t="s">
        <v>8</v>
      </c>
      <c r="F263" s="17" t="s">
        <v>6</v>
      </c>
      <c r="G263" s="17" t="s">
        <v>5</v>
      </c>
    </row>
    <row r="264" spans="1:12" customFormat="1" ht="16" ns3:dyDescent="0.2">
      <c r="A264" s="2" t="str">
        <f>B256</f>
        <v>propane, burned in industrial furnace &gt;100kW</v>
      </c>
      <c r="B264" s="2">
        <v>1</v>
      </c>
      <c r="C264" s="2" t="str">
        <f>B257</f>
        <v>RER</v>
      </c>
      <c r="D264" s="2"/>
      <c r="E264" s="2" t="str">
        <f>B261</f>
        <v>megajoule</v>
      </c>
      <c r="F264" s="2" t="s">
        <v>19</v>
      </c>
      <c r="G264" s="2" t="str">
        <f>B259</f>
        <v>heat</v>
      </c>
      <c r="H264" s="2"/>
      <c r="I264" s="2"/>
      <c r="J264" s="2"/>
      <c r="K264" s="2"/>
      <c r="L264" s="2"/>
    </row>
    <row r="265" spans="1:12" customFormat="1" ht="16" ns3:dyDescent="0.2">
      <c r="A265" s="2" t="s">
        <v>43</v>
      </c>
      <c r="B265">
        <f>1/(0.022657*46.4)</f>
        <v>0.95121702511060757</v>
      </c>
      <c r="C265" t="s">
        <v>127</v>
      </c>
      <c r="E265" t="s">
        <v>17</v>
      </c>
      <c r="F265" t="s">
        <v>23</v>
      </c>
      <c r="G265" t="s">
        <v>21</v>
      </c>
      <c r="H265" s="2"/>
    </row>
    <row r="266" spans="1:12" customFormat="1" ht="16" ns3:dyDescent="0.2">
      <c r="H266" s="2"/>
    </row>
    <row r="267" spans="1:12" ns3:dyDescent="0.2">
      <c r="A267" s="17" t="s">
        <v>2</v>
      </c>
      <c r="B267" s="17" t="s">
        <v>396</v>
      </c>
    </row>
    <row r="268" spans="1:12" customFormat="1" ht="16" ns3:dyDescent="0.2">
      <c r="A268" s="2" t="s">
        <v>3</v>
      </c>
      <c r="B268" s="2" t="s">
        <v>18</v>
      </c>
      <c r="C268" s="2"/>
      <c r="D268" s="2"/>
      <c r="E268" s="2"/>
      <c r="F268" s="2"/>
      <c r="G268" s="2"/>
      <c r="H268" s="2"/>
      <c r="I268" s="2"/>
      <c r="J268" s="2"/>
      <c r="K268" s="2"/>
      <c r="L268" s="2"/>
    </row>
    <row r="269" spans="1:12" customFormat="1" ht="16" ns3:dyDescent="0.2">
      <c r="A269" s="2" t="s">
        <v>4</v>
      </c>
      <c r="B269" s="2">
        <v>1</v>
      </c>
      <c r="C269" s="2"/>
      <c r="D269" s="2"/>
      <c r="E269" s="2"/>
      <c r="F269" s="2"/>
      <c r="G269" s="2"/>
      <c r="H269" s="2"/>
      <c r="I269" s="2"/>
      <c r="J269" s="2"/>
      <c r="K269" s="2"/>
      <c r="L269" s="2"/>
    </row>
    <row r="270" spans="1:12" customFormat="1" ht="16" ns3:dyDescent="0.2">
      <c r="A270" s="2" t="s">
        <v>5</v>
      </c>
      <c r="B270" s="2" t="s">
        <v>1</v>
      </c>
      <c r="C270" s="2"/>
      <c r="D270" s="2"/>
      <c r="E270" s="2"/>
      <c r="F270" s="2"/>
      <c r="G270" s="2"/>
      <c r="H270" s="2"/>
      <c r="I270" s="2"/>
      <c r="J270" s="2"/>
    </row>
    <row r="271" spans="1:12" customFormat="1" ht="16" ns3:dyDescent="0.2">
      <c r="A271" s="2" t="s">
        <v>6</v>
      </c>
      <c r="B271" s="2" t="s">
        <v>7</v>
      </c>
      <c r="C271" s="2"/>
      <c r="D271" s="2"/>
      <c r="E271" s="2"/>
      <c r="F271" s="2"/>
      <c r="G271" s="2"/>
      <c r="H271" s="2"/>
      <c r="I271" s="2"/>
      <c r="J271" s="2"/>
      <c r="K271" s="2"/>
      <c r="L271" s="2"/>
    </row>
    <row r="272" spans="1:12" customFormat="1" ht="16" ns3:dyDescent="0.2">
      <c r="A272" s="2" t="s">
        <v>8</v>
      </c>
      <c r="B272" s="2" t="s">
        <v>17</v>
      </c>
      <c r="C272" s="2"/>
      <c r="D272" s="2"/>
      <c r="E272" s="2"/>
      <c r="F272" s="2"/>
      <c r="G272" s="2"/>
      <c r="H272" s="2"/>
      <c r="I272" s="2"/>
      <c r="J272" s="2"/>
      <c r="K272" s="2"/>
      <c r="L272" s="2"/>
    </row>
    <row r="273" spans="1:12" customFormat="1" ht="16" ns3:dyDescent="0.2">
      <c r="A273" s="1" t="s">
        <v>10</v>
      </c>
      <c r="B273" s="2"/>
      <c r="C273" s="2"/>
      <c r="D273" s="2"/>
      <c r="E273" s="2"/>
      <c r="F273" s="2"/>
      <c r="G273" s="2"/>
      <c r="H273" s="2"/>
      <c r="I273" s="2"/>
      <c r="J273" s="2"/>
      <c r="K273" s="2"/>
      <c r="L273" s="2"/>
    </row>
    <row r="274" spans="1:12" ns3:dyDescent="0.2">
      <c r="A274" s="17" t="s">
        <v>11</v>
      </c>
      <c r="B274" s="17" t="s">
        <v>12</v>
      </c>
      <c r="C274" s="17" t="s">
        <v>3</v>
      </c>
      <c r="D274" s="17" t="s">
        <v>13</v>
      </c>
      <c r="E274" s="17" t="s">
        <v>8</v>
      </c>
      <c r="F274" s="17" t="s">
        <v>6</v>
      </c>
      <c r="G274" s="17" t="s">
        <v>5</v>
      </c>
    </row>
    <row r="275" spans="1:12" customFormat="1" ht="16" ns3:dyDescent="0.2">
      <c r="A275" s="2" t="str">
        <f>B267</f>
        <v>methanol, synthetic, burned in residential boiler</v>
      </c>
      <c r="B275" s="2">
        <v>1</v>
      </c>
      <c r="C275" s="2" t="str">
        <f>B268</f>
        <v>RER</v>
      </c>
      <c r="D275" s="2"/>
      <c r="E275" s="2" t="str">
        <f>B272</f>
        <v>megajoule</v>
      </c>
      <c r="F275" s="2" t="s">
        <v>19</v>
      </c>
      <c r="G275" s="2" t="str">
        <f>B270</f>
        <v>heat</v>
      </c>
      <c r="H275" s="2"/>
      <c r="I275" s="2"/>
      <c r="J275" s="2"/>
      <c r="K275" s="2"/>
      <c r="L275" s="2"/>
    </row>
    <row r="276" spans="1:12" customFormat="1" ht="16" ns3:dyDescent="0.2">
      <c r="A276" s="2" t="s">
        <v>397</v>
      </c>
      <c r="B276">
        <f>1/(0.05556*20)</f>
        <v>0.89992800575953924</v>
      </c>
      <c r="C276" t="s">
        <v>18</v>
      </c>
      <c r="E276" t="s">
        <v>17</v>
      </c>
      <c r="F276" t="s">
        <v>23</v>
      </c>
      <c r="G276" t="s">
        <v>31</v>
      </c>
      <c r="H276" s="2"/>
    </row>
    <row r="277" spans="1:12" customFormat="1" ht="16" ns3:dyDescent="0.2">
      <c r="H277" s="2"/>
    </row>
    <row r="278" spans="1:12" ns3:dyDescent="0.2">
      <c r="A278" s="17" t="s">
        <v>2</v>
      </c>
      <c r="B278" s="17" t="s">
        <v>32</v>
      </c>
    </row>
    <row r="279" spans="1:12" customFormat="1" ht="16" ns3:dyDescent="0.2">
      <c r="A279" s="2" t="s">
        <v>3</v>
      </c>
      <c r="B279" s="2" t="s">
        <v>18</v>
      </c>
      <c r="C279" s="2"/>
      <c r="D279" s="2"/>
      <c r="E279" s="2"/>
      <c r="F279" s="2"/>
      <c r="G279" s="2"/>
      <c r="H279" s="2"/>
      <c r="I279" s="2"/>
      <c r="J279" s="2"/>
      <c r="K279" s="2"/>
      <c r="L279" s="2"/>
    </row>
    <row r="280" spans="1:12" customFormat="1" ht="16" ns3:dyDescent="0.2">
      <c r="A280" s="2" t="s">
        <v>4</v>
      </c>
      <c r="B280" s="2">
        <v>1</v>
      </c>
      <c r="C280" s="2"/>
      <c r="D280" s="2"/>
      <c r="E280" s="2"/>
      <c r="F280" s="2"/>
      <c r="G280" s="2"/>
      <c r="H280" s="2"/>
      <c r="I280" s="2"/>
      <c r="J280" s="2"/>
      <c r="K280" s="2"/>
      <c r="L280" s="2"/>
    </row>
    <row r="281" spans="1:12" customFormat="1" ht="16" ns3:dyDescent="0.2">
      <c r="A281" s="2" t="s">
        <v>5</v>
      </c>
      <c r="B281" s="2" t="s">
        <v>1</v>
      </c>
      <c r="C281" s="2"/>
      <c r="D281" s="2"/>
      <c r="E281" s="2"/>
      <c r="F281" s="2"/>
      <c r="G281" s="2"/>
      <c r="H281" s="2"/>
      <c r="I281" s="2"/>
      <c r="J281" s="2"/>
    </row>
    <row r="282" spans="1:12" customFormat="1" ht="16" ns3:dyDescent="0.2">
      <c r="A282" s="2" t="s">
        <v>6</v>
      </c>
      <c r="B282" s="2" t="s">
        <v>7</v>
      </c>
      <c r="C282" s="2"/>
      <c r="D282" s="2"/>
      <c r="E282" s="2"/>
      <c r="F282" s="2"/>
      <c r="G282" s="2"/>
      <c r="H282" s="2"/>
      <c r="I282" s="2"/>
      <c r="J282" s="2"/>
      <c r="K282" s="2"/>
      <c r="L282" s="2"/>
    </row>
    <row r="283" spans="1:12" customFormat="1" ht="16" ns3:dyDescent="0.2">
      <c r="A283" s="2" t="s">
        <v>8</v>
      </c>
      <c r="B283" s="2" t="s">
        <v>17</v>
      </c>
      <c r="C283" s="2"/>
      <c r="D283" s="2"/>
      <c r="E283" s="2"/>
      <c r="F283" s="2"/>
      <c r="G283" s="2"/>
      <c r="H283" s="2"/>
      <c r="I283" s="2"/>
      <c r="J283" s="2"/>
      <c r="K283" s="2"/>
      <c r="L283" s="2"/>
    </row>
    <row r="284" spans="1:12" customFormat="1" ht="16" ns3:dyDescent="0.2">
      <c r="A284" s="1" t="s">
        <v>10</v>
      </c>
      <c r="B284" s="2"/>
      <c r="C284" s="2"/>
      <c r="D284" s="2"/>
      <c r="E284" s="2"/>
      <c r="F284" s="2"/>
      <c r="G284" s="2"/>
      <c r="H284" s="2"/>
      <c r="I284" s="2"/>
      <c r="J284" s="2"/>
      <c r="K284" s="2"/>
      <c r="L284" s="2"/>
    </row>
    <row r="285" spans="1:12" ns3:dyDescent="0.2">
      <c r="A285" s="17" t="s">
        <v>11</v>
      </c>
      <c r="B285" s="17" t="s">
        <v>12</v>
      </c>
      <c r="C285" s="17" t="s">
        <v>3</v>
      </c>
      <c r="D285" s="17" t="s">
        <v>13</v>
      </c>
      <c r="E285" s="17" t="s">
        <v>8</v>
      </c>
      <c r="F285" s="17" t="s">
        <v>6</v>
      </c>
      <c r="G285" s="17" t="s">
        <v>5</v>
      </c>
    </row>
    <row r="286" spans="1:12" customFormat="1" ht="16" ns3:dyDescent="0.2">
      <c r="A286" s="2" t="str">
        <f>B278</f>
        <v>methanol from biomass, burned in residential boiler</v>
      </c>
      <c r="B286" s="2">
        <v>1</v>
      </c>
      <c r="C286" s="2" t="str">
        <f>B279</f>
        <v>RER</v>
      </c>
      <c r="D286" s="2"/>
      <c r="E286" s="2" t="str">
        <f>B283</f>
        <v>megajoule</v>
      </c>
      <c r="F286" s="2" t="s">
        <v>19</v>
      </c>
      <c r="G286" s="2" t="str">
        <f>B281</f>
        <v>heat</v>
      </c>
      <c r="H286" s="2"/>
      <c r="I286" s="2"/>
      <c r="J286" s="2"/>
      <c r="K286" s="2"/>
      <c r="L286" s="2"/>
    </row>
    <row r="287" spans="1:12" customFormat="1" ht="16" ns3:dyDescent="0.2">
      <c r="A287" s="2" t="s">
        <v>30</v>
      </c>
      <c r="B287">
        <f>1/(0.05556*20)</f>
        <v>0.89992800575953924</v>
      </c>
      <c r="C287" t="s">
        <v>18</v>
      </c>
      <c r="E287" t="s">
        <v>17</v>
      </c>
      <c r="F287" t="s">
        <v>23</v>
      </c>
      <c r="G287" t="s">
        <v>31</v>
      </c>
      <c r="H287" s="2"/>
    </row>
    <row r="288" spans="1:12" customFormat="1" ht="16" ns3:dyDescent="0.2">
      <c r="H288" s="2"/>
    </row>
    <row r="289" spans="1:20" s="4" customFormat="1" ht="16" ns3:dyDescent="0.2">
      <c r="A289" s="38" t="s">
        <v>2</v>
      </c>
      <c r="B289" s="39" t="s">
        <v>441</v>
      </c>
    </row>
    <row r="290" spans="1:20" s="4" customFormat="1" ht="16" ns3:dyDescent="0.2">
      <c r="A290" s="4" t="s">
        <v>151</v>
      </c>
      <c r="B290" s="40" t="s">
        <v>442</v>
      </c>
    </row>
    <row r="291" spans="1:20" s="4" customFormat="1" ht="16" ns3:dyDescent="0.2">
      <c r="A291" s="4" t="s">
        <v>204</v>
      </c>
      <c r="B291" s="40" t="s">
        <v>419</v>
      </c>
    </row>
    <row r="292" spans="1:20" s="4" customFormat="1" ht="16" ns3:dyDescent="0.2">
      <c r="A292" s="4" t="s">
        <v>3</v>
      </c>
      <c r="B292" s="40" t="s">
        <v>18</v>
      </c>
    </row>
    <row r="293" spans="1:20" s="4" customFormat="1" ht="16" ns3:dyDescent="0.2">
      <c r="A293" s="4" t="s">
        <v>5</v>
      </c>
      <c r="B293" s="40" t="s">
        <v>31</v>
      </c>
    </row>
    <row r="294" spans="1:20" s="4" customFormat="1" ht="16" ns3:dyDescent="0.2">
      <c r="A294" s="4" t="s">
        <v>8</v>
      </c>
      <c r="B294" s="40" t="s">
        <v>17</v>
      </c>
    </row>
    <row r="295" spans="1:20" s="4" customFormat="1" ht="16" ns3:dyDescent="0.2">
      <c r="A295" s="41" t="s">
        <v>10</v>
      </c>
      <c r="B295" s="40"/>
    </row>
    <row r="296" spans="1:20" s="4" customFormat="1" ht="16" ns3:dyDescent="0.2">
      <c r="A296" s="38" t="s">
        <v>11</v>
      </c>
      <c r="B296" s="39" t="s">
        <v>12</v>
      </c>
      <c r="C296" s="38" t="s">
        <v>8</v>
      </c>
      <c r="D296" s="38" t="s">
        <v>13</v>
      </c>
      <c r="E296" s="38" t="s">
        <v>3</v>
      </c>
      <c r="F296" s="38" t="s">
        <v>6</v>
      </c>
      <c r="G296" s="38" t="s">
        <v>5</v>
      </c>
      <c r="H296" s="38" t="s">
        <v>151</v>
      </c>
      <c r="I296" s="38" t="s">
        <v>179</v>
      </c>
      <c r="J296" s="38" t="s">
        <v>180</v>
      </c>
      <c r="K296" s="38" t="s">
        <v>420</v>
      </c>
      <c r="L296" s="38" t="s">
        <v>421</v>
      </c>
      <c r="M296" s="38" t="s">
        <v>422</v>
      </c>
      <c r="N296" s="38" t="s">
        <v>423</v>
      </c>
      <c r="O296" s="38" t="s">
        <v>424</v>
      </c>
      <c r="P296" s="38" t="s">
        <v>425</v>
      </c>
      <c r="Q296" s="38" t="s">
        <v>426</v>
      </c>
      <c r="R296" s="38" t="s">
        <v>427</v>
      </c>
      <c r="S296" s="38" t="s">
        <v>428</v>
      </c>
      <c r="T296" s="38"/>
    </row>
    <row r="297" spans="1:20" s="4" customFormat="1" ht="16" ns3:dyDescent="0.2">
      <c r="A297" s="4" t="str">
        <f>B289</f>
        <v>heat, residential, by combustion of light fuel oil, from cellulosic non-residual biomass, using boiler</v>
      </c>
      <c r="B297" s="40">
        <v>1</v>
      </c>
      <c r="C297" s="4" t="s">
        <v>17</v>
      </c>
      <c r="E297" s="40" t="s">
        <v>18</v>
      </c>
      <c r="F297" s="4" t="s">
        <v>19</v>
      </c>
      <c r="G297" s="4" t="s">
        <v>31</v>
      </c>
    </row>
    <row r="298" spans="1:20" s="4" customFormat="1" ht="16" ns3:dyDescent="0.2">
      <c r="A298" s="4" t="s">
        <v>402</v>
      </c>
      <c r="B298" s="42">
        <f>1/43/0.9</f>
        <v>2.5839793281653745E-2</v>
      </c>
      <c r="C298" s="4" t="s">
        <v>9</v>
      </c>
      <c r="E298" s="40" t="s">
        <v>18</v>
      </c>
      <c r="F298" s="4" t="s">
        <v>23</v>
      </c>
      <c r="G298" s="4" t="s">
        <v>404</v>
      </c>
      <c r="H298" s="43" t="s">
        <v>443</v>
      </c>
      <c r="I298" s="4">
        <v>2</v>
      </c>
      <c r="J298" s="4">
        <v>-2.8903717578961645</v>
      </c>
      <c r="K298" s="4">
        <v>1.05</v>
      </c>
      <c r="L298" s="5">
        <v>1.2</v>
      </c>
      <c r="M298" s="4">
        <v>1</v>
      </c>
      <c r="N298" s="4">
        <v>1.01</v>
      </c>
      <c r="O298" s="4">
        <v>1.2</v>
      </c>
      <c r="P298" s="4">
        <v>1.2</v>
      </c>
      <c r="Q298" s="4">
        <v>1.05</v>
      </c>
      <c r="R298" s="4">
        <v>0.16169679924070957</v>
      </c>
    </row>
    <row r="299" spans="1:20" s="4" customFormat="1" ht="16" ns3:dyDescent="0.2">
      <c r="A299" s="4" t="s">
        <v>429</v>
      </c>
      <c r="B299" s="45">
        <v>7.3486184597295713E-7</v>
      </c>
      <c r="C299" s="4" t="s">
        <v>8</v>
      </c>
      <c r="E299" s="4" t="s">
        <v>114</v>
      </c>
      <c r="F299" s="4" t="s">
        <v>23</v>
      </c>
      <c r="G299" s="4" t="s">
        <v>430</v>
      </c>
      <c r="H299" s="4" t="s">
        <v>431</v>
      </c>
      <c r="I299" s="4">
        <v>2</v>
      </c>
      <c r="J299" s="4">
        <v>-14.123583320063789</v>
      </c>
      <c r="K299" s="4">
        <v>1.05</v>
      </c>
      <c r="L299" s="5">
        <v>1.2</v>
      </c>
      <c r="M299" s="4">
        <v>1</v>
      </c>
      <c r="N299" s="4">
        <v>1.01</v>
      </c>
      <c r="O299" s="4">
        <v>1.2</v>
      </c>
      <c r="P299" s="4">
        <v>1.2</v>
      </c>
      <c r="Q299" s="4">
        <v>3</v>
      </c>
      <c r="R299" s="4">
        <v>0.57209088006881903</v>
      </c>
    </row>
    <row r="300" spans="1:20" s="4" customFormat="1" ht="16" ns3:dyDescent="0.2">
      <c r="A300" s="4" t="s">
        <v>432</v>
      </c>
      <c r="B300" s="45">
        <v>4.4092000000000001E-7</v>
      </c>
      <c r="C300" s="4" t="s">
        <v>8</v>
      </c>
      <c r="E300" s="4" t="s">
        <v>114</v>
      </c>
      <c r="F300" s="4" t="s">
        <v>23</v>
      </c>
      <c r="G300" s="4" t="s">
        <v>433</v>
      </c>
      <c r="I300" s="4">
        <v>2</v>
      </c>
      <c r="J300" s="4">
        <v>-14.634402383851297</v>
      </c>
      <c r="K300" s="4">
        <v>1.05</v>
      </c>
      <c r="L300" s="5">
        <v>1.2</v>
      </c>
      <c r="M300" s="4">
        <v>1</v>
      </c>
      <c r="N300" s="4">
        <v>1.01</v>
      </c>
      <c r="O300" s="4">
        <v>1.2</v>
      </c>
      <c r="P300" s="4">
        <v>1.2</v>
      </c>
      <c r="Q300" s="4">
        <v>3</v>
      </c>
      <c r="R300" s="4">
        <v>0.57209088006881903</v>
      </c>
    </row>
    <row r="301" spans="1:20" s="4" customFormat="1" ht="16" ns3:dyDescent="0.2">
      <c r="A301" s="4" t="s">
        <v>154</v>
      </c>
      <c r="B301" s="44">
        <v>2.6454999999999999E-6</v>
      </c>
      <c r="C301" s="4" t="s">
        <v>155</v>
      </c>
      <c r="E301" s="4" t="s">
        <v>114</v>
      </c>
      <c r="F301" s="4" t="s">
        <v>23</v>
      </c>
      <c r="G301" s="4" t="s">
        <v>156</v>
      </c>
      <c r="I301" s="4">
        <v>2</v>
      </c>
      <c r="J301" s="4">
        <v>-12.842650474602225</v>
      </c>
      <c r="K301" s="4">
        <v>1.05</v>
      </c>
      <c r="L301" s="5">
        <v>1.2</v>
      </c>
      <c r="M301" s="4">
        <v>1</v>
      </c>
      <c r="N301" s="4">
        <v>1.01</v>
      </c>
      <c r="O301" s="4">
        <v>1.2</v>
      </c>
      <c r="P301" s="4">
        <v>1.2</v>
      </c>
      <c r="Q301" s="4">
        <v>3</v>
      </c>
      <c r="R301" s="4">
        <v>0.57209088006881903</v>
      </c>
    </row>
    <row r="302" spans="1:20" s="4" customFormat="1" ht="16" ns3:dyDescent="0.2">
      <c r="A302" s="4" t="s">
        <v>434</v>
      </c>
      <c r="B302" s="44">
        <v>-9.8300000000000008E-6</v>
      </c>
      <c r="C302" s="4" t="s">
        <v>94</v>
      </c>
      <c r="E302" s="4" t="s">
        <v>127</v>
      </c>
      <c r="F302" s="4" t="s">
        <v>23</v>
      </c>
      <c r="G302" s="4" t="s">
        <v>435</v>
      </c>
      <c r="I302" s="4">
        <v>2</v>
      </c>
      <c r="J302" s="4">
        <v>-11.530071623805199</v>
      </c>
      <c r="K302" s="4">
        <v>1.05</v>
      </c>
      <c r="L302" s="5">
        <v>1.2</v>
      </c>
      <c r="M302" s="4">
        <v>1</v>
      </c>
      <c r="N302" s="4">
        <v>1.01</v>
      </c>
      <c r="O302" s="4">
        <v>1.2</v>
      </c>
      <c r="P302" s="4">
        <v>1.2</v>
      </c>
      <c r="Q302" s="4">
        <v>1.05</v>
      </c>
      <c r="R302" s="4">
        <v>0.16169679924070957</v>
      </c>
      <c r="S302" s="4" t="b">
        <v>1</v>
      </c>
    </row>
    <row r="303" spans="1:20" s="4" customFormat="1" ht="16" ns3:dyDescent="0.2">
      <c r="A303" s="4" t="s">
        <v>436</v>
      </c>
      <c r="B303" s="44">
        <v>-4.1500000000000001E-6</v>
      </c>
      <c r="C303" s="4" t="s">
        <v>9</v>
      </c>
      <c r="E303" s="40" t="s">
        <v>27</v>
      </c>
      <c r="F303" s="4" t="s">
        <v>23</v>
      </c>
      <c r="G303" s="4" t="s">
        <v>437</v>
      </c>
      <c r="I303" s="4">
        <v>2</v>
      </c>
      <c r="J303" s="4">
        <v>-12.392402223721668</v>
      </c>
      <c r="K303" s="4">
        <v>1.05</v>
      </c>
      <c r="L303" s="5">
        <v>1.2</v>
      </c>
      <c r="M303" s="4">
        <v>1</v>
      </c>
      <c r="N303" s="4">
        <v>1.01</v>
      </c>
      <c r="O303" s="4">
        <v>1.2</v>
      </c>
      <c r="P303" s="4">
        <v>1.2</v>
      </c>
      <c r="Q303" s="4">
        <v>1.05</v>
      </c>
      <c r="R303" s="4">
        <v>0.16169679924070957</v>
      </c>
      <c r="S303" s="4" t="b">
        <v>1</v>
      </c>
    </row>
    <row r="304" spans="1:20" s="4" customFormat="1" ht="16" ns3:dyDescent="0.2">
      <c r="A304" s="4" t="s">
        <v>140</v>
      </c>
      <c r="B304" s="44">
        <v>2.7274999999999999E-3</v>
      </c>
      <c r="C304" s="4" t="s">
        <v>141</v>
      </c>
      <c r="E304" s="40" t="s">
        <v>18</v>
      </c>
      <c r="F304" s="4" t="s">
        <v>23</v>
      </c>
      <c r="G304" s="4" t="s">
        <v>142</v>
      </c>
      <c r="H304" s="4" t="s">
        <v>438</v>
      </c>
      <c r="I304" s="4">
        <v>2</v>
      </c>
      <c r="J304" s="4">
        <v>-5.9043698402570479</v>
      </c>
      <c r="K304" s="4">
        <v>1.05</v>
      </c>
      <c r="L304" s="5">
        <v>1.2</v>
      </c>
      <c r="M304" s="4">
        <v>1</v>
      </c>
      <c r="N304" s="4">
        <v>1.01</v>
      </c>
      <c r="O304" s="4">
        <v>1.2</v>
      </c>
      <c r="P304" s="4">
        <v>1.2</v>
      </c>
      <c r="Q304" s="4">
        <v>1.05</v>
      </c>
      <c r="R304" s="4">
        <v>0.16169679924070957</v>
      </c>
    </row>
    <row r="305" spans="1:18" s="4" customFormat="1" ht="16" ns3:dyDescent="0.2">
      <c r="A305" s="4" t="s">
        <v>98</v>
      </c>
      <c r="B305" s="44">
        <f>(1.24*B298)/1000</f>
        <v>3.2041343669250644E-5</v>
      </c>
      <c r="C305" s="4" t="s">
        <v>94</v>
      </c>
      <c r="D305" s="4" t="s">
        <v>116</v>
      </c>
      <c r="F305" s="4" t="s">
        <v>15</v>
      </c>
      <c r="H305" s="4" t="s">
        <v>444</v>
      </c>
      <c r="I305" s="4">
        <v>2</v>
      </c>
      <c r="J305" s="4">
        <v>-2.7725887222397811</v>
      </c>
      <c r="K305" s="4">
        <v>1.05</v>
      </c>
      <c r="L305" s="5">
        <v>1.2</v>
      </c>
      <c r="M305" s="4">
        <v>1</v>
      </c>
      <c r="N305" s="4">
        <v>1.01</v>
      </c>
      <c r="O305" s="4">
        <v>1.2</v>
      </c>
      <c r="P305" s="4">
        <v>1.2</v>
      </c>
      <c r="Q305" s="4">
        <v>1.5</v>
      </c>
      <c r="R305" s="4">
        <v>0.25816898211842121</v>
      </c>
    </row>
    <row r="306" spans="1:18" s="4" customFormat="1" ht="16" ns3:dyDescent="0.2">
      <c r="A306" s="4" t="s">
        <v>122</v>
      </c>
      <c r="B306" s="44">
        <f>3.16*B298</f>
        <v>8.1653746770025834E-2</v>
      </c>
      <c r="C306" s="4" t="s">
        <v>9</v>
      </c>
      <c r="D306" s="4" t="s">
        <v>14</v>
      </c>
      <c r="F306" s="4" t="s">
        <v>15</v>
      </c>
      <c r="H306" s="4" t="s">
        <v>439</v>
      </c>
      <c r="I306" s="4">
        <v>2</v>
      </c>
      <c r="J306" s="4">
        <v>-2.5741022285924711</v>
      </c>
      <c r="K306" s="4">
        <v>1.05</v>
      </c>
      <c r="L306" s="5">
        <v>1.2</v>
      </c>
      <c r="M306" s="4">
        <v>1</v>
      </c>
      <c r="N306" s="4">
        <v>1.01</v>
      </c>
      <c r="O306" s="4">
        <v>1.2</v>
      </c>
      <c r="P306" s="4">
        <v>1.2</v>
      </c>
      <c r="Q306" s="4">
        <v>1.05</v>
      </c>
      <c r="R306" s="4">
        <v>0.16169679924070957</v>
      </c>
    </row>
    <row r="307" spans="1:18" s="4" customFormat="1" ht="16" ns3:dyDescent="0.2">
      <c r="A307" s="4" t="s">
        <v>123</v>
      </c>
      <c r="B307" s="44">
        <v>9.0000000000000002E-6</v>
      </c>
      <c r="C307" s="4" t="s">
        <v>9</v>
      </c>
      <c r="D307" s="4" t="s">
        <v>14</v>
      </c>
      <c r="F307" s="4" t="s">
        <v>15</v>
      </c>
      <c r="H307" s="4" t="s">
        <v>439</v>
      </c>
      <c r="I307" s="4">
        <v>2</v>
      </c>
      <c r="J307" s="4">
        <v>-11.618285980628055</v>
      </c>
      <c r="K307" s="4">
        <v>1.5</v>
      </c>
      <c r="L307" s="4">
        <v>1.2</v>
      </c>
      <c r="M307" s="4">
        <v>1.5</v>
      </c>
      <c r="N307" s="4">
        <v>1.1000000000000001</v>
      </c>
      <c r="O307" s="4">
        <v>2</v>
      </c>
      <c r="P307" s="4">
        <v>1.2</v>
      </c>
      <c r="Q307" s="4">
        <v>5</v>
      </c>
      <c r="R307" s="4">
        <v>0.93208283513358414</v>
      </c>
    </row>
    <row r="308" spans="1:18" s="4" customFormat="1" ht="16" ns3:dyDescent="0.2">
      <c r="A308" s="4" t="s">
        <v>69</v>
      </c>
      <c r="B308" s="44">
        <f>0.000006875/0.75</f>
        <v>9.1666666666666664E-6</v>
      </c>
      <c r="C308" s="4" t="s">
        <v>9</v>
      </c>
      <c r="D308" s="4" t="s">
        <v>14</v>
      </c>
      <c r="F308" s="4" t="s">
        <v>15</v>
      </c>
      <c r="H308" s="4" t="s">
        <v>440</v>
      </c>
      <c r="I308" s="4">
        <v>2</v>
      </c>
      <c r="J308" s="4">
        <v>-11.88761891441164</v>
      </c>
      <c r="K308" s="4">
        <v>1.05</v>
      </c>
      <c r="L308" s="5">
        <v>1.2</v>
      </c>
      <c r="M308" s="4">
        <v>1</v>
      </c>
      <c r="N308" s="4">
        <v>1.01</v>
      </c>
      <c r="O308" s="4">
        <v>1.2</v>
      </c>
      <c r="P308" s="4">
        <v>1.2</v>
      </c>
      <c r="Q308" s="4">
        <v>1.5</v>
      </c>
      <c r="R308" s="4">
        <v>0.25816898211842121</v>
      </c>
    </row>
    <row r="309" spans="1:18" s="4" customFormat="1" ht="16" ns3:dyDescent="0.2">
      <c r="A309" s="4" t="s">
        <v>71</v>
      </c>
      <c r="B309" s="44">
        <v>1.2499999999999999E-7</v>
      </c>
      <c r="C309" s="4" t="s">
        <v>9</v>
      </c>
      <c r="D309" s="4" t="s">
        <v>14</v>
      </c>
      <c r="F309" s="4" t="s">
        <v>15</v>
      </c>
      <c r="H309" s="4" t="s">
        <v>439</v>
      </c>
      <c r="I309" s="4">
        <v>2</v>
      </c>
      <c r="J309" s="4">
        <v>-15.89495209964411</v>
      </c>
      <c r="K309" s="4">
        <v>1.05</v>
      </c>
      <c r="L309" s="5">
        <v>1.2</v>
      </c>
      <c r="M309" s="4">
        <v>1</v>
      </c>
      <c r="N309" s="4">
        <v>1.01</v>
      </c>
      <c r="O309" s="4">
        <v>1.2</v>
      </c>
      <c r="P309" s="4">
        <v>1.2</v>
      </c>
      <c r="Q309" s="4">
        <v>3</v>
      </c>
      <c r="R309" s="4">
        <v>0.57209088006881903</v>
      </c>
    </row>
    <row r="310" spans="1:18" s="4" customFormat="1" ht="16" ns3:dyDescent="0.2">
      <c r="B310" s="44"/>
    </row>
    <row r="311" spans="1:18" ns3:dyDescent="0.2">
      <c r="A311" s="17" t="s">
        <v>2</v>
      </c>
      <c r="B311" s="17" t="s">
        <v>447</v>
      </c>
    </row>
    <row r="312" spans="1:18" customFormat="1" ht="16" ns3:dyDescent="0.2">
      <c r="A312" s="2" t="s">
        <v>3</v>
      </c>
      <c r="B312" s="2" t="s">
        <v>18</v>
      </c>
      <c r="C312" s="2"/>
      <c r="D312" s="2"/>
      <c r="E312" s="2"/>
      <c r="F312" s="2"/>
      <c r="G312" s="2"/>
      <c r="H312" s="2"/>
      <c r="I312" s="2"/>
      <c r="J312" s="2"/>
      <c r="K312" s="2"/>
      <c r="L312" s="2"/>
    </row>
    <row r="313" spans="1:18" customFormat="1" ht="16" ns3:dyDescent="0.2">
      <c r="A313" s="2" t="s">
        <v>4</v>
      </c>
      <c r="B313" s="2">
        <v>1</v>
      </c>
      <c r="C313" s="2"/>
      <c r="D313" s="2"/>
      <c r="E313" s="2"/>
      <c r="F313" s="2"/>
      <c r="G313" s="2"/>
      <c r="H313" s="2"/>
      <c r="I313" s="2"/>
      <c r="J313" s="2"/>
      <c r="K313" s="2"/>
      <c r="L313" s="2"/>
    </row>
    <row r="314" spans="1:18" customFormat="1" ht="16" ns3:dyDescent="0.2">
      <c r="A314" s="2" t="s">
        <v>5</v>
      </c>
      <c r="B314" s="2" t="s">
        <v>1</v>
      </c>
      <c r="C314" s="2"/>
      <c r="D314" s="2"/>
      <c r="E314" s="2"/>
      <c r="F314" s="2"/>
      <c r="G314" s="2"/>
      <c r="H314" s="2"/>
      <c r="I314" s="2"/>
      <c r="J314" s="2"/>
    </row>
    <row r="315" spans="1:18" customFormat="1" ht="16" ns3:dyDescent="0.2">
      <c r="A315" s="2" t="s">
        <v>6</v>
      </c>
      <c r="B315" s="2" t="s">
        <v>7</v>
      </c>
      <c r="C315" s="2"/>
      <c r="D315" s="2"/>
      <c r="E315" s="2"/>
      <c r="F315" s="2"/>
      <c r="G315" s="2"/>
      <c r="H315" s="2"/>
      <c r="I315" s="2"/>
      <c r="J315" s="2"/>
      <c r="K315" s="2"/>
      <c r="L315" s="2"/>
    </row>
    <row r="316" spans="1:18" customFormat="1" ht="16" ns3:dyDescent="0.2">
      <c r="A316" s="2" t="s">
        <v>8</v>
      </c>
      <c r="B316" s="2" t="s">
        <v>17</v>
      </c>
      <c r="C316" s="2"/>
      <c r="D316" s="2"/>
      <c r="E316" s="2"/>
      <c r="F316" s="2"/>
      <c r="G316" s="2"/>
      <c r="H316" s="2"/>
      <c r="I316" s="2"/>
      <c r="J316" s="2"/>
      <c r="K316" s="2"/>
      <c r="L316" s="2"/>
    </row>
    <row r="317" spans="1:18" customFormat="1" ht="16" ns3:dyDescent="0.2">
      <c r="A317" s="1" t="s">
        <v>10</v>
      </c>
      <c r="B317" s="2"/>
      <c r="C317" s="2"/>
      <c r="D317" s="2"/>
      <c r="E317" s="2"/>
      <c r="F317" s="2"/>
      <c r="G317" s="2"/>
      <c r="H317" s="2"/>
      <c r="I317" s="2"/>
      <c r="J317" s="2"/>
      <c r="K317" s="2"/>
      <c r="L317" s="2"/>
    </row>
    <row r="318" spans="1:18" ns3:dyDescent="0.2">
      <c r="A318" s="17" t="s">
        <v>11</v>
      </c>
      <c r="B318" s="17" t="s">
        <v>12</v>
      </c>
      <c r="C318" s="17" t="s">
        <v>3</v>
      </c>
      <c r="D318" s="17" t="s">
        <v>13</v>
      </c>
      <c r="E318" s="17" t="s">
        <v>8</v>
      </c>
      <c r="F318" s="17" t="s">
        <v>6</v>
      </c>
      <c r="G318" s="17" t="s">
        <v>5</v>
      </c>
    </row>
    <row r="319" spans="1:18" customFormat="1" ht="16" ns3:dyDescent="0.2">
      <c r="A319" s="2" t="str">
        <f>B311</f>
        <v>light fuel oil, from non-residual cellulosic biomass, burned in residential boiler</v>
      </c>
      <c r="B319" s="2">
        <v>1</v>
      </c>
      <c r="C319" s="2" t="str">
        <f>B312</f>
        <v>RER</v>
      </c>
      <c r="D319" s="2"/>
      <c r="E319" s="2" t="str">
        <f>B316</f>
        <v>megajoule</v>
      </c>
      <c r="F319" s="2" t="s">
        <v>19</v>
      </c>
      <c r="G319" s="2" t="str">
        <f>B314</f>
        <v>heat</v>
      </c>
      <c r="H319" s="2"/>
      <c r="I319" s="2"/>
      <c r="J319" s="2"/>
      <c r="K319" s="2"/>
      <c r="L319" s="2"/>
    </row>
    <row r="320" spans="1:18" customFormat="1" ht="16" ns3:dyDescent="0.2">
      <c r="A320" s="2" t="str">
        <f>B289</f>
        <v>heat, residential, by combustion of light fuel oil, from cellulosic non-residual biomass, using boiler</v>
      </c>
      <c r="B320">
        <f>1/1.1</f>
        <v>0.90909090909090906</v>
      </c>
      <c r="C320" t="s">
        <v>18</v>
      </c>
      <c r="E320" t="s">
        <v>17</v>
      </c>
      <c r="F320" t="s">
        <v>23</v>
      </c>
      <c r="G320" t="s">
        <v>31</v>
      </c>
      <c r="H320" s="2"/>
    </row>
    <row r="321" spans="1:20" customFormat="1" ht="16" ns3:dyDescent="0.2">
      <c r="H321" s="2"/>
    </row>
    <row r="322" spans="1:20" s="4" customFormat="1" ht="16" ns3:dyDescent="0.2">
      <c r="A322" s="38" t="s">
        <v>2</v>
      </c>
      <c r="B322" s="39" t="s">
        <v>445</v>
      </c>
    </row>
    <row r="323" spans="1:20" s="4" customFormat="1" ht="16" ns3:dyDescent="0.2">
      <c r="A323" s="4" t="s">
        <v>151</v>
      </c>
      <c r="B323" s="40" t="s">
        <v>442</v>
      </c>
    </row>
    <row r="324" spans="1:20" s="4" customFormat="1" ht="16" ns3:dyDescent="0.2">
      <c r="A324" s="4" t="s">
        <v>204</v>
      </c>
      <c r="B324" s="40" t="s">
        <v>419</v>
      </c>
    </row>
    <row r="325" spans="1:20" s="4" customFormat="1" ht="16" ns3:dyDescent="0.2">
      <c r="A325" s="4" t="s">
        <v>3</v>
      </c>
      <c r="B325" s="40" t="s">
        <v>18</v>
      </c>
    </row>
    <row r="326" spans="1:20" s="4" customFormat="1" ht="16" ns3:dyDescent="0.2">
      <c r="A326" s="4" t="s">
        <v>5</v>
      </c>
      <c r="B326" s="40" t="s">
        <v>31</v>
      </c>
    </row>
    <row r="327" spans="1:20" s="4" customFormat="1" ht="16" ns3:dyDescent="0.2">
      <c r="A327" s="4" t="s">
        <v>8</v>
      </c>
      <c r="B327" s="40" t="s">
        <v>17</v>
      </c>
    </row>
    <row r="328" spans="1:20" s="4" customFormat="1" ht="16" ns3:dyDescent="0.2">
      <c r="A328" s="41" t="s">
        <v>10</v>
      </c>
      <c r="B328" s="40"/>
    </row>
    <row r="329" spans="1:20" s="4" customFormat="1" ht="16" ns3:dyDescent="0.2">
      <c r="A329" s="38" t="s">
        <v>11</v>
      </c>
      <c r="B329" s="39" t="s">
        <v>12</v>
      </c>
      <c r="C329" s="38" t="s">
        <v>8</v>
      </c>
      <c r="D329" s="38" t="s">
        <v>13</v>
      </c>
      <c r="E329" s="38" t="s">
        <v>3</v>
      </c>
      <c r="F329" s="38" t="s">
        <v>6</v>
      </c>
      <c r="G329" s="38" t="s">
        <v>5</v>
      </c>
      <c r="H329" s="38" t="s">
        <v>151</v>
      </c>
      <c r="I329" s="38" t="s">
        <v>179</v>
      </c>
      <c r="J329" s="38" t="s">
        <v>180</v>
      </c>
      <c r="K329" s="38" t="s">
        <v>420</v>
      </c>
      <c r="L329" s="38" t="s">
        <v>421</v>
      </c>
      <c r="M329" s="38" t="s">
        <v>422</v>
      </c>
      <c r="N329" s="38" t="s">
        <v>423</v>
      </c>
      <c r="O329" s="38" t="s">
        <v>424</v>
      </c>
      <c r="P329" s="38" t="s">
        <v>425</v>
      </c>
      <c r="Q329" s="38" t="s">
        <v>426</v>
      </c>
      <c r="R329" s="38" t="s">
        <v>427</v>
      </c>
      <c r="S329" s="38" t="s">
        <v>428</v>
      </c>
      <c r="T329" s="38"/>
    </row>
    <row r="330" spans="1:20" s="4" customFormat="1" ht="16" ns3:dyDescent="0.2">
      <c r="A330" s="4" t="str">
        <f>B322</f>
        <v>heat, residential, by combustion of light fuel oil, from cellulosic residual biomass, using boiler</v>
      </c>
      <c r="B330" s="40">
        <v>1</v>
      </c>
      <c r="C330" s="4" t="s">
        <v>17</v>
      </c>
      <c r="E330" s="40" t="s">
        <v>18</v>
      </c>
      <c r="F330" s="4" t="s">
        <v>19</v>
      </c>
      <c r="G330" s="4" t="s">
        <v>31</v>
      </c>
    </row>
    <row r="331" spans="1:20" s="4" customFormat="1" ht="16" ns3:dyDescent="0.2">
      <c r="A331" s="4" t="s">
        <v>412</v>
      </c>
      <c r="B331" s="42">
        <f>1/43/0.9</f>
        <v>2.5839793281653745E-2</v>
      </c>
      <c r="C331" s="4" t="s">
        <v>9</v>
      </c>
      <c r="E331" s="40" t="s">
        <v>18</v>
      </c>
      <c r="F331" s="4" t="s">
        <v>23</v>
      </c>
      <c r="G331" s="4" t="s">
        <v>404</v>
      </c>
      <c r="H331" s="43" t="s">
        <v>443</v>
      </c>
      <c r="I331" s="4">
        <v>2</v>
      </c>
      <c r="J331" s="4">
        <v>-2.8903717578961645</v>
      </c>
      <c r="K331" s="4">
        <v>1.05</v>
      </c>
      <c r="L331" s="5">
        <v>1.2</v>
      </c>
      <c r="M331" s="4">
        <v>1</v>
      </c>
      <c r="N331" s="4">
        <v>1.01</v>
      </c>
      <c r="O331" s="4">
        <v>1.2</v>
      </c>
      <c r="P331" s="4">
        <v>1.2</v>
      </c>
      <c r="Q331" s="4">
        <v>1.05</v>
      </c>
      <c r="R331" s="4">
        <v>0.16169679924070957</v>
      </c>
    </row>
    <row r="332" spans="1:20" s="4" customFormat="1" ht="16" ns3:dyDescent="0.2">
      <c r="A332" s="4" t="s">
        <v>429</v>
      </c>
      <c r="B332" s="45">
        <v>7.3486184597295713E-7</v>
      </c>
      <c r="C332" s="4" t="s">
        <v>8</v>
      </c>
      <c r="E332" s="4" t="s">
        <v>114</v>
      </c>
      <c r="F332" s="4" t="s">
        <v>23</v>
      </c>
      <c r="G332" s="4" t="s">
        <v>430</v>
      </c>
      <c r="H332" s="4" t="s">
        <v>431</v>
      </c>
      <c r="I332" s="4">
        <v>2</v>
      </c>
      <c r="J332" s="4">
        <v>-14.123583320063789</v>
      </c>
      <c r="K332" s="4">
        <v>1.05</v>
      </c>
      <c r="L332" s="5">
        <v>1.2</v>
      </c>
      <c r="M332" s="4">
        <v>1</v>
      </c>
      <c r="N332" s="4">
        <v>1.01</v>
      </c>
      <c r="O332" s="4">
        <v>1.2</v>
      </c>
      <c r="P332" s="4">
        <v>1.2</v>
      </c>
      <c r="Q332" s="4">
        <v>3</v>
      </c>
      <c r="R332" s="4">
        <v>0.57209088006881903</v>
      </c>
    </row>
    <row r="333" spans="1:20" s="4" customFormat="1" ht="16" ns3:dyDescent="0.2">
      <c r="A333" s="4" t="s">
        <v>432</v>
      </c>
      <c r="B333" s="45">
        <v>4.4092000000000001E-7</v>
      </c>
      <c r="C333" s="4" t="s">
        <v>8</v>
      </c>
      <c r="E333" s="4" t="s">
        <v>114</v>
      </c>
      <c r="F333" s="4" t="s">
        <v>23</v>
      </c>
      <c r="G333" s="4" t="s">
        <v>433</v>
      </c>
      <c r="I333" s="4">
        <v>2</v>
      </c>
      <c r="J333" s="4">
        <v>-14.634402383851297</v>
      </c>
      <c r="K333" s="4">
        <v>1.05</v>
      </c>
      <c r="L333" s="5">
        <v>1.2</v>
      </c>
      <c r="M333" s="4">
        <v>1</v>
      </c>
      <c r="N333" s="4">
        <v>1.01</v>
      </c>
      <c r="O333" s="4">
        <v>1.2</v>
      </c>
      <c r="P333" s="4">
        <v>1.2</v>
      </c>
      <c r="Q333" s="4">
        <v>3</v>
      </c>
      <c r="R333" s="4">
        <v>0.57209088006881903</v>
      </c>
    </row>
    <row r="334" spans="1:20" s="4" customFormat="1" ht="16" ns3:dyDescent="0.2">
      <c r="A334" s="4" t="s">
        <v>154</v>
      </c>
      <c r="B334" s="44">
        <v>2.6454999999999999E-6</v>
      </c>
      <c r="C334" s="4" t="s">
        <v>155</v>
      </c>
      <c r="E334" s="4" t="s">
        <v>114</v>
      </c>
      <c r="F334" s="4" t="s">
        <v>23</v>
      </c>
      <c r="G334" s="4" t="s">
        <v>156</v>
      </c>
      <c r="I334" s="4">
        <v>2</v>
      </c>
      <c r="J334" s="4">
        <v>-12.842650474602225</v>
      </c>
      <c r="K334" s="4">
        <v>1.05</v>
      </c>
      <c r="L334" s="5">
        <v>1.2</v>
      </c>
      <c r="M334" s="4">
        <v>1</v>
      </c>
      <c r="N334" s="4">
        <v>1.01</v>
      </c>
      <c r="O334" s="4">
        <v>1.2</v>
      </c>
      <c r="P334" s="4">
        <v>1.2</v>
      </c>
      <c r="Q334" s="4">
        <v>3</v>
      </c>
      <c r="R334" s="4">
        <v>0.57209088006881903</v>
      </c>
    </row>
    <row r="335" spans="1:20" s="4" customFormat="1" ht="16" ns3:dyDescent="0.2">
      <c r="A335" s="4" t="s">
        <v>434</v>
      </c>
      <c r="B335" s="44">
        <v>-9.8300000000000008E-6</v>
      </c>
      <c r="C335" s="4" t="s">
        <v>94</v>
      </c>
      <c r="E335" s="4" t="s">
        <v>127</v>
      </c>
      <c r="F335" s="4" t="s">
        <v>23</v>
      </c>
      <c r="G335" s="4" t="s">
        <v>435</v>
      </c>
      <c r="I335" s="4">
        <v>2</v>
      </c>
      <c r="J335" s="4">
        <v>-11.530071623805199</v>
      </c>
      <c r="K335" s="4">
        <v>1.05</v>
      </c>
      <c r="L335" s="5">
        <v>1.2</v>
      </c>
      <c r="M335" s="4">
        <v>1</v>
      </c>
      <c r="N335" s="4">
        <v>1.01</v>
      </c>
      <c r="O335" s="4">
        <v>1.2</v>
      </c>
      <c r="P335" s="4">
        <v>1.2</v>
      </c>
      <c r="Q335" s="4">
        <v>1.05</v>
      </c>
      <c r="R335" s="4">
        <v>0.16169679924070957</v>
      </c>
      <c r="S335" s="4" t="b">
        <v>1</v>
      </c>
    </row>
    <row r="336" spans="1:20" s="4" customFormat="1" ht="16" ns3:dyDescent="0.2">
      <c r="A336" s="4" t="s">
        <v>436</v>
      </c>
      <c r="B336" s="44">
        <v>-4.1500000000000001E-6</v>
      </c>
      <c r="C336" s="4" t="s">
        <v>9</v>
      </c>
      <c r="E336" s="40" t="s">
        <v>27</v>
      </c>
      <c r="F336" s="4" t="s">
        <v>23</v>
      </c>
      <c r="G336" s="4" t="s">
        <v>437</v>
      </c>
      <c r="I336" s="4">
        <v>2</v>
      </c>
      <c r="J336" s="4">
        <v>-12.392402223721668</v>
      </c>
      <c r="K336" s="4">
        <v>1.05</v>
      </c>
      <c r="L336" s="5">
        <v>1.2</v>
      </c>
      <c r="M336" s="4">
        <v>1</v>
      </c>
      <c r="N336" s="4">
        <v>1.01</v>
      </c>
      <c r="O336" s="4">
        <v>1.2</v>
      </c>
      <c r="P336" s="4">
        <v>1.2</v>
      </c>
      <c r="Q336" s="4">
        <v>1.05</v>
      </c>
      <c r="R336" s="4">
        <v>0.16169679924070957</v>
      </c>
      <c r="S336" s="4" t="b">
        <v>1</v>
      </c>
    </row>
    <row r="337" spans="1:18" s="4" customFormat="1" ht="16" ns3:dyDescent="0.2">
      <c r="A337" s="4" t="s">
        <v>140</v>
      </c>
      <c r="B337" s="44">
        <v>2.7274999999999999E-3</v>
      </c>
      <c r="C337" s="4" t="s">
        <v>141</v>
      </c>
      <c r="E337" s="40" t="s">
        <v>18</v>
      </c>
      <c r="F337" s="4" t="s">
        <v>23</v>
      </c>
      <c r="G337" s="4" t="s">
        <v>142</v>
      </c>
      <c r="H337" s="4" t="s">
        <v>438</v>
      </c>
      <c r="I337" s="4">
        <v>2</v>
      </c>
      <c r="J337" s="4">
        <v>-5.9043698402570479</v>
      </c>
      <c r="K337" s="4">
        <v>1.05</v>
      </c>
      <c r="L337" s="5">
        <v>1.2</v>
      </c>
      <c r="M337" s="4">
        <v>1</v>
      </c>
      <c r="N337" s="4">
        <v>1.01</v>
      </c>
      <c r="O337" s="4">
        <v>1.2</v>
      </c>
      <c r="P337" s="4">
        <v>1.2</v>
      </c>
      <c r="Q337" s="4">
        <v>1.05</v>
      </c>
      <c r="R337" s="4">
        <v>0.16169679924070957</v>
      </c>
    </row>
    <row r="338" spans="1:18" s="4" customFormat="1" ht="16" ns3:dyDescent="0.2">
      <c r="A338" s="4" t="s">
        <v>98</v>
      </c>
      <c r="B338" s="44">
        <f>(1.24*B331)/1000</f>
        <v>3.2041343669250644E-5</v>
      </c>
      <c r="C338" s="4" t="s">
        <v>94</v>
      </c>
      <c r="D338" s="4" t="s">
        <v>116</v>
      </c>
      <c r="F338" s="4" t="s">
        <v>15</v>
      </c>
      <c r="H338" s="4" t="s">
        <v>444</v>
      </c>
      <c r="I338" s="4">
        <v>2</v>
      </c>
      <c r="J338" s="4">
        <v>-2.7725887222397811</v>
      </c>
      <c r="K338" s="4">
        <v>1.05</v>
      </c>
      <c r="L338" s="5">
        <v>1.2</v>
      </c>
      <c r="M338" s="4">
        <v>1</v>
      </c>
      <c r="N338" s="4">
        <v>1.01</v>
      </c>
      <c r="O338" s="4">
        <v>1.2</v>
      </c>
      <c r="P338" s="4">
        <v>1.2</v>
      </c>
      <c r="Q338" s="4">
        <v>1.5</v>
      </c>
      <c r="R338" s="4">
        <v>0.25816898211842121</v>
      </c>
    </row>
    <row r="339" spans="1:18" s="4" customFormat="1" ht="16" ns3:dyDescent="0.2">
      <c r="A339" s="4" t="s">
        <v>122</v>
      </c>
      <c r="B339" s="44">
        <f>3.16*B331</f>
        <v>8.1653746770025834E-2</v>
      </c>
      <c r="C339" s="4" t="s">
        <v>9</v>
      </c>
      <c r="D339" s="4" t="s">
        <v>14</v>
      </c>
      <c r="F339" s="4" t="s">
        <v>15</v>
      </c>
      <c r="H339" s="4" t="s">
        <v>439</v>
      </c>
      <c r="I339" s="4">
        <v>2</v>
      </c>
      <c r="J339" s="4">
        <v>-2.5741022285924711</v>
      </c>
      <c r="K339" s="4">
        <v>1.05</v>
      </c>
      <c r="L339" s="5">
        <v>1.2</v>
      </c>
      <c r="M339" s="4">
        <v>1</v>
      </c>
      <c r="N339" s="4">
        <v>1.01</v>
      </c>
      <c r="O339" s="4">
        <v>1.2</v>
      </c>
      <c r="P339" s="4">
        <v>1.2</v>
      </c>
      <c r="Q339" s="4">
        <v>1.05</v>
      </c>
      <c r="R339" s="4">
        <v>0.16169679924070957</v>
      </c>
    </row>
    <row r="340" spans="1:18" s="4" customFormat="1" ht="16" ns3:dyDescent="0.2">
      <c r="A340" s="4" t="s">
        <v>123</v>
      </c>
      <c r="B340" s="44">
        <v>9.0000000000000002E-6</v>
      </c>
      <c r="C340" s="4" t="s">
        <v>9</v>
      </c>
      <c r="D340" s="4" t="s">
        <v>14</v>
      </c>
      <c r="F340" s="4" t="s">
        <v>15</v>
      </c>
      <c r="H340" s="4" t="s">
        <v>439</v>
      </c>
      <c r="I340" s="4">
        <v>2</v>
      </c>
      <c r="J340" s="4">
        <v>-11.618285980628055</v>
      </c>
      <c r="K340" s="4">
        <v>1.5</v>
      </c>
      <c r="L340" s="4">
        <v>1.2</v>
      </c>
      <c r="M340" s="4">
        <v>1.5</v>
      </c>
      <c r="N340" s="4">
        <v>1.1000000000000001</v>
      </c>
      <c r="O340" s="4">
        <v>2</v>
      </c>
      <c r="P340" s="4">
        <v>1.2</v>
      </c>
      <c r="Q340" s="4">
        <v>5</v>
      </c>
      <c r="R340" s="4">
        <v>0.93208283513358414</v>
      </c>
    </row>
    <row r="341" spans="1:18" s="4" customFormat="1" ht="16" ns3:dyDescent="0.2">
      <c r="A341" s="4" t="s">
        <v>69</v>
      </c>
      <c r="B341" s="44">
        <f>0.000006875/0.75</f>
        <v>9.1666666666666664E-6</v>
      </c>
      <c r="C341" s="4" t="s">
        <v>9</v>
      </c>
      <c r="D341" s="4" t="s">
        <v>14</v>
      </c>
      <c r="F341" s="4" t="s">
        <v>15</v>
      </c>
      <c r="H341" s="4" t="s">
        <v>440</v>
      </c>
      <c r="I341" s="4">
        <v>2</v>
      </c>
      <c r="J341" s="4">
        <v>-11.88761891441164</v>
      </c>
      <c r="K341" s="4">
        <v>1.05</v>
      </c>
      <c r="L341" s="5">
        <v>1.2</v>
      </c>
      <c r="M341" s="4">
        <v>1</v>
      </c>
      <c r="N341" s="4">
        <v>1.01</v>
      </c>
      <c r="O341" s="4">
        <v>1.2</v>
      </c>
      <c r="P341" s="4">
        <v>1.2</v>
      </c>
      <c r="Q341" s="4">
        <v>1.5</v>
      </c>
      <c r="R341" s="4">
        <v>0.25816898211842121</v>
      </c>
    </row>
    <row r="342" spans="1:18" s="4" customFormat="1" ht="16" ns3:dyDescent="0.2">
      <c r="A342" s="4" t="s">
        <v>71</v>
      </c>
      <c r="B342" s="44">
        <v>1.2499999999999999E-7</v>
      </c>
      <c r="C342" s="4" t="s">
        <v>9</v>
      </c>
      <c r="D342" s="4" t="s">
        <v>14</v>
      </c>
      <c r="F342" s="4" t="s">
        <v>15</v>
      </c>
      <c r="H342" s="4" t="s">
        <v>439</v>
      </c>
      <c r="I342" s="4">
        <v>2</v>
      </c>
      <c r="J342" s="4">
        <v>-15.89495209964411</v>
      </c>
      <c r="K342" s="4">
        <v>1.05</v>
      </c>
      <c r="L342" s="5">
        <v>1.2</v>
      </c>
      <c r="M342" s="4">
        <v>1</v>
      </c>
      <c r="N342" s="4">
        <v>1.01</v>
      </c>
      <c r="O342" s="4">
        <v>1.2</v>
      </c>
      <c r="P342" s="4">
        <v>1.2</v>
      </c>
      <c r="Q342" s="4">
        <v>3</v>
      </c>
      <c r="R342" s="4">
        <v>0.57209088006881903</v>
      </c>
    </row>
    <row r="343" spans="1:18" s="4" customFormat="1" ht="16" ns3:dyDescent="0.2">
      <c r="B343" s="44"/>
    </row>
    <row r="344" spans="1:18" ns3:dyDescent="0.2">
      <c r="A344" s="17" t="s">
        <v>2</v>
      </c>
      <c r="B344" s="17" t="s">
        <v>448</v>
      </c>
    </row>
    <row r="345" spans="1:18" customFormat="1" ht="16" ns3:dyDescent="0.2">
      <c r="A345" s="2" t="s">
        <v>3</v>
      </c>
      <c r="B345" s="2" t="s">
        <v>18</v>
      </c>
      <c r="C345" s="2"/>
      <c r="D345" s="2"/>
      <c r="E345" s="2"/>
      <c r="F345" s="2"/>
      <c r="G345" s="2"/>
      <c r="H345" s="2"/>
      <c r="I345" s="2"/>
      <c r="J345" s="2"/>
      <c r="K345" s="2"/>
      <c r="L345" s="2"/>
    </row>
    <row r="346" spans="1:18" customFormat="1" ht="16" ns3:dyDescent="0.2">
      <c r="A346" s="2" t="s">
        <v>4</v>
      </c>
      <c r="B346" s="2">
        <v>1</v>
      </c>
      <c r="C346" s="2"/>
      <c r="D346" s="2"/>
      <c r="E346" s="2"/>
      <c r="F346" s="2"/>
      <c r="G346" s="2"/>
      <c r="H346" s="2"/>
      <c r="I346" s="2"/>
      <c r="J346" s="2"/>
      <c r="K346" s="2"/>
      <c r="L346" s="2"/>
    </row>
    <row r="347" spans="1:18" customFormat="1" ht="16" ns3:dyDescent="0.2">
      <c r="A347" s="2" t="s">
        <v>5</v>
      </c>
      <c r="B347" s="2" t="s">
        <v>1</v>
      </c>
      <c r="C347" s="2"/>
      <c r="D347" s="2"/>
      <c r="E347" s="2"/>
      <c r="F347" s="2"/>
      <c r="G347" s="2"/>
      <c r="H347" s="2"/>
      <c r="I347" s="2"/>
      <c r="J347" s="2"/>
    </row>
    <row r="348" spans="1:18" customFormat="1" ht="16" ns3:dyDescent="0.2">
      <c r="A348" s="2" t="s">
        <v>6</v>
      </c>
      <c r="B348" s="2" t="s">
        <v>7</v>
      </c>
      <c r="C348" s="2"/>
      <c r="D348" s="2"/>
      <c r="E348" s="2"/>
      <c r="F348" s="2"/>
      <c r="G348" s="2"/>
      <c r="H348" s="2"/>
      <c r="I348" s="2"/>
      <c r="J348" s="2"/>
      <c r="K348" s="2"/>
      <c r="L348" s="2"/>
    </row>
    <row r="349" spans="1:18" customFormat="1" ht="16" ns3:dyDescent="0.2">
      <c r="A349" s="2" t="s">
        <v>8</v>
      </c>
      <c r="B349" s="2" t="s">
        <v>17</v>
      </c>
      <c r="C349" s="2"/>
      <c r="D349" s="2"/>
      <c r="E349" s="2"/>
      <c r="F349" s="2"/>
      <c r="G349" s="2"/>
      <c r="H349" s="2"/>
      <c r="I349" s="2"/>
      <c r="J349" s="2"/>
      <c r="K349" s="2"/>
      <c r="L349" s="2"/>
    </row>
    <row r="350" spans="1:18" customFormat="1" ht="16" ns3:dyDescent="0.2">
      <c r="A350" s="1" t="s">
        <v>10</v>
      </c>
      <c r="B350" s="2"/>
      <c r="C350" s="2"/>
      <c r="D350" s="2"/>
      <c r="E350" s="2"/>
      <c r="F350" s="2"/>
      <c r="G350" s="2"/>
      <c r="H350" s="2"/>
      <c r="I350" s="2"/>
      <c r="J350" s="2"/>
      <c r="K350" s="2"/>
      <c r="L350" s="2"/>
    </row>
    <row r="351" spans="1:18" ns3:dyDescent="0.2">
      <c r="A351" s="17" t="s">
        <v>11</v>
      </c>
      <c r="B351" s="17" t="s">
        <v>12</v>
      </c>
      <c r="C351" s="17" t="s">
        <v>3</v>
      </c>
      <c r="D351" s="17" t="s">
        <v>13</v>
      </c>
      <c r="E351" s="17" t="s">
        <v>8</v>
      </c>
      <c r="F351" s="17" t="s">
        <v>6</v>
      </c>
      <c r="G351" s="17" t="s">
        <v>5</v>
      </c>
    </row>
    <row r="352" spans="1:18" customFormat="1" ht="16" ns3:dyDescent="0.2">
      <c r="A352" s="2" t="str">
        <f>B344</f>
        <v>light fuel oil, from residual cellulosic biomass, burned in residential boiler</v>
      </c>
      <c r="B352" s="2">
        <v>1</v>
      </c>
      <c r="C352" s="2" t="str">
        <f>B345</f>
        <v>RER</v>
      </c>
      <c r="D352" s="2"/>
      <c r="E352" s="2" t="str">
        <f>B349</f>
        <v>megajoule</v>
      </c>
      <c r="F352" s="2" t="s">
        <v>19</v>
      </c>
      <c r="G352" s="2" t="str">
        <f>B347</f>
        <v>heat</v>
      </c>
      <c r="H352" s="2"/>
      <c r="I352" s="2"/>
      <c r="J352" s="2"/>
      <c r="K352" s="2"/>
      <c r="L352" s="2"/>
    </row>
    <row r="353" spans="1:20" customFormat="1" ht="16" ns3:dyDescent="0.2">
      <c r="A353" s="2" t="str">
        <f>B322</f>
        <v>heat, residential, by combustion of light fuel oil, from cellulosic residual biomass, using boiler</v>
      </c>
      <c r="B353">
        <f>1/1.1</f>
        <v>0.90909090909090906</v>
      </c>
      <c r="C353" t="s">
        <v>18</v>
      </c>
      <c r="E353" t="s">
        <v>17</v>
      </c>
      <c r="F353" t="s">
        <v>23</v>
      </c>
      <c r="G353" t="s">
        <v>31</v>
      </c>
      <c r="H353" s="2"/>
    </row>
    <row r="354" spans="1:20" customFormat="1" ht="16" ns3:dyDescent="0.2">
      <c r="H354" s="2"/>
    </row>
    <row r="355" spans="1:20" s="4" customFormat="1" ht="16" ns3:dyDescent="0.2">
      <c r="A355" s="38" t="s">
        <v>2</v>
      </c>
      <c r="B355" s="39" t="s">
        <v>446</v>
      </c>
    </row>
    <row r="356" spans="1:20" s="4" customFormat="1" ht="16" ns3:dyDescent="0.2">
      <c r="A356" s="4" t="s">
        <v>151</v>
      </c>
      <c r="B356" s="40" t="s">
        <v>442</v>
      </c>
    </row>
    <row r="357" spans="1:20" s="4" customFormat="1" ht="16" ns3:dyDescent="0.2">
      <c r="A357" s="4" t="s">
        <v>204</v>
      </c>
      <c r="B357" s="40" t="s">
        <v>419</v>
      </c>
    </row>
    <row r="358" spans="1:20" s="4" customFormat="1" ht="16" ns3:dyDescent="0.2">
      <c r="A358" s="4" t="s">
        <v>3</v>
      </c>
      <c r="B358" s="40" t="s">
        <v>18</v>
      </c>
    </row>
    <row r="359" spans="1:20" s="4" customFormat="1" ht="16" ns3:dyDescent="0.2">
      <c r="A359" s="4" t="s">
        <v>5</v>
      </c>
      <c r="B359" s="40" t="s">
        <v>31</v>
      </c>
    </row>
    <row r="360" spans="1:20" s="4" customFormat="1" ht="16" ns3:dyDescent="0.2">
      <c r="A360" s="4" t="s">
        <v>8</v>
      </c>
      <c r="B360" s="40" t="s">
        <v>17</v>
      </c>
    </row>
    <row r="361" spans="1:20" s="4" customFormat="1" ht="16" ns3:dyDescent="0.2">
      <c r="A361" s="41" t="s">
        <v>10</v>
      </c>
      <c r="B361" s="40"/>
    </row>
    <row r="362" spans="1:20" s="4" customFormat="1" ht="16" ns3:dyDescent="0.2">
      <c r="A362" s="38" t="s">
        <v>11</v>
      </c>
      <c r="B362" s="39" t="s">
        <v>12</v>
      </c>
      <c r="C362" s="38" t="s">
        <v>8</v>
      </c>
      <c r="D362" s="38" t="s">
        <v>13</v>
      </c>
      <c r="E362" s="38" t="s">
        <v>3</v>
      </c>
      <c r="F362" s="38" t="s">
        <v>6</v>
      </c>
      <c r="G362" s="38" t="s">
        <v>5</v>
      </c>
      <c r="H362" s="38" t="s">
        <v>151</v>
      </c>
      <c r="I362" s="38" t="s">
        <v>179</v>
      </c>
      <c r="J362" s="38" t="s">
        <v>180</v>
      </c>
      <c r="K362" s="38" t="s">
        <v>420</v>
      </c>
      <c r="L362" s="38" t="s">
        <v>421</v>
      </c>
      <c r="M362" s="38" t="s">
        <v>422</v>
      </c>
      <c r="N362" s="38" t="s">
        <v>423</v>
      </c>
      <c r="O362" s="38" t="s">
        <v>424</v>
      </c>
      <c r="P362" s="38" t="s">
        <v>425</v>
      </c>
      <c r="Q362" s="38" t="s">
        <v>426</v>
      </c>
      <c r="R362" s="38" t="s">
        <v>427</v>
      </c>
      <c r="S362" s="38" t="s">
        <v>428</v>
      </c>
      <c r="T362" s="38"/>
    </row>
    <row r="363" spans="1:20" s="4" customFormat="1" ht="16" ns3:dyDescent="0.2">
      <c r="A363" s="4" t="str">
        <f>B355</f>
        <v>heat, residential, by combustion of light fuel oil, from oily biomass, using boiler</v>
      </c>
      <c r="B363" s="40">
        <v>1</v>
      </c>
      <c r="C363" s="4" t="s">
        <v>17</v>
      </c>
      <c r="E363" s="40" t="s">
        <v>18</v>
      </c>
      <c r="F363" s="4" t="s">
        <v>19</v>
      </c>
      <c r="G363" s="4" t="s">
        <v>31</v>
      </c>
    </row>
    <row r="364" spans="1:20" s="4" customFormat="1" ht="16" ns3:dyDescent="0.2">
      <c r="A364" s="4" t="s">
        <v>417</v>
      </c>
      <c r="B364" s="42">
        <f>1/43/0.9</f>
        <v>2.5839793281653745E-2</v>
      </c>
      <c r="C364" s="4" t="s">
        <v>9</v>
      </c>
      <c r="E364" s="40" t="s">
        <v>18</v>
      </c>
      <c r="F364" s="4" t="s">
        <v>23</v>
      </c>
      <c r="G364" s="4" t="s">
        <v>418</v>
      </c>
      <c r="H364" s="43" t="s">
        <v>443</v>
      </c>
      <c r="I364" s="4">
        <v>2</v>
      </c>
      <c r="J364" s="4">
        <v>-2.8903717578961645</v>
      </c>
      <c r="K364" s="4">
        <v>1.05</v>
      </c>
      <c r="L364" s="5">
        <v>1.2</v>
      </c>
      <c r="M364" s="4">
        <v>1</v>
      </c>
      <c r="N364" s="4">
        <v>1.01</v>
      </c>
      <c r="O364" s="4">
        <v>1.2</v>
      </c>
      <c r="P364" s="4">
        <v>1.2</v>
      </c>
      <c r="Q364" s="4">
        <v>1.05</v>
      </c>
      <c r="R364" s="4">
        <v>0.16169679924070957</v>
      </c>
    </row>
    <row r="365" spans="1:20" s="4" customFormat="1" ht="16" ns3:dyDescent="0.2">
      <c r="A365" s="4" t="s">
        <v>429</v>
      </c>
      <c r="B365" s="45">
        <v>7.3486184597295713E-7</v>
      </c>
      <c r="C365" s="4" t="s">
        <v>8</v>
      </c>
      <c r="E365" s="4" t="s">
        <v>114</v>
      </c>
      <c r="F365" s="4" t="s">
        <v>23</v>
      </c>
      <c r="G365" s="4" t="s">
        <v>430</v>
      </c>
      <c r="H365" s="4" t="s">
        <v>431</v>
      </c>
      <c r="I365" s="4">
        <v>2</v>
      </c>
      <c r="J365" s="4">
        <v>-14.123583320063789</v>
      </c>
      <c r="K365" s="4">
        <v>1.05</v>
      </c>
      <c r="L365" s="5">
        <v>1.2</v>
      </c>
      <c r="M365" s="4">
        <v>1</v>
      </c>
      <c r="N365" s="4">
        <v>1.01</v>
      </c>
      <c r="O365" s="4">
        <v>1.2</v>
      </c>
      <c r="P365" s="4">
        <v>1.2</v>
      </c>
      <c r="Q365" s="4">
        <v>3</v>
      </c>
      <c r="R365" s="4">
        <v>0.57209088006881903</v>
      </c>
    </row>
    <row r="366" spans="1:20" s="4" customFormat="1" ht="16" ns3:dyDescent="0.2">
      <c r="A366" s="4" t="s">
        <v>432</v>
      </c>
      <c r="B366" s="45">
        <v>4.4092000000000001E-7</v>
      </c>
      <c r="C366" s="4" t="s">
        <v>8</v>
      </c>
      <c r="E366" s="4" t="s">
        <v>114</v>
      </c>
      <c r="F366" s="4" t="s">
        <v>23</v>
      </c>
      <c r="G366" s="4" t="s">
        <v>433</v>
      </c>
      <c r="I366" s="4">
        <v>2</v>
      </c>
      <c r="J366" s="4">
        <v>-14.634402383851297</v>
      </c>
      <c r="K366" s="4">
        <v>1.05</v>
      </c>
      <c r="L366" s="5">
        <v>1.2</v>
      </c>
      <c r="M366" s="4">
        <v>1</v>
      </c>
      <c r="N366" s="4">
        <v>1.01</v>
      </c>
      <c r="O366" s="4">
        <v>1.2</v>
      </c>
      <c r="P366" s="4">
        <v>1.2</v>
      </c>
      <c r="Q366" s="4">
        <v>3</v>
      </c>
      <c r="R366" s="4">
        <v>0.57209088006881903</v>
      </c>
    </row>
    <row r="367" spans="1:20" s="4" customFormat="1" ht="16" ns3:dyDescent="0.2">
      <c r="A367" s="4" t="s">
        <v>154</v>
      </c>
      <c r="B367" s="44">
        <v>2.6454999999999999E-6</v>
      </c>
      <c r="C367" s="4" t="s">
        <v>155</v>
      </c>
      <c r="E367" s="4" t="s">
        <v>114</v>
      </c>
      <c r="F367" s="4" t="s">
        <v>23</v>
      </c>
      <c r="G367" s="4" t="s">
        <v>156</v>
      </c>
      <c r="I367" s="4">
        <v>2</v>
      </c>
      <c r="J367" s="4">
        <v>-12.842650474602225</v>
      </c>
      <c r="K367" s="4">
        <v>1.05</v>
      </c>
      <c r="L367" s="5">
        <v>1.2</v>
      </c>
      <c r="M367" s="4">
        <v>1</v>
      </c>
      <c r="N367" s="4">
        <v>1.01</v>
      </c>
      <c r="O367" s="4">
        <v>1.2</v>
      </c>
      <c r="P367" s="4">
        <v>1.2</v>
      </c>
      <c r="Q367" s="4">
        <v>3</v>
      </c>
      <c r="R367" s="4">
        <v>0.57209088006881903</v>
      </c>
    </row>
    <row r="368" spans="1:20" s="4" customFormat="1" ht="16" ns3:dyDescent="0.2">
      <c r="A368" s="4" t="s">
        <v>434</v>
      </c>
      <c r="B368" s="44">
        <v>-9.8300000000000008E-6</v>
      </c>
      <c r="C368" s="4" t="s">
        <v>94</v>
      </c>
      <c r="E368" s="4" t="s">
        <v>127</v>
      </c>
      <c r="F368" s="4" t="s">
        <v>23</v>
      </c>
      <c r="G368" s="4" t="s">
        <v>435</v>
      </c>
      <c r="I368" s="4">
        <v>2</v>
      </c>
      <c r="J368" s="4">
        <v>-11.530071623805199</v>
      </c>
      <c r="K368" s="4">
        <v>1.05</v>
      </c>
      <c r="L368" s="5">
        <v>1.2</v>
      </c>
      <c r="M368" s="4">
        <v>1</v>
      </c>
      <c r="N368" s="4">
        <v>1.01</v>
      </c>
      <c r="O368" s="4">
        <v>1.2</v>
      </c>
      <c r="P368" s="4">
        <v>1.2</v>
      </c>
      <c r="Q368" s="4">
        <v>1.05</v>
      </c>
      <c r="R368" s="4">
        <v>0.16169679924070957</v>
      </c>
      <c r="S368" s="4" t="b">
        <v>1</v>
      </c>
    </row>
    <row r="369" spans="1:19" s="4" customFormat="1" ht="16" ns3:dyDescent="0.2">
      <c r="A369" s="4" t="s">
        <v>436</v>
      </c>
      <c r="B369" s="44">
        <v>-4.1500000000000001E-6</v>
      </c>
      <c r="C369" s="4" t="s">
        <v>9</v>
      </c>
      <c r="E369" s="40" t="s">
        <v>27</v>
      </c>
      <c r="F369" s="4" t="s">
        <v>23</v>
      </c>
      <c r="G369" s="4" t="s">
        <v>437</v>
      </c>
      <c r="I369" s="4">
        <v>2</v>
      </c>
      <c r="J369" s="4">
        <v>-12.392402223721668</v>
      </c>
      <c r="K369" s="4">
        <v>1.05</v>
      </c>
      <c r="L369" s="5">
        <v>1.2</v>
      </c>
      <c r="M369" s="4">
        <v>1</v>
      </c>
      <c r="N369" s="4">
        <v>1.01</v>
      </c>
      <c r="O369" s="4">
        <v>1.2</v>
      </c>
      <c r="P369" s="4">
        <v>1.2</v>
      </c>
      <c r="Q369" s="4">
        <v>1.05</v>
      </c>
      <c r="R369" s="4">
        <v>0.16169679924070957</v>
      </c>
      <c r="S369" s="4" t="b">
        <v>1</v>
      </c>
    </row>
    <row r="370" spans="1:19" s="4" customFormat="1" ht="16" ns3:dyDescent="0.2">
      <c r="A370" s="4" t="s">
        <v>140</v>
      </c>
      <c r="B370" s="44">
        <v>2.7274999999999999E-3</v>
      </c>
      <c r="C370" s="4" t="s">
        <v>141</v>
      </c>
      <c r="E370" s="40" t="s">
        <v>18</v>
      </c>
      <c r="F370" s="4" t="s">
        <v>23</v>
      </c>
      <c r="G370" s="4" t="s">
        <v>142</v>
      </c>
      <c r="H370" s="4" t="s">
        <v>438</v>
      </c>
      <c r="I370" s="4">
        <v>2</v>
      </c>
      <c r="J370" s="4">
        <v>-5.9043698402570479</v>
      </c>
      <c r="K370" s="4">
        <v>1.05</v>
      </c>
      <c r="L370" s="5">
        <v>1.2</v>
      </c>
      <c r="M370" s="4">
        <v>1</v>
      </c>
      <c r="N370" s="4">
        <v>1.01</v>
      </c>
      <c r="O370" s="4">
        <v>1.2</v>
      </c>
      <c r="P370" s="4">
        <v>1.2</v>
      </c>
      <c r="Q370" s="4">
        <v>1.05</v>
      </c>
      <c r="R370" s="4">
        <v>0.16169679924070957</v>
      </c>
    </row>
    <row r="371" spans="1:19" s="4" customFormat="1" ht="16" ns3:dyDescent="0.2">
      <c r="A371" s="4" t="s">
        <v>98</v>
      </c>
      <c r="B371" s="44">
        <f>(1.24*B364)/1000</f>
        <v>3.2041343669250644E-5</v>
      </c>
      <c r="C371" s="4" t="s">
        <v>94</v>
      </c>
      <c r="D371" s="4" t="s">
        <v>116</v>
      </c>
      <c r="F371" s="4" t="s">
        <v>15</v>
      </c>
      <c r="H371" s="4" t="s">
        <v>444</v>
      </c>
      <c r="I371" s="4">
        <v>2</v>
      </c>
      <c r="J371" s="4">
        <v>-2.7725887222397811</v>
      </c>
      <c r="K371" s="4">
        <v>1.05</v>
      </c>
      <c r="L371" s="5">
        <v>1.2</v>
      </c>
      <c r="M371" s="4">
        <v>1</v>
      </c>
      <c r="N371" s="4">
        <v>1.01</v>
      </c>
      <c r="O371" s="4">
        <v>1.2</v>
      </c>
      <c r="P371" s="4">
        <v>1.2</v>
      </c>
      <c r="Q371" s="4">
        <v>1.5</v>
      </c>
      <c r="R371" s="4">
        <v>0.25816898211842121</v>
      </c>
    </row>
    <row r="372" spans="1:19" s="4" customFormat="1" ht="16" ns3:dyDescent="0.2">
      <c r="A372" s="4" t="s">
        <v>122</v>
      </c>
      <c r="B372" s="44">
        <f>3.16*B364</f>
        <v>8.1653746770025834E-2</v>
      </c>
      <c r="C372" s="4" t="s">
        <v>9</v>
      </c>
      <c r="D372" s="4" t="s">
        <v>14</v>
      </c>
      <c r="F372" s="4" t="s">
        <v>15</v>
      </c>
      <c r="H372" s="4" t="s">
        <v>439</v>
      </c>
      <c r="I372" s="4">
        <v>2</v>
      </c>
      <c r="J372" s="4">
        <v>-2.5741022285924711</v>
      </c>
      <c r="K372" s="4">
        <v>1.05</v>
      </c>
      <c r="L372" s="5">
        <v>1.2</v>
      </c>
      <c r="M372" s="4">
        <v>1</v>
      </c>
      <c r="N372" s="4">
        <v>1.01</v>
      </c>
      <c r="O372" s="4">
        <v>1.2</v>
      </c>
      <c r="P372" s="4">
        <v>1.2</v>
      </c>
      <c r="Q372" s="4">
        <v>1.05</v>
      </c>
      <c r="R372" s="4">
        <v>0.16169679924070957</v>
      </c>
    </row>
    <row r="373" spans="1:19" s="4" customFormat="1" ht="16" ns3:dyDescent="0.2">
      <c r="A373" s="4" t="s">
        <v>123</v>
      </c>
      <c r="B373" s="44">
        <v>9.0000000000000002E-6</v>
      </c>
      <c r="C373" s="4" t="s">
        <v>9</v>
      </c>
      <c r="D373" s="4" t="s">
        <v>14</v>
      </c>
      <c r="F373" s="4" t="s">
        <v>15</v>
      </c>
      <c r="H373" s="4" t="s">
        <v>439</v>
      </c>
      <c r="I373" s="4">
        <v>2</v>
      </c>
      <c r="J373" s="4">
        <v>-11.618285980628055</v>
      </c>
      <c r="K373" s="4">
        <v>1.5</v>
      </c>
      <c r="L373" s="4">
        <v>1.2</v>
      </c>
      <c r="M373" s="4">
        <v>1.5</v>
      </c>
      <c r="N373" s="4">
        <v>1.1000000000000001</v>
      </c>
      <c r="O373" s="4">
        <v>2</v>
      </c>
      <c r="P373" s="4">
        <v>1.2</v>
      </c>
      <c r="Q373" s="4">
        <v>5</v>
      </c>
      <c r="R373" s="4">
        <v>0.93208283513358414</v>
      </c>
    </row>
    <row r="374" spans="1:19" s="4" customFormat="1" ht="16" ns3:dyDescent="0.2">
      <c r="A374" s="4" t="s">
        <v>69</v>
      </c>
      <c r="B374" s="44">
        <f>0.000006875/0.75</f>
        <v>9.1666666666666664E-6</v>
      </c>
      <c r="C374" s="4" t="s">
        <v>9</v>
      </c>
      <c r="D374" s="4" t="s">
        <v>14</v>
      </c>
      <c r="F374" s="4" t="s">
        <v>15</v>
      </c>
      <c r="H374" s="4" t="s">
        <v>440</v>
      </c>
      <c r="I374" s="4">
        <v>2</v>
      </c>
      <c r="J374" s="4">
        <v>-11.88761891441164</v>
      </c>
      <c r="K374" s="4">
        <v>1.05</v>
      </c>
      <c r="L374" s="5">
        <v>1.2</v>
      </c>
      <c r="M374" s="4">
        <v>1</v>
      </c>
      <c r="N374" s="4">
        <v>1.01</v>
      </c>
      <c r="O374" s="4">
        <v>1.2</v>
      </c>
      <c r="P374" s="4">
        <v>1.2</v>
      </c>
      <c r="Q374" s="4">
        <v>1.5</v>
      </c>
      <c r="R374" s="4">
        <v>0.25816898211842121</v>
      </c>
    </row>
    <row r="375" spans="1:19" s="4" customFormat="1" ht="16" ns3:dyDescent="0.2">
      <c r="A375" s="4" t="s">
        <v>71</v>
      </c>
      <c r="B375" s="44">
        <v>1.2499999999999999E-7</v>
      </c>
      <c r="C375" s="4" t="s">
        <v>9</v>
      </c>
      <c r="D375" s="4" t="s">
        <v>14</v>
      </c>
      <c r="F375" s="4" t="s">
        <v>15</v>
      </c>
      <c r="H375" s="4" t="s">
        <v>439</v>
      </c>
      <c r="I375" s="4">
        <v>2</v>
      </c>
      <c r="J375" s="4">
        <v>-15.89495209964411</v>
      </c>
      <c r="K375" s="4">
        <v>1.05</v>
      </c>
      <c r="L375" s="5">
        <v>1.2</v>
      </c>
      <c r="M375" s="4">
        <v>1</v>
      </c>
      <c r="N375" s="4">
        <v>1.01</v>
      </c>
      <c r="O375" s="4">
        <v>1.2</v>
      </c>
      <c r="P375" s="4">
        <v>1.2</v>
      </c>
      <c r="Q375" s="4">
        <v>3</v>
      </c>
      <c r="R375" s="4">
        <v>0.57209088006881903</v>
      </c>
    </row>
    <row r="376" spans="1:19" s="4" customFormat="1" ht="16" ns3:dyDescent="0.2">
      <c r="B376" s="44"/>
    </row>
    <row r="377" spans="1:19" ns3:dyDescent="0.2">
      <c r="A377" s="17" t="s">
        <v>2</v>
      </c>
      <c r="B377" s="17" t="s">
        <v>449</v>
      </c>
    </row>
    <row r="378" spans="1:19" customFormat="1" ht="16" ns3:dyDescent="0.2">
      <c r="A378" s="2" t="s">
        <v>3</v>
      </c>
      <c r="B378" s="2" t="s">
        <v>18</v>
      </c>
      <c r="C378" s="2"/>
      <c r="D378" s="2"/>
      <c r="E378" s="2"/>
      <c r="F378" s="2"/>
      <c r="G378" s="2"/>
      <c r="H378" s="2"/>
      <c r="I378" s="2"/>
      <c r="J378" s="2"/>
      <c r="K378" s="2"/>
      <c r="L378" s="2"/>
    </row>
    <row r="379" spans="1:19" customFormat="1" ht="16" ns3:dyDescent="0.2">
      <c r="A379" s="2" t="s">
        <v>4</v>
      </c>
      <c r="B379" s="2">
        <v>1</v>
      </c>
      <c r="C379" s="2"/>
      <c r="D379" s="2"/>
      <c r="E379" s="2"/>
      <c r="F379" s="2"/>
      <c r="G379" s="2"/>
      <c r="H379" s="2"/>
      <c r="I379" s="2"/>
      <c r="J379" s="2"/>
      <c r="K379" s="2"/>
      <c r="L379" s="2"/>
    </row>
    <row r="380" spans="1:19" customFormat="1" ht="16" ns3:dyDescent="0.2">
      <c r="A380" s="2" t="s">
        <v>5</v>
      </c>
      <c r="B380" s="2" t="s">
        <v>1</v>
      </c>
      <c r="C380" s="2"/>
      <c r="D380" s="2"/>
      <c r="E380" s="2"/>
      <c r="F380" s="2"/>
      <c r="G380" s="2"/>
      <c r="H380" s="2"/>
      <c r="I380" s="2"/>
      <c r="J380" s="2"/>
    </row>
    <row r="381" spans="1:19" customFormat="1" ht="16" ns3:dyDescent="0.2">
      <c r="A381" s="2" t="s">
        <v>6</v>
      </c>
      <c r="B381" s="2" t="s">
        <v>7</v>
      </c>
      <c r="C381" s="2"/>
      <c r="D381" s="2"/>
      <c r="E381" s="2"/>
      <c r="F381" s="2"/>
      <c r="G381" s="2"/>
      <c r="H381" s="2"/>
      <c r="I381" s="2"/>
      <c r="J381" s="2"/>
      <c r="K381" s="2"/>
      <c r="L381" s="2"/>
    </row>
    <row r="382" spans="1:19" customFormat="1" ht="16" ns3:dyDescent="0.2">
      <c r="A382" s="2" t="s">
        <v>8</v>
      </c>
      <c r="B382" s="2" t="s">
        <v>17</v>
      </c>
      <c r="C382" s="2"/>
      <c r="D382" s="2"/>
      <c r="E382" s="2"/>
      <c r="F382" s="2"/>
      <c r="G382" s="2"/>
      <c r="H382" s="2"/>
      <c r="I382" s="2"/>
      <c r="J382" s="2"/>
      <c r="K382" s="2"/>
      <c r="L382" s="2"/>
    </row>
    <row r="383" spans="1:19" customFormat="1" ht="16" ns3:dyDescent="0.2">
      <c r="A383" s="1" t="s">
        <v>10</v>
      </c>
      <c r="B383" s="2"/>
      <c r="C383" s="2"/>
      <c r="D383" s="2"/>
      <c r="E383" s="2"/>
      <c r="F383" s="2"/>
      <c r="G383" s="2"/>
      <c r="H383" s="2"/>
      <c r="I383" s="2"/>
      <c r="J383" s="2"/>
      <c r="K383" s="2"/>
      <c r="L383" s="2"/>
    </row>
    <row r="384" spans="1:19" ns3:dyDescent="0.2">
      <c r="A384" s="17" t="s">
        <v>11</v>
      </c>
      <c r="B384" s="17" t="s">
        <v>12</v>
      </c>
      <c r="C384" s="17" t="s">
        <v>3</v>
      </c>
      <c r="D384" s="17" t="s">
        <v>13</v>
      </c>
      <c r="E384" s="17" t="s">
        <v>8</v>
      </c>
      <c r="F384" s="17" t="s">
        <v>6</v>
      </c>
      <c r="G384" s="17" t="s">
        <v>5</v>
      </c>
    </row>
    <row r="385" spans="1:12" customFormat="1" ht="16" ns3:dyDescent="0.2">
      <c r="A385" s="2" t="str">
        <f>B377</f>
        <v>light fuel oil, from oily biomass, burned in residential boiler</v>
      </c>
      <c r="B385" s="2">
        <v>1</v>
      </c>
      <c r="C385" s="2" t="str">
        <f>B378</f>
        <v>RER</v>
      </c>
      <c r="D385" s="2"/>
      <c r="E385" s="2" t="str">
        <f>B382</f>
        <v>megajoule</v>
      </c>
      <c r="F385" s="2" t="s">
        <v>19</v>
      </c>
      <c r="G385" s="2" t="str">
        <f>B380</f>
        <v>heat</v>
      </c>
      <c r="H385" s="2"/>
      <c r="I385" s="2"/>
      <c r="J385" s="2"/>
      <c r="K385" s="2"/>
      <c r="L385" s="2"/>
    </row>
    <row r="386" spans="1:12" customFormat="1" ht="16" ns3:dyDescent="0.2">
      <c r="A386" s="2" t="str">
        <f>B355</f>
        <v>heat, residential, by combustion of light fuel oil, from oily biomass, using boiler</v>
      </c>
      <c r="B386">
        <f>1/1.1</f>
        <v>0.90909090909090906</v>
      </c>
      <c r="C386" t="s">
        <v>18</v>
      </c>
      <c r="E386" t="s">
        <v>17</v>
      </c>
      <c r="F386" t="s">
        <v>23</v>
      </c>
      <c r="G386" t="s">
        <v>31</v>
      </c>
      <c r="H386" s="2"/>
    </row>
    <row r="387" spans="1:12" customFormat="1" ht="16" ns3:dyDescent="0.2">
      <c r="H387" s="2"/>
    </row>
    <row r="388" spans="1:12" ns3:dyDescent="0.2">
      <c r="A388" s="17" t="s">
        <v>2</v>
      </c>
      <c r="B388" s="17" t="s">
        <v>35</v>
      </c>
    </row>
    <row r="389" spans="1:12" customFormat="1" ht="16" ns3:dyDescent="0.2">
      <c r="A389" s="2" t="s">
        <v>3</v>
      </c>
      <c r="B389" s="2" t="s">
        <v>18</v>
      </c>
      <c r="C389" s="2"/>
      <c r="D389" s="2"/>
      <c r="E389" s="2"/>
      <c r="F389" s="2"/>
      <c r="G389" s="2"/>
      <c r="H389" s="2"/>
      <c r="I389" s="2"/>
      <c r="J389" s="2"/>
      <c r="K389" s="2"/>
      <c r="L389" s="2"/>
    </row>
    <row r="390" spans="1:12" customFormat="1" ht="16" ns3:dyDescent="0.2">
      <c r="A390" s="2" t="s">
        <v>4</v>
      </c>
      <c r="B390" s="2">
        <v>1</v>
      </c>
      <c r="C390" s="2"/>
      <c r="D390" s="2"/>
      <c r="E390" s="2"/>
      <c r="F390" s="2"/>
      <c r="G390" s="2"/>
      <c r="H390" s="2"/>
      <c r="I390" s="2"/>
      <c r="J390" s="2"/>
      <c r="K390" s="2"/>
      <c r="L390" s="2"/>
    </row>
    <row r="391" spans="1:12" customFormat="1" ht="16" ns3:dyDescent="0.2">
      <c r="A391" s="2" t="s">
        <v>5</v>
      </c>
      <c r="B391" s="2" t="s">
        <v>1</v>
      </c>
      <c r="C391" s="2"/>
      <c r="D391" s="2"/>
      <c r="E391" s="2"/>
      <c r="F391" s="2"/>
      <c r="G391" s="2"/>
      <c r="H391" s="2"/>
      <c r="I391" s="2"/>
      <c r="J391" s="2"/>
    </row>
    <row r="392" spans="1:12" customFormat="1" ht="16" ns3:dyDescent="0.2">
      <c r="A392" s="2" t="s">
        <v>6</v>
      </c>
      <c r="B392" s="2" t="s">
        <v>7</v>
      </c>
      <c r="C392" s="2"/>
      <c r="D392" s="2"/>
      <c r="E392" s="2"/>
      <c r="F392" s="2"/>
      <c r="G392" s="2"/>
      <c r="H392" s="2"/>
      <c r="I392" s="2"/>
      <c r="J392" s="2"/>
      <c r="K392" s="2"/>
      <c r="L392" s="2"/>
    </row>
    <row r="393" spans="1:12" customFormat="1" ht="16" ns3:dyDescent="0.2">
      <c r="A393" s="2" t="s">
        <v>8</v>
      </c>
      <c r="B393" s="2" t="s">
        <v>17</v>
      </c>
      <c r="C393" s="2"/>
      <c r="D393" s="2"/>
      <c r="E393" s="2"/>
      <c r="F393" s="2"/>
      <c r="G393" s="2"/>
      <c r="H393" s="2"/>
      <c r="I393" s="2"/>
      <c r="J393" s="2"/>
      <c r="K393" s="2"/>
      <c r="L393" s="2"/>
    </row>
    <row r="394" spans="1:12" customFormat="1" ht="16" ns3:dyDescent="0.2">
      <c r="A394" s="1" t="s">
        <v>10</v>
      </c>
      <c r="B394" s="2"/>
      <c r="C394" s="2"/>
      <c r="D394" s="2"/>
      <c r="E394" s="2"/>
      <c r="F394" s="2"/>
      <c r="G394" s="2"/>
      <c r="H394" s="2"/>
      <c r="I394" s="2"/>
      <c r="J394" s="2"/>
      <c r="K394" s="2"/>
      <c r="L394" s="2"/>
    </row>
    <row r="395" spans="1:12" ns3:dyDescent="0.2">
      <c r="A395" s="17" t="s">
        <v>11</v>
      </c>
      <c r="B395" s="17" t="s">
        <v>12</v>
      </c>
      <c r="C395" s="17" t="s">
        <v>3</v>
      </c>
      <c r="D395" s="17" t="s">
        <v>13</v>
      </c>
      <c r="E395" s="17" t="s">
        <v>8</v>
      </c>
      <c r="F395" s="17" t="s">
        <v>6</v>
      </c>
      <c r="G395" s="17" t="s">
        <v>5</v>
      </c>
    </row>
    <row r="396" spans="1:12" customFormat="1" ht="16" ns3:dyDescent="0.2">
      <c r="A396" s="2" t="str">
        <f>B388</f>
        <v>methanol from coal, burned in residential boiler</v>
      </c>
      <c r="B396" s="2">
        <v>1</v>
      </c>
      <c r="C396" s="2" t="str">
        <f>B389</f>
        <v>RER</v>
      </c>
      <c r="D396" s="2"/>
      <c r="E396" s="2" t="str">
        <f>B393</f>
        <v>megajoule</v>
      </c>
      <c r="F396" s="2" t="s">
        <v>19</v>
      </c>
      <c r="G396" s="2" t="str">
        <f>B391</f>
        <v>heat</v>
      </c>
      <c r="H396" s="2"/>
      <c r="I396" s="2"/>
      <c r="J396" s="2"/>
      <c r="K396" s="2"/>
      <c r="L396" s="2"/>
    </row>
    <row r="397" spans="1:12" customFormat="1" ht="16" ns3:dyDescent="0.2">
      <c r="A397" s="2" t="s">
        <v>36</v>
      </c>
      <c r="B397">
        <f>1/(0.05556*20)</f>
        <v>0.89992800575953924</v>
      </c>
      <c r="C397" t="s">
        <v>18</v>
      </c>
      <c r="E397" t="s">
        <v>17</v>
      </c>
      <c r="F397" t="s">
        <v>23</v>
      </c>
      <c r="G397" t="s">
        <v>31</v>
      </c>
      <c r="H397" s="2"/>
    </row>
    <row r="398" spans="1:12" customFormat="1" ht="16" ns3:dyDescent="0.2">
      <c r="F398" s="2"/>
    </row>
    <row r="399" spans="1:12" ns3:dyDescent="0.2">
      <c r="A399" s="17" t="s">
        <v>2</v>
      </c>
      <c r="B399" s="17" t="s">
        <v>261</v>
      </c>
    </row>
    <row r="400" spans="1:12" customFormat="1" ht="16" ns3:dyDescent="0.2">
      <c r="A400" s="2" t="s">
        <v>3</v>
      </c>
      <c r="B400" s="2" t="s">
        <v>18</v>
      </c>
      <c r="C400" s="2"/>
      <c r="D400" s="2"/>
      <c r="E400" s="2"/>
      <c r="F400" s="2"/>
      <c r="G400" s="2"/>
      <c r="H400" s="2"/>
      <c r="I400" s="2"/>
      <c r="J400" s="2"/>
      <c r="K400" s="2"/>
      <c r="L400" s="2"/>
    </row>
    <row r="401" spans="1:12" customFormat="1" ht="16" ns3:dyDescent="0.2">
      <c r="A401" s="2" t="s">
        <v>4</v>
      </c>
      <c r="B401" s="2">
        <v>1</v>
      </c>
      <c r="C401" s="2"/>
      <c r="D401" s="2"/>
      <c r="E401" s="2"/>
      <c r="F401" s="2"/>
      <c r="G401" s="2"/>
      <c r="H401" s="2"/>
      <c r="I401" s="2"/>
      <c r="J401" s="2"/>
      <c r="K401" s="2"/>
      <c r="L401" s="2"/>
    </row>
    <row r="402" spans="1:12" customFormat="1" ht="16" ns3:dyDescent="0.2">
      <c r="A402" s="2" t="s">
        <v>5</v>
      </c>
      <c r="B402" s="2" t="s">
        <v>1</v>
      </c>
      <c r="C402" s="2"/>
      <c r="D402" s="2"/>
      <c r="E402" s="2"/>
      <c r="F402" s="2"/>
      <c r="G402" s="2"/>
      <c r="H402" s="2"/>
      <c r="I402" s="2"/>
      <c r="J402" s="2"/>
    </row>
    <row r="403" spans="1:12" customFormat="1" ht="16" ns3:dyDescent="0.2">
      <c r="A403" s="2" t="s">
        <v>6</v>
      </c>
      <c r="B403" s="2" t="s">
        <v>7</v>
      </c>
      <c r="C403" s="2"/>
      <c r="D403" s="2"/>
      <c r="E403" s="2"/>
      <c r="F403" s="2"/>
      <c r="G403" s="2"/>
      <c r="H403" s="2"/>
      <c r="I403" s="2"/>
      <c r="J403" s="2"/>
      <c r="K403" s="2"/>
      <c r="L403" s="2"/>
    </row>
    <row r="404" spans="1:12" customFormat="1" ht="16" ns3:dyDescent="0.2">
      <c r="A404" s="2" t="s">
        <v>8</v>
      </c>
      <c r="B404" s="2" t="s">
        <v>17</v>
      </c>
      <c r="C404" s="2"/>
      <c r="D404" s="2"/>
      <c r="E404" s="2"/>
      <c r="F404" s="2"/>
      <c r="G404" s="2"/>
      <c r="H404" s="2"/>
      <c r="I404" s="2"/>
      <c r="J404" s="2"/>
      <c r="K404" s="2"/>
      <c r="L404" s="2"/>
    </row>
    <row r="405" spans="1:12" customFormat="1" ht="16" ns3:dyDescent="0.2">
      <c r="A405" s="1" t="s">
        <v>10</v>
      </c>
      <c r="B405" s="2"/>
      <c r="C405" s="2"/>
      <c r="D405" s="2"/>
      <c r="E405" s="2"/>
      <c r="F405" s="2"/>
      <c r="G405" s="2"/>
      <c r="H405" s="2"/>
      <c r="I405" s="2"/>
      <c r="J405" s="2"/>
      <c r="K405" s="2"/>
      <c r="L405" s="2"/>
    </row>
    <row r="406" spans="1:12" ns3:dyDescent="0.2">
      <c r="A406" s="17" t="s">
        <v>11</v>
      </c>
      <c r="B406" s="17" t="s">
        <v>12</v>
      </c>
      <c r="C406" s="17" t="s">
        <v>3</v>
      </c>
      <c r="D406" s="17" t="s">
        <v>13</v>
      </c>
      <c r="E406" s="17" t="s">
        <v>8</v>
      </c>
      <c r="F406" s="17" t="s">
        <v>6</v>
      </c>
      <c r="G406" s="17" t="s">
        <v>5</v>
      </c>
      <c r="H406" s="17" t="s">
        <v>151</v>
      </c>
    </row>
    <row r="407" spans="1:12" customFormat="1" ht="16" ns3:dyDescent="0.2">
      <c r="A407" s="2" t="str">
        <f>B399</f>
        <v>natural gas, synthetic, burned in gas turbine</v>
      </c>
      <c r="B407" s="2">
        <v>1</v>
      </c>
      <c r="C407" s="2" t="str">
        <f>B400</f>
        <v>RER</v>
      </c>
      <c r="D407" s="2"/>
      <c r="E407" s="2" t="str">
        <f>B404</f>
        <v>megajoule</v>
      </c>
      <c r="F407" s="2" t="s">
        <v>19</v>
      </c>
      <c r="G407" s="2"/>
      <c r="H407" s="2"/>
      <c r="I407" s="2"/>
      <c r="J407" s="2"/>
      <c r="K407" s="2"/>
      <c r="L407" s="2"/>
    </row>
    <row r="408" spans="1:12" customFormat="1" ht="16" ns3:dyDescent="0.2">
      <c r="A408" t="s">
        <v>263</v>
      </c>
      <c r="B408" s="12">
        <v>1.15E-10</v>
      </c>
      <c r="C408" t="s">
        <v>18</v>
      </c>
      <c r="E408" t="s">
        <v>8</v>
      </c>
      <c r="F408" t="s">
        <v>23</v>
      </c>
      <c r="G408" s="2" t="s">
        <v>262</v>
      </c>
      <c r="J408" s="2"/>
    </row>
    <row r="409" spans="1:12" customFormat="1" ht="16" ns3:dyDescent="0.2">
      <c r="A409" t="s">
        <v>305</v>
      </c>
      <c r="B409" s="2">
        <f>1/47.5</f>
        <v>2.1052631578947368E-2</v>
      </c>
      <c r="C409" t="s">
        <v>18</v>
      </c>
      <c r="E409" t="s">
        <v>9</v>
      </c>
      <c r="F409" t="s">
        <v>23</v>
      </c>
      <c r="G409" t="s">
        <v>267</v>
      </c>
      <c r="J409" s="2"/>
    </row>
    <row r="410" spans="1:12" customFormat="1" ht="16" ns3:dyDescent="0.2">
      <c r="A410" t="s">
        <v>122</v>
      </c>
      <c r="B410">
        <f>B409*2.74</f>
        <v>5.7684210526315789E-2</v>
      </c>
      <c r="D410" t="s">
        <v>14</v>
      </c>
      <c r="E410" t="s">
        <v>9</v>
      </c>
      <c r="F410" s="2" t="s">
        <v>15</v>
      </c>
      <c r="G410" s="2"/>
      <c r="H410" t="s">
        <v>291</v>
      </c>
      <c r="J410" s="2"/>
    </row>
    <row r="411" spans="1:12" customFormat="1" ht="16" ns3:dyDescent="0.2">
      <c r="A411" t="s">
        <v>123</v>
      </c>
      <c r="B411" s="3">
        <v>4.0000000000000003E-5</v>
      </c>
      <c r="D411" t="s">
        <v>14</v>
      </c>
      <c r="E411" t="s">
        <v>9</v>
      </c>
      <c r="F411" s="2" t="s">
        <v>15</v>
      </c>
      <c r="G411" s="2"/>
      <c r="J411" s="2"/>
    </row>
    <row r="412" spans="1:12" customFormat="1" ht="16" ns3:dyDescent="0.2">
      <c r="A412" t="s">
        <v>58</v>
      </c>
      <c r="B412" s="3">
        <v>9.9999999999999995E-7</v>
      </c>
      <c r="D412" t="s">
        <v>14</v>
      </c>
      <c r="E412" t="s">
        <v>9</v>
      </c>
      <c r="F412" s="2" t="s">
        <v>15</v>
      </c>
      <c r="J412" s="2"/>
    </row>
    <row r="413" spans="1:12" customFormat="1" ht="16" ns3:dyDescent="0.2">
      <c r="A413" t="s">
        <v>103</v>
      </c>
      <c r="B413" s="3">
        <v>2.9000000000000003E-17</v>
      </c>
      <c r="D413" t="s">
        <v>14</v>
      </c>
      <c r="E413" t="s">
        <v>9</v>
      </c>
      <c r="F413" s="2" t="s">
        <v>15</v>
      </c>
      <c r="J413" s="2"/>
    </row>
    <row r="414" spans="1:12" customFormat="1" ht="16" ns3:dyDescent="0.2">
      <c r="A414" t="s">
        <v>264</v>
      </c>
      <c r="B414">
        <v>1.1000000000000001</v>
      </c>
      <c r="D414" t="s">
        <v>14</v>
      </c>
      <c r="E414" t="s">
        <v>17</v>
      </c>
      <c r="F414" s="2" t="s">
        <v>15</v>
      </c>
      <c r="J414" s="2"/>
    </row>
    <row r="415" spans="1:12" customFormat="1" ht="16" ns3:dyDescent="0.2">
      <c r="A415" t="s">
        <v>64</v>
      </c>
      <c r="B415" s="3">
        <v>3E-11</v>
      </c>
      <c r="D415" t="s">
        <v>14</v>
      </c>
      <c r="E415" t="s">
        <v>9</v>
      </c>
      <c r="F415" s="2" t="s">
        <v>15</v>
      </c>
      <c r="J415" s="2"/>
    </row>
    <row r="416" spans="1:12" customFormat="1" ht="16" ns3:dyDescent="0.2">
      <c r="A416" t="s">
        <v>177</v>
      </c>
      <c r="B416" s="3">
        <v>4.40134279210326E-6</v>
      </c>
      <c r="D416" t="s">
        <v>14</v>
      </c>
      <c r="E416" t="s">
        <v>9</v>
      </c>
      <c r="F416" s="2" t="s">
        <v>15</v>
      </c>
      <c r="J416" s="2"/>
    </row>
    <row r="417" spans="1:12" customFormat="1" ht="16" ns3:dyDescent="0.2">
      <c r="A417" t="s">
        <v>67</v>
      </c>
      <c r="B417" s="3">
        <v>9.9999999999999995E-7</v>
      </c>
      <c r="D417" t="s">
        <v>14</v>
      </c>
      <c r="E417" t="s">
        <v>9</v>
      </c>
      <c r="F417" s="2" t="s">
        <v>15</v>
      </c>
      <c r="J417" s="2"/>
    </row>
    <row r="418" spans="1:12" customFormat="1" ht="16" ns3:dyDescent="0.2">
      <c r="A418" t="s">
        <v>69</v>
      </c>
      <c r="B418">
        <v>1.27058370604326E-4</v>
      </c>
      <c r="D418" t="s">
        <v>14</v>
      </c>
      <c r="E418" t="s">
        <v>9</v>
      </c>
      <c r="F418" s="2" t="s">
        <v>15</v>
      </c>
      <c r="J418" s="2"/>
    </row>
    <row r="419" spans="1:12" customFormat="1" ht="16" ns3:dyDescent="0.2">
      <c r="A419" t="s">
        <v>77</v>
      </c>
      <c r="B419" s="3">
        <v>5.5000000000000003E-7</v>
      </c>
      <c r="D419" t="s">
        <v>14</v>
      </c>
      <c r="E419" t="s">
        <v>9</v>
      </c>
      <c r="F419" s="2" t="s">
        <v>15</v>
      </c>
      <c r="J419" s="2"/>
    </row>
    <row r="420" spans="1:12" customFormat="1" ht="16" ns3:dyDescent="0.2">
      <c r="A420" t="s">
        <v>265</v>
      </c>
      <c r="B420">
        <v>4.0821972963304497E-2</v>
      </c>
      <c r="D420" t="s">
        <v>266</v>
      </c>
      <c r="E420" t="s">
        <v>9</v>
      </c>
      <c r="F420" s="2" t="s">
        <v>15</v>
      </c>
      <c r="J420" s="2"/>
    </row>
    <row r="421" spans="1:12" customFormat="1" ht="16" ns3:dyDescent="0.2">
      <c r="A421" t="s">
        <v>122</v>
      </c>
      <c r="B421" s="3">
        <v>3.1941563011577698E-5</v>
      </c>
      <c r="D421" t="s">
        <v>116</v>
      </c>
      <c r="E421" t="s">
        <v>9</v>
      </c>
      <c r="F421" s="2" t="s">
        <v>15</v>
      </c>
      <c r="J421" s="2"/>
    </row>
    <row r="422" spans="1:12" customFormat="1" ht="16" ns3:dyDescent="0.2">
      <c r="J422" s="2"/>
    </row>
    <row r="423">
      <c r="A423" t="inlineStr">
        <is>
          <t>Activity</t>
        </is>
      </c>
      <c r="B423" t="inlineStr">
        <is>
          <t>biodiesel, from residual oily biomass, burned in heavy-duty vehicle</t>
        </is>
      </c>
    </row>
    <row r="424">
      <c r="A424" t="inlineStr">
        <is>
          <t>location</t>
        </is>
      </c>
      <c r="B424" t="inlineStr">
        <is>
          <t>RER</t>
        </is>
      </c>
    </row>
    <row r="425">
      <c r="A425" t="inlineStr">
        <is>
          <t>production amount</t>
        </is>
      </c>
      <c r="B425">
        <v>1</v>
      </c>
    </row>
    <row r="426">
      <c r="A426" t="inlineStr">
        <is>
          <t>reference product</t>
        </is>
      </c>
      <c r="B426" t="inlineStr">
        <is>
          <t>heat</t>
        </is>
      </c>
    </row>
    <row r="427">
      <c r="A427" t="inlineStr">
        <is>
          <t>type</t>
        </is>
      </c>
      <c r="B427" t="inlineStr">
        <is>
          <t>process</t>
        </is>
      </c>
    </row>
    <row r="428">
      <c r="A428" t="inlineStr">
        <is>
          <t>unit</t>
        </is>
      </c>
      <c r="B428" t="inlineStr">
        <is>
          <t>megajoule</t>
        </is>
      </c>
    </row>
    <row r="429">
      <c r="A429" t="inlineStr">
        <is>
          <t>energy use source</t>
        </is>
      </c>
      <c r="B42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30">
      <c r="A430" t="inlineStr">
        <is>
          <t>comment</t>
        </is>
      </c>
      <c r="B43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431">
      <c r="A431" t="inlineStr">
        <is>
          <t>Exchanges</t>
        </is>
      </c>
    </row>
    <row r="432">
      <c r="A432" t="inlineStr">
        <is>
          <t>name</t>
        </is>
      </c>
      <c r="B432" t="inlineStr">
        <is>
          <t>amount</t>
        </is>
      </c>
      <c r="C432" t="inlineStr">
        <is>
          <t>location</t>
        </is>
      </c>
      <c r="D432" t="inlineStr">
        <is>
          <t>unit</t>
        </is>
      </c>
      <c r="E432" t="inlineStr">
        <is>
          <t>categories</t>
        </is>
      </c>
      <c r="F432" t="inlineStr">
        <is>
          <t>type</t>
        </is>
      </c>
      <c r="G432" t="inlineStr">
        <is>
          <t>reference product</t>
        </is>
      </c>
      <c r="H432" t="inlineStr">
        <is>
          <t>comment</t>
        </is>
      </c>
      <c r="I432" t="inlineStr">
        <is>
          <t>uncertainty type</t>
        </is>
      </c>
    </row>
    <row r="433">
      <c r="A433" t="inlineStr">
        <is>
          <t>biodiesel, from residual oily biomass, burned in heavy-duty vehicle</t>
        </is>
      </c>
      <c r="B433">
        <v>1.0</v>
      </c>
      <c r="C433" t="inlineStr">
        <is>
          <t>RER</t>
        </is>
      </c>
      <c r="D433" t="inlineStr">
        <is>
          <t>megajoule</t>
        </is>
      </c>
      <c r="F433" t="inlineStr">
        <is>
          <t>production</t>
        </is>
      </c>
      <c r="G433" t="inlineStr">
        <is>
          <t>heat</t>
        </is>
      </c>
      <c r="I433">
        <v>0</v>
      </c>
    </row>
    <row r="434">
      <c r="A434" t="inlineStr">
        <is>
          <t>biodiesel production, via transesterification, from used cooking oil, energy allocation</t>
        </is>
      </c>
      <c r="B434">
        <v>0.02631578947368421</v>
      </c>
      <c r="C434" t="inlineStr">
        <is>
          <t>RER</t>
        </is>
      </c>
      <c r="D434" t="inlineStr">
        <is>
          <t>kilogram</t>
        </is>
      </c>
      <c r="F434" t="inlineStr">
        <is>
          <t>technosphere</t>
        </is>
      </c>
      <c r="G434" t="inlineStr">
        <is>
          <t>biodiesel, from cooking oil</t>
        </is>
      </c>
      <c r="H434" t="inlineStr">
        <is>
          <t>LHV of biodiesel: 38 MJ/kg.</t>
        </is>
      </c>
      <c r="I434">
        <v>0</v>
      </c>
    </row>
    <row r="435">
      <c r="A435" t="inlineStr">
        <is>
          <t>market for tetrafluoroethane, R134a</t>
        </is>
      </c>
      <c r="B435">
        <v>2.2988634886667227e-07</v>
      </c>
      <c r="C435" t="inlineStr">
        <is>
          <t>GLO</t>
        </is>
      </c>
      <c r="D435" t="inlineStr">
        <is>
          <t>kilogram</t>
        </is>
      </c>
      <c r="F435" t="inlineStr">
        <is>
          <t>technosphere</t>
        </is>
      </c>
      <c r="G435" t="inlineStr">
        <is>
          <t>tetrafluoroethane, R134a</t>
        </is>
      </c>
      <c r="I435">
        <v>0</v>
      </c>
    </row>
    <row r="436">
      <c r="A436" t="inlineStr">
        <is>
          <t>treatment of brake wear emissions, lorry</t>
        </is>
      </c>
      <c r="B436">
        <v>-8.332264901167272e-06</v>
      </c>
      <c r="C436" t="inlineStr">
        <is>
          <t>RER</t>
        </is>
      </c>
      <c r="D436" t="inlineStr">
        <is>
          <t>kilogram</t>
        </is>
      </c>
      <c r="F436" t="inlineStr">
        <is>
          <t>technosphere</t>
        </is>
      </c>
      <c r="G436" t="inlineStr">
        <is>
          <t>brake wear emissions, lorry</t>
        </is>
      </c>
      <c r="I436">
        <v>0</v>
      </c>
    </row>
    <row r="437">
      <c r="A437" t="inlineStr">
        <is>
          <t>treatment of road wear emissions, lorry</t>
        </is>
      </c>
      <c r="B437">
        <v>-1.0511814175882647e-05</v>
      </c>
      <c r="C437" t="inlineStr">
        <is>
          <t>RER</t>
        </is>
      </c>
      <c r="D437" t="inlineStr">
        <is>
          <t>kilogram</t>
        </is>
      </c>
      <c r="F437" t="inlineStr">
        <is>
          <t>technosphere</t>
        </is>
      </c>
      <c r="G437" t="inlineStr">
        <is>
          <t>road wear emissions, lorry</t>
        </is>
      </c>
      <c r="I437">
        <v>0</v>
      </c>
    </row>
    <row r="438">
      <c r="A438" t="inlineStr">
        <is>
          <t>treatment of tyre wear emissions, lorry</t>
        </is>
      </c>
      <c r="B438">
        <v>-8.54276405830878e-06</v>
      </c>
      <c r="C438" t="inlineStr">
        <is>
          <t>RER</t>
        </is>
      </c>
      <c r="D438" t="inlineStr">
        <is>
          <t>kilogram</t>
        </is>
      </c>
      <c r="F438" t="inlineStr">
        <is>
          <t>technosphere</t>
        </is>
      </c>
      <c r="G438" t="inlineStr">
        <is>
          <t>tyre wear emissions, lorry</t>
        </is>
      </c>
      <c r="I438">
        <v>0</v>
      </c>
    </row>
    <row r="439">
      <c r="A439" t="inlineStr">
        <is>
          <t>Toluene</t>
        </is>
      </c>
      <c r="B439">
        <v>9.72817404061121e-11</v>
      </c>
      <c r="D439" t="inlineStr">
        <is>
          <t>kilogram</t>
        </is>
      </c>
      <c r="E439" t="inlineStr">
        <is>
          <t>air::non-urban air or from high stacks</t>
        </is>
      </c>
      <c r="F439" t="inlineStr">
        <is>
          <t>biosphere</t>
        </is>
      </c>
      <c r="I439">
        <v>0</v>
      </c>
    </row>
    <row r="440">
      <c r="A440" t="inlineStr">
        <is>
          <t>NMVOC, non-methane volatile organic compounds</t>
        </is>
      </c>
      <c r="B440">
        <v>7.909005533746073e-07</v>
      </c>
      <c r="D440" t="inlineStr">
        <is>
          <t>kilogram</t>
        </is>
      </c>
      <c r="E440" t="inlineStr">
        <is>
          <t>air::non-urban air or from high stacks</t>
        </is>
      </c>
      <c r="F440" t="inlineStr">
        <is>
          <t>biosphere</t>
        </is>
      </c>
      <c r="I440">
        <v>0</v>
      </c>
    </row>
    <row r="441">
      <c r="A441" t="inlineStr">
        <is>
          <t>Dinitrogen monoxide</t>
        </is>
      </c>
      <c r="B441">
        <v>1.9725120204580215e-05</v>
      </c>
      <c r="D441" t="inlineStr">
        <is>
          <t>kilogram</t>
        </is>
      </c>
      <c r="E441" t="inlineStr">
        <is>
          <t>air::non-urban air or from high stacks</t>
        </is>
      </c>
      <c r="F441" t="inlineStr">
        <is>
          <t>biosphere</t>
        </is>
      </c>
      <c r="I441">
        <v>0</v>
      </c>
    </row>
    <row r="442">
      <c r="A442" t="inlineStr">
        <is>
          <t>Ethane</t>
        </is>
      </c>
      <c r="B442">
        <v>1.0891786400309831e-10</v>
      </c>
      <c r="D442" t="inlineStr">
        <is>
          <t>kilogram</t>
        </is>
      </c>
      <c r="E442" t="inlineStr">
        <is>
          <t>air::urban air close to ground</t>
        </is>
      </c>
      <c r="F442" t="inlineStr">
        <is>
          <t>biosphere</t>
        </is>
      </c>
      <c r="I442">
        <v>0</v>
      </c>
    </row>
    <row r="443">
      <c r="A443" t="inlineStr">
        <is>
          <t>Pentane</t>
        </is>
      </c>
      <c r="B443">
        <v>2.178357280061967e-10</v>
      </c>
      <c r="D443" t="inlineStr">
        <is>
          <t>kilogram</t>
        </is>
      </c>
      <c r="E443" t="inlineStr">
        <is>
          <t>air::urban air close to ground</t>
        </is>
      </c>
      <c r="F443" t="inlineStr">
        <is>
          <t>biosphere</t>
        </is>
      </c>
      <c r="I443">
        <v>0</v>
      </c>
    </row>
    <row r="444">
      <c r="A444" t="inlineStr">
        <is>
          <t>Selenium IV</t>
        </is>
      </c>
      <c r="B444">
        <v>1.6967614759358543e-12</v>
      </c>
      <c r="D444" t="inlineStr">
        <is>
          <t>kilogram</t>
        </is>
      </c>
      <c r="E444" t="inlineStr">
        <is>
          <t>air::non-urban air or from high stacks</t>
        </is>
      </c>
      <c r="F444" t="inlineStr">
        <is>
          <t>biosphere</t>
        </is>
      </c>
      <c r="I444">
        <v>0</v>
      </c>
    </row>
    <row r="445">
      <c r="A445" t="inlineStr">
        <is>
          <t>Arsenic ion</t>
        </is>
      </c>
      <c r="B445">
        <v>1.6967614759358543e-12</v>
      </c>
      <c r="D445" t="inlineStr">
        <is>
          <t>kilogram</t>
        </is>
      </c>
      <c r="E445" t="inlineStr">
        <is>
          <t>air::non-urban air or from high stacks</t>
        </is>
      </c>
      <c r="F445" t="inlineStr">
        <is>
          <t>biosphere</t>
        </is>
      </c>
      <c r="I445">
        <v>0</v>
      </c>
    </row>
    <row r="446">
      <c r="A446" t="inlineStr">
        <is>
          <t>Arsenic ion</t>
        </is>
      </c>
      <c r="B446">
        <v>6.332385327245513e-13</v>
      </c>
      <c r="D446" t="inlineStr">
        <is>
          <t>kilogram</t>
        </is>
      </c>
      <c r="E446" t="inlineStr">
        <is>
          <t>air::urban air close to ground</t>
        </is>
      </c>
      <c r="F446" t="inlineStr">
        <is>
          <t>biosphere</t>
        </is>
      </c>
      <c r="I446">
        <v>0</v>
      </c>
    </row>
    <row r="447">
      <c r="A447" t="inlineStr">
        <is>
          <t>Particulate Matter, &lt; 2.5 um</t>
        </is>
      </c>
      <c r="B447">
        <v>1.7825282603055566e-07</v>
      </c>
      <c r="D447" t="inlineStr">
        <is>
          <t>kilogram</t>
        </is>
      </c>
      <c r="E447" t="inlineStr">
        <is>
          <t>air::urban air close to ground</t>
        </is>
      </c>
      <c r="F447" t="inlineStr">
        <is>
          <t>biosphere</t>
        </is>
      </c>
      <c r="I447">
        <v>0</v>
      </c>
    </row>
    <row r="448">
      <c r="A448" t="inlineStr">
        <is>
          <t>Nickel II</t>
        </is>
      </c>
      <c r="B448">
        <v>3.3862406923329497e-12</v>
      </c>
      <c r="D448" t="inlineStr">
        <is>
          <t>kilogram</t>
        </is>
      </c>
      <c r="E448" t="inlineStr">
        <is>
          <t>air::non-urban air or from high stacks</t>
        </is>
      </c>
      <c r="F448" t="inlineStr">
        <is>
          <t>biosphere</t>
        </is>
      </c>
      <c r="I448">
        <v>0</v>
      </c>
    </row>
    <row r="449">
      <c r="A449" t="inlineStr">
        <is>
          <t>Methane, fossil</t>
        </is>
      </c>
      <c r="B449">
        <v>2.3921714073582906e-08</v>
      </c>
      <c r="D449" t="inlineStr">
        <is>
          <t>kilogram</t>
        </is>
      </c>
      <c r="E449" t="inlineStr">
        <is>
          <t>air::non-urban air or from high stacks</t>
        </is>
      </c>
      <c r="F449" t="inlineStr">
        <is>
          <t>biosphere</t>
        </is>
      </c>
      <c r="I449">
        <v>0</v>
      </c>
    </row>
    <row r="450">
      <c r="A450" t="inlineStr">
        <is>
          <t>Mercury II</t>
        </is>
      </c>
      <c r="B450">
        <v>8.957152806237827e-11</v>
      </c>
      <c r="D450" t="inlineStr">
        <is>
          <t>kilogram</t>
        </is>
      </c>
      <c r="E450" t="inlineStr">
        <is>
          <t>air::non-urban air or from high stacks</t>
        </is>
      </c>
      <c r="F450" t="inlineStr">
        <is>
          <t>biosphere</t>
        </is>
      </c>
      <c r="I450">
        <v>0</v>
      </c>
    </row>
    <row r="451">
      <c r="A451" t="inlineStr">
        <is>
          <t>Ammonia</t>
        </is>
      </c>
      <c r="B451">
        <v>6.894575078264757e-06</v>
      </c>
      <c r="D451" t="inlineStr">
        <is>
          <t>kilogram</t>
        </is>
      </c>
      <c r="E451" t="inlineStr">
        <is>
          <t>air::non-urban air or from high stacks</t>
        </is>
      </c>
      <c r="F451" t="inlineStr">
        <is>
          <t>biosphere</t>
        </is>
      </c>
      <c r="I451">
        <v>0</v>
      </c>
    </row>
    <row r="452">
      <c r="A452" t="inlineStr">
        <is>
          <t>Ethane</t>
        </is>
      </c>
      <c r="B452">
        <v>2.918452212183362e-10</v>
      </c>
      <c r="D452" t="inlineStr">
        <is>
          <t>kilogram</t>
        </is>
      </c>
      <c r="E452" t="inlineStr">
        <is>
          <t>air::non-urban air or from high stacks</t>
        </is>
      </c>
      <c r="F452" t="inlineStr">
        <is>
          <t>biosphere</t>
        </is>
      </c>
      <c r="I452">
        <v>0</v>
      </c>
    </row>
    <row r="453">
      <c r="A453" t="inlineStr">
        <is>
          <t>Nickel II</t>
        </is>
      </c>
      <c r="B453">
        <v>1.263759195389486e-12</v>
      </c>
      <c r="D453" t="inlineStr">
        <is>
          <t>kilogram</t>
        </is>
      </c>
      <c r="E453" t="inlineStr">
        <is>
          <t>air::urban air close to ground</t>
        </is>
      </c>
      <c r="F453" t="inlineStr">
        <is>
          <t>biosphere</t>
        </is>
      </c>
      <c r="I453">
        <v>0</v>
      </c>
    </row>
    <row r="454">
      <c r="A454" t="inlineStr">
        <is>
          <t>Cadmium II</t>
        </is>
      </c>
      <c r="B454">
        <v>8.447396081985474e-13</v>
      </c>
      <c r="D454" t="inlineStr">
        <is>
          <t>kilogram</t>
        </is>
      </c>
      <c r="E454" t="inlineStr">
        <is>
          <t>air::non-urban air or from high stacks</t>
        </is>
      </c>
      <c r="F454" t="inlineStr">
        <is>
          <t>biosphere</t>
        </is>
      </c>
      <c r="I454">
        <v>0</v>
      </c>
    </row>
    <row r="455">
      <c r="A455" t="inlineStr">
        <is>
          <t>Ammonia</t>
        </is>
      </c>
      <c r="B455">
        <v>2.573084583766733e-06</v>
      </c>
      <c r="D455" t="inlineStr">
        <is>
          <t>kilogram</t>
        </is>
      </c>
      <c r="E455" t="inlineStr">
        <is>
          <t>air::urban air close to ground</t>
        </is>
      </c>
      <c r="F455" t="inlineStr">
        <is>
          <t>biosphere</t>
        </is>
      </c>
      <c r="I455">
        <v>0</v>
      </c>
    </row>
    <row r="456">
      <c r="A456" t="inlineStr">
        <is>
          <t>Butane</t>
        </is>
      </c>
      <c r="B456">
        <v>1.4592261593886937e-09</v>
      </c>
      <c r="D456" t="inlineStr">
        <is>
          <t>kilogram</t>
        </is>
      </c>
      <c r="E456" t="inlineStr">
        <is>
          <t>air::non-urban air or from high stacks</t>
        </is>
      </c>
      <c r="F456" t="inlineStr">
        <is>
          <t>biosphere</t>
        </is>
      </c>
      <c r="I456">
        <v>0</v>
      </c>
    </row>
    <row r="457">
      <c r="A457" t="inlineStr">
        <is>
          <t>PAH, polycyclic aromatic hydrocarbons</t>
        </is>
      </c>
      <c r="B457">
        <v>4.946326620454795e-10</v>
      </c>
      <c r="D457" t="inlineStr">
        <is>
          <t>kilogram</t>
        </is>
      </c>
      <c r="E457" t="inlineStr">
        <is>
          <t>air::urban air close to ground</t>
        </is>
      </c>
      <c r="F457" t="inlineStr">
        <is>
          <t>biosphere</t>
        </is>
      </c>
      <c r="I457">
        <v>0</v>
      </c>
    </row>
    <row r="458">
      <c r="A458" t="inlineStr">
        <is>
          <t>Copper ion</t>
        </is>
      </c>
      <c r="B458">
        <v>9.685376539404841e-11</v>
      </c>
      <c r="D458" t="inlineStr">
        <is>
          <t>kilogram</t>
        </is>
      </c>
      <c r="E458" t="inlineStr">
        <is>
          <t>air::non-urban air or from high stacks</t>
        </is>
      </c>
      <c r="F458" t="inlineStr">
        <is>
          <t>biosphere</t>
        </is>
      </c>
      <c r="I458">
        <v>0</v>
      </c>
    </row>
    <row r="459">
      <c r="A459" t="inlineStr">
        <is>
          <t>Nitrogen oxides</t>
        </is>
      </c>
      <c r="B459">
        <v>0.00018753997183161043</v>
      </c>
      <c r="D459" t="inlineStr">
        <is>
          <t>kilogram</t>
        </is>
      </c>
      <c r="E459" t="inlineStr">
        <is>
          <t>air::non-urban air or from high stacks</t>
        </is>
      </c>
      <c r="F459" t="inlineStr">
        <is>
          <t>biosphere</t>
        </is>
      </c>
      <c r="I459">
        <v>0</v>
      </c>
    </row>
    <row r="460">
      <c r="A460" t="inlineStr">
        <is>
          <t>Butane</t>
        </is>
      </c>
      <c r="B460">
        <v>5.445893377811625e-10</v>
      </c>
      <c r="D460" t="inlineStr">
        <is>
          <t>kilogram</t>
        </is>
      </c>
      <c r="E460" t="inlineStr">
        <is>
          <t>air::urban air close to ground</t>
        </is>
      </c>
      <c r="F460" t="inlineStr">
        <is>
          <t>biosphere</t>
        </is>
      </c>
      <c r="I460">
        <v>0</v>
      </c>
    </row>
    <row r="461">
      <c r="A461" t="inlineStr">
        <is>
          <t>Copper ion</t>
        </is>
      </c>
      <c r="B461">
        <v>3.6146231663205874e-11</v>
      </c>
      <c r="D461" t="inlineStr">
        <is>
          <t>kilogram</t>
        </is>
      </c>
      <c r="E461" t="inlineStr">
        <is>
          <t>air::urban air close to ground</t>
        </is>
      </c>
      <c r="F461" t="inlineStr">
        <is>
          <t>biosphere</t>
        </is>
      </c>
      <c r="I461">
        <v>0</v>
      </c>
    </row>
    <row r="462">
      <c r="A462" t="inlineStr">
        <is>
          <t>Chromium III</t>
        </is>
      </c>
      <c r="B462">
        <v>5.3811684196359975e-11</v>
      </c>
      <c r="D462" t="inlineStr">
        <is>
          <t>kilogram</t>
        </is>
      </c>
      <c r="E462" t="inlineStr">
        <is>
          <t>air::urban air close to ground</t>
        </is>
      </c>
      <c r="F462" t="inlineStr">
        <is>
          <t>biosphere</t>
        </is>
      </c>
      <c r="I462">
        <v>0</v>
      </c>
    </row>
    <row r="463">
      <c r="A463" t="inlineStr">
        <is>
          <t>Propane</t>
        </is>
      </c>
      <c r="B463">
        <v>3.6305953483321385e-10</v>
      </c>
      <c r="D463" t="inlineStr">
        <is>
          <t>kilogram</t>
        </is>
      </c>
      <c r="E463" t="inlineStr">
        <is>
          <t>air::urban air close to ground</t>
        </is>
      </c>
      <c r="F463" t="inlineStr">
        <is>
          <t>biosphere</t>
        </is>
      </c>
      <c r="I463">
        <v>0</v>
      </c>
    </row>
    <row r="464">
      <c r="A464" t="inlineStr">
        <is>
          <t>Toluene</t>
        </is>
      </c>
      <c r="B464">
        <v>3.6305953927463155e-11</v>
      </c>
      <c r="D464" t="inlineStr">
        <is>
          <t>kilogram</t>
        </is>
      </c>
      <c r="E464" t="inlineStr">
        <is>
          <t>air::urban air close to ground</t>
        </is>
      </c>
      <c r="F464" t="inlineStr">
        <is>
          <t>biosphere</t>
        </is>
      </c>
      <c r="I464">
        <v>0</v>
      </c>
    </row>
    <row r="465">
      <c r="A465" t="inlineStr">
        <is>
          <t>Dinitrogen monoxide</t>
        </is>
      </c>
      <c r="B465">
        <v>7.361498269225741e-06</v>
      </c>
      <c r="D465" t="inlineStr">
        <is>
          <t>kilogram</t>
        </is>
      </c>
      <c r="E465" t="inlineStr">
        <is>
          <t>air::urban air close to ground</t>
        </is>
      </c>
      <c r="F465" t="inlineStr">
        <is>
          <t>biosphere</t>
        </is>
      </c>
      <c r="I465">
        <v>0</v>
      </c>
    </row>
    <row r="466">
      <c r="A466" t="inlineStr">
        <is>
          <t>Zinc II</t>
        </is>
      </c>
      <c r="B466">
        <v>1.1387421970009149e-10</v>
      </c>
      <c r="D466" t="inlineStr">
        <is>
          <t>kilogram</t>
        </is>
      </c>
      <c r="E466" t="inlineStr">
        <is>
          <t>air::urban air close to ground</t>
        </is>
      </c>
      <c r="F466" t="inlineStr">
        <is>
          <t>biosphere</t>
        </is>
      </c>
      <c r="I466">
        <v>0</v>
      </c>
    </row>
    <row r="467">
      <c r="A467" t="inlineStr">
        <is>
          <t>Chromium VI</t>
        </is>
      </c>
      <c r="B467">
        <v>2.876484190151482e-13</v>
      </c>
      <c r="D467" t="inlineStr">
        <is>
          <t>kilogram</t>
        </is>
      </c>
      <c r="E467" t="inlineStr">
        <is>
          <t>air::non-urban air or from high stacks</t>
        </is>
      </c>
      <c r="F467" t="inlineStr">
        <is>
          <t>biosphere</t>
        </is>
      </c>
      <c r="I467">
        <v>0</v>
      </c>
    </row>
    <row r="468">
      <c r="A468" t="inlineStr">
        <is>
          <t>Benzene</t>
        </is>
      </c>
      <c r="B468">
        <v>1.6645520623154097e-08</v>
      </c>
      <c r="D468" t="inlineStr">
        <is>
          <t>kilogram</t>
        </is>
      </c>
      <c r="E468" t="inlineStr">
        <is>
          <t>air::non-urban air or from high stacks</t>
        </is>
      </c>
      <c r="F468" t="inlineStr">
        <is>
          <t>biosphere</t>
        </is>
      </c>
      <c r="I468">
        <v>0</v>
      </c>
    </row>
    <row r="469">
      <c r="A469" t="inlineStr">
        <is>
          <t>Carbon monoxide, fossil</t>
        </is>
      </c>
      <c r="B469">
        <v>9.188384379664334e-06</v>
      </c>
      <c r="D469" t="inlineStr">
        <is>
          <t>kilogram</t>
        </is>
      </c>
      <c r="E469" t="inlineStr">
        <is>
          <t>air::non-urban air or from high stacks</t>
        </is>
      </c>
      <c r="F469" t="inlineStr">
        <is>
          <t>biosphere</t>
        </is>
      </c>
      <c r="I469">
        <v>0</v>
      </c>
    </row>
    <row r="470">
      <c r="A470" t="inlineStr">
        <is>
          <t>Chromium VI</t>
        </is>
      </c>
      <c r="B470">
        <v>1.0735159075537383e-13</v>
      </c>
      <c r="D470" t="inlineStr">
        <is>
          <t>kilogram</t>
        </is>
      </c>
      <c r="E470" t="inlineStr">
        <is>
          <t>air::urban air close to ground</t>
        </is>
      </c>
      <c r="F470" t="inlineStr">
        <is>
          <t>biosphere</t>
        </is>
      </c>
      <c r="I470">
        <v>0</v>
      </c>
    </row>
    <row r="471">
      <c r="A471" t="inlineStr">
        <is>
          <t>Methane, fossil</t>
        </is>
      </c>
      <c r="B471">
        <v>8.927684532596896e-09</v>
      </c>
      <c r="D471" t="inlineStr">
        <is>
          <t>kilogram</t>
        </is>
      </c>
      <c r="E471" t="inlineStr">
        <is>
          <t>air::urban air close to ground</t>
        </is>
      </c>
      <c r="F471" t="inlineStr">
        <is>
          <t>biosphere</t>
        </is>
      </c>
      <c r="I471">
        <v>0</v>
      </c>
    </row>
    <row r="472">
      <c r="A472" t="inlineStr">
        <is>
          <t>Sulfur dioxide</t>
        </is>
      </c>
      <c r="B472">
        <v>4.6773094495270746e-07</v>
      </c>
      <c r="D472" t="inlineStr">
        <is>
          <t>kilogram</t>
        </is>
      </c>
      <c r="E472" t="inlineStr">
        <is>
          <t>air</t>
        </is>
      </c>
      <c r="F472" t="inlineStr">
        <is>
          <t>biosphere</t>
        </is>
      </c>
      <c r="I472">
        <v>0</v>
      </c>
    </row>
    <row r="473">
      <c r="A473" t="inlineStr">
        <is>
          <t>NMVOC, non-methane volatile organic compounds</t>
        </is>
      </c>
      <c r="B473">
        <v>2.9516741802169465e-07</v>
      </c>
      <c r="D473" t="inlineStr">
        <is>
          <t>kilogram</t>
        </is>
      </c>
      <c r="E473" t="inlineStr">
        <is>
          <t>air::urban air close to ground</t>
        </is>
      </c>
      <c r="F473" t="inlineStr">
        <is>
          <t>biosphere</t>
        </is>
      </c>
      <c r="I473">
        <v>0</v>
      </c>
    </row>
    <row r="474">
      <c r="A474" t="inlineStr">
        <is>
          <t>Formaldehyde</t>
        </is>
      </c>
      <c r="B474">
        <v>3.04970020629929e-08</v>
      </c>
      <c r="D474" t="inlineStr">
        <is>
          <t>kilogram</t>
        </is>
      </c>
      <c r="E474" t="inlineStr">
        <is>
          <t>air::urban air close to ground</t>
        </is>
      </c>
      <c r="F474" t="inlineStr">
        <is>
          <t>biosphere</t>
        </is>
      </c>
      <c r="I474">
        <v>0</v>
      </c>
    </row>
    <row r="475">
      <c r="A475" t="inlineStr">
        <is>
          <t>Nitrogen oxides</t>
        </is>
      </c>
      <c r="B475">
        <v>6.99907066197852e-05</v>
      </c>
      <c r="D475" t="inlineStr">
        <is>
          <t>kilogram</t>
        </is>
      </c>
      <c r="E475" t="inlineStr">
        <is>
          <t>air::urban air close to ground</t>
        </is>
      </c>
      <c r="F475" t="inlineStr">
        <is>
          <t>biosphere</t>
        </is>
      </c>
      <c r="I475">
        <v>0</v>
      </c>
    </row>
    <row r="476">
      <c r="A476" t="inlineStr">
        <is>
          <t>Formaldehyde</t>
        </is>
      </c>
      <c r="B476">
        <v>8.171666492576685e-08</v>
      </c>
      <c r="D476" t="inlineStr">
        <is>
          <t>kilogram</t>
        </is>
      </c>
      <c r="E476" t="inlineStr">
        <is>
          <t>air::non-urban air or from high stacks</t>
        </is>
      </c>
      <c r="F476" t="inlineStr">
        <is>
          <t>biosphere</t>
        </is>
      </c>
      <c r="I476">
        <v>0</v>
      </c>
    </row>
    <row r="477">
      <c r="A477" t="inlineStr">
        <is>
          <t>Zinc II</t>
        </is>
      </c>
      <c r="B477">
        <v>3.051257530798148e-10</v>
      </c>
      <c r="D477" t="inlineStr">
        <is>
          <t>kilogram</t>
        </is>
      </c>
      <c r="E477" t="inlineStr">
        <is>
          <t>air::non-urban air or from high stacks</t>
        </is>
      </c>
      <c r="F477" t="inlineStr">
        <is>
          <t>biosphere</t>
        </is>
      </c>
      <c r="I477">
        <v>0</v>
      </c>
    </row>
    <row r="478">
      <c r="A478" t="inlineStr">
        <is>
          <t>Carbon monoxide, fossil</t>
        </is>
      </c>
      <c r="B478">
        <v>3.4291435191313595e-06</v>
      </c>
      <c r="D478" t="inlineStr">
        <is>
          <t>kilogram</t>
        </is>
      </c>
      <c r="E478" t="inlineStr">
        <is>
          <t>air::urban air close to ground</t>
        </is>
      </c>
      <c r="F478" t="inlineStr">
        <is>
          <t>biosphere</t>
        </is>
      </c>
      <c r="I478">
        <v>0</v>
      </c>
    </row>
    <row r="479">
      <c r="A479" t="inlineStr">
        <is>
          <t>m-Xylene</t>
        </is>
      </c>
      <c r="B479">
        <v>3.5579834982156424e-09</v>
      </c>
      <c r="D479" t="inlineStr">
        <is>
          <t>kilogram</t>
        </is>
      </c>
      <c r="E479" t="inlineStr">
        <is>
          <t>air::urban air close to ground</t>
        </is>
      </c>
      <c r="F479" t="inlineStr">
        <is>
          <t>biosphere</t>
        </is>
      </c>
      <c r="I479">
        <v>0</v>
      </c>
    </row>
    <row r="480">
      <c r="A480" t="inlineStr">
        <is>
          <t>PAH, polycyclic aromatic hydrocarbons</t>
        </is>
      </c>
      <c r="B480">
        <v>1.3253673720206761e-09</v>
      </c>
      <c r="D480" t="inlineStr">
        <is>
          <t>kilogram</t>
        </is>
      </c>
      <c r="E480" t="inlineStr">
        <is>
          <t>air::non-urban air or from high stacks</t>
        </is>
      </c>
      <c r="F480" t="inlineStr">
        <is>
          <t>biosphere</t>
        </is>
      </c>
      <c r="I480">
        <v>0</v>
      </c>
    </row>
    <row r="481">
      <c r="A481" t="inlineStr">
        <is>
          <t>Particulate Matter, &lt; 2.5 um</t>
        </is>
      </c>
      <c r="B481">
        <v>4.776281554847676e-07</v>
      </c>
      <c r="D481" t="inlineStr">
        <is>
          <t>kilogram</t>
        </is>
      </c>
      <c r="E481" t="inlineStr">
        <is>
          <t>air::non-urban air or from high stacks</t>
        </is>
      </c>
      <c r="F481" t="inlineStr">
        <is>
          <t>biosphere</t>
        </is>
      </c>
      <c r="I481">
        <v>0</v>
      </c>
    </row>
    <row r="482">
      <c r="A482" t="inlineStr">
        <is>
          <t>Pentane</t>
        </is>
      </c>
      <c r="B482">
        <v>5.836904424366724e-10</v>
      </c>
      <c r="D482" t="inlineStr">
        <is>
          <t>kilogram</t>
        </is>
      </c>
      <c r="E482" t="inlineStr">
        <is>
          <t>air::non-urban air or from high stacks</t>
        </is>
      </c>
      <c r="F482" t="inlineStr">
        <is>
          <t>biosphere</t>
        </is>
      </c>
      <c r="I482">
        <v>0</v>
      </c>
    </row>
    <row r="483">
      <c r="A483" t="inlineStr">
        <is>
          <t>1,1,1,2-Tetrafluoroethane</t>
        </is>
      </c>
      <c r="B483">
        <v>1.0592803277176511e-07</v>
      </c>
      <c r="D483" t="inlineStr">
        <is>
          <t>kilogram</t>
        </is>
      </c>
      <c r="E483" t="inlineStr">
        <is>
          <t>air</t>
        </is>
      </c>
      <c r="F483" t="inlineStr">
        <is>
          <t>biosphere</t>
        </is>
      </c>
      <c r="I483">
        <v>0</v>
      </c>
    </row>
    <row r="484">
      <c r="A484" t="inlineStr">
        <is>
          <t>Acetaldehyde</t>
        </is>
      </c>
      <c r="B484">
        <v>1.6591821111403828e-08</v>
      </c>
      <c r="D484" t="inlineStr">
        <is>
          <t>kilogram</t>
        </is>
      </c>
      <c r="E484" t="inlineStr">
        <is>
          <t>air::urban air close to ground</t>
        </is>
      </c>
      <c r="F484" t="inlineStr">
        <is>
          <t>biosphere</t>
        </is>
      </c>
      <c r="I484">
        <v>0</v>
      </c>
    </row>
    <row r="485">
      <c r="A485" t="inlineStr">
        <is>
          <t>Benzene</t>
        </is>
      </c>
      <c r="B485">
        <v>6.21217814219678e-09</v>
      </c>
      <c r="D485" t="inlineStr">
        <is>
          <t>kilogram</t>
        </is>
      </c>
      <c r="E485" t="inlineStr">
        <is>
          <t>air::urban air close to ground</t>
        </is>
      </c>
      <c r="F485" t="inlineStr">
        <is>
          <t>biosphere</t>
        </is>
      </c>
      <c r="I485">
        <v>0</v>
      </c>
    </row>
    <row r="486">
      <c r="A486" t="inlineStr">
        <is>
          <t>Mercury II</t>
        </is>
      </c>
      <c r="B486">
        <v>3.342847041832335e-11</v>
      </c>
      <c r="D486" t="inlineStr">
        <is>
          <t>kilogram</t>
        </is>
      </c>
      <c r="E486" t="inlineStr">
        <is>
          <t>air::urban air close to ground</t>
        </is>
      </c>
      <c r="F486" t="inlineStr">
        <is>
          <t>biosphere</t>
        </is>
      </c>
      <c r="I486">
        <v>0</v>
      </c>
    </row>
    <row r="487">
      <c r="A487" t="inlineStr">
        <is>
          <t>Cadmium II</t>
        </is>
      </c>
      <c r="B487">
        <v>3.152603660310432e-13</v>
      </c>
      <c r="D487" t="inlineStr">
        <is>
          <t>kilogram</t>
        </is>
      </c>
      <c r="E487" t="inlineStr">
        <is>
          <t>air::urban air close to ground</t>
        </is>
      </c>
      <c r="F487" t="inlineStr">
        <is>
          <t>biosphere</t>
        </is>
      </c>
      <c r="I487">
        <v>0</v>
      </c>
    </row>
    <row r="488">
      <c r="A488" t="inlineStr">
        <is>
          <t>Propane</t>
        </is>
      </c>
      <c r="B488">
        <v>9.728174395924623e-10</v>
      </c>
      <c r="D488" t="inlineStr">
        <is>
          <t>kilogram</t>
        </is>
      </c>
      <c r="E488" t="inlineStr">
        <is>
          <t>air::non-urban air or from high stacks</t>
        </is>
      </c>
      <c r="F488" t="inlineStr">
        <is>
          <t>biosphere</t>
        </is>
      </c>
      <c r="I488">
        <v>0</v>
      </c>
    </row>
    <row r="489">
      <c r="A489" t="inlineStr">
        <is>
          <t>Chromium III</t>
        </is>
      </c>
      <c r="B489">
        <v>1.4418831693273988e-10</v>
      </c>
      <c r="D489" t="inlineStr">
        <is>
          <t>kilogram</t>
        </is>
      </c>
      <c r="E489" t="inlineStr">
        <is>
          <t>air::non-urban air or from high stacks</t>
        </is>
      </c>
      <c r="F489" t="inlineStr">
        <is>
          <t>biosphere</t>
        </is>
      </c>
      <c r="I489">
        <v>0</v>
      </c>
    </row>
    <row r="490">
      <c r="A490" t="inlineStr">
        <is>
          <t>Acrolein</t>
        </is>
      </c>
      <c r="B490">
        <v>6.42615413607384e-09</v>
      </c>
      <c r="D490" t="inlineStr">
        <is>
          <t>kilogram</t>
        </is>
      </c>
      <c r="E490" t="inlineStr">
        <is>
          <t>air::urban air close to ground</t>
        </is>
      </c>
      <c r="F490" t="inlineStr">
        <is>
          <t>biosphere</t>
        </is>
      </c>
      <c r="I490">
        <v>0</v>
      </c>
    </row>
    <row r="491">
      <c r="A491" t="inlineStr">
        <is>
          <t>Benzaldehyde</t>
        </is>
      </c>
      <c r="B491">
        <v>4.9739159967409846e-09</v>
      </c>
      <c r="D491" t="inlineStr">
        <is>
          <t>kilogram</t>
        </is>
      </c>
      <c r="E491" t="inlineStr">
        <is>
          <t>air::urban air close to ground</t>
        </is>
      </c>
      <c r="F491" t="inlineStr">
        <is>
          <t>biosphere</t>
        </is>
      </c>
      <c r="I491">
        <v>0</v>
      </c>
    </row>
    <row r="492">
      <c r="A492" t="inlineStr">
        <is>
          <t>Heptane</t>
        </is>
      </c>
      <c r="B492">
        <v>1.0891786755623254e-09</v>
      </c>
      <c r="D492" t="inlineStr">
        <is>
          <t>kilogram</t>
        </is>
      </c>
      <c r="E492" t="inlineStr">
        <is>
          <t>air::urban air close to ground</t>
        </is>
      </c>
      <c r="F492" t="inlineStr">
        <is>
          <t>biosphere</t>
        </is>
      </c>
      <c r="I492">
        <v>0</v>
      </c>
    </row>
    <row r="493">
      <c r="A493" t="inlineStr">
        <is>
          <t>o-Xylene</t>
        </is>
      </c>
      <c r="B493">
        <v>1.452238139332855e-09</v>
      </c>
      <c r="D493" t="inlineStr">
        <is>
          <t>kilogram</t>
        </is>
      </c>
      <c r="E493" t="inlineStr">
        <is>
          <t>air::urban air close to ground</t>
        </is>
      </c>
      <c r="F493" t="inlineStr">
        <is>
          <t>biosphere</t>
        </is>
      </c>
      <c r="I493">
        <v>0</v>
      </c>
    </row>
    <row r="494">
      <c r="A494" t="inlineStr">
        <is>
          <t>Selenium IV</t>
        </is>
      </c>
      <c r="B494">
        <v>6.332385327245513e-13</v>
      </c>
      <c r="D494" t="inlineStr">
        <is>
          <t>kilogram</t>
        </is>
      </c>
      <c r="E494" t="inlineStr">
        <is>
          <t>air::urban air close to ground</t>
        </is>
      </c>
      <c r="F494" t="inlineStr">
        <is>
          <t>biosphere</t>
        </is>
      </c>
      <c r="I494">
        <v>0</v>
      </c>
    </row>
    <row r="495">
      <c r="A495" t="inlineStr">
        <is>
          <t>Styrene</t>
        </is>
      </c>
      <c r="B495">
        <v>2.033133508766291e-09</v>
      </c>
      <c r="D495" t="inlineStr">
        <is>
          <t>kilogram</t>
        </is>
      </c>
      <c r="E495" t="inlineStr">
        <is>
          <t>air::urban air close to ground</t>
        </is>
      </c>
      <c r="F495" t="inlineStr">
        <is>
          <t>biosphere</t>
        </is>
      </c>
      <c r="I495">
        <v>0</v>
      </c>
    </row>
    <row r="496">
      <c r="A496" t="inlineStr">
        <is>
          <t>Acetaldehyde</t>
        </is>
      </c>
      <c r="B496">
        <v>4.4457756307173774e-08</v>
      </c>
      <c r="D496" t="inlineStr">
        <is>
          <t>kilogram</t>
        </is>
      </c>
      <c r="E496" t="inlineStr">
        <is>
          <t>air::non-urban air or from high stacks</t>
        </is>
      </c>
      <c r="F496" t="inlineStr">
        <is>
          <t>biosphere</t>
        </is>
      </c>
      <c r="I496">
        <v>0</v>
      </c>
    </row>
    <row r="497">
      <c r="A497" t="inlineStr">
        <is>
          <t>Acrolein</t>
        </is>
      </c>
      <c r="B497">
        <v>1.7218867998584824e-08</v>
      </c>
      <c r="D497" t="inlineStr">
        <is>
          <t>kilogram</t>
        </is>
      </c>
      <c r="E497" t="inlineStr">
        <is>
          <t>air::non-urban air or from high stacks</t>
        </is>
      </c>
      <c r="F497" t="inlineStr">
        <is>
          <t>biosphere</t>
        </is>
      </c>
      <c r="I497">
        <v>0</v>
      </c>
    </row>
    <row r="498">
      <c r="A498" t="inlineStr">
        <is>
          <t>Benzaldehyde</t>
        </is>
      </c>
      <c r="B498">
        <v>1.3327598240214973e-08</v>
      </c>
      <c r="D498" t="inlineStr">
        <is>
          <t>kilogram</t>
        </is>
      </c>
      <c r="E498" t="inlineStr">
        <is>
          <t>air::non-urban air or from high stacks</t>
        </is>
      </c>
      <c r="F498" t="inlineStr">
        <is>
          <t>biosphere</t>
        </is>
      </c>
      <c r="I498">
        <v>0</v>
      </c>
    </row>
    <row r="499">
      <c r="A499" t="inlineStr">
        <is>
          <t>Heptane</t>
        </is>
      </c>
      <c r="B499">
        <v>2.9184523187773873e-09</v>
      </c>
      <c r="D499" t="inlineStr">
        <is>
          <t>kilogram</t>
        </is>
      </c>
      <c r="E499" t="inlineStr">
        <is>
          <t>air::non-urban air or from high stacks</t>
        </is>
      </c>
      <c r="F499" t="inlineStr">
        <is>
          <t>biosphere</t>
        </is>
      </c>
      <c r="I499">
        <v>0</v>
      </c>
    </row>
    <row r="500">
      <c r="A500" t="inlineStr">
        <is>
          <t>m-Xylene</t>
        </is>
      </c>
      <c r="B500">
        <v>9.533610453204961e-09</v>
      </c>
      <c r="D500" t="inlineStr">
        <is>
          <t>kilogram</t>
        </is>
      </c>
      <c r="E500" t="inlineStr">
        <is>
          <t>air::non-urban air or from high stacks</t>
        </is>
      </c>
      <c r="F500" t="inlineStr">
        <is>
          <t>biosphere</t>
        </is>
      </c>
      <c r="I500">
        <v>0</v>
      </c>
    </row>
    <row r="501">
      <c r="A501" t="inlineStr">
        <is>
          <t>o-Xylene</t>
        </is>
      </c>
      <c r="B501">
        <v>3.891269758369849e-09</v>
      </c>
      <c r="D501" t="inlineStr">
        <is>
          <t>kilogram</t>
        </is>
      </c>
      <c r="E501" t="inlineStr">
        <is>
          <t>air::non-urban air or from high stacks</t>
        </is>
      </c>
      <c r="F501" t="inlineStr">
        <is>
          <t>biosphere</t>
        </is>
      </c>
      <c r="I501">
        <v>0</v>
      </c>
    </row>
    <row r="502">
      <c r="A502" t="inlineStr">
        <is>
          <t>Styrene</t>
        </is>
      </c>
      <c r="B502">
        <v>5.447777889118377e-09</v>
      </c>
      <c r="D502" t="inlineStr">
        <is>
          <t>kilogram</t>
        </is>
      </c>
      <c r="E502" t="inlineStr">
        <is>
          <t>air::non-urban air or from high stacks</t>
        </is>
      </c>
      <c r="F502" t="inlineStr">
        <is>
          <t>biosphere</t>
        </is>
      </c>
      <c r="I502">
        <v>0</v>
      </c>
    </row>
    <row r="503">
      <c r="A503" t="inlineStr">
        <is>
          <t>exhaust system, for lorry</t>
        </is>
      </c>
      <c r="B503">
        <v>2.4791665583947556e-05</v>
      </c>
      <c r="C503" t="inlineStr">
        <is>
          <t>RER</t>
        </is>
      </c>
      <c r="D503" t="inlineStr">
        <is>
          <t>kilogram</t>
        </is>
      </c>
      <c r="F503" t="inlineStr">
        <is>
          <t>technosphere</t>
        </is>
      </c>
      <c r="G503" t="inlineStr">
        <is>
          <t>exhaust system, for lorry</t>
        </is>
      </c>
      <c r="H503" t="inlineStr">
        <is>
          <t> Energy-use allocation: 220 * 1.367427797431765e-07 / 1.2134485858415922 MJ per ton kilometer.</t>
        </is>
      </c>
      <c r="I503">
        <v>0</v>
      </c>
    </row>
    <row r="504">
      <c r="A504" t="inlineStr">
        <is>
          <t>fuel tank, for diesel vehicle</t>
        </is>
      </c>
      <c r="B504">
        <v>6.181935329374144e-06</v>
      </c>
      <c r="C504" t="inlineStr">
        <is>
          <t>RER</t>
        </is>
      </c>
      <c r="D504" t="inlineStr">
        <is>
          <t>kilogram</t>
        </is>
      </c>
      <c r="F504" t="inlineStr">
        <is>
          <t>technosphere</t>
        </is>
      </c>
      <c r="G504" t="inlineStr">
        <is>
          <t>fuel tank</t>
        </is>
      </c>
      <c r="H504" t="inlineStr">
        <is>
          <t> Energy-use allocation: 54.85818481445312 * 1.367427797431765e-07 / 1.2134485858415922 MJ per ton kilometer.</t>
        </is>
      </c>
      <c r="I504">
        <v>0</v>
      </c>
    </row>
    <row r="505">
      <c r="A505" t="inlineStr">
        <is>
          <t>gearbox, for lorry</t>
        </is>
      </c>
      <c r="B505">
        <v>2.271818151381884e-05</v>
      </c>
      <c r="C505" t="inlineStr">
        <is>
          <t>RER</t>
        </is>
      </c>
      <c r="D505" t="inlineStr">
        <is>
          <t>kilogram</t>
        </is>
      </c>
      <c r="F505" t="inlineStr">
        <is>
          <t>technosphere</t>
        </is>
      </c>
      <c r="G505" t="inlineStr">
        <is>
          <t>gearbox, for lorry</t>
        </is>
      </c>
      <c r="H505" t="inlineStr">
        <is>
          <t> Energy-use allocation: 201.6000061035156 * 1.367427797431765e-07 / 1.2134485858415922 MJ per ton kilometer.</t>
        </is>
      </c>
      <c r="I505">
        <v>0</v>
      </c>
    </row>
    <row r="506">
      <c r="A506" t="inlineStr">
        <is>
          <t>internal combustion engine, for lorry</t>
        </is>
      </c>
      <c r="B506">
        <v>0.000121895652649343</v>
      </c>
      <c r="C506" t="inlineStr">
        <is>
          <t>RER</t>
        </is>
      </c>
      <c r="D506" t="inlineStr">
        <is>
          <t>kilogram</t>
        </is>
      </c>
      <c r="F506" t="inlineStr">
        <is>
          <t>technosphere</t>
        </is>
      </c>
      <c r="G506" t="inlineStr">
        <is>
          <t>internal combustion engine, for lorry</t>
        </is>
      </c>
      <c r="H506" t="inlineStr">
        <is>
          <t> Energy-use allocation: 1081.695922851562 * 1.367427797431765e-07 / 1.2134485858415922 MJ per ton kilometer.</t>
        </is>
      </c>
      <c r="I506">
        <v>0</v>
      </c>
    </row>
    <row r="507">
      <c r="A507" t="inlineStr">
        <is>
          <t>lead acid battery, for lorry</t>
        </is>
      </c>
      <c r="B507">
        <v>3.7651515024380753e-06</v>
      </c>
      <c r="C507" t="inlineStr">
        <is>
          <t>RER</t>
        </is>
      </c>
      <c r="D507" t="inlineStr">
        <is>
          <t>kilogram</t>
        </is>
      </c>
      <c r="F507" t="inlineStr">
        <is>
          <t>technosphere</t>
        </is>
      </c>
      <c r="G507" t="inlineStr">
        <is>
          <t>lead acid battery, for lorry</t>
        </is>
      </c>
      <c r="H507" t="inlineStr">
        <is>
          <t> Energy-use allocation: 33.41176605224609 * 1.367427797431765e-07 / 1.2134485858415922 MJ per ton kilometer.</t>
        </is>
      </c>
      <c r="I507">
        <v>0</v>
      </c>
    </row>
    <row r="508">
      <c r="A508" t="inlineStr">
        <is>
          <t>power electronics, for lorry</t>
        </is>
      </c>
      <c r="B508">
        <v>2.986268808975501e-05</v>
      </c>
      <c r="C508" t="inlineStr">
        <is>
          <t>RER</t>
        </is>
      </c>
      <c r="D508" t="inlineStr">
        <is>
          <t>kilogram</t>
        </is>
      </c>
      <c r="F508" t="inlineStr">
        <is>
          <t>technosphere</t>
        </is>
      </c>
      <c r="G508" t="inlineStr">
        <is>
          <t>power electronics, for lorry</t>
        </is>
      </c>
      <c r="H508" t="inlineStr">
        <is>
          <t> Energy-use allocation: 265 * 1.367427797431765e-07 / 1.2134485858415922 MJ per ton kilometer.</t>
        </is>
      </c>
      <c r="I508">
        <v>0</v>
      </c>
    </row>
    <row r="509">
      <c r="A509" t="inlineStr">
        <is>
          <t>retarder, for lorry</t>
        </is>
      </c>
      <c r="B509">
        <v>7.572726598105075e-06</v>
      </c>
      <c r="C509" t="inlineStr">
        <is>
          <t>RER</t>
        </is>
      </c>
      <c r="D509" t="inlineStr">
        <is>
          <t>kilogram</t>
        </is>
      </c>
      <c r="F509" t="inlineStr">
        <is>
          <t>technosphere</t>
        </is>
      </c>
      <c r="G509" t="inlineStr">
        <is>
          <t>retarder, for lorry</t>
        </is>
      </c>
      <c r="H509" t="inlineStr">
        <is>
          <t> Energy-use allocation: 67.19999694824219 * 1.367427797431765e-07 / 1.2134485858415922 MJ per ton kilometer.</t>
        </is>
      </c>
      <c r="I509">
        <v>0</v>
      </c>
    </row>
    <row r="510">
      <c r="A510" t="inlineStr">
        <is>
          <t>transmission, for lorry</t>
        </is>
      </c>
      <c r="B510">
        <v>3.281514801862079e-05</v>
      </c>
      <c r="C510" t="inlineStr">
        <is>
          <t>RER</t>
        </is>
      </c>
      <c r="D510" t="inlineStr">
        <is>
          <t>kilogram</t>
        </is>
      </c>
      <c r="F510" t="inlineStr">
        <is>
          <t>technosphere</t>
        </is>
      </c>
      <c r="G510" t="inlineStr">
        <is>
          <t>transmission, for lorry</t>
        </is>
      </c>
      <c r="H510" t="inlineStr">
        <is>
          <t> Energy-use allocation: 291.1999816894531 * 1.367427797431765e-07 / 1.2134485858415922 MJ per ton kilometer.</t>
        </is>
      </c>
      <c r="I510">
        <v>0</v>
      </c>
    </row>
    <row r="511">
      <c r="A511" t="inlineStr">
        <is>
          <t>Carbon dioxide, non-fossil</t>
        </is>
      </c>
      <c r="B511">
        <v>0.0734</v>
      </c>
      <c r="D511" t="inlineStr">
        <is>
          <t>kilogram</t>
        </is>
      </c>
      <c r="E511" t="inlineStr">
        <is>
          <t>air::urban air close to ground</t>
        </is>
      </c>
      <c r="F511" t="inlineStr">
        <is>
          <t>biosphere</t>
        </is>
      </c>
      <c r="I511">
        <v>0</v>
      </c>
    </row>
    <row r="512"/>
    <row r="513">
      <c r="A513" t="inlineStr">
        <is>
          <t>Activity</t>
        </is>
      </c>
      <c r="B513" t="inlineStr">
        <is>
          <t>biodiesel, from non-residual oily biomass, burned in heavy-duty vehicle</t>
        </is>
      </c>
    </row>
    <row r="514">
      <c r="A514" t="inlineStr">
        <is>
          <t>location</t>
        </is>
      </c>
      <c r="B514" t="inlineStr">
        <is>
          <t>RER</t>
        </is>
      </c>
    </row>
    <row r="515">
      <c r="A515" t="inlineStr">
        <is>
          <t>production amount</t>
        </is>
      </c>
      <c r="B515">
        <v>1</v>
      </c>
    </row>
    <row r="516">
      <c r="A516" t="inlineStr">
        <is>
          <t>reference product</t>
        </is>
      </c>
      <c r="B516" t="inlineStr">
        <is>
          <t>heat</t>
        </is>
      </c>
    </row>
    <row r="517">
      <c r="A517" t="inlineStr">
        <is>
          <t>type</t>
        </is>
      </c>
      <c r="B517" t="inlineStr">
        <is>
          <t>process</t>
        </is>
      </c>
    </row>
    <row r="518">
      <c r="A518" t="inlineStr">
        <is>
          <t>unit</t>
        </is>
      </c>
      <c r="B518" t="inlineStr">
        <is>
          <t>megajoule</t>
        </is>
      </c>
    </row>
    <row r="519">
      <c r="A519" t="inlineStr">
        <is>
          <t>energy use source</t>
        </is>
      </c>
      <c r="B51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20">
      <c r="A520" t="inlineStr">
        <is>
          <t>comment</t>
        </is>
      </c>
      <c r="B52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521">
      <c r="A521" t="inlineStr">
        <is>
          <t>Exchanges</t>
        </is>
      </c>
    </row>
    <row r="522">
      <c r="A522" t="inlineStr">
        <is>
          <t>name</t>
        </is>
      </c>
      <c r="B522" t="inlineStr">
        <is>
          <t>amount</t>
        </is>
      </c>
      <c r="C522" t="inlineStr">
        <is>
          <t>location</t>
        </is>
      </c>
      <c r="D522" t="inlineStr">
        <is>
          <t>unit</t>
        </is>
      </c>
      <c r="E522" t="inlineStr">
        <is>
          <t>categories</t>
        </is>
      </c>
      <c r="F522" t="inlineStr">
        <is>
          <t>type</t>
        </is>
      </c>
      <c r="G522" t="inlineStr">
        <is>
          <t>reference product</t>
        </is>
      </c>
      <c r="H522" t="inlineStr">
        <is>
          <t>comment</t>
        </is>
      </c>
      <c r="I522" t="inlineStr">
        <is>
          <t>uncertainty type</t>
        </is>
      </c>
    </row>
    <row r="523">
      <c r="A523" t="inlineStr">
        <is>
          <t>biodiesel, from non-residual oily biomass, burned in heavy-duty vehicle</t>
        </is>
      </c>
      <c r="B523">
        <v>1.0</v>
      </c>
      <c r="C523" t="inlineStr">
        <is>
          <t>RER</t>
        </is>
      </c>
      <c r="D523" t="inlineStr">
        <is>
          <t>megajoule</t>
        </is>
      </c>
      <c r="F523" t="inlineStr">
        <is>
          <t>production</t>
        </is>
      </c>
      <c r="G523" t="inlineStr">
        <is>
          <t>heat</t>
        </is>
      </c>
      <c r="I523">
        <v>0</v>
      </c>
    </row>
    <row r="524">
      <c r="A524" t="inlineStr">
        <is>
          <t>biodiesel production, via transesterification, from rapeseed oil, energy allocation</t>
        </is>
      </c>
      <c r="B524">
        <v>0.02631578947368421</v>
      </c>
      <c r="C524" t="inlineStr">
        <is>
          <t>RER</t>
        </is>
      </c>
      <c r="D524" t="inlineStr">
        <is>
          <t>kilogram</t>
        </is>
      </c>
      <c r="F524" t="inlineStr">
        <is>
          <t>technosphere</t>
        </is>
      </c>
      <c r="G524" t="inlineStr">
        <is>
          <t>biodiesel, from rapeseed oil</t>
        </is>
      </c>
      <c r="I524">
        <v>0</v>
      </c>
    </row>
    <row r="525">
      <c r="A525" t="inlineStr">
        <is>
          <t>market for tetrafluoroethane, R134a</t>
        </is>
      </c>
      <c r="B525">
        <v>2.2988634886667227e-07</v>
      </c>
      <c r="C525" t="inlineStr">
        <is>
          <t>GLO</t>
        </is>
      </c>
      <c r="D525" t="inlineStr">
        <is>
          <t>kilogram</t>
        </is>
      </c>
      <c r="F525" t="inlineStr">
        <is>
          <t>technosphere</t>
        </is>
      </c>
      <c r="G525" t="inlineStr">
        <is>
          <t>tetrafluoroethane, R134a</t>
        </is>
      </c>
      <c r="I525">
        <v>0</v>
      </c>
    </row>
    <row r="526">
      <c r="A526" t="inlineStr">
        <is>
          <t>treatment of brake wear emissions, lorry</t>
        </is>
      </c>
      <c r="B526">
        <v>-8.332264901167272e-06</v>
      </c>
      <c r="C526" t="inlineStr">
        <is>
          <t>RER</t>
        </is>
      </c>
      <c r="D526" t="inlineStr">
        <is>
          <t>kilogram</t>
        </is>
      </c>
      <c r="F526" t="inlineStr">
        <is>
          <t>technosphere</t>
        </is>
      </c>
      <c r="G526" t="inlineStr">
        <is>
          <t>brake wear emissions, lorry</t>
        </is>
      </c>
      <c r="I526">
        <v>0</v>
      </c>
    </row>
    <row r="527">
      <c r="A527" t="inlineStr">
        <is>
          <t>treatment of road wear emissions, lorry</t>
        </is>
      </c>
      <c r="B527">
        <v>-1.0511814175882647e-05</v>
      </c>
      <c r="C527" t="inlineStr">
        <is>
          <t>RER</t>
        </is>
      </c>
      <c r="D527" t="inlineStr">
        <is>
          <t>kilogram</t>
        </is>
      </c>
      <c r="F527" t="inlineStr">
        <is>
          <t>technosphere</t>
        </is>
      </c>
      <c r="G527" t="inlineStr">
        <is>
          <t>road wear emissions, lorry</t>
        </is>
      </c>
      <c r="I527">
        <v>0</v>
      </c>
    </row>
    <row r="528">
      <c r="A528" t="inlineStr">
        <is>
          <t>treatment of tyre wear emissions, lorry</t>
        </is>
      </c>
      <c r="B528">
        <v>-8.54276405830878e-06</v>
      </c>
      <c r="C528" t="inlineStr">
        <is>
          <t>RER</t>
        </is>
      </c>
      <c r="D528" t="inlineStr">
        <is>
          <t>kilogram</t>
        </is>
      </c>
      <c r="F528" t="inlineStr">
        <is>
          <t>technosphere</t>
        </is>
      </c>
      <c r="G528" t="inlineStr">
        <is>
          <t>tyre wear emissions, lorry</t>
        </is>
      </c>
      <c r="I528">
        <v>0</v>
      </c>
    </row>
    <row r="529">
      <c r="A529" t="inlineStr">
        <is>
          <t>Toluene</t>
        </is>
      </c>
      <c r="B529">
        <v>9.72817404061121e-11</v>
      </c>
      <c r="D529" t="inlineStr">
        <is>
          <t>kilogram</t>
        </is>
      </c>
      <c r="E529" t="inlineStr">
        <is>
          <t>air::non-urban air or from high stacks</t>
        </is>
      </c>
      <c r="F529" t="inlineStr">
        <is>
          <t>biosphere</t>
        </is>
      </c>
      <c r="I529">
        <v>0</v>
      </c>
    </row>
    <row r="530">
      <c r="A530" t="inlineStr">
        <is>
          <t>NMVOC, non-methane volatile organic compounds</t>
        </is>
      </c>
      <c r="B530">
        <v>7.909005533746073e-07</v>
      </c>
      <c r="D530" t="inlineStr">
        <is>
          <t>kilogram</t>
        </is>
      </c>
      <c r="E530" t="inlineStr">
        <is>
          <t>air::non-urban air or from high stacks</t>
        </is>
      </c>
      <c r="F530" t="inlineStr">
        <is>
          <t>biosphere</t>
        </is>
      </c>
      <c r="I530">
        <v>0</v>
      </c>
    </row>
    <row r="531">
      <c r="A531" t="inlineStr">
        <is>
          <t>Dinitrogen monoxide</t>
        </is>
      </c>
      <c r="B531">
        <v>1.9725120204580215e-05</v>
      </c>
      <c r="D531" t="inlineStr">
        <is>
          <t>kilogram</t>
        </is>
      </c>
      <c r="E531" t="inlineStr">
        <is>
          <t>air::non-urban air or from high stacks</t>
        </is>
      </c>
      <c r="F531" t="inlineStr">
        <is>
          <t>biosphere</t>
        </is>
      </c>
      <c r="I531">
        <v>0</v>
      </c>
    </row>
    <row r="532">
      <c r="A532" t="inlineStr">
        <is>
          <t>Ethane</t>
        </is>
      </c>
      <c r="B532">
        <v>1.0891786400309831e-10</v>
      </c>
      <c r="D532" t="inlineStr">
        <is>
          <t>kilogram</t>
        </is>
      </c>
      <c r="E532" t="inlineStr">
        <is>
          <t>air::urban air close to ground</t>
        </is>
      </c>
      <c r="F532" t="inlineStr">
        <is>
          <t>biosphere</t>
        </is>
      </c>
      <c r="I532">
        <v>0</v>
      </c>
    </row>
    <row r="533">
      <c r="A533" t="inlineStr">
        <is>
          <t>Pentane</t>
        </is>
      </c>
      <c r="B533">
        <v>2.178357280061967e-10</v>
      </c>
      <c r="D533" t="inlineStr">
        <is>
          <t>kilogram</t>
        </is>
      </c>
      <c r="E533" t="inlineStr">
        <is>
          <t>air::urban air close to ground</t>
        </is>
      </c>
      <c r="F533" t="inlineStr">
        <is>
          <t>biosphere</t>
        </is>
      </c>
      <c r="I533">
        <v>0</v>
      </c>
    </row>
    <row r="534">
      <c r="A534" t="inlineStr">
        <is>
          <t>Selenium IV</t>
        </is>
      </c>
      <c r="B534">
        <v>1.6967614759358543e-12</v>
      </c>
      <c r="D534" t="inlineStr">
        <is>
          <t>kilogram</t>
        </is>
      </c>
      <c r="E534" t="inlineStr">
        <is>
          <t>air::non-urban air or from high stacks</t>
        </is>
      </c>
      <c r="F534" t="inlineStr">
        <is>
          <t>biosphere</t>
        </is>
      </c>
      <c r="I534">
        <v>0</v>
      </c>
    </row>
    <row r="535">
      <c r="A535" t="inlineStr">
        <is>
          <t>Arsenic ion</t>
        </is>
      </c>
      <c r="B535">
        <v>1.6967614759358543e-12</v>
      </c>
      <c r="D535" t="inlineStr">
        <is>
          <t>kilogram</t>
        </is>
      </c>
      <c r="E535" t="inlineStr">
        <is>
          <t>air::non-urban air or from high stacks</t>
        </is>
      </c>
      <c r="F535" t="inlineStr">
        <is>
          <t>biosphere</t>
        </is>
      </c>
      <c r="I535">
        <v>0</v>
      </c>
    </row>
    <row r="536">
      <c r="A536" t="inlineStr">
        <is>
          <t>Arsenic ion</t>
        </is>
      </c>
      <c r="B536">
        <v>6.332385327245513e-13</v>
      </c>
      <c r="D536" t="inlineStr">
        <is>
          <t>kilogram</t>
        </is>
      </c>
      <c r="E536" t="inlineStr">
        <is>
          <t>air::urban air close to ground</t>
        </is>
      </c>
      <c r="F536" t="inlineStr">
        <is>
          <t>biosphere</t>
        </is>
      </c>
      <c r="I536">
        <v>0</v>
      </c>
    </row>
    <row r="537">
      <c r="A537" t="inlineStr">
        <is>
          <t>Particulate Matter, &lt; 2.5 um</t>
        </is>
      </c>
      <c r="B537">
        <v>1.7825282603055566e-07</v>
      </c>
      <c r="D537" t="inlineStr">
        <is>
          <t>kilogram</t>
        </is>
      </c>
      <c r="E537" t="inlineStr">
        <is>
          <t>air::urban air close to ground</t>
        </is>
      </c>
      <c r="F537" t="inlineStr">
        <is>
          <t>biosphere</t>
        </is>
      </c>
      <c r="I537">
        <v>0</v>
      </c>
    </row>
    <row r="538">
      <c r="A538" t="inlineStr">
        <is>
          <t>Nickel II</t>
        </is>
      </c>
      <c r="B538">
        <v>3.3862406923329497e-12</v>
      </c>
      <c r="D538" t="inlineStr">
        <is>
          <t>kilogram</t>
        </is>
      </c>
      <c r="E538" t="inlineStr">
        <is>
          <t>air::non-urban air or from high stacks</t>
        </is>
      </c>
      <c r="F538" t="inlineStr">
        <is>
          <t>biosphere</t>
        </is>
      </c>
      <c r="I538">
        <v>0</v>
      </c>
    </row>
    <row r="539">
      <c r="A539" t="inlineStr">
        <is>
          <t>Methane, fossil</t>
        </is>
      </c>
      <c r="B539">
        <v>2.3921714073582906e-08</v>
      </c>
      <c r="D539" t="inlineStr">
        <is>
          <t>kilogram</t>
        </is>
      </c>
      <c r="E539" t="inlineStr">
        <is>
          <t>air::non-urban air or from high stacks</t>
        </is>
      </c>
      <c r="F539" t="inlineStr">
        <is>
          <t>biosphere</t>
        </is>
      </c>
      <c r="I539">
        <v>0</v>
      </c>
    </row>
    <row r="540">
      <c r="A540" t="inlineStr">
        <is>
          <t>Mercury II</t>
        </is>
      </c>
      <c r="B540">
        <v>8.957152806237827e-11</v>
      </c>
      <c r="D540" t="inlineStr">
        <is>
          <t>kilogram</t>
        </is>
      </c>
      <c r="E540" t="inlineStr">
        <is>
          <t>air::non-urban air or from high stacks</t>
        </is>
      </c>
      <c r="F540" t="inlineStr">
        <is>
          <t>biosphere</t>
        </is>
      </c>
      <c r="I540">
        <v>0</v>
      </c>
    </row>
    <row r="541">
      <c r="A541" t="inlineStr">
        <is>
          <t>Ammonia</t>
        </is>
      </c>
      <c r="B541">
        <v>6.894575078264757e-06</v>
      </c>
      <c r="D541" t="inlineStr">
        <is>
          <t>kilogram</t>
        </is>
      </c>
      <c r="E541" t="inlineStr">
        <is>
          <t>air::non-urban air or from high stacks</t>
        </is>
      </c>
      <c r="F541" t="inlineStr">
        <is>
          <t>biosphere</t>
        </is>
      </c>
      <c r="I541">
        <v>0</v>
      </c>
    </row>
    <row r="542">
      <c r="A542" t="inlineStr">
        <is>
          <t>Ethane</t>
        </is>
      </c>
      <c r="B542">
        <v>2.918452212183362e-10</v>
      </c>
      <c r="D542" t="inlineStr">
        <is>
          <t>kilogram</t>
        </is>
      </c>
      <c r="E542" t="inlineStr">
        <is>
          <t>air::non-urban air or from high stacks</t>
        </is>
      </c>
      <c r="F542" t="inlineStr">
        <is>
          <t>biosphere</t>
        </is>
      </c>
      <c r="I542">
        <v>0</v>
      </c>
    </row>
    <row r="543">
      <c r="A543" t="inlineStr">
        <is>
          <t>Nickel II</t>
        </is>
      </c>
      <c r="B543">
        <v>1.263759195389486e-12</v>
      </c>
      <c r="D543" t="inlineStr">
        <is>
          <t>kilogram</t>
        </is>
      </c>
      <c r="E543" t="inlineStr">
        <is>
          <t>air::urban air close to ground</t>
        </is>
      </c>
      <c r="F543" t="inlineStr">
        <is>
          <t>biosphere</t>
        </is>
      </c>
      <c r="I543">
        <v>0</v>
      </c>
    </row>
    <row r="544">
      <c r="A544" t="inlineStr">
        <is>
          <t>Cadmium II</t>
        </is>
      </c>
      <c r="B544">
        <v>8.447396081985474e-13</v>
      </c>
      <c r="D544" t="inlineStr">
        <is>
          <t>kilogram</t>
        </is>
      </c>
      <c r="E544" t="inlineStr">
        <is>
          <t>air::non-urban air or from high stacks</t>
        </is>
      </c>
      <c r="F544" t="inlineStr">
        <is>
          <t>biosphere</t>
        </is>
      </c>
      <c r="I544">
        <v>0</v>
      </c>
    </row>
    <row r="545">
      <c r="A545" t="inlineStr">
        <is>
          <t>Ammonia</t>
        </is>
      </c>
      <c r="B545">
        <v>2.573084583766733e-06</v>
      </c>
      <c r="D545" t="inlineStr">
        <is>
          <t>kilogram</t>
        </is>
      </c>
      <c r="E545" t="inlineStr">
        <is>
          <t>air::urban air close to ground</t>
        </is>
      </c>
      <c r="F545" t="inlineStr">
        <is>
          <t>biosphere</t>
        </is>
      </c>
      <c r="I545">
        <v>0</v>
      </c>
    </row>
    <row r="546">
      <c r="A546" t="inlineStr">
        <is>
          <t>Butane</t>
        </is>
      </c>
      <c r="B546">
        <v>1.4592261593886937e-09</v>
      </c>
      <c r="D546" t="inlineStr">
        <is>
          <t>kilogram</t>
        </is>
      </c>
      <c r="E546" t="inlineStr">
        <is>
          <t>air::non-urban air or from high stacks</t>
        </is>
      </c>
      <c r="F546" t="inlineStr">
        <is>
          <t>biosphere</t>
        </is>
      </c>
      <c r="I546">
        <v>0</v>
      </c>
    </row>
    <row r="547">
      <c r="A547" t="inlineStr">
        <is>
          <t>PAH, polycyclic aromatic hydrocarbons</t>
        </is>
      </c>
      <c r="B547">
        <v>4.946326620454795e-10</v>
      </c>
      <c r="D547" t="inlineStr">
        <is>
          <t>kilogram</t>
        </is>
      </c>
      <c r="E547" t="inlineStr">
        <is>
          <t>air::urban air close to ground</t>
        </is>
      </c>
      <c r="F547" t="inlineStr">
        <is>
          <t>biosphere</t>
        </is>
      </c>
      <c r="I547">
        <v>0</v>
      </c>
    </row>
    <row r="548">
      <c r="A548" t="inlineStr">
        <is>
          <t>Copper ion</t>
        </is>
      </c>
      <c r="B548">
        <v>9.685376539404841e-11</v>
      </c>
      <c r="D548" t="inlineStr">
        <is>
          <t>kilogram</t>
        </is>
      </c>
      <c r="E548" t="inlineStr">
        <is>
          <t>air::non-urban air or from high stacks</t>
        </is>
      </c>
      <c r="F548" t="inlineStr">
        <is>
          <t>biosphere</t>
        </is>
      </c>
      <c r="I548">
        <v>0</v>
      </c>
    </row>
    <row r="549">
      <c r="A549" t="inlineStr">
        <is>
          <t>Nitrogen oxides</t>
        </is>
      </c>
      <c r="B549">
        <v>0.00018753997183161043</v>
      </c>
      <c r="D549" t="inlineStr">
        <is>
          <t>kilogram</t>
        </is>
      </c>
      <c r="E549" t="inlineStr">
        <is>
          <t>air::non-urban air or from high stacks</t>
        </is>
      </c>
      <c r="F549" t="inlineStr">
        <is>
          <t>biosphere</t>
        </is>
      </c>
      <c r="I549">
        <v>0</v>
      </c>
    </row>
    <row r="550">
      <c r="A550" t="inlineStr">
        <is>
          <t>Butane</t>
        </is>
      </c>
      <c r="B550">
        <v>5.445893377811625e-10</v>
      </c>
      <c r="D550" t="inlineStr">
        <is>
          <t>kilogram</t>
        </is>
      </c>
      <c r="E550" t="inlineStr">
        <is>
          <t>air::urban air close to ground</t>
        </is>
      </c>
      <c r="F550" t="inlineStr">
        <is>
          <t>biosphere</t>
        </is>
      </c>
      <c r="I550">
        <v>0</v>
      </c>
    </row>
    <row r="551">
      <c r="A551" t="inlineStr">
        <is>
          <t>Copper ion</t>
        </is>
      </c>
      <c r="B551">
        <v>3.6146231663205874e-11</v>
      </c>
      <c r="D551" t="inlineStr">
        <is>
          <t>kilogram</t>
        </is>
      </c>
      <c r="E551" t="inlineStr">
        <is>
          <t>air::urban air close to ground</t>
        </is>
      </c>
      <c r="F551" t="inlineStr">
        <is>
          <t>biosphere</t>
        </is>
      </c>
      <c r="I551">
        <v>0</v>
      </c>
    </row>
    <row r="552">
      <c r="A552" t="inlineStr">
        <is>
          <t>Chromium III</t>
        </is>
      </c>
      <c r="B552">
        <v>5.3811684196359975e-11</v>
      </c>
      <c r="D552" t="inlineStr">
        <is>
          <t>kilogram</t>
        </is>
      </c>
      <c r="E552" t="inlineStr">
        <is>
          <t>air::urban air close to ground</t>
        </is>
      </c>
      <c r="F552" t="inlineStr">
        <is>
          <t>biosphere</t>
        </is>
      </c>
      <c r="I552">
        <v>0</v>
      </c>
    </row>
    <row r="553">
      <c r="A553" t="inlineStr">
        <is>
          <t>Propane</t>
        </is>
      </c>
      <c r="B553">
        <v>3.6305953483321385e-10</v>
      </c>
      <c r="D553" t="inlineStr">
        <is>
          <t>kilogram</t>
        </is>
      </c>
      <c r="E553" t="inlineStr">
        <is>
          <t>air::urban air close to ground</t>
        </is>
      </c>
      <c r="F553" t="inlineStr">
        <is>
          <t>biosphere</t>
        </is>
      </c>
      <c r="I553">
        <v>0</v>
      </c>
    </row>
    <row r="554">
      <c r="A554" t="inlineStr">
        <is>
          <t>Toluene</t>
        </is>
      </c>
      <c r="B554">
        <v>3.6305953927463155e-11</v>
      </c>
      <c r="D554" t="inlineStr">
        <is>
          <t>kilogram</t>
        </is>
      </c>
      <c r="E554" t="inlineStr">
        <is>
          <t>air::urban air close to ground</t>
        </is>
      </c>
      <c r="F554" t="inlineStr">
        <is>
          <t>biosphere</t>
        </is>
      </c>
      <c r="I554">
        <v>0</v>
      </c>
    </row>
    <row r="555">
      <c r="A555" t="inlineStr">
        <is>
          <t>Dinitrogen monoxide</t>
        </is>
      </c>
      <c r="B555">
        <v>7.361498269225741e-06</v>
      </c>
      <c r="D555" t="inlineStr">
        <is>
          <t>kilogram</t>
        </is>
      </c>
      <c r="E555" t="inlineStr">
        <is>
          <t>air::urban air close to ground</t>
        </is>
      </c>
      <c r="F555" t="inlineStr">
        <is>
          <t>biosphere</t>
        </is>
      </c>
      <c r="I555">
        <v>0</v>
      </c>
    </row>
    <row r="556">
      <c r="A556" t="inlineStr">
        <is>
          <t>Zinc II</t>
        </is>
      </c>
      <c r="B556">
        <v>1.1387421970009149e-10</v>
      </c>
      <c r="D556" t="inlineStr">
        <is>
          <t>kilogram</t>
        </is>
      </c>
      <c r="E556" t="inlineStr">
        <is>
          <t>air::urban air close to ground</t>
        </is>
      </c>
      <c r="F556" t="inlineStr">
        <is>
          <t>biosphere</t>
        </is>
      </c>
      <c r="I556">
        <v>0</v>
      </c>
    </row>
    <row r="557">
      <c r="A557" t="inlineStr">
        <is>
          <t>Chromium VI</t>
        </is>
      </c>
      <c r="B557">
        <v>2.876484190151482e-13</v>
      </c>
      <c r="D557" t="inlineStr">
        <is>
          <t>kilogram</t>
        </is>
      </c>
      <c r="E557" t="inlineStr">
        <is>
          <t>air::non-urban air or from high stacks</t>
        </is>
      </c>
      <c r="F557" t="inlineStr">
        <is>
          <t>biosphere</t>
        </is>
      </c>
      <c r="I557">
        <v>0</v>
      </c>
    </row>
    <row r="558">
      <c r="A558" t="inlineStr">
        <is>
          <t>Benzene</t>
        </is>
      </c>
      <c r="B558">
        <v>1.6645520623154097e-08</v>
      </c>
      <c r="D558" t="inlineStr">
        <is>
          <t>kilogram</t>
        </is>
      </c>
      <c r="E558" t="inlineStr">
        <is>
          <t>air::non-urban air or from high stacks</t>
        </is>
      </c>
      <c r="F558" t="inlineStr">
        <is>
          <t>biosphere</t>
        </is>
      </c>
      <c r="I558">
        <v>0</v>
      </c>
    </row>
    <row r="559">
      <c r="A559" t="inlineStr">
        <is>
          <t>Carbon monoxide, fossil</t>
        </is>
      </c>
      <c r="B559">
        <v>9.188384379664334e-06</v>
      </c>
      <c r="D559" t="inlineStr">
        <is>
          <t>kilogram</t>
        </is>
      </c>
      <c r="E559" t="inlineStr">
        <is>
          <t>air::non-urban air or from high stacks</t>
        </is>
      </c>
      <c r="F559" t="inlineStr">
        <is>
          <t>biosphere</t>
        </is>
      </c>
      <c r="I559">
        <v>0</v>
      </c>
    </row>
    <row r="560">
      <c r="A560" t="inlineStr">
        <is>
          <t>Chromium VI</t>
        </is>
      </c>
      <c r="B560">
        <v>1.0735159075537383e-13</v>
      </c>
      <c r="D560" t="inlineStr">
        <is>
          <t>kilogram</t>
        </is>
      </c>
      <c r="E560" t="inlineStr">
        <is>
          <t>air::urban air close to ground</t>
        </is>
      </c>
      <c r="F560" t="inlineStr">
        <is>
          <t>biosphere</t>
        </is>
      </c>
      <c r="I560">
        <v>0</v>
      </c>
    </row>
    <row r="561">
      <c r="A561" t="inlineStr">
        <is>
          <t>Methane, fossil</t>
        </is>
      </c>
      <c r="B561">
        <v>8.927684532596896e-09</v>
      </c>
      <c r="D561" t="inlineStr">
        <is>
          <t>kilogram</t>
        </is>
      </c>
      <c r="E561" t="inlineStr">
        <is>
          <t>air::urban air close to ground</t>
        </is>
      </c>
      <c r="F561" t="inlineStr">
        <is>
          <t>biosphere</t>
        </is>
      </c>
      <c r="I561">
        <v>0</v>
      </c>
    </row>
    <row r="562">
      <c r="A562" t="inlineStr">
        <is>
          <t>Sulfur dioxide</t>
        </is>
      </c>
      <c r="B562">
        <v>4.6773094495270746e-07</v>
      </c>
      <c r="D562" t="inlineStr">
        <is>
          <t>kilogram</t>
        </is>
      </c>
      <c r="E562" t="inlineStr">
        <is>
          <t>air</t>
        </is>
      </c>
      <c r="F562" t="inlineStr">
        <is>
          <t>biosphere</t>
        </is>
      </c>
      <c r="I562">
        <v>0</v>
      </c>
    </row>
    <row r="563">
      <c r="A563" t="inlineStr">
        <is>
          <t>NMVOC, non-methane volatile organic compounds</t>
        </is>
      </c>
      <c r="B563">
        <v>2.9516741802169465e-07</v>
      </c>
      <c r="D563" t="inlineStr">
        <is>
          <t>kilogram</t>
        </is>
      </c>
      <c r="E563" t="inlineStr">
        <is>
          <t>air::urban air close to ground</t>
        </is>
      </c>
      <c r="F563" t="inlineStr">
        <is>
          <t>biosphere</t>
        </is>
      </c>
      <c r="I563">
        <v>0</v>
      </c>
    </row>
    <row r="564">
      <c r="A564" t="inlineStr">
        <is>
          <t>Formaldehyde</t>
        </is>
      </c>
      <c r="B564">
        <v>3.04970020629929e-08</v>
      </c>
      <c r="D564" t="inlineStr">
        <is>
          <t>kilogram</t>
        </is>
      </c>
      <c r="E564" t="inlineStr">
        <is>
          <t>air::urban air close to ground</t>
        </is>
      </c>
      <c r="F564" t="inlineStr">
        <is>
          <t>biosphere</t>
        </is>
      </c>
      <c r="I564">
        <v>0</v>
      </c>
    </row>
    <row r="565">
      <c r="A565" t="inlineStr">
        <is>
          <t>Nitrogen oxides</t>
        </is>
      </c>
      <c r="B565">
        <v>6.99907066197852e-05</v>
      </c>
      <c r="D565" t="inlineStr">
        <is>
          <t>kilogram</t>
        </is>
      </c>
      <c r="E565" t="inlineStr">
        <is>
          <t>air::urban air close to ground</t>
        </is>
      </c>
      <c r="F565" t="inlineStr">
        <is>
          <t>biosphere</t>
        </is>
      </c>
      <c r="I565">
        <v>0</v>
      </c>
    </row>
    <row r="566">
      <c r="A566" t="inlineStr">
        <is>
          <t>Formaldehyde</t>
        </is>
      </c>
      <c r="B566">
        <v>8.171666492576685e-08</v>
      </c>
      <c r="D566" t="inlineStr">
        <is>
          <t>kilogram</t>
        </is>
      </c>
      <c r="E566" t="inlineStr">
        <is>
          <t>air::non-urban air or from high stacks</t>
        </is>
      </c>
      <c r="F566" t="inlineStr">
        <is>
          <t>biosphere</t>
        </is>
      </c>
      <c r="I566">
        <v>0</v>
      </c>
    </row>
    <row r="567">
      <c r="A567" t="inlineStr">
        <is>
          <t>Zinc II</t>
        </is>
      </c>
      <c r="B567">
        <v>3.051257530798148e-10</v>
      </c>
      <c r="D567" t="inlineStr">
        <is>
          <t>kilogram</t>
        </is>
      </c>
      <c r="E567" t="inlineStr">
        <is>
          <t>air::non-urban air or from high stacks</t>
        </is>
      </c>
      <c r="F567" t="inlineStr">
        <is>
          <t>biosphere</t>
        </is>
      </c>
      <c r="I567">
        <v>0</v>
      </c>
    </row>
    <row r="568">
      <c r="A568" t="inlineStr">
        <is>
          <t>Carbon monoxide, fossil</t>
        </is>
      </c>
      <c r="B568">
        <v>3.4291435191313595e-06</v>
      </c>
      <c r="D568" t="inlineStr">
        <is>
          <t>kilogram</t>
        </is>
      </c>
      <c r="E568" t="inlineStr">
        <is>
          <t>air::urban air close to ground</t>
        </is>
      </c>
      <c r="F568" t="inlineStr">
        <is>
          <t>biosphere</t>
        </is>
      </c>
      <c r="I568">
        <v>0</v>
      </c>
    </row>
    <row r="569">
      <c r="A569" t="inlineStr">
        <is>
          <t>m-Xylene</t>
        </is>
      </c>
      <c r="B569">
        <v>3.5579834982156424e-09</v>
      </c>
      <c r="D569" t="inlineStr">
        <is>
          <t>kilogram</t>
        </is>
      </c>
      <c r="E569" t="inlineStr">
        <is>
          <t>air::urban air close to ground</t>
        </is>
      </c>
      <c r="F569" t="inlineStr">
        <is>
          <t>biosphere</t>
        </is>
      </c>
      <c r="I569">
        <v>0</v>
      </c>
    </row>
    <row r="570">
      <c r="A570" t="inlineStr">
        <is>
          <t>PAH, polycyclic aromatic hydrocarbons</t>
        </is>
      </c>
      <c r="B570">
        <v>1.3253673720206761e-09</v>
      </c>
      <c r="D570" t="inlineStr">
        <is>
          <t>kilogram</t>
        </is>
      </c>
      <c r="E570" t="inlineStr">
        <is>
          <t>air::non-urban air or from high stacks</t>
        </is>
      </c>
      <c r="F570" t="inlineStr">
        <is>
          <t>biosphere</t>
        </is>
      </c>
      <c r="I570">
        <v>0</v>
      </c>
    </row>
    <row r="571">
      <c r="A571" t="inlineStr">
        <is>
          <t>Particulate Matter, &lt; 2.5 um</t>
        </is>
      </c>
      <c r="B571">
        <v>4.776281554847676e-07</v>
      </c>
      <c r="D571" t="inlineStr">
        <is>
          <t>kilogram</t>
        </is>
      </c>
      <c r="E571" t="inlineStr">
        <is>
          <t>air::non-urban air or from high stacks</t>
        </is>
      </c>
      <c r="F571" t="inlineStr">
        <is>
          <t>biosphere</t>
        </is>
      </c>
      <c r="I571">
        <v>0</v>
      </c>
    </row>
    <row r="572">
      <c r="A572" t="inlineStr">
        <is>
          <t>Pentane</t>
        </is>
      </c>
      <c r="B572">
        <v>5.836904424366724e-10</v>
      </c>
      <c r="D572" t="inlineStr">
        <is>
          <t>kilogram</t>
        </is>
      </c>
      <c r="E572" t="inlineStr">
        <is>
          <t>air::non-urban air or from high stacks</t>
        </is>
      </c>
      <c r="F572" t="inlineStr">
        <is>
          <t>biosphere</t>
        </is>
      </c>
      <c r="I572">
        <v>0</v>
      </c>
    </row>
    <row r="573">
      <c r="A573" t="inlineStr">
        <is>
          <t>1,1,1,2-Tetrafluoroethane</t>
        </is>
      </c>
      <c r="B573">
        <v>1.0592803277176511e-07</v>
      </c>
      <c r="D573" t="inlineStr">
        <is>
          <t>kilogram</t>
        </is>
      </c>
      <c r="E573" t="inlineStr">
        <is>
          <t>air</t>
        </is>
      </c>
      <c r="F573" t="inlineStr">
        <is>
          <t>biosphere</t>
        </is>
      </c>
      <c r="I573">
        <v>0</v>
      </c>
    </row>
    <row r="574">
      <c r="A574" t="inlineStr">
        <is>
          <t>Acetaldehyde</t>
        </is>
      </c>
      <c r="B574">
        <v>1.6591821111403828e-08</v>
      </c>
      <c r="D574" t="inlineStr">
        <is>
          <t>kilogram</t>
        </is>
      </c>
      <c r="E574" t="inlineStr">
        <is>
          <t>air::urban air close to ground</t>
        </is>
      </c>
      <c r="F574" t="inlineStr">
        <is>
          <t>biosphere</t>
        </is>
      </c>
      <c r="I574">
        <v>0</v>
      </c>
    </row>
    <row r="575">
      <c r="A575" t="inlineStr">
        <is>
          <t>Benzene</t>
        </is>
      </c>
      <c r="B575">
        <v>6.21217814219678e-09</v>
      </c>
      <c r="D575" t="inlineStr">
        <is>
          <t>kilogram</t>
        </is>
      </c>
      <c r="E575" t="inlineStr">
        <is>
          <t>air::urban air close to ground</t>
        </is>
      </c>
      <c r="F575" t="inlineStr">
        <is>
          <t>biosphere</t>
        </is>
      </c>
      <c r="I575">
        <v>0</v>
      </c>
    </row>
    <row r="576">
      <c r="A576" t="inlineStr">
        <is>
          <t>Mercury II</t>
        </is>
      </c>
      <c r="B576">
        <v>3.342847041832335e-11</v>
      </c>
      <c r="D576" t="inlineStr">
        <is>
          <t>kilogram</t>
        </is>
      </c>
      <c r="E576" t="inlineStr">
        <is>
          <t>air::urban air close to ground</t>
        </is>
      </c>
      <c r="F576" t="inlineStr">
        <is>
          <t>biosphere</t>
        </is>
      </c>
      <c r="I576">
        <v>0</v>
      </c>
    </row>
    <row r="577">
      <c r="A577" t="inlineStr">
        <is>
          <t>Cadmium II</t>
        </is>
      </c>
      <c r="B577">
        <v>3.152603660310432e-13</v>
      </c>
      <c r="D577" t="inlineStr">
        <is>
          <t>kilogram</t>
        </is>
      </c>
      <c r="E577" t="inlineStr">
        <is>
          <t>air::urban air close to ground</t>
        </is>
      </c>
      <c r="F577" t="inlineStr">
        <is>
          <t>biosphere</t>
        </is>
      </c>
      <c r="I577">
        <v>0</v>
      </c>
    </row>
    <row r="578">
      <c r="A578" t="inlineStr">
        <is>
          <t>Propane</t>
        </is>
      </c>
      <c r="B578">
        <v>9.728174395924623e-10</v>
      </c>
      <c r="D578" t="inlineStr">
        <is>
          <t>kilogram</t>
        </is>
      </c>
      <c r="E578" t="inlineStr">
        <is>
          <t>air::non-urban air or from high stacks</t>
        </is>
      </c>
      <c r="F578" t="inlineStr">
        <is>
          <t>biosphere</t>
        </is>
      </c>
      <c r="I578">
        <v>0</v>
      </c>
    </row>
    <row r="579">
      <c r="A579" t="inlineStr">
        <is>
          <t>Chromium III</t>
        </is>
      </c>
      <c r="B579">
        <v>1.4418831693273988e-10</v>
      </c>
      <c r="D579" t="inlineStr">
        <is>
          <t>kilogram</t>
        </is>
      </c>
      <c r="E579" t="inlineStr">
        <is>
          <t>air::non-urban air or from high stacks</t>
        </is>
      </c>
      <c r="F579" t="inlineStr">
        <is>
          <t>biosphere</t>
        </is>
      </c>
      <c r="I579">
        <v>0</v>
      </c>
    </row>
    <row r="580">
      <c r="A580" t="inlineStr">
        <is>
          <t>Acrolein</t>
        </is>
      </c>
      <c r="B580">
        <v>6.42615413607384e-09</v>
      </c>
      <c r="D580" t="inlineStr">
        <is>
          <t>kilogram</t>
        </is>
      </c>
      <c r="E580" t="inlineStr">
        <is>
          <t>air::urban air close to ground</t>
        </is>
      </c>
      <c r="F580" t="inlineStr">
        <is>
          <t>biosphere</t>
        </is>
      </c>
      <c r="I580">
        <v>0</v>
      </c>
    </row>
    <row r="581">
      <c r="A581" t="inlineStr">
        <is>
          <t>Benzaldehyde</t>
        </is>
      </c>
      <c r="B581">
        <v>4.9739159967409846e-09</v>
      </c>
      <c r="D581" t="inlineStr">
        <is>
          <t>kilogram</t>
        </is>
      </c>
      <c r="E581" t="inlineStr">
        <is>
          <t>air::urban air close to ground</t>
        </is>
      </c>
      <c r="F581" t="inlineStr">
        <is>
          <t>biosphere</t>
        </is>
      </c>
      <c r="I581">
        <v>0</v>
      </c>
    </row>
    <row r="582">
      <c r="A582" t="inlineStr">
        <is>
          <t>Heptane</t>
        </is>
      </c>
      <c r="B582">
        <v>1.0891786755623254e-09</v>
      </c>
      <c r="D582" t="inlineStr">
        <is>
          <t>kilogram</t>
        </is>
      </c>
      <c r="E582" t="inlineStr">
        <is>
          <t>air::urban air close to ground</t>
        </is>
      </c>
      <c r="F582" t="inlineStr">
        <is>
          <t>biosphere</t>
        </is>
      </c>
      <c r="I582">
        <v>0</v>
      </c>
    </row>
    <row r="583">
      <c r="A583" t="inlineStr">
        <is>
          <t>o-Xylene</t>
        </is>
      </c>
      <c r="B583">
        <v>1.452238139332855e-09</v>
      </c>
      <c r="D583" t="inlineStr">
        <is>
          <t>kilogram</t>
        </is>
      </c>
      <c r="E583" t="inlineStr">
        <is>
          <t>air::urban air close to ground</t>
        </is>
      </c>
      <c r="F583" t="inlineStr">
        <is>
          <t>biosphere</t>
        </is>
      </c>
      <c r="I583">
        <v>0</v>
      </c>
    </row>
    <row r="584">
      <c r="A584" t="inlineStr">
        <is>
          <t>Selenium IV</t>
        </is>
      </c>
      <c r="B584">
        <v>6.332385327245513e-13</v>
      </c>
      <c r="D584" t="inlineStr">
        <is>
          <t>kilogram</t>
        </is>
      </c>
      <c r="E584" t="inlineStr">
        <is>
          <t>air::urban air close to ground</t>
        </is>
      </c>
      <c r="F584" t="inlineStr">
        <is>
          <t>biosphere</t>
        </is>
      </c>
      <c r="I584">
        <v>0</v>
      </c>
    </row>
    <row r="585">
      <c r="A585" t="inlineStr">
        <is>
          <t>Styrene</t>
        </is>
      </c>
      <c r="B585">
        <v>2.033133508766291e-09</v>
      </c>
      <c r="D585" t="inlineStr">
        <is>
          <t>kilogram</t>
        </is>
      </c>
      <c r="E585" t="inlineStr">
        <is>
          <t>air::urban air close to ground</t>
        </is>
      </c>
      <c r="F585" t="inlineStr">
        <is>
          <t>biosphere</t>
        </is>
      </c>
      <c r="I585">
        <v>0</v>
      </c>
    </row>
    <row r="586">
      <c r="A586" t="inlineStr">
        <is>
          <t>Acetaldehyde</t>
        </is>
      </c>
      <c r="B586">
        <v>4.4457756307173774e-08</v>
      </c>
      <c r="D586" t="inlineStr">
        <is>
          <t>kilogram</t>
        </is>
      </c>
      <c r="E586" t="inlineStr">
        <is>
          <t>air::non-urban air or from high stacks</t>
        </is>
      </c>
      <c r="F586" t="inlineStr">
        <is>
          <t>biosphere</t>
        </is>
      </c>
      <c r="I586">
        <v>0</v>
      </c>
    </row>
    <row r="587">
      <c r="A587" t="inlineStr">
        <is>
          <t>Acrolein</t>
        </is>
      </c>
      <c r="B587">
        <v>1.7218867998584824e-08</v>
      </c>
      <c r="D587" t="inlineStr">
        <is>
          <t>kilogram</t>
        </is>
      </c>
      <c r="E587" t="inlineStr">
        <is>
          <t>air::non-urban air or from high stacks</t>
        </is>
      </c>
      <c r="F587" t="inlineStr">
        <is>
          <t>biosphere</t>
        </is>
      </c>
      <c r="I587">
        <v>0</v>
      </c>
    </row>
    <row r="588">
      <c r="A588" t="inlineStr">
        <is>
          <t>Benzaldehyde</t>
        </is>
      </c>
      <c r="B588">
        <v>1.3327598240214973e-08</v>
      </c>
      <c r="D588" t="inlineStr">
        <is>
          <t>kilogram</t>
        </is>
      </c>
      <c r="E588" t="inlineStr">
        <is>
          <t>air::non-urban air or from high stacks</t>
        </is>
      </c>
      <c r="F588" t="inlineStr">
        <is>
          <t>biosphere</t>
        </is>
      </c>
      <c r="I588">
        <v>0</v>
      </c>
    </row>
    <row r="589">
      <c r="A589" t="inlineStr">
        <is>
          <t>Heptane</t>
        </is>
      </c>
      <c r="B589">
        <v>2.9184523187773873e-09</v>
      </c>
      <c r="D589" t="inlineStr">
        <is>
          <t>kilogram</t>
        </is>
      </c>
      <c r="E589" t="inlineStr">
        <is>
          <t>air::non-urban air or from high stacks</t>
        </is>
      </c>
      <c r="F589" t="inlineStr">
        <is>
          <t>biosphere</t>
        </is>
      </c>
      <c r="I589">
        <v>0</v>
      </c>
    </row>
    <row r="590">
      <c r="A590" t="inlineStr">
        <is>
          <t>m-Xylene</t>
        </is>
      </c>
      <c r="B590">
        <v>9.533610453204961e-09</v>
      </c>
      <c r="D590" t="inlineStr">
        <is>
          <t>kilogram</t>
        </is>
      </c>
      <c r="E590" t="inlineStr">
        <is>
          <t>air::non-urban air or from high stacks</t>
        </is>
      </c>
      <c r="F590" t="inlineStr">
        <is>
          <t>biosphere</t>
        </is>
      </c>
      <c r="I590">
        <v>0</v>
      </c>
    </row>
    <row r="591">
      <c r="A591" t="inlineStr">
        <is>
          <t>o-Xylene</t>
        </is>
      </c>
      <c r="B591">
        <v>3.891269758369849e-09</v>
      </c>
      <c r="D591" t="inlineStr">
        <is>
          <t>kilogram</t>
        </is>
      </c>
      <c r="E591" t="inlineStr">
        <is>
          <t>air::non-urban air or from high stacks</t>
        </is>
      </c>
      <c r="F591" t="inlineStr">
        <is>
          <t>biosphere</t>
        </is>
      </c>
      <c r="I591">
        <v>0</v>
      </c>
    </row>
    <row r="592">
      <c r="A592" t="inlineStr">
        <is>
          <t>Styrene</t>
        </is>
      </c>
      <c r="B592">
        <v>5.447777889118377e-09</v>
      </c>
      <c r="D592" t="inlineStr">
        <is>
          <t>kilogram</t>
        </is>
      </c>
      <c r="E592" t="inlineStr">
        <is>
          <t>air::non-urban air or from high stacks</t>
        </is>
      </c>
      <c r="F592" t="inlineStr">
        <is>
          <t>biosphere</t>
        </is>
      </c>
      <c r="I592">
        <v>0</v>
      </c>
    </row>
    <row r="593">
      <c r="A593" t="inlineStr">
        <is>
          <t>exhaust system, for lorry</t>
        </is>
      </c>
      <c r="B593">
        <v>2.4791665583947556e-05</v>
      </c>
      <c r="C593" t="inlineStr">
        <is>
          <t>RER</t>
        </is>
      </c>
      <c r="D593" t="inlineStr">
        <is>
          <t>kilogram</t>
        </is>
      </c>
      <c r="F593" t="inlineStr">
        <is>
          <t>technosphere</t>
        </is>
      </c>
      <c r="G593" t="inlineStr">
        <is>
          <t>exhaust system, for lorry</t>
        </is>
      </c>
      <c r="H593" t="inlineStr">
        <is>
          <t> Energy-use allocation: 220 * 1.367427797431765e-07 / 1.2134485858415922 MJ per ton kilometer.</t>
        </is>
      </c>
      <c r="I593">
        <v>0</v>
      </c>
    </row>
    <row r="594">
      <c r="A594" t="inlineStr">
        <is>
          <t>fuel tank, for diesel vehicle</t>
        </is>
      </c>
      <c r="B594">
        <v>6.181935329374144e-06</v>
      </c>
      <c r="C594" t="inlineStr">
        <is>
          <t>RER</t>
        </is>
      </c>
      <c r="D594" t="inlineStr">
        <is>
          <t>kilogram</t>
        </is>
      </c>
      <c r="F594" t="inlineStr">
        <is>
          <t>technosphere</t>
        </is>
      </c>
      <c r="G594" t="inlineStr">
        <is>
          <t>fuel tank</t>
        </is>
      </c>
      <c r="H594" t="inlineStr">
        <is>
          <t> Energy-use allocation: 54.85818481445312 * 1.367427797431765e-07 / 1.2134485858415922 MJ per ton kilometer.</t>
        </is>
      </c>
      <c r="I594">
        <v>0</v>
      </c>
    </row>
    <row r="595">
      <c r="A595" t="inlineStr">
        <is>
          <t>gearbox, for lorry</t>
        </is>
      </c>
      <c r="B595">
        <v>2.271818151381884e-05</v>
      </c>
      <c r="C595" t="inlineStr">
        <is>
          <t>RER</t>
        </is>
      </c>
      <c r="D595" t="inlineStr">
        <is>
          <t>kilogram</t>
        </is>
      </c>
      <c r="F595" t="inlineStr">
        <is>
          <t>technosphere</t>
        </is>
      </c>
      <c r="G595" t="inlineStr">
        <is>
          <t>gearbox, for lorry</t>
        </is>
      </c>
      <c r="H595" t="inlineStr">
        <is>
          <t> Energy-use allocation: 201.6000061035156 * 1.367427797431765e-07 / 1.2134485858415922 MJ per ton kilometer.</t>
        </is>
      </c>
      <c r="I595">
        <v>0</v>
      </c>
    </row>
    <row r="596">
      <c r="A596" t="inlineStr">
        <is>
          <t>internal combustion engine, for lorry</t>
        </is>
      </c>
      <c r="B596">
        <v>0.000121895652649343</v>
      </c>
      <c r="C596" t="inlineStr">
        <is>
          <t>RER</t>
        </is>
      </c>
      <c r="D596" t="inlineStr">
        <is>
          <t>kilogram</t>
        </is>
      </c>
      <c r="F596" t="inlineStr">
        <is>
          <t>technosphere</t>
        </is>
      </c>
      <c r="G596" t="inlineStr">
        <is>
          <t>internal combustion engine, for lorry</t>
        </is>
      </c>
      <c r="H596" t="inlineStr">
        <is>
          <t> Energy-use allocation: 1081.695922851562 * 1.367427797431765e-07 / 1.2134485858415922 MJ per ton kilometer.</t>
        </is>
      </c>
      <c r="I596">
        <v>0</v>
      </c>
    </row>
    <row r="597">
      <c r="A597" t="inlineStr">
        <is>
          <t>lead acid battery, for lorry</t>
        </is>
      </c>
      <c r="B597">
        <v>3.7651515024380753e-06</v>
      </c>
      <c r="C597" t="inlineStr">
        <is>
          <t>RER</t>
        </is>
      </c>
      <c r="D597" t="inlineStr">
        <is>
          <t>kilogram</t>
        </is>
      </c>
      <c r="F597" t="inlineStr">
        <is>
          <t>technosphere</t>
        </is>
      </c>
      <c r="G597" t="inlineStr">
        <is>
          <t>lead acid battery, for lorry</t>
        </is>
      </c>
      <c r="H597" t="inlineStr">
        <is>
          <t> Energy-use allocation: 33.41176605224609 * 1.367427797431765e-07 / 1.2134485858415922 MJ per ton kilometer.</t>
        </is>
      </c>
      <c r="I597">
        <v>0</v>
      </c>
    </row>
    <row r="598">
      <c r="A598" t="inlineStr">
        <is>
          <t>power electronics, for lorry</t>
        </is>
      </c>
      <c r="B598">
        <v>2.986268808975501e-05</v>
      </c>
      <c r="C598" t="inlineStr">
        <is>
          <t>RER</t>
        </is>
      </c>
      <c r="D598" t="inlineStr">
        <is>
          <t>kilogram</t>
        </is>
      </c>
      <c r="F598" t="inlineStr">
        <is>
          <t>technosphere</t>
        </is>
      </c>
      <c r="G598" t="inlineStr">
        <is>
          <t>power electronics, for lorry</t>
        </is>
      </c>
      <c r="H598" t="inlineStr">
        <is>
          <t> Energy-use allocation: 265 * 1.367427797431765e-07 / 1.2134485858415922 MJ per ton kilometer.</t>
        </is>
      </c>
      <c r="I598">
        <v>0</v>
      </c>
    </row>
    <row r="599">
      <c r="A599" t="inlineStr">
        <is>
          <t>retarder, for lorry</t>
        </is>
      </c>
      <c r="B599">
        <v>7.572726598105075e-06</v>
      </c>
      <c r="C599" t="inlineStr">
        <is>
          <t>RER</t>
        </is>
      </c>
      <c r="D599" t="inlineStr">
        <is>
          <t>kilogram</t>
        </is>
      </c>
      <c r="F599" t="inlineStr">
        <is>
          <t>technosphere</t>
        </is>
      </c>
      <c r="G599" t="inlineStr">
        <is>
          <t>retarder, for lorry</t>
        </is>
      </c>
      <c r="H599" t="inlineStr">
        <is>
          <t> Energy-use allocation: 67.19999694824219 * 1.367427797431765e-07 / 1.2134485858415922 MJ per ton kilometer.</t>
        </is>
      </c>
      <c r="I599">
        <v>0</v>
      </c>
    </row>
    <row r="600">
      <c r="A600" t="inlineStr">
        <is>
          <t>transmission, for lorry</t>
        </is>
      </c>
      <c r="B600">
        <v>3.281514801862079e-05</v>
      </c>
      <c r="C600" t="inlineStr">
        <is>
          <t>RER</t>
        </is>
      </c>
      <c r="D600" t="inlineStr">
        <is>
          <t>kilogram</t>
        </is>
      </c>
      <c r="F600" t="inlineStr">
        <is>
          <t>technosphere</t>
        </is>
      </c>
      <c r="G600" t="inlineStr">
        <is>
          <t>transmission, for lorry</t>
        </is>
      </c>
      <c r="H600" t="inlineStr">
        <is>
          <t> Energy-use allocation: 291.1999816894531 * 1.367427797431765e-07 / 1.2134485858415922 MJ per ton kilometer.</t>
        </is>
      </c>
      <c r="I600">
        <v>0</v>
      </c>
    </row>
    <row r="601">
      <c r="A601" t="inlineStr">
        <is>
          <t>Carbon dioxide, non-fossil</t>
        </is>
      </c>
      <c r="B601">
        <v>0.0734</v>
      </c>
      <c r="D601" t="inlineStr">
        <is>
          <t>kilogram</t>
        </is>
      </c>
      <c r="E601" t="inlineStr">
        <is>
          <t>air::urban air close to ground</t>
        </is>
      </c>
      <c r="F601" t="inlineStr">
        <is>
          <t>biosphere</t>
        </is>
      </c>
      <c r="I601">
        <v>0</v>
      </c>
    </row>
    <row r="602"/>
    <row r="603">
      <c r="A603" t="inlineStr">
        <is>
          <t>Activity</t>
        </is>
      </c>
      <c r="B603" t="inlineStr">
        <is>
          <t>biodiesel, from non-residual cellulosic biomass, burned in heavy-duty vehicle</t>
        </is>
      </c>
    </row>
    <row r="604">
      <c r="A604" t="inlineStr">
        <is>
          <t>location</t>
        </is>
      </c>
      <c r="B604" t="inlineStr">
        <is>
          <t>RER</t>
        </is>
      </c>
    </row>
    <row r="605">
      <c r="A605" t="inlineStr">
        <is>
          <t>production amount</t>
        </is>
      </c>
      <c r="B605">
        <v>1</v>
      </c>
    </row>
    <row r="606">
      <c r="A606" t="inlineStr">
        <is>
          <t>reference product</t>
        </is>
      </c>
      <c r="B606" t="inlineStr">
        <is>
          <t>heat</t>
        </is>
      </c>
    </row>
    <row r="607">
      <c r="A607" t="inlineStr">
        <is>
          <t>type</t>
        </is>
      </c>
      <c r="B607" t="inlineStr">
        <is>
          <t>process</t>
        </is>
      </c>
    </row>
    <row r="608">
      <c r="A608" t="inlineStr">
        <is>
          <t>unit</t>
        </is>
      </c>
      <c r="B608" t="inlineStr">
        <is>
          <t>megajoule</t>
        </is>
      </c>
    </row>
    <row r="609">
      <c r="A609" t="inlineStr">
        <is>
          <t>energy use source</t>
        </is>
      </c>
      <c r="B6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610">
      <c r="A610" t="inlineStr">
        <is>
          <t>comment</t>
        </is>
      </c>
      <c r="B61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611">
      <c r="A611" t="inlineStr">
        <is>
          <t>Exchanges</t>
        </is>
      </c>
    </row>
    <row r="612">
      <c r="A612" t="inlineStr">
        <is>
          <t>name</t>
        </is>
      </c>
      <c r="B612" t="inlineStr">
        <is>
          <t>amount</t>
        </is>
      </c>
      <c r="C612" t="inlineStr">
        <is>
          <t>location</t>
        </is>
      </c>
      <c r="D612" t="inlineStr">
        <is>
          <t>unit</t>
        </is>
      </c>
      <c r="E612" t="inlineStr">
        <is>
          <t>categories</t>
        </is>
      </c>
      <c r="F612" t="inlineStr">
        <is>
          <t>type</t>
        </is>
      </c>
      <c r="G612" t="inlineStr">
        <is>
          <t>reference product</t>
        </is>
      </c>
      <c r="H612" t="inlineStr">
        <is>
          <t>comment</t>
        </is>
      </c>
      <c r="I612" t="inlineStr">
        <is>
          <t>uncertainty type</t>
        </is>
      </c>
    </row>
    <row r="613">
      <c r="A613" t="inlineStr">
        <is>
          <t>biodiesel, from non-residual cellulosic biomass, burned in heavy-duty vehicle</t>
        </is>
      </c>
      <c r="B613">
        <v>1.0</v>
      </c>
      <c r="C613" t="inlineStr">
        <is>
          <t>RER</t>
        </is>
      </c>
      <c r="D613" t="inlineStr">
        <is>
          <t>megajoule</t>
        </is>
      </c>
      <c r="F613" t="inlineStr">
        <is>
          <t>production</t>
        </is>
      </c>
      <c r="G613" t="inlineStr">
        <is>
          <t>heat</t>
        </is>
      </c>
      <c r="I613">
        <v>0</v>
      </c>
    </row>
    <row r="614">
      <c r="A614" t="inlineStr">
        <is>
          <t>biodiesel production, via Fischer-Tropsch, from forest product (non-residual), energy allocation</t>
        </is>
      </c>
      <c r="B614">
        <v>0.023255813953488372</v>
      </c>
      <c r="C614" t="inlineStr">
        <is>
          <t>RER</t>
        </is>
      </c>
      <c r="D614" t="inlineStr">
        <is>
          <t>kilogram</t>
        </is>
      </c>
      <c r="F614" t="inlineStr">
        <is>
          <t>technosphere</t>
        </is>
      </c>
      <c r="G614" t="inlineStr">
        <is>
          <t>biodiesel, from forest residues</t>
        </is>
      </c>
      <c r="H614" t="inlineStr">
        <is>
          <t>LHV of biodiesel: 38 MJ/kg.</t>
        </is>
      </c>
      <c r="I614">
        <v>0</v>
      </c>
    </row>
    <row r="615">
      <c r="A615" t="inlineStr">
        <is>
          <t>market for tetrafluoroethane, R134a</t>
        </is>
      </c>
      <c r="B615">
        <v>2.2988634886667227e-07</v>
      </c>
      <c r="C615" t="inlineStr">
        <is>
          <t>GLO</t>
        </is>
      </c>
      <c r="D615" t="inlineStr">
        <is>
          <t>kilogram</t>
        </is>
      </c>
      <c r="F615" t="inlineStr">
        <is>
          <t>technosphere</t>
        </is>
      </c>
      <c r="G615" t="inlineStr">
        <is>
          <t>tetrafluoroethane, R134a</t>
        </is>
      </c>
      <c r="I615">
        <v>0</v>
      </c>
    </row>
    <row r="616">
      <c r="A616" t="inlineStr">
        <is>
          <t>treatment of brake wear emissions, lorry</t>
        </is>
      </c>
      <c r="B616">
        <v>-8.332264901167272e-06</v>
      </c>
      <c r="C616" t="inlineStr">
        <is>
          <t>RER</t>
        </is>
      </c>
      <c r="D616" t="inlineStr">
        <is>
          <t>kilogram</t>
        </is>
      </c>
      <c r="F616" t="inlineStr">
        <is>
          <t>technosphere</t>
        </is>
      </c>
      <c r="G616" t="inlineStr">
        <is>
          <t>brake wear emissions, lorry</t>
        </is>
      </c>
      <c r="I616">
        <v>0</v>
      </c>
    </row>
    <row r="617">
      <c r="A617" t="inlineStr">
        <is>
          <t>treatment of road wear emissions, lorry</t>
        </is>
      </c>
      <c r="B617">
        <v>-1.0511814175882647e-05</v>
      </c>
      <c r="C617" t="inlineStr">
        <is>
          <t>RER</t>
        </is>
      </c>
      <c r="D617" t="inlineStr">
        <is>
          <t>kilogram</t>
        </is>
      </c>
      <c r="F617" t="inlineStr">
        <is>
          <t>technosphere</t>
        </is>
      </c>
      <c r="G617" t="inlineStr">
        <is>
          <t>road wear emissions, lorry</t>
        </is>
      </c>
      <c r="I617">
        <v>0</v>
      </c>
    </row>
    <row r="618">
      <c r="A618" t="inlineStr">
        <is>
          <t>treatment of tyre wear emissions, lorry</t>
        </is>
      </c>
      <c r="B618">
        <v>-8.54276405830878e-06</v>
      </c>
      <c r="C618" t="inlineStr">
        <is>
          <t>RER</t>
        </is>
      </c>
      <c r="D618" t="inlineStr">
        <is>
          <t>kilogram</t>
        </is>
      </c>
      <c r="F618" t="inlineStr">
        <is>
          <t>technosphere</t>
        </is>
      </c>
      <c r="G618" t="inlineStr">
        <is>
          <t>tyre wear emissions, lorry</t>
        </is>
      </c>
      <c r="I618">
        <v>0</v>
      </c>
    </row>
    <row r="619">
      <c r="A619" t="inlineStr">
        <is>
          <t>Toluene</t>
        </is>
      </c>
      <c r="B619">
        <v>9.72817404061121e-11</v>
      </c>
      <c r="D619" t="inlineStr">
        <is>
          <t>kilogram</t>
        </is>
      </c>
      <c r="E619" t="inlineStr">
        <is>
          <t>air::non-urban air or from high stacks</t>
        </is>
      </c>
      <c r="F619" t="inlineStr">
        <is>
          <t>biosphere</t>
        </is>
      </c>
      <c r="I619">
        <v>0</v>
      </c>
    </row>
    <row r="620">
      <c r="A620" t="inlineStr">
        <is>
          <t>NMVOC, non-methane volatile organic compounds</t>
        </is>
      </c>
      <c r="B620">
        <v>7.909005533746073e-07</v>
      </c>
      <c r="D620" t="inlineStr">
        <is>
          <t>kilogram</t>
        </is>
      </c>
      <c r="E620" t="inlineStr">
        <is>
          <t>air::non-urban air or from high stacks</t>
        </is>
      </c>
      <c r="F620" t="inlineStr">
        <is>
          <t>biosphere</t>
        </is>
      </c>
      <c r="I620">
        <v>0</v>
      </c>
    </row>
    <row r="621">
      <c r="A621" t="inlineStr">
        <is>
          <t>Dinitrogen monoxide</t>
        </is>
      </c>
      <c r="B621">
        <v>1.9725120204580215e-05</v>
      </c>
      <c r="D621" t="inlineStr">
        <is>
          <t>kilogram</t>
        </is>
      </c>
      <c r="E621" t="inlineStr">
        <is>
          <t>air::non-urban air or from high stacks</t>
        </is>
      </c>
      <c r="F621" t="inlineStr">
        <is>
          <t>biosphere</t>
        </is>
      </c>
      <c r="I621">
        <v>0</v>
      </c>
    </row>
    <row r="622">
      <c r="A622" t="inlineStr">
        <is>
          <t>Ethane</t>
        </is>
      </c>
      <c r="B622">
        <v>1.0891786400309831e-10</v>
      </c>
      <c r="D622" t="inlineStr">
        <is>
          <t>kilogram</t>
        </is>
      </c>
      <c r="E622" t="inlineStr">
        <is>
          <t>air::urban air close to ground</t>
        </is>
      </c>
      <c r="F622" t="inlineStr">
        <is>
          <t>biosphere</t>
        </is>
      </c>
      <c r="I622">
        <v>0</v>
      </c>
    </row>
    <row r="623">
      <c r="A623" t="inlineStr">
        <is>
          <t>Pentane</t>
        </is>
      </c>
      <c r="B623">
        <v>2.178357280061967e-10</v>
      </c>
      <c r="D623" t="inlineStr">
        <is>
          <t>kilogram</t>
        </is>
      </c>
      <c r="E623" t="inlineStr">
        <is>
          <t>air::urban air close to ground</t>
        </is>
      </c>
      <c r="F623" t="inlineStr">
        <is>
          <t>biosphere</t>
        </is>
      </c>
      <c r="I623">
        <v>0</v>
      </c>
    </row>
    <row r="624">
      <c r="A624" t="inlineStr">
        <is>
          <t>Selenium IV</t>
        </is>
      </c>
      <c r="B624">
        <v>1.6967614759358543e-12</v>
      </c>
      <c r="D624" t="inlineStr">
        <is>
          <t>kilogram</t>
        </is>
      </c>
      <c r="E624" t="inlineStr">
        <is>
          <t>air::non-urban air or from high stacks</t>
        </is>
      </c>
      <c r="F624" t="inlineStr">
        <is>
          <t>biosphere</t>
        </is>
      </c>
      <c r="I624">
        <v>0</v>
      </c>
    </row>
    <row r="625">
      <c r="A625" t="inlineStr">
        <is>
          <t>Arsenic ion</t>
        </is>
      </c>
      <c r="B625">
        <v>1.6967614759358543e-12</v>
      </c>
      <c r="D625" t="inlineStr">
        <is>
          <t>kilogram</t>
        </is>
      </c>
      <c r="E625" t="inlineStr">
        <is>
          <t>air::non-urban air or from high stacks</t>
        </is>
      </c>
      <c r="F625" t="inlineStr">
        <is>
          <t>biosphere</t>
        </is>
      </c>
      <c r="I625">
        <v>0</v>
      </c>
    </row>
    <row r="626">
      <c r="A626" t="inlineStr">
        <is>
          <t>Arsenic ion</t>
        </is>
      </c>
      <c r="B626">
        <v>6.332385327245513e-13</v>
      </c>
      <c r="D626" t="inlineStr">
        <is>
          <t>kilogram</t>
        </is>
      </c>
      <c r="E626" t="inlineStr">
        <is>
          <t>air::urban air close to ground</t>
        </is>
      </c>
      <c r="F626" t="inlineStr">
        <is>
          <t>biosphere</t>
        </is>
      </c>
      <c r="I626">
        <v>0</v>
      </c>
    </row>
    <row r="627">
      <c r="A627" t="inlineStr">
        <is>
          <t>Particulate Matter, &lt; 2.5 um</t>
        </is>
      </c>
      <c r="B627">
        <v>1.7825282603055566e-07</v>
      </c>
      <c r="D627" t="inlineStr">
        <is>
          <t>kilogram</t>
        </is>
      </c>
      <c r="E627" t="inlineStr">
        <is>
          <t>air::urban air close to ground</t>
        </is>
      </c>
      <c r="F627" t="inlineStr">
        <is>
          <t>biosphere</t>
        </is>
      </c>
      <c r="I627">
        <v>0</v>
      </c>
    </row>
    <row r="628">
      <c r="A628" t="inlineStr">
        <is>
          <t>Nickel II</t>
        </is>
      </c>
      <c r="B628">
        <v>3.3862406923329497e-12</v>
      </c>
      <c r="D628" t="inlineStr">
        <is>
          <t>kilogram</t>
        </is>
      </c>
      <c r="E628" t="inlineStr">
        <is>
          <t>air::non-urban air or from high stacks</t>
        </is>
      </c>
      <c r="F628" t="inlineStr">
        <is>
          <t>biosphere</t>
        </is>
      </c>
      <c r="I628">
        <v>0</v>
      </c>
    </row>
    <row r="629">
      <c r="A629" t="inlineStr">
        <is>
          <t>Methane, fossil</t>
        </is>
      </c>
      <c r="B629">
        <v>2.3921714073582906e-08</v>
      </c>
      <c r="D629" t="inlineStr">
        <is>
          <t>kilogram</t>
        </is>
      </c>
      <c r="E629" t="inlineStr">
        <is>
          <t>air::non-urban air or from high stacks</t>
        </is>
      </c>
      <c r="F629" t="inlineStr">
        <is>
          <t>biosphere</t>
        </is>
      </c>
      <c r="I629">
        <v>0</v>
      </c>
    </row>
    <row r="630">
      <c r="A630" t="inlineStr">
        <is>
          <t>Mercury II</t>
        </is>
      </c>
      <c r="B630">
        <v>8.957152806237827e-11</v>
      </c>
      <c r="D630" t="inlineStr">
        <is>
          <t>kilogram</t>
        </is>
      </c>
      <c r="E630" t="inlineStr">
        <is>
          <t>air::non-urban air or from high stacks</t>
        </is>
      </c>
      <c r="F630" t="inlineStr">
        <is>
          <t>biosphere</t>
        </is>
      </c>
      <c r="I630">
        <v>0</v>
      </c>
    </row>
    <row r="631">
      <c r="A631" t="inlineStr">
        <is>
          <t>Ammonia</t>
        </is>
      </c>
      <c r="B631">
        <v>6.894575078264757e-06</v>
      </c>
      <c r="D631" t="inlineStr">
        <is>
          <t>kilogram</t>
        </is>
      </c>
      <c r="E631" t="inlineStr">
        <is>
          <t>air::non-urban air or from high stacks</t>
        </is>
      </c>
      <c r="F631" t="inlineStr">
        <is>
          <t>biosphere</t>
        </is>
      </c>
      <c r="I631">
        <v>0</v>
      </c>
    </row>
    <row r="632">
      <c r="A632" t="inlineStr">
        <is>
          <t>Ethane</t>
        </is>
      </c>
      <c r="B632">
        <v>2.918452212183362e-10</v>
      </c>
      <c r="D632" t="inlineStr">
        <is>
          <t>kilogram</t>
        </is>
      </c>
      <c r="E632" t="inlineStr">
        <is>
          <t>air::non-urban air or from high stacks</t>
        </is>
      </c>
      <c r="F632" t="inlineStr">
        <is>
          <t>biosphere</t>
        </is>
      </c>
      <c r="I632">
        <v>0</v>
      </c>
    </row>
    <row r="633">
      <c r="A633" t="inlineStr">
        <is>
          <t>Nickel II</t>
        </is>
      </c>
      <c r="B633">
        <v>1.263759195389486e-12</v>
      </c>
      <c r="D633" t="inlineStr">
        <is>
          <t>kilogram</t>
        </is>
      </c>
      <c r="E633" t="inlineStr">
        <is>
          <t>air::urban air close to ground</t>
        </is>
      </c>
      <c r="F633" t="inlineStr">
        <is>
          <t>biosphere</t>
        </is>
      </c>
      <c r="I633">
        <v>0</v>
      </c>
    </row>
    <row r="634">
      <c r="A634" t="inlineStr">
        <is>
          <t>Cadmium II</t>
        </is>
      </c>
      <c r="B634">
        <v>8.447396081985474e-13</v>
      </c>
      <c r="D634" t="inlineStr">
        <is>
          <t>kilogram</t>
        </is>
      </c>
      <c r="E634" t="inlineStr">
        <is>
          <t>air::non-urban air or from high stacks</t>
        </is>
      </c>
      <c r="F634" t="inlineStr">
        <is>
          <t>biosphere</t>
        </is>
      </c>
      <c r="I634">
        <v>0</v>
      </c>
    </row>
    <row r="635">
      <c r="A635" t="inlineStr">
        <is>
          <t>Ammonia</t>
        </is>
      </c>
      <c r="B635">
        <v>2.573084583766733e-06</v>
      </c>
      <c r="D635" t="inlineStr">
        <is>
          <t>kilogram</t>
        </is>
      </c>
      <c r="E635" t="inlineStr">
        <is>
          <t>air::urban air close to ground</t>
        </is>
      </c>
      <c r="F635" t="inlineStr">
        <is>
          <t>biosphere</t>
        </is>
      </c>
      <c r="I635">
        <v>0</v>
      </c>
    </row>
    <row r="636">
      <c r="A636" t="inlineStr">
        <is>
          <t>Butane</t>
        </is>
      </c>
      <c r="B636">
        <v>1.4592261593886937e-09</v>
      </c>
      <c r="D636" t="inlineStr">
        <is>
          <t>kilogram</t>
        </is>
      </c>
      <c r="E636" t="inlineStr">
        <is>
          <t>air::non-urban air or from high stacks</t>
        </is>
      </c>
      <c r="F636" t="inlineStr">
        <is>
          <t>biosphere</t>
        </is>
      </c>
      <c r="I636">
        <v>0</v>
      </c>
    </row>
    <row r="637">
      <c r="A637" t="inlineStr">
        <is>
          <t>PAH, polycyclic aromatic hydrocarbons</t>
        </is>
      </c>
      <c r="B637">
        <v>4.946326620454795e-10</v>
      </c>
      <c r="D637" t="inlineStr">
        <is>
          <t>kilogram</t>
        </is>
      </c>
      <c r="E637" t="inlineStr">
        <is>
          <t>air::urban air close to ground</t>
        </is>
      </c>
      <c r="F637" t="inlineStr">
        <is>
          <t>biosphere</t>
        </is>
      </c>
      <c r="I637">
        <v>0</v>
      </c>
    </row>
    <row r="638">
      <c r="A638" t="inlineStr">
        <is>
          <t>Copper ion</t>
        </is>
      </c>
      <c r="B638">
        <v>9.685376539404841e-11</v>
      </c>
      <c r="D638" t="inlineStr">
        <is>
          <t>kilogram</t>
        </is>
      </c>
      <c r="E638" t="inlineStr">
        <is>
          <t>air::non-urban air or from high stacks</t>
        </is>
      </c>
      <c r="F638" t="inlineStr">
        <is>
          <t>biosphere</t>
        </is>
      </c>
      <c r="I638">
        <v>0</v>
      </c>
    </row>
    <row r="639">
      <c r="A639" t="inlineStr">
        <is>
          <t>Nitrogen oxides</t>
        </is>
      </c>
      <c r="B639">
        <v>0.00018753997183161043</v>
      </c>
      <c r="D639" t="inlineStr">
        <is>
          <t>kilogram</t>
        </is>
      </c>
      <c r="E639" t="inlineStr">
        <is>
          <t>air::non-urban air or from high stacks</t>
        </is>
      </c>
      <c r="F639" t="inlineStr">
        <is>
          <t>biosphere</t>
        </is>
      </c>
      <c r="I639">
        <v>0</v>
      </c>
    </row>
    <row r="640">
      <c r="A640" t="inlineStr">
        <is>
          <t>Butane</t>
        </is>
      </c>
      <c r="B640">
        <v>5.445893377811625e-10</v>
      </c>
      <c r="D640" t="inlineStr">
        <is>
          <t>kilogram</t>
        </is>
      </c>
      <c r="E640" t="inlineStr">
        <is>
          <t>air::urban air close to ground</t>
        </is>
      </c>
      <c r="F640" t="inlineStr">
        <is>
          <t>biosphere</t>
        </is>
      </c>
      <c r="I640">
        <v>0</v>
      </c>
    </row>
    <row r="641">
      <c r="A641" t="inlineStr">
        <is>
          <t>Copper ion</t>
        </is>
      </c>
      <c r="B641">
        <v>3.6146231663205874e-11</v>
      </c>
      <c r="D641" t="inlineStr">
        <is>
          <t>kilogram</t>
        </is>
      </c>
      <c r="E641" t="inlineStr">
        <is>
          <t>air::urban air close to ground</t>
        </is>
      </c>
      <c r="F641" t="inlineStr">
        <is>
          <t>biosphere</t>
        </is>
      </c>
      <c r="I641">
        <v>0</v>
      </c>
    </row>
    <row r="642">
      <c r="A642" t="inlineStr">
        <is>
          <t>Chromium III</t>
        </is>
      </c>
      <c r="B642">
        <v>5.3811684196359975e-11</v>
      </c>
      <c r="D642" t="inlineStr">
        <is>
          <t>kilogram</t>
        </is>
      </c>
      <c r="E642" t="inlineStr">
        <is>
          <t>air::urban air close to ground</t>
        </is>
      </c>
      <c r="F642" t="inlineStr">
        <is>
          <t>biosphere</t>
        </is>
      </c>
      <c r="I642">
        <v>0</v>
      </c>
    </row>
    <row r="643">
      <c r="A643" t="inlineStr">
        <is>
          <t>Propane</t>
        </is>
      </c>
      <c r="B643">
        <v>3.6305953483321385e-10</v>
      </c>
      <c r="D643" t="inlineStr">
        <is>
          <t>kilogram</t>
        </is>
      </c>
      <c r="E643" t="inlineStr">
        <is>
          <t>air::urban air close to ground</t>
        </is>
      </c>
      <c r="F643" t="inlineStr">
        <is>
          <t>biosphere</t>
        </is>
      </c>
      <c r="I643">
        <v>0</v>
      </c>
    </row>
    <row r="644">
      <c r="A644" t="inlineStr">
        <is>
          <t>Toluene</t>
        </is>
      </c>
      <c r="B644">
        <v>3.6305953927463155e-11</v>
      </c>
      <c r="D644" t="inlineStr">
        <is>
          <t>kilogram</t>
        </is>
      </c>
      <c r="E644" t="inlineStr">
        <is>
          <t>air::urban air close to ground</t>
        </is>
      </c>
      <c r="F644" t="inlineStr">
        <is>
          <t>biosphere</t>
        </is>
      </c>
      <c r="I644">
        <v>0</v>
      </c>
    </row>
    <row r="645">
      <c r="A645" t="inlineStr">
        <is>
          <t>Dinitrogen monoxide</t>
        </is>
      </c>
      <c r="B645">
        <v>7.361498269225741e-06</v>
      </c>
      <c r="D645" t="inlineStr">
        <is>
          <t>kilogram</t>
        </is>
      </c>
      <c r="E645" t="inlineStr">
        <is>
          <t>air::urban air close to ground</t>
        </is>
      </c>
      <c r="F645" t="inlineStr">
        <is>
          <t>biosphere</t>
        </is>
      </c>
      <c r="I645">
        <v>0</v>
      </c>
    </row>
    <row r="646">
      <c r="A646" t="inlineStr">
        <is>
          <t>Zinc II</t>
        </is>
      </c>
      <c r="B646">
        <v>1.1387421970009149e-10</v>
      </c>
      <c r="D646" t="inlineStr">
        <is>
          <t>kilogram</t>
        </is>
      </c>
      <c r="E646" t="inlineStr">
        <is>
          <t>air::urban air close to ground</t>
        </is>
      </c>
      <c r="F646" t="inlineStr">
        <is>
          <t>biosphere</t>
        </is>
      </c>
      <c r="I646">
        <v>0</v>
      </c>
    </row>
    <row r="647">
      <c r="A647" t="inlineStr">
        <is>
          <t>Chromium VI</t>
        </is>
      </c>
      <c r="B647">
        <v>2.876484190151482e-13</v>
      </c>
      <c r="D647" t="inlineStr">
        <is>
          <t>kilogram</t>
        </is>
      </c>
      <c r="E647" t="inlineStr">
        <is>
          <t>air::non-urban air or from high stacks</t>
        </is>
      </c>
      <c r="F647" t="inlineStr">
        <is>
          <t>biosphere</t>
        </is>
      </c>
      <c r="I647">
        <v>0</v>
      </c>
    </row>
    <row r="648">
      <c r="A648" t="inlineStr">
        <is>
          <t>Benzene</t>
        </is>
      </c>
      <c r="B648">
        <v>1.6645520623154097e-08</v>
      </c>
      <c r="D648" t="inlineStr">
        <is>
          <t>kilogram</t>
        </is>
      </c>
      <c r="E648" t="inlineStr">
        <is>
          <t>air::non-urban air or from high stacks</t>
        </is>
      </c>
      <c r="F648" t="inlineStr">
        <is>
          <t>biosphere</t>
        </is>
      </c>
      <c r="I648">
        <v>0</v>
      </c>
    </row>
    <row r="649">
      <c r="A649" t="inlineStr">
        <is>
          <t>Carbon monoxide, fossil</t>
        </is>
      </c>
      <c r="B649">
        <v>9.188384379664334e-06</v>
      </c>
      <c r="D649" t="inlineStr">
        <is>
          <t>kilogram</t>
        </is>
      </c>
      <c r="E649" t="inlineStr">
        <is>
          <t>air::non-urban air or from high stacks</t>
        </is>
      </c>
      <c r="F649" t="inlineStr">
        <is>
          <t>biosphere</t>
        </is>
      </c>
      <c r="I649">
        <v>0</v>
      </c>
    </row>
    <row r="650">
      <c r="A650" t="inlineStr">
        <is>
          <t>Chromium VI</t>
        </is>
      </c>
      <c r="B650">
        <v>1.0735159075537383e-13</v>
      </c>
      <c r="D650" t="inlineStr">
        <is>
          <t>kilogram</t>
        </is>
      </c>
      <c r="E650" t="inlineStr">
        <is>
          <t>air::urban air close to ground</t>
        </is>
      </c>
      <c r="F650" t="inlineStr">
        <is>
          <t>biosphere</t>
        </is>
      </c>
      <c r="I650">
        <v>0</v>
      </c>
    </row>
    <row r="651">
      <c r="A651" t="inlineStr">
        <is>
          <t>Methane, fossil</t>
        </is>
      </c>
      <c r="B651">
        <v>8.927684532596896e-09</v>
      </c>
      <c r="D651" t="inlineStr">
        <is>
          <t>kilogram</t>
        </is>
      </c>
      <c r="E651" t="inlineStr">
        <is>
          <t>air::urban air close to ground</t>
        </is>
      </c>
      <c r="F651" t="inlineStr">
        <is>
          <t>biosphere</t>
        </is>
      </c>
      <c r="I651">
        <v>0</v>
      </c>
    </row>
    <row r="652">
      <c r="A652" t="inlineStr">
        <is>
          <t>Sulfur dioxide</t>
        </is>
      </c>
      <c r="B652">
        <v>4.6773094495270746e-07</v>
      </c>
      <c r="D652" t="inlineStr">
        <is>
          <t>kilogram</t>
        </is>
      </c>
      <c r="E652" t="inlineStr">
        <is>
          <t>air</t>
        </is>
      </c>
      <c r="F652" t="inlineStr">
        <is>
          <t>biosphere</t>
        </is>
      </c>
      <c r="I652">
        <v>0</v>
      </c>
    </row>
    <row r="653">
      <c r="A653" t="inlineStr">
        <is>
          <t>NMVOC, non-methane volatile organic compounds</t>
        </is>
      </c>
      <c r="B653">
        <v>2.9516741802169465e-07</v>
      </c>
      <c r="D653" t="inlineStr">
        <is>
          <t>kilogram</t>
        </is>
      </c>
      <c r="E653" t="inlineStr">
        <is>
          <t>air::urban air close to ground</t>
        </is>
      </c>
      <c r="F653" t="inlineStr">
        <is>
          <t>biosphere</t>
        </is>
      </c>
      <c r="I653">
        <v>0</v>
      </c>
    </row>
    <row r="654">
      <c r="A654" t="inlineStr">
        <is>
          <t>Formaldehyde</t>
        </is>
      </c>
      <c r="B654">
        <v>3.04970020629929e-08</v>
      </c>
      <c r="D654" t="inlineStr">
        <is>
          <t>kilogram</t>
        </is>
      </c>
      <c r="E654" t="inlineStr">
        <is>
          <t>air::urban air close to ground</t>
        </is>
      </c>
      <c r="F654" t="inlineStr">
        <is>
          <t>biosphere</t>
        </is>
      </c>
      <c r="I654">
        <v>0</v>
      </c>
    </row>
    <row r="655">
      <c r="A655" t="inlineStr">
        <is>
          <t>Nitrogen oxides</t>
        </is>
      </c>
      <c r="B655">
        <v>6.99907066197852e-05</v>
      </c>
      <c r="D655" t="inlineStr">
        <is>
          <t>kilogram</t>
        </is>
      </c>
      <c r="E655" t="inlineStr">
        <is>
          <t>air::urban air close to ground</t>
        </is>
      </c>
      <c r="F655" t="inlineStr">
        <is>
          <t>biosphere</t>
        </is>
      </c>
      <c r="I655">
        <v>0</v>
      </c>
    </row>
    <row r="656">
      <c r="A656" t="inlineStr">
        <is>
          <t>Formaldehyde</t>
        </is>
      </c>
      <c r="B656">
        <v>8.171666492576685e-08</v>
      </c>
      <c r="D656" t="inlineStr">
        <is>
          <t>kilogram</t>
        </is>
      </c>
      <c r="E656" t="inlineStr">
        <is>
          <t>air::non-urban air or from high stacks</t>
        </is>
      </c>
      <c r="F656" t="inlineStr">
        <is>
          <t>biosphere</t>
        </is>
      </c>
      <c r="I656">
        <v>0</v>
      </c>
    </row>
    <row r="657">
      <c r="A657" t="inlineStr">
        <is>
          <t>Zinc II</t>
        </is>
      </c>
      <c r="B657">
        <v>3.051257530798148e-10</v>
      </c>
      <c r="D657" t="inlineStr">
        <is>
          <t>kilogram</t>
        </is>
      </c>
      <c r="E657" t="inlineStr">
        <is>
          <t>air::non-urban air or from high stacks</t>
        </is>
      </c>
      <c r="F657" t="inlineStr">
        <is>
          <t>biosphere</t>
        </is>
      </c>
      <c r="I657">
        <v>0</v>
      </c>
    </row>
    <row r="658">
      <c r="A658" t="inlineStr">
        <is>
          <t>Carbon monoxide, fossil</t>
        </is>
      </c>
      <c r="B658">
        <v>3.4291435191313595e-06</v>
      </c>
      <c r="D658" t="inlineStr">
        <is>
          <t>kilogram</t>
        </is>
      </c>
      <c r="E658" t="inlineStr">
        <is>
          <t>air::urban air close to ground</t>
        </is>
      </c>
      <c r="F658" t="inlineStr">
        <is>
          <t>biosphere</t>
        </is>
      </c>
      <c r="I658">
        <v>0</v>
      </c>
    </row>
    <row r="659">
      <c r="A659" t="inlineStr">
        <is>
          <t>m-Xylene</t>
        </is>
      </c>
      <c r="B659">
        <v>3.5579834982156424e-09</v>
      </c>
      <c r="D659" t="inlineStr">
        <is>
          <t>kilogram</t>
        </is>
      </c>
      <c r="E659" t="inlineStr">
        <is>
          <t>air::urban air close to ground</t>
        </is>
      </c>
      <c r="F659" t="inlineStr">
        <is>
          <t>biosphere</t>
        </is>
      </c>
      <c r="I659">
        <v>0</v>
      </c>
    </row>
    <row r="660">
      <c r="A660" t="inlineStr">
        <is>
          <t>PAH, polycyclic aromatic hydrocarbons</t>
        </is>
      </c>
      <c r="B660">
        <v>1.3253673720206761e-09</v>
      </c>
      <c r="D660" t="inlineStr">
        <is>
          <t>kilogram</t>
        </is>
      </c>
      <c r="E660" t="inlineStr">
        <is>
          <t>air::non-urban air or from high stacks</t>
        </is>
      </c>
      <c r="F660" t="inlineStr">
        <is>
          <t>biosphere</t>
        </is>
      </c>
      <c r="I660">
        <v>0</v>
      </c>
    </row>
    <row r="661">
      <c r="A661" t="inlineStr">
        <is>
          <t>Particulate Matter, &lt; 2.5 um</t>
        </is>
      </c>
      <c r="B661">
        <v>4.776281554847676e-07</v>
      </c>
      <c r="D661" t="inlineStr">
        <is>
          <t>kilogram</t>
        </is>
      </c>
      <c r="E661" t="inlineStr">
        <is>
          <t>air::non-urban air or from high stacks</t>
        </is>
      </c>
      <c r="F661" t="inlineStr">
        <is>
          <t>biosphere</t>
        </is>
      </c>
      <c r="I661">
        <v>0</v>
      </c>
    </row>
    <row r="662">
      <c r="A662" t="inlineStr">
        <is>
          <t>Pentane</t>
        </is>
      </c>
      <c r="B662">
        <v>5.836904424366724e-10</v>
      </c>
      <c r="D662" t="inlineStr">
        <is>
          <t>kilogram</t>
        </is>
      </c>
      <c r="E662" t="inlineStr">
        <is>
          <t>air::non-urban air or from high stacks</t>
        </is>
      </c>
      <c r="F662" t="inlineStr">
        <is>
          <t>biosphere</t>
        </is>
      </c>
      <c r="I662">
        <v>0</v>
      </c>
    </row>
    <row r="663">
      <c r="A663" t="inlineStr">
        <is>
          <t>1,1,1,2-Tetrafluoroethane</t>
        </is>
      </c>
      <c r="B663">
        <v>1.0592803277176511e-07</v>
      </c>
      <c r="D663" t="inlineStr">
        <is>
          <t>kilogram</t>
        </is>
      </c>
      <c r="E663" t="inlineStr">
        <is>
          <t>air</t>
        </is>
      </c>
      <c r="F663" t="inlineStr">
        <is>
          <t>biosphere</t>
        </is>
      </c>
      <c r="I663">
        <v>0</v>
      </c>
    </row>
    <row r="664">
      <c r="A664" t="inlineStr">
        <is>
          <t>Acetaldehyde</t>
        </is>
      </c>
      <c r="B664">
        <v>1.6591821111403828e-08</v>
      </c>
      <c r="D664" t="inlineStr">
        <is>
          <t>kilogram</t>
        </is>
      </c>
      <c r="E664" t="inlineStr">
        <is>
          <t>air::urban air close to ground</t>
        </is>
      </c>
      <c r="F664" t="inlineStr">
        <is>
          <t>biosphere</t>
        </is>
      </c>
      <c r="I664">
        <v>0</v>
      </c>
    </row>
    <row r="665">
      <c r="A665" t="inlineStr">
        <is>
          <t>Benzene</t>
        </is>
      </c>
      <c r="B665">
        <v>6.21217814219678e-09</v>
      </c>
      <c r="D665" t="inlineStr">
        <is>
          <t>kilogram</t>
        </is>
      </c>
      <c r="E665" t="inlineStr">
        <is>
          <t>air::urban air close to ground</t>
        </is>
      </c>
      <c r="F665" t="inlineStr">
        <is>
          <t>biosphere</t>
        </is>
      </c>
      <c r="I665">
        <v>0</v>
      </c>
    </row>
    <row r="666">
      <c r="A666" t="inlineStr">
        <is>
          <t>Mercury II</t>
        </is>
      </c>
      <c r="B666">
        <v>3.342847041832335e-11</v>
      </c>
      <c r="D666" t="inlineStr">
        <is>
          <t>kilogram</t>
        </is>
      </c>
      <c r="E666" t="inlineStr">
        <is>
          <t>air::urban air close to ground</t>
        </is>
      </c>
      <c r="F666" t="inlineStr">
        <is>
          <t>biosphere</t>
        </is>
      </c>
      <c r="I666">
        <v>0</v>
      </c>
    </row>
    <row r="667">
      <c r="A667" t="inlineStr">
        <is>
          <t>Cadmium II</t>
        </is>
      </c>
      <c r="B667">
        <v>3.152603660310432e-13</v>
      </c>
      <c r="D667" t="inlineStr">
        <is>
          <t>kilogram</t>
        </is>
      </c>
      <c r="E667" t="inlineStr">
        <is>
          <t>air::urban air close to ground</t>
        </is>
      </c>
      <c r="F667" t="inlineStr">
        <is>
          <t>biosphere</t>
        </is>
      </c>
      <c r="I667">
        <v>0</v>
      </c>
    </row>
    <row r="668">
      <c r="A668" t="inlineStr">
        <is>
          <t>Propane</t>
        </is>
      </c>
      <c r="B668">
        <v>9.728174395924623e-10</v>
      </c>
      <c r="D668" t="inlineStr">
        <is>
          <t>kilogram</t>
        </is>
      </c>
      <c r="E668" t="inlineStr">
        <is>
          <t>air::non-urban air or from high stacks</t>
        </is>
      </c>
      <c r="F668" t="inlineStr">
        <is>
          <t>biosphere</t>
        </is>
      </c>
      <c r="I668">
        <v>0</v>
      </c>
    </row>
    <row r="669">
      <c r="A669" t="inlineStr">
        <is>
          <t>Chromium III</t>
        </is>
      </c>
      <c r="B669">
        <v>1.4418831693273988e-10</v>
      </c>
      <c r="D669" t="inlineStr">
        <is>
          <t>kilogram</t>
        </is>
      </c>
      <c r="E669" t="inlineStr">
        <is>
          <t>air::non-urban air or from high stacks</t>
        </is>
      </c>
      <c r="F669" t="inlineStr">
        <is>
          <t>biosphere</t>
        </is>
      </c>
      <c r="I669">
        <v>0</v>
      </c>
    </row>
    <row r="670">
      <c r="A670" t="inlineStr">
        <is>
          <t>Acrolein</t>
        </is>
      </c>
      <c r="B670">
        <v>6.42615413607384e-09</v>
      </c>
      <c r="D670" t="inlineStr">
        <is>
          <t>kilogram</t>
        </is>
      </c>
      <c r="E670" t="inlineStr">
        <is>
          <t>air::urban air close to ground</t>
        </is>
      </c>
      <c r="F670" t="inlineStr">
        <is>
          <t>biosphere</t>
        </is>
      </c>
      <c r="I670">
        <v>0</v>
      </c>
    </row>
    <row r="671">
      <c r="A671" t="inlineStr">
        <is>
          <t>Benzaldehyde</t>
        </is>
      </c>
      <c r="B671">
        <v>4.9739159967409846e-09</v>
      </c>
      <c r="D671" t="inlineStr">
        <is>
          <t>kilogram</t>
        </is>
      </c>
      <c r="E671" t="inlineStr">
        <is>
          <t>air::urban air close to ground</t>
        </is>
      </c>
      <c r="F671" t="inlineStr">
        <is>
          <t>biosphere</t>
        </is>
      </c>
      <c r="I671">
        <v>0</v>
      </c>
    </row>
    <row r="672">
      <c r="A672" t="inlineStr">
        <is>
          <t>Heptane</t>
        </is>
      </c>
      <c r="B672">
        <v>1.0891786755623254e-09</v>
      </c>
      <c r="D672" t="inlineStr">
        <is>
          <t>kilogram</t>
        </is>
      </c>
      <c r="E672" t="inlineStr">
        <is>
          <t>air::urban air close to ground</t>
        </is>
      </c>
      <c r="F672" t="inlineStr">
        <is>
          <t>biosphere</t>
        </is>
      </c>
      <c r="I672">
        <v>0</v>
      </c>
    </row>
    <row r="673">
      <c r="A673" t="inlineStr">
        <is>
          <t>o-Xylene</t>
        </is>
      </c>
      <c r="B673">
        <v>1.452238139332855e-09</v>
      </c>
      <c r="D673" t="inlineStr">
        <is>
          <t>kilogram</t>
        </is>
      </c>
      <c r="E673" t="inlineStr">
        <is>
          <t>air::urban air close to ground</t>
        </is>
      </c>
      <c r="F673" t="inlineStr">
        <is>
          <t>biosphere</t>
        </is>
      </c>
      <c r="I673">
        <v>0</v>
      </c>
    </row>
    <row r="674">
      <c r="A674" t="inlineStr">
        <is>
          <t>Selenium IV</t>
        </is>
      </c>
      <c r="B674">
        <v>6.332385327245513e-13</v>
      </c>
      <c r="D674" t="inlineStr">
        <is>
          <t>kilogram</t>
        </is>
      </c>
      <c r="E674" t="inlineStr">
        <is>
          <t>air::urban air close to ground</t>
        </is>
      </c>
      <c r="F674" t="inlineStr">
        <is>
          <t>biosphere</t>
        </is>
      </c>
      <c r="I674">
        <v>0</v>
      </c>
    </row>
    <row r="675">
      <c r="A675" t="inlineStr">
        <is>
          <t>Styrene</t>
        </is>
      </c>
      <c r="B675">
        <v>2.033133508766291e-09</v>
      </c>
      <c r="D675" t="inlineStr">
        <is>
          <t>kilogram</t>
        </is>
      </c>
      <c r="E675" t="inlineStr">
        <is>
          <t>air::urban air close to ground</t>
        </is>
      </c>
      <c r="F675" t="inlineStr">
        <is>
          <t>biosphere</t>
        </is>
      </c>
      <c r="I675">
        <v>0</v>
      </c>
    </row>
    <row r="676">
      <c r="A676" t="inlineStr">
        <is>
          <t>Acetaldehyde</t>
        </is>
      </c>
      <c r="B676">
        <v>4.4457756307173774e-08</v>
      </c>
      <c r="D676" t="inlineStr">
        <is>
          <t>kilogram</t>
        </is>
      </c>
      <c r="E676" t="inlineStr">
        <is>
          <t>air::non-urban air or from high stacks</t>
        </is>
      </c>
      <c r="F676" t="inlineStr">
        <is>
          <t>biosphere</t>
        </is>
      </c>
      <c r="I676">
        <v>0</v>
      </c>
    </row>
    <row r="677">
      <c r="A677" t="inlineStr">
        <is>
          <t>Acrolein</t>
        </is>
      </c>
      <c r="B677">
        <v>1.7218867998584824e-08</v>
      </c>
      <c r="D677" t="inlineStr">
        <is>
          <t>kilogram</t>
        </is>
      </c>
      <c r="E677" t="inlineStr">
        <is>
          <t>air::non-urban air or from high stacks</t>
        </is>
      </c>
      <c r="F677" t="inlineStr">
        <is>
          <t>biosphere</t>
        </is>
      </c>
      <c r="I677">
        <v>0</v>
      </c>
    </row>
    <row r="678">
      <c r="A678" t="inlineStr">
        <is>
          <t>Benzaldehyde</t>
        </is>
      </c>
      <c r="B678">
        <v>1.3327598240214973e-08</v>
      </c>
      <c r="D678" t="inlineStr">
        <is>
          <t>kilogram</t>
        </is>
      </c>
      <c r="E678" t="inlineStr">
        <is>
          <t>air::non-urban air or from high stacks</t>
        </is>
      </c>
      <c r="F678" t="inlineStr">
        <is>
          <t>biosphere</t>
        </is>
      </c>
      <c r="I678">
        <v>0</v>
      </c>
    </row>
    <row r="679">
      <c r="A679" t="inlineStr">
        <is>
          <t>Heptane</t>
        </is>
      </c>
      <c r="B679">
        <v>2.9184523187773873e-09</v>
      </c>
      <c r="D679" t="inlineStr">
        <is>
          <t>kilogram</t>
        </is>
      </c>
      <c r="E679" t="inlineStr">
        <is>
          <t>air::non-urban air or from high stacks</t>
        </is>
      </c>
      <c r="F679" t="inlineStr">
        <is>
          <t>biosphere</t>
        </is>
      </c>
      <c r="I679">
        <v>0</v>
      </c>
    </row>
    <row r="680">
      <c r="A680" t="inlineStr">
        <is>
          <t>m-Xylene</t>
        </is>
      </c>
      <c r="B680">
        <v>9.533610453204961e-09</v>
      </c>
      <c r="D680" t="inlineStr">
        <is>
          <t>kilogram</t>
        </is>
      </c>
      <c r="E680" t="inlineStr">
        <is>
          <t>air::non-urban air or from high stacks</t>
        </is>
      </c>
      <c r="F680" t="inlineStr">
        <is>
          <t>biosphere</t>
        </is>
      </c>
      <c r="I680">
        <v>0</v>
      </c>
    </row>
    <row r="681">
      <c r="A681" t="inlineStr">
        <is>
          <t>o-Xylene</t>
        </is>
      </c>
      <c r="B681">
        <v>3.891269758369849e-09</v>
      </c>
      <c r="D681" t="inlineStr">
        <is>
          <t>kilogram</t>
        </is>
      </c>
      <c r="E681" t="inlineStr">
        <is>
          <t>air::non-urban air or from high stacks</t>
        </is>
      </c>
      <c r="F681" t="inlineStr">
        <is>
          <t>biosphere</t>
        </is>
      </c>
      <c r="I681">
        <v>0</v>
      </c>
    </row>
    <row r="682">
      <c r="A682" t="inlineStr">
        <is>
          <t>Styrene</t>
        </is>
      </c>
      <c r="B682">
        <v>5.447777889118377e-09</v>
      </c>
      <c r="D682" t="inlineStr">
        <is>
          <t>kilogram</t>
        </is>
      </c>
      <c r="E682" t="inlineStr">
        <is>
          <t>air::non-urban air or from high stacks</t>
        </is>
      </c>
      <c r="F682" t="inlineStr">
        <is>
          <t>biosphere</t>
        </is>
      </c>
      <c r="I682">
        <v>0</v>
      </c>
    </row>
    <row r="683">
      <c r="A683" t="inlineStr">
        <is>
          <t>exhaust system, for lorry</t>
        </is>
      </c>
      <c r="B683">
        <v>2.4791665583947556e-05</v>
      </c>
      <c r="C683" t="inlineStr">
        <is>
          <t>RER</t>
        </is>
      </c>
      <c r="D683" t="inlineStr">
        <is>
          <t>kilogram</t>
        </is>
      </c>
      <c r="F683" t="inlineStr">
        <is>
          <t>technosphere</t>
        </is>
      </c>
      <c r="G683" t="inlineStr">
        <is>
          <t>exhaust system, for lorry</t>
        </is>
      </c>
      <c r="H683" t="inlineStr">
        <is>
          <t> Energy-use allocation: 220 * 1.367427797431765e-07 / 1.2134485858415922 MJ per ton kilometer.</t>
        </is>
      </c>
      <c r="I683">
        <v>0</v>
      </c>
    </row>
    <row r="684">
      <c r="A684" t="inlineStr">
        <is>
          <t>fuel tank, for diesel vehicle</t>
        </is>
      </c>
      <c r="B684">
        <v>6.181935329374144e-06</v>
      </c>
      <c r="C684" t="inlineStr">
        <is>
          <t>RER</t>
        </is>
      </c>
      <c r="D684" t="inlineStr">
        <is>
          <t>kilogram</t>
        </is>
      </c>
      <c r="F684" t="inlineStr">
        <is>
          <t>technosphere</t>
        </is>
      </c>
      <c r="G684" t="inlineStr">
        <is>
          <t>fuel tank</t>
        </is>
      </c>
      <c r="H684" t="inlineStr">
        <is>
          <t> Energy-use allocation: 54.85818481445312 * 1.367427797431765e-07 / 1.2134485858415922 MJ per ton kilometer.</t>
        </is>
      </c>
      <c r="I684">
        <v>0</v>
      </c>
    </row>
    <row r="685">
      <c r="A685" t="inlineStr">
        <is>
          <t>gearbox, for lorry</t>
        </is>
      </c>
      <c r="B685">
        <v>2.271818151381884e-05</v>
      </c>
      <c r="C685" t="inlineStr">
        <is>
          <t>RER</t>
        </is>
      </c>
      <c r="D685" t="inlineStr">
        <is>
          <t>kilogram</t>
        </is>
      </c>
      <c r="F685" t="inlineStr">
        <is>
          <t>technosphere</t>
        </is>
      </c>
      <c r="G685" t="inlineStr">
        <is>
          <t>gearbox, for lorry</t>
        </is>
      </c>
      <c r="H685" t="inlineStr">
        <is>
          <t> Energy-use allocation: 201.6000061035156 * 1.367427797431765e-07 / 1.2134485858415922 MJ per ton kilometer.</t>
        </is>
      </c>
      <c r="I685">
        <v>0</v>
      </c>
    </row>
    <row r="686">
      <c r="A686" t="inlineStr">
        <is>
          <t>internal combustion engine, for lorry</t>
        </is>
      </c>
      <c r="B686">
        <v>0.000121895652649343</v>
      </c>
      <c r="C686" t="inlineStr">
        <is>
          <t>RER</t>
        </is>
      </c>
      <c r="D686" t="inlineStr">
        <is>
          <t>kilogram</t>
        </is>
      </c>
      <c r="F686" t="inlineStr">
        <is>
          <t>technosphere</t>
        </is>
      </c>
      <c r="G686" t="inlineStr">
        <is>
          <t>internal combustion engine, for lorry</t>
        </is>
      </c>
      <c r="H686" t="inlineStr">
        <is>
          <t> Energy-use allocation: 1081.695922851562 * 1.367427797431765e-07 / 1.2134485858415922 MJ per ton kilometer.</t>
        </is>
      </c>
      <c r="I686">
        <v>0</v>
      </c>
    </row>
    <row r="687">
      <c r="A687" t="inlineStr">
        <is>
          <t>lead acid battery, for lorry</t>
        </is>
      </c>
      <c r="B687">
        <v>3.7651515024380753e-06</v>
      </c>
      <c r="C687" t="inlineStr">
        <is>
          <t>RER</t>
        </is>
      </c>
      <c r="D687" t="inlineStr">
        <is>
          <t>kilogram</t>
        </is>
      </c>
      <c r="F687" t="inlineStr">
        <is>
          <t>technosphere</t>
        </is>
      </c>
      <c r="G687" t="inlineStr">
        <is>
          <t>lead acid battery, for lorry</t>
        </is>
      </c>
      <c r="H687" t="inlineStr">
        <is>
          <t> Energy-use allocation: 33.41176605224609 * 1.367427797431765e-07 / 1.2134485858415922 MJ per ton kilometer.</t>
        </is>
      </c>
      <c r="I687">
        <v>0</v>
      </c>
    </row>
    <row r="688">
      <c r="A688" t="inlineStr">
        <is>
          <t>power electronics, for lorry</t>
        </is>
      </c>
      <c r="B688">
        <v>2.986268808975501e-05</v>
      </c>
      <c r="C688" t="inlineStr">
        <is>
          <t>RER</t>
        </is>
      </c>
      <c r="D688" t="inlineStr">
        <is>
          <t>kilogram</t>
        </is>
      </c>
      <c r="F688" t="inlineStr">
        <is>
          <t>technosphere</t>
        </is>
      </c>
      <c r="G688" t="inlineStr">
        <is>
          <t>power electronics, for lorry</t>
        </is>
      </c>
      <c r="H688" t="inlineStr">
        <is>
          <t> Energy-use allocation: 265 * 1.367427797431765e-07 / 1.2134485858415922 MJ per ton kilometer.</t>
        </is>
      </c>
      <c r="I688">
        <v>0</v>
      </c>
    </row>
    <row r="689">
      <c r="A689" t="inlineStr">
        <is>
          <t>retarder, for lorry</t>
        </is>
      </c>
      <c r="B689">
        <v>7.572726598105075e-06</v>
      </c>
      <c r="C689" t="inlineStr">
        <is>
          <t>RER</t>
        </is>
      </c>
      <c r="D689" t="inlineStr">
        <is>
          <t>kilogram</t>
        </is>
      </c>
      <c r="F689" t="inlineStr">
        <is>
          <t>technosphere</t>
        </is>
      </c>
      <c r="G689" t="inlineStr">
        <is>
          <t>retarder, for lorry</t>
        </is>
      </c>
      <c r="H689" t="inlineStr">
        <is>
          <t> Energy-use allocation: 67.19999694824219 * 1.367427797431765e-07 / 1.2134485858415922 MJ per ton kilometer.</t>
        </is>
      </c>
      <c r="I689">
        <v>0</v>
      </c>
    </row>
    <row r="690">
      <c r="A690" t="inlineStr">
        <is>
          <t>transmission, for lorry</t>
        </is>
      </c>
      <c r="B690">
        <v>3.281514801862079e-05</v>
      </c>
      <c r="C690" t="inlineStr">
        <is>
          <t>RER</t>
        </is>
      </c>
      <c r="D690" t="inlineStr">
        <is>
          <t>kilogram</t>
        </is>
      </c>
      <c r="F690" t="inlineStr">
        <is>
          <t>technosphere</t>
        </is>
      </c>
      <c r="G690" t="inlineStr">
        <is>
          <t>transmission, for lorry</t>
        </is>
      </c>
      <c r="H690" t="inlineStr">
        <is>
          <t> Energy-use allocation: 291.1999816894531 * 1.367427797431765e-07 / 1.2134485858415922 MJ per ton kilometer.</t>
        </is>
      </c>
      <c r="I690">
        <v>0</v>
      </c>
    </row>
    <row r="691">
      <c r="A691" t="inlineStr">
        <is>
          <t>Carbon dioxide, non-fossil</t>
        </is>
      </c>
      <c r="B691">
        <v>0.0732</v>
      </c>
      <c r="D691" t="inlineStr">
        <is>
          <t>kilogram</t>
        </is>
      </c>
      <c r="E691" t="inlineStr">
        <is>
          <t>air::urban air close to ground</t>
        </is>
      </c>
      <c r="F691" t="inlineStr">
        <is>
          <t>biosphere</t>
        </is>
      </c>
      <c r="I691">
        <v>0</v>
      </c>
    </row>
    <row r="692"/>
    <row r="693">
      <c r="A693" t="inlineStr">
        <is>
          <t>Activity</t>
        </is>
      </c>
      <c r="B693" t="inlineStr">
        <is>
          <t>biodiesel, from residual cellulosic biomass, burned in heavy-duty vehicle</t>
        </is>
      </c>
    </row>
    <row r="694">
      <c r="A694" t="inlineStr">
        <is>
          <t>location</t>
        </is>
      </c>
      <c r="B694" t="inlineStr">
        <is>
          <t>RER</t>
        </is>
      </c>
    </row>
    <row r="695">
      <c r="A695" t="inlineStr">
        <is>
          <t>production amount</t>
        </is>
      </c>
      <c r="B695">
        <v>1</v>
      </c>
    </row>
    <row r="696">
      <c r="A696" t="inlineStr">
        <is>
          <t>reference product</t>
        </is>
      </c>
      <c r="B696" t="inlineStr">
        <is>
          <t>heat</t>
        </is>
      </c>
    </row>
    <row r="697">
      <c r="A697" t="inlineStr">
        <is>
          <t>type</t>
        </is>
      </c>
      <c r="B697" t="inlineStr">
        <is>
          <t>process</t>
        </is>
      </c>
    </row>
    <row r="698">
      <c r="A698" t="inlineStr">
        <is>
          <t>unit</t>
        </is>
      </c>
      <c r="B698" t="inlineStr">
        <is>
          <t>megajoule</t>
        </is>
      </c>
    </row>
    <row r="699">
      <c r="A699" t="inlineStr">
        <is>
          <t>energy use source</t>
        </is>
      </c>
      <c r="B69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700">
      <c r="A700" t="inlineStr">
        <is>
          <t>comment</t>
        </is>
      </c>
      <c r="B70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01">
      <c r="A701" t="inlineStr">
        <is>
          <t>Exchanges</t>
        </is>
      </c>
    </row>
    <row r="702">
      <c r="A702" t="inlineStr">
        <is>
          <t>name</t>
        </is>
      </c>
      <c r="B702" t="inlineStr">
        <is>
          <t>amount</t>
        </is>
      </c>
      <c r="C702" t="inlineStr">
        <is>
          <t>location</t>
        </is>
      </c>
      <c r="D702" t="inlineStr">
        <is>
          <t>unit</t>
        </is>
      </c>
      <c r="E702" t="inlineStr">
        <is>
          <t>categories</t>
        </is>
      </c>
      <c r="F702" t="inlineStr">
        <is>
          <t>type</t>
        </is>
      </c>
      <c r="G702" t="inlineStr">
        <is>
          <t>reference product</t>
        </is>
      </c>
      <c r="H702" t="inlineStr">
        <is>
          <t>comment</t>
        </is>
      </c>
      <c r="I702" t="inlineStr">
        <is>
          <t>uncertainty type</t>
        </is>
      </c>
    </row>
    <row r="703">
      <c r="A703" t="inlineStr">
        <is>
          <t>biodiesel, from residual cellulosic biomass, burned in heavy-duty vehicle</t>
        </is>
      </c>
      <c r="B703">
        <v>1.0</v>
      </c>
      <c r="C703" t="inlineStr">
        <is>
          <t>RER</t>
        </is>
      </c>
      <c r="D703" t="inlineStr">
        <is>
          <t>megajoule</t>
        </is>
      </c>
      <c r="F703" t="inlineStr">
        <is>
          <t>production</t>
        </is>
      </c>
      <c r="G703" t="inlineStr">
        <is>
          <t>heat</t>
        </is>
      </c>
      <c r="I703">
        <v>0</v>
      </c>
    </row>
    <row r="704">
      <c r="A704" t="inlineStr">
        <is>
          <t>biodiesel production, via Fischer-Tropsch, from forest residues, energy allocation</t>
        </is>
      </c>
      <c r="B704">
        <v>0.023255813953488372</v>
      </c>
      <c r="C704" t="inlineStr">
        <is>
          <t>RER</t>
        </is>
      </c>
      <c r="D704" t="inlineStr">
        <is>
          <t>kilogram</t>
        </is>
      </c>
      <c r="F704" t="inlineStr">
        <is>
          <t>technosphere</t>
        </is>
      </c>
      <c r="G704" t="inlineStr">
        <is>
          <t>biodiesel, from forest residues</t>
        </is>
      </c>
      <c r="H704" t="inlineStr">
        <is>
          <t>LHV of biodiesel: 38 MJ/kg.</t>
        </is>
      </c>
      <c r="I704">
        <v>0</v>
      </c>
    </row>
    <row r="705">
      <c r="A705" t="inlineStr">
        <is>
          <t>market for tetrafluoroethane, R134a</t>
        </is>
      </c>
      <c r="B705">
        <v>2.2988634886667227e-07</v>
      </c>
      <c r="C705" t="inlineStr">
        <is>
          <t>GLO</t>
        </is>
      </c>
      <c r="D705" t="inlineStr">
        <is>
          <t>kilogram</t>
        </is>
      </c>
      <c r="F705" t="inlineStr">
        <is>
          <t>technosphere</t>
        </is>
      </c>
      <c r="G705" t="inlineStr">
        <is>
          <t>tetrafluoroethane, R134a</t>
        </is>
      </c>
      <c r="I705">
        <v>0</v>
      </c>
    </row>
    <row r="706">
      <c r="A706" t="inlineStr">
        <is>
          <t>treatment of brake wear emissions, lorry</t>
        </is>
      </c>
      <c r="B706">
        <v>-8.332264901167272e-06</v>
      </c>
      <c r="C706" t="inlineStr">
        <is>
          <t>RER</t>
        </is>
      </c>
      <c r="D706" t="inlineStr">
        <is>
          <t>kilogram</t>
        </is>
      </c>
      <c r="F706" t="inlineStr">
        <is>
          <t>technosphere</t>
        </is>
      </c>
      <c r="G706" t="inlineStr">
        <is>
          <t>brake wear emissions, lorry</t>
        </is>
      </c>
      <c r="I706">
        <v>0</v>
      </c>
    </row>
    <row r="707">
      <c r="A707" t="inlineStr">
        <is>
          <t>treatment of road wear emissions, lorry</t>
        </is>
      </c>
      <c r="B707">
        <v>-1.0511814175882647e-05</v>
      </c>
      <c r="C707" t="inlineStr">
        <is>
          <t>RER</t>
        </is>
      </c>
      <c r="D707" t="inlineStr">
        <is>
          <t>kilogram</t>
        </is>
      </c>
      <c r="F707" t="inlineStr">
        <is>
          <t>technosphere</t>
        </is>
      </c>
      <c r="G707" t="inlineStr">
        <is>
          <t>road wear emissions, lorry</t>
        </is>
      </c>
      <c r="I707">
        <v>0</v>
      </c>
    </row>
    <row r="708">
      <c r="A708" t="inlineStr">
        <is>
          <t>treatment of tyre wear emissions, lorry</t>
        </is>
      </c>
      <c r="B708">
        <v>-8.54276405830878e-06</v>
      </c>
      <c r="C708" t="inlineStr">
        <is>
          <t>RER</t>
        </is>
      </c>
      <c r="D708" t="inlineStr">
        <is>
          <t>kilogram</t>
        </is>
      </c>
      <c r="F708" t="inlineStr">
        <is>
          <t>technosphere</t>
        </is>
      </c>
      <c r="G708" t="inlineStr">
        <is>
          <t>tyre wear emissions, lorry</t>
        </is>
      </c>
      <c r="I708">
        <v>0</v>
      </c>
    </row>
    <row r="709">
      <c r="A709" t="inlineStr">
        <is>
          <t>Toluene</t>
        </is>
      </c>
      <c r="B709">
        <v>9.72817404061121e-11</v>
      </c>
      <c r="D709" t="inlineStr">
        <is>
          <t>kilogram</t>
        </is>
      </c>
      <c r="E709" t="inlineStr">
        <is>
          <t>air::non-urban air or from high stacks</t>
        </is>
      </c>
      <c r="F709" t="inlineStr">
        <is>
          <t>biosphere</t>
        </is>
      </c>
      <c r="I709">
        <v>0</v>
      </c>
    </row>
    <row r="710">
      <c r="A710" t="inlineStr">
        <is>
          <t>NMVOC, non-methane volatile organic compounds</t>
        </is>
      </c>
      <c r="B710">
        <v>7.909005533746073e-07</v>
      </c>
      <c r="D710" t="inlineStr">
        <is>
          <t>kilogram</t>
        </is>
      </c>
      <c r="E710" t="inlineStr">
        <is>
          <t>air::non-urban air or from high stacks</t>
        </is>
      </c>
      <c r="F710" t="inlineStr">
        <is>
          <t>biosphere</t>
        </is>
      </c>
      <c r="I710">
        <v>0</v>
      </c>
    </row>
    <row r="711">
      <c r="A711" t="inlineStr">
        <is>
          <t>Dinitrogen monoxide</t>
        </is>
      </c>
      <c r="B711">
        <v>1.9725120204580215e-05</v>
      </c>
      <c r="D711" t="inlineStr">
        <is>
          <t>kilogram</t>
        </is>
      </c>
      <c r="E711" t="inlineStr">
        <is>
          <t>air::non-urban air or from high stacks</t>
        </is>
      </c>
      <c r="F711" t="inlineStr">
        <is>
          <t>biosphere</t>
        </is>
      </c>
      <c r="I711">
        <v>0</v>
      </c>
    </row>
    <row r="712">
      <c r="A712" t="inlineStr">
        <is>
          <t>Ethane</t>
        </is>
      </c>
      <c r="B712">
        <v>1.0891786400309831e-10</v>
      </c>
      <c r="D712" t="inlineStr">
        <is>
          <t>kilogram</t>
        </is>
      </c>
      <c r="E712" t="inlineStr">
        <is>
          <t>air::urban air close to ground</t>
        </is>
      </c>
      <c r="F712" t="inlineStr">
        <is>
          <t>biosphere</t>
        </is>
      </c>
      <c r="I712">
        <v>0</v>
      </c>
    </row>
    <row r="713">
      <c r="A713" t="inlineStr">
        <is>
          <t>Pentane</t>
        </is>
      </c>
      <c r="B713">
        <v>2.178357280061967e-10</v>
      </c>
      <c r="D713" t="inlineStr">
        <is>
          <t>kilogram</t>
        </is>
      </c>
      <c r="E713" t="inlineStr">
        <is>
          <t>air::urban air close to ground</t>
        </is>
      </c>
      <c r="F713" t="inlineStr">
        <is>
          <t>biosphere</t>
        </is>
      </c>
      <c r="I713">
        <v>0</v>
      </c>
    </row>
    <row r="714">
      <c r="A714" t="inlineStr">
        <is>
          <t>Selenium IV</t>
        </is>
      </c>
      <c r="B714">
        <v>1.6967614759358543e-12</v>
      </c>
      <c r="D714" t="inlineStr">
        <is>
          <t>kilogram</t>
        </is>
      </c>
      <c r="E714" t="inlineStr">
        <is>
          <t>air::non-urban air or from high stacks</t>
        </is>
      </c>
      <c r="F714" t="inlineStr">
        <is>
          <t>biosphere</t>
        </is>
      </c>
      <c r="I714">
        <v>0</v>
      </c>
    </row>
    <row r="715">
      <c r="A715" t="inlineStr">
        <is>
          <t>Arsenic ion</t>
        </is>
      </c>
      <c r="B715">
        <v>1.6967614759358543e-12</v>
      </c>
      <c r="D715" t="inlineStr">
        <is>
          <t>kilogram</t>
        </is>
      </c>
      <c r="E715" t="inlineStr">
        <is>
          <t>air::non-urban air or from high stacks</t>
        </is>
      </c>
      <c r="F715" t="inlineStr">
        <is>
          <t>biosphere</t>
        </is>
      </c>
      <c r="I715">
        <v>0</v>
      </c>
    </row>
    <row r="716">
      <c r="A716" t="inlineStr">
        <is>
          <t>Arsenic ion</t>
        </is>
      </c>
      <c r="B716">
        <v>6.332385327245513e-13</v>
      </c>
      <c r="D716" t="inlineStr">
        <is>
          <t>kilogram</t>
        </is>
      </c>
      <c r="E716" t="inlineStr">
        <is>
          <t>air::urban air close to ground</t>
        </is>
      </c>
      <c r="F716" t="inlineStr">
        <is>
          <t>biosphere</t>
        </is>
      </c>
      <c r="I716">
        <v>0</v>
      </c>
    </row>
    <row r="717">
      <c r="A717" t="inlineStr">
        <is>
          <t>Particulate Matter, &lt; 2.5 um</t>
        </is>
      </c>
      <c r="B717">
        <v>1.7825282603055566e-07</v>
      </c>
      <c r="D717" t="inlineStr">
        <is>
          <t>kilogram</t>
        </is>
      </c>
      <c r="E717" t="inlineStr">
        <is>
          <t>air::urban air close to ground</t>
        </is>
      </c>
      <c r="F717" t="inlineStr">
        <is>
          <t>biosphere</t>
        </is>
      </c>
      <c r="I717">
        <v>0</v>
      </c>
    </row>
    <row r="718">
      <c r="A718" t="inlineStr">
        <is>
          <t>Nickel II</t>
        </is>
      </c>
      <c r="B718">
        <v>3.3862406923329497e-12</v>
      </c>
      <c r="D718" t="inlineStr">
        <is>
          <t>kilogram</t>
        </is>
      </c>
      <c r="E718" t="inlineStr">
        <is>
          <t>air::non-urban air or from high stacks</t>
        </is>
      </c>
      <c r="F718" t="inlineStr">
        <is>
          <t>biosphere</t>
        </is>
      </c>
      <c r="I718">
        <v>0</v>
      </c>
    </row>
    <row r="719">
      <c r="A719" t="inlineStr">
        <is>
          <t>Methane, fossil</t>
        </is>
      </c>
      <c r="B719">
        <v>2.3921714073582906e-08</v>
      </c>
      <c r="D719" t="inlineStr">
        <is>
          <t>kilogram</t>
        </is>
      </c>
      <c r="E719" t="inlineStr">
        <is>
          <t>air::non-urban air or from high stacks</t>
        </is>
      </c>
      <c r="F719" t="inlineStr">
        <is>
          <t>biosphere</t>
        </is>
      </c>
      <c r="I719">
        <v>0</v>
      </c>
    </row>
    <row r="720">
      <c r="A720" t="inlineStr">
        <is>
          <t>Mercury II</t>
        </is>
      </c>
      <c r="B720">
        <v>8.957152806237827e-11</v>
      </c>
      <c r="D720" t="inlineStr">
        <is>
          <t>kilogram</t>
        </is>
      </c>
      <c r="E720" t="inlineStr">
        <is>
          <t>air::non-urban air or from high stacks</t>
        </is>
      </c>
      <c r="F720" t="inlineStr">
        <is>
          <t>biosphere</t>
        </is>
      </c>
      <c r="I720">
        <v>0</v>
      </c>
    </row>
    <row r="721">
      <c r="A721" t="inlineStr">
        <is>
          <t>Ammonia</t>
        </is>
      </c>
      <c r="B721">
        <v>6.894575078264757e-06</v>
      </c>
      <c r="D721" t="inlineStr">
        <is>
          <t>kilogram</t>
        </is>
      </c>
      <c r="E721" t="inlineStr">
        <is>
          <t>air::non-urban air or from high stacks</t>
        </is>
      </c>
      <c r="F721" t="inlineStr">
        <is>
          <t>biosphere</t>
        </is>
      </c>
      <c r="I721">
        <v>0</v>
      </c>
    </row>
    <row r="722">
      <c r="A722" t="inlineStr">
        <is>
          <t>Ethane</t>
        </is>
      </c>
      <c r="B722">
        <v>2.918452212183362e-10</v>
      </c>
      <c r="D722" t="inlineStr">
        <is>
          <t>kilogram</t>
        </is>
      </c>
      <c r="E722" t="inlineStr">
        <is>
          <t>air::non-urban air or from high stacks</t>
        </is>
      </c>
      <c r="F722" t="inlineStr">
        <is>
          <t>biosphere</t>
        </is>
      </c>
      <c r="I722">
        <v>0</v>
      </c>
    </row>
    <row r="723">
      <c r="A723" t="inlineStr">
        <is>
          <t>Nickel II</t>
        </is>
      </c>
      <c r="B723">
        <v>1.263759195389486e-12</v>
      </c>
      <c r="D723" t="inlineStr">
        <is>
          <t>kilogram</t>
        </is>
      </c>
      <c r="E723" t="inlineStr">
        <is>
          <t>air::urban air close to ground</t>
        </is>
      </c>
      <c r="F723" t="inlineStr">
        <is>
          <t>biosphere</t>
        </is>
      </c>
      <c r="I723">
        <v>0</v>
      </c>
    </row>
    <row r="724">
      <c r="A724" t="inlineStr">
        <is>
          <t>Cadmium II</t>
        </is>
      </c>
      <c r="B724">
        <v>8.447396081985474e-13</v>
      </c>
      <c r="D724" t="inlineStr">
        <is>
          <t>kilogram</t>
        </is>
      </c>
      <c r="E724" t="inlineStr">
        <is>
          <t>air::non-urban air or from high stacks</t>
        </is>
      </c>
      <c r="F724" t="inlineStr">
        <is>
          <t>biosphere</t>
        </is>
      </c>
      <c r="I724">
        <v>0</v>
      </c>
    </row>
    <row r="725">
      <c r="A725" t="inlineStr">
        <is>
          <t>Ammonia</t>
        </is>
      </c>
      <c r="B725">
        <v>2.573084583766733e-06</v>
      </c>
      <c r="D725" t="inlineStr">
        <is>
          <t>kilogram</t>
        </is>
      </c>
      <c r="E725" t="inlineStr">
        <is>
          <t>air::urban air close to ground</t>
        </is>
      </c>
      <c r="F725" t="inlineStr">
        <is>
          <t>biosphere</t>
        </is>
      </c>
      <c r="I725">
        <v>0</v>
      </c>
    </row>
    <row r="726">
      <c r="A726" t="inlineStr">
        <is>
          <t>Butane</t>
        </is>
      </c>
      <c r="B726">
        <v>1.4592261593886937e-09</v>
      </c>
      <c r="D726" t="inlineStr">
        <is>
          <t>kilogram</t>
        </is>
      </c>
      <c r="E726" t="inlineStr">
        <is>
          <t>air::non-urban air or from high stacks</t>
        </is>
      </c>
      <c r="F726" t="inlineStr">
        <is>
          <t>biosphere</t>
        </is>
      </c>
      <c r="I726">
        <v>0</v>
      </c>
    </row>
    <row r="727">
      <c r="A727" t="inlineStr">
        <is>
          <t>PAH, polycyclic aromatic hydrocarbons</t>
        </is>
      </c>
      <c r="B727">
        <v>4.946326620454795e-10</v>
      </c>
      <c r="D727" t="inlineStr">
        <is>
          <t>kilogram</t>
        </is>
      </c>
      <c r="E727" t="inlineStr">
        <is>
          <t>air::urban air close to ground</t>
        </is>
      </c>
      <c r="F727" t="inlineStr">
        <is>
          <t>biosphere</t>
        </is>
      </c>
      <c r="I727">
        <v>0</v>
      </c>
    </row>
    <row r="728">
      <c r="A728" t="inlineStr">
        <is>
          <t>Copper ion</t>
        </is>
      </c>
      <c r="B728">
        <v>9.685376539404841e-11</v>
      </c>
      <c r="D728" t="inlineStr">
        <is>
          <t>kilogram</t>
        </is>
      </c>
      <c r="E728" t="inlineStr">
        <is>
          <t>air::non-urban air or from high stacks</t>
        </is>
      </c>
      <c r="F728" t="inlineStr">
        <is>
          <t>biosphere</t>
        </is>
      </c>
      <c r="I728">
        <v>0</v>
      </c>
    </row>
    <row r="729">
      <c r="A729" t="inlineStr">
        <is>
          <t>Nitrogen oxides</t>
        </is>
      </c>
      <c r="B729">
        <v>0.00018753997183161043</v>
      </c>
      <c r="D729" t="inlineStr">
        <is>
          <t>kilogram</t>
        </is>
      </c>
      <c r="E729" t="inlineStr">
        <is>
          <t>air::non-urban air or from high stacks</t>
        </is>
      </c>
      <c r="F729" t="inlineStr">
        <is>
          <t>biosphere</t>
        </is>
      </c>
      <c r="I729">
        <v>0</v>
      </c>
    </row>
    <row r="730">
      <c r="A730" t="inlineStr">
        <is>
          <t>Butane</t>
        </is>
      </c>
      <c r="B730">
        <v>5.445893377811625e-10</v>
      </c>
      <c r="D730" t="inlineStr">
        <is>
          <t>kilogram</t>
        </is>
      </c>
      <c r="E730" t="inlineStr">
        <is>
          <t>air::urban air close to ground</t>
        </is>
      </c>
      <c r="F730" t="inlineStr">
        <is>
          <t>biosphere</t>
        </is>
      </c>
      <c r="I730">
        <v>0</v>
      </c>
    </row>
    <row r="731">
      <c r="A731" t="inlineStr">
        <is>
          <t>Copper ion</t>
        </is>
      </c>
      <c r="B731">
        <v>3.6146231663205874e-11</v>
      </c>
      <c r="D731" t="inlineStr">
        <is>
          <t>kilogram</t>
        </is>
      </c>
      <c r="E731" t="inlineStr">
        <is>
          <t>air::urban air close to ground</t>
        </is>
      </c>
      <c r="F731" t="inlineStr">
        <is>
          <t>biosphere</t>
        </is>
      </c>
      <c r="I731">
        <v>0</v>
      </c>
    </row>
    <row r="732">
      <c r="A732" t="inlineStr">
        <is>
          <t>Chromium III</t>
        </is>
      </c>
      <c r="B732">
        <v>5.3811684196359975e-11</v>
      </c>
      <c r="D732" t="inlineStr">
        <is>
          <t>kilogram</t>
        </is>
      </c>
      <c r="E732" t="inlineStr">
        <is>
          <t>air::urban air close to ground</t>
        </is>
      </c>
      <c r="F732" t="inlineStr">
        <is>
          <t>biosphere</t>
        </is>
      </c>
      <c r="I732">
        <v>0</v>
      </c>
    </row>
    <row r="733">
      <c r="A733" t="inlineStr">
        <is>
          <t>Propane</t>
        </is>
      </c>
      <c r="B733">
        <v>3.6305953483321385e-10</v>
      </c>
      <c r="D733" t="inlineStr">
        <is>
          <t>kilogram</t>
        </is>
      </c>
      <c r="E733" t="inlineStr">
        <is>
          <t>air::urban air close to ground</t>
        </is>
      </c>
      <c r="F733" t="inlineStr">
        <is>
          <t>biosphere</t>
        </is>
      </c>
      <c r="I733">
        <v>0</v>
      </c>
    </row>
    <row r="734">
      <c r="A734" t="inlineStr">
        <is>
          <t>Toluene</t>
        </is>
      </c>
      <c r="B734">
        <v>3.6305953927463155e-11</v>
      </c>
      <c r="D734" t="inlineStr">
        <is>
          <t>kilogram</t>
        </is>
      </c>
      <c r="E734" t="inlineStr">
        <is>
          <t>air::urban air close to ground</t>
        </is>
      </c>
      <c r="F734" t="inlineStr">
        <is>
          <t>biosphere</t>
        </is>
      </c>
      <c r="I734">
        <v>0</v>
      </c>
    </row>
    <row r="735">
      <c r="A735" t="inlineStr">
        <is>
          <t>Dinitrogen monoxide</t>
        </is>
      </c>
      <c r="B735">
        <v>7.361498269225741e-06</v>
      </c>
      <c r="D735" t="inlineStr">
        <is>
          <t>kilogram</t>
        </is>
      </c>
      <c r="E735" t="inlineStr">
        <is>
          <t>air::urban air close to ground</t>
        </is>
      </c>
      <c r="F735" t="inlineStr">
        <is>
          <t>biosphere</t>
        </is>
      </c>
      <c r="I735">
        <v>0</v>
      </c>
    </row>
    <row r="736">
      <c r="A736" t="inlineStr">
        <is>
          <t>Zinc II</t>
        </is>
      </c>
      <c r="B736">
        <v>1.1387421970009149e-10</v>
      </c>
      <c r="D736" t="inlineStr">
        <is>
          <t>kilogram</t>
        </is>
      </c>
      <c r="E736" t="inlineStr">
        <is>
          <t>air::urban air close to ground</t>
        </is>
      </c>
      <c r="F736" t="inlineStr">
        <is>
          <t>biosphere</t>
        </is>
      </c>
      <c r="I736">
        <v>0</v>
      </c>
    </row>
    <row r="737">
      <c r="A737" t="inlineStr">
        <is>
          <t>Chromium VI</t>
        </is>
      </c>
      <c r="B737">
        <v>2.876484190151482e-13</v>
      </c>
      <c r="D737" t="inlineStr">
        <is>
          <t>kilogram</t>
        </is>
      </c>
      <c r="E737" t="inlineStr">
        <is>
          <t>air::non-urban air or from high stacks</t>
        </is>
      </c>
      <c r="F737" t="inlineStr">
        <is>
          <t>biosphere</t>
        </is>
      </c>
      <c r="I737">
        <v>0</v>
      </c>
    </row>
    <row r="738">
      <c r="A738" t="inlineStr">
        <is>
          <t>Benzene</t>
        </is>
      </c>
      <c r="B738">
        <v>1.6645520623154097e-08</v>
      </c>
      <c r="D738" t="inlineStr">
        <is>
          <t>kilogram</t>
        </is>
      </c>
      <c r="E738" t="inlineStr">
        <is>
          <t>air::non-urban air or from high stacks</t>
        </is>
      </c>
      <c r="F738" t="inlineStr">
        <is>
          <t>biosphere</t>
        </is>
      </c>
      <c r="I738">
        <v>0</v>
      </c>
    </row>
    <row r="739">
      <c r="A739" t="inlineStr">
        <is>
          <t>Carbon monoxide, fossil</t>
        </is>
      </c>
      <c r="B739">
        <v>9.188384379664334e-06</v>
      </c>
      <c r="D739" t="inlineStr">
        <is>
          <t>kilogram</t>
        </is>
      </c>
      <c r="E739" t="inlineStr">
        <is>
          <t>air::non-urban air or from high stacks</t>
        </is>
      </c>
      <c r="F739" t="inlineStr">
        <is>
          <t>biosphere</t>
        </is>
      </c>
      <c r="I739">
        <v>0</v>
      </c>
    </row>
    <row r="740">
      <c r="A740" t="inlineStr">
        <is>
          <t>Chromium VI</t>
        </is>
      </c>
      <c r="B740">
        <v>1.0735159075537383e-13</v>
      </c>
      <c r="D740" t="inlineStr">
        <is>
          <t>kilogram</t>
        </is>
      </c>
      <c r="E740" t="inlineStr">
        <is>
          <t>air::urban air close to ground</t>
        </is>
      </c>
      <c r="F740" t="inlineStr">
        <is>
          <t>biosphere</t>
        </is>
      </c>
      <c r="I740">
        <v>0</v>
      </c>
    </row>
    <row r="741">
      <c r="A741" t="inlineStr">
        <is>
          <t>Methane, fossil</t>
        </is>
      </c>
      <c r="B741">
        <v>8.927684532596896e-09</v>
      </c>
      <c r="D741" t="inlineStr">
        <is>
          <t>kilogram</t>
        </is>
      </c>
      <c r="E741" t="inlineStr">
        <is>
          <t>air::urban air close to ground</t>
        </is>
      </c>
      <c r="F741" t="inlineStr">
        <is>
          <t>biosphere</t>
        </is>
      </c>
      <c r="I741">
        <v>0</v>
      </c>
    </row>
    <row r="742">
      <c r="A742" t="inlineStr">
        <is>
          <t>Sulfur dioxide</t>
        </is>
      </c>
      <c r="B742">
        <v>4.6773094495270746e-07</v>
      </c>
      <c r="D742" t="inlineStr">
        <is>
          <t>kilogram</t>
        </is>
      </c>
      <c r="E742" t="inlineStr">
        <is>
          <t>air</t>
        </is>
      </c>
      <c r="F742" t="inlineStr">
        <is>
          <t>biosphere</t>
        </is>
      </c>
      <c r="I742">
        <v>0</v>
      </c>
    </row>
    <row r="743">
      <c r="A743" t="inlineStr">
        <is>
          <t>NMVOC, non-methane volatile organic compounds</t>
        </is>
      </c>
      <c r="B743">
        <v>2.9516741802169465e-07</v>
      </c>
      <c r="D743" t="inlineStr">
        <is>
          <t>kilogram</t>
        </is>
      </c>
      <c r="E743" t="inlineStr">
        <is>
          <t>air::urban air close to ground</t>
        </is>
      </c>
      <c r="F743" t="inlineStr">
        <is>
          <t>biosphere</t>
        </is>
      </c>
      <c r="I743">
        <v>0</v>
      </c>
    </row>
    <row r="744">
      <c r="A744" t="inlineStr">
        <is>
          <t>Formaldehyde</t>
        </is>
      </c>
      <c r="B744">
        <v>3.04970020629929e-08</v>
      </c>
      <c r="D744" t="inlineStr">
        <is>
          <t>kilogram</t>
        </is>
      </c>
      <c r="E744" t="inlineStr">
        <is>
          <t>air::urban air close to ground</t>
        </is>
      </c>
      <c r="F744" t="inlineStr">
        <is>
          <t>biosphere</t>
        </is>
      </c>
      <c r="I744">
        <v>0</v>
      </c>
    </row>
    <row r="745">
      <c r="A745" t="inlineStr">
        <is>
          <t>Nitrogen oxides</t>
        </is>
      </c>
      <c r="B745">
        <v>6.99907066197852e-05</v>
      </c>
      <c r="D745" t="inlineStr">
        <is>
          <t>kilogram</t>
        </is>
      </c>
      <c r="E745" t="inlineStr">
        <is>
          <t>air::urban air close to ground</t>
        </is>
      </c>
      <c r="F745" t="inlineStr">
        <is>
          <t>biosphere</t>
        </is>
      </c>
      <c r="I745">
        <v>0</v>
      </c>
    </row>
    <row r="746">
      <c r="A746" t="inlineStr">
        <is>
          <t>Formaldehyde</t>
        </is>
      </c>
      <c r="B746">
        <v>8.171666492576685e-08</v>
      </c>
      <c r="D746" t="inlineStr">
        <is>
          <t>kilogram</t>
        </is>
      </c>
      <c r="E746" t="inlineStr">
        <is>
          <t>air::non-urban air or from high stacks</t>
        </is>
      </c>
      <c r="F746" t="inlineStr">
        <is>
          <t>biosphere</t>
        </is>
      </c>
      <c r="I746">
        <v>0</v>
      </c>
    </row>
    <row r="747">
      <c r="A747" t="inlineStr">
        <is>
          <t>Zinc II</t>
        </is>
      </c>
      <c r="B747">
        <v>3.051257530798148e-10</v>
      </c>
      <c r="D747" t="inlineStr">
        <is>
          <t>kilogram</t>
        </is>
      </c>
      <c r="E747" t="inlineStr">
        <is>
          <t>air::non-urban air or from high stacks</t>
        </is>
      </c>
      <c r="F747" t="inlineStr">
        <is>
          <t>biosphere</t>
        </is>
      </c>
      <c r="I747">
        <v>0</v>
      </c>
    </row>
    <row r="748">
      <c r="A748" t="inlineStr">
        <is>
          <t>Carbon monoxide, fossil</t>
        </is>
      </c>
      <c r="B748">
        <v>3.4291435191313595e-06</v>
      </c>
      <c r="D748" t="inlineStr">
        <is>
          <t>kilogram</t>
        </is>
      </c>
      <c r="E748" t="inlineStr">
        <is>
          <t>air::urban air close to ground</t>
        </is>
      </c>
      <c r="F748" t="inlineStr">
        <is>
          <t>biosphere</t>
        </is>
      </c>
      <c r="I748">
        <v>0</v>
      </c>
    </row>
    <row r="749">
      <c r="A749" t="inlineStr">
        <is>
          <t>m-Xylene</t>
        </is>
      </c>
      <c r="B749">
        <v>3.5579834982156424e-09</v>
      </c>
      <c r="D749" t="inlineStr">
        <is>
          <t>kilogram</t>
        </is>
      </c>
      <c r="E749" t="inlineStr">
        <is>
          <t>air::urban air close to ground</t>
        </is>
      </c>
      <c r="F749" t="inlineStr">
        <is>
          <t>biosphere</t>
        </is>
      </c>
      <c r="I749">
        <v>0</v>
      </c>
    </row>
    <row r="750">
      <c r="A750" t="inlineStr">
        <is>
          <t>PAH, polycyclic aromatic hydrocarbons</t>
        </is>
      </c>
      <c r="B750">
        <v>1.3253673720206761e-09</v>
      </c>
      <c r="D750" t="inlineStr">
        <is>
          <t>kilogram</t>
        </is>
      </c>
      <c r="E750" t="inlineStr">
        <is>
          <t>air::non-urban air or from high stacks</t>
        </is>
      </c>
      <c r="F750" t="inlineStr">
        <is>
          <t>biosphere</t>
        </is>
      </c>
      <c r="I750">
        <v>0</v>
      </c>
    </row>
    <row r="751">
      <c r="A751" t="inlineStr">
        <is>
          <t>Particulate Matter, &lt; 2.5 um</t>
        </is>
      </c>
      <c r="B751">
        <v>4.776281554847676e-07</v>
      </c>
      <c r="D751" t="inlineStr">
        <is>
          <t>kilogram</t>
        </is>
      </c>
      <c r="E751" t="inlineStr">
        <is>
          <t>air::non-urban air or from high stacks</t>
        </is>
      </c>
      <c r="F751" t="inlineStr">
        <is>
          <t>biosphere</t>
        </is>
      </c>
      <c r="I751">
        <v>0</v>
      </c>
    </row>
    <row r="752">
      <c r="A752" t="inlineStr">
        <is>
          <t>Pentane</t>
        </is>
      </c>
      <c r="B752">
        <v>5.836904424366724e-10</v>
      </c>
      <c r="D752" t="inlineStr">
        <is>
          <t>kilogram</t>
        </is>
      </c>
      <c r="E752" t="inlineStr">
        <is>
          <t>air::non-urban air or from high stacks</t>
        </is>
      </c>
      <c r="F752" t="inlineStr">
        <is>
          <t>biosphere</t>
        </is>
      </c>
      <c r="I752">
        <v>0</v>
      </c>
    </row>
    <row r="753">
      <c r="A753" t="inlineStr">
        <is>
          <t>1,1,1,2-Tetrafluoroethane</t>
        </is>
      </c>
      <c r="B753">
        <v>1.0592803277176511e-07</v>
      </c>
      <c r="D753" t="inlineStr">
        <is>
          <t>kilogram</t>
        </is>
      </c>
      <c r="E753" t="inlineStr">
        <is>
          <t>air</t>
        </is>
      </c>
      <c r="F753" t="inlineStr">
        <is>
          <t>biosphere</t>
        </is>
      </c>
      <c r="I753">
        <v>0</v>
      </c>
    </row>
    <row r="754">
      <c r="A754" t="inlineStr">
        <is>
          <t>Acetaldehyde</t>
        </is>
      </c>
      <c r="B754">
        <v>1.6591821111403828e-08</v>
      </c>
      <c r="D754" t="inlineStr">
        <is>
          <t>kilogram</t>
        </is>
      </c>
      <c r="E754" t="inlineStr">
        <is>
          <t>air::urban air close to ground</t>
        </is>
      </c>
      <c r="F754" t="inlineStr">
        <is>
          <t>biosphere</t>
        </is>
      </c>
      <c r="I754">
        <v>0</v>
      </c>
    </row>
    <row r="755">
      <c r="A755" t="inlineStr">
        <is>
          <t>Benzene</t>
        </is>
      </c>
      <c r="B755">
        <v>6.21217814219678e-09</v>
      </c>
      <c r="D755" t="inlineStr">
        <is>
          <t>kilogram</t>
        </is>
      </c>
      <c r="E755" t="inlineStr">
        <is>
          <t>air::urban air close to ground</t>
        </is>
      </c>
      <c r="F755" t="inlineStr">
        <is>
          <t>biosphere</t>
        </is>
      </c>
      <c r="I755">
        <v>0</v>
      </c>
    </row>
    <row r="756">
      <c r="A756" t="inlineStr">
        <is>
          <t>Mercury II</t>
        </is>
      </c>
      <c r="B756">
        <v>3.342847041832335e-11</v>
      </c>
      <c r="D756" t="inlineStr">
        <is>
          <t>kilogram</t>
        </is>
      </c>
      <c r="E756" t="inlineStr">
        <is>
          <t>air::urban air close to ground</t>
        </is>
      </c>
      <c r="F756" t="inlineStr">
        <is>
          <t>biosphere</t>
        </is>
      </c>
      <c r="I756">
        <v>0</v>
      </c>
    </row>
    <row r="757">
      <c r="A757" t="inlineStr">
        <is>
          <t>Cadmium II</t>
        </is>
      </c>
      <c r="B757">
        <v>3.152603660310432e-13</v>
      </c>
      <c r="D757" t="inlineStr">
        <is>
          <t>kilogram</t>
        </is>
      </c>
      <c r="E757" t="inlineStr">
        <is>
          <t>air::urban air close to ground</t>
        </is>
      </c>
      <c r="F757" t="inlineStr">
        <is>
          <t>biosphere</t>
        </is>
      </c>
      <c r="I757">
        <v>0</v>
      </c>
    </row>
    <row r="758">
      <c r="A758" t="inlineStr">
        <is>
          <t>Propane</t>
        </is>
      </c>
      <c r="B758">
        <v>9.728174395924623e-10</v>
      </c>
      <c r="D758" t="inlineStr">
        <is>
          <t>kilogram</t>
        </is>
      </c>
      <c r="E758" t="inlineStr">
        <is>
          <t>air::non-urban air or from high stacks</t>
        </is>
      </c>
      <c r="F758" t="inlineStr">
        <is>
          <t>biosphere</t>
        </is>
      </c>
      <c r="I758">
        <v>0</v>
      </c>
    </row>
    <row r="759">
      <c r="A759" t="inlineStr">
        <is>
          <t>Chromium III</t>
        </is>
      </c>
      <c r="B759">
        <v>1.4418831693273988e-10</v>
      </c>
      <c r="D759" t="inlineStr">
        <is>
          <t>kilogram</t>
        </is>
      </c>
      <c r="E759" t="inlineStr">
        <is>
          <t>air::non-urban air or from high stacks</t>
        </is>
      </c>
      <c r="F759" t="inlineStr">
        <is>
          <t>biosphere</t>
        </is>
      </c>
      <c r="I759">
        <v>0</v>
      </c>
    </row>
    <row r="760">
      <c r="A760" t="inlineStr">
        <is>
          <t>Acrolein</t>
        </is>
      </c>
      <c r="B760">
        <v>6.42615413607384e-09</v>
      </c>
      <c r="D760" t="inlineStr">
        <is>
          <t>kilogram</t>
        </is>
      </c>
      <c r="E760" t="inlineStr">
        <is>
          <t>air::urban air close to ground</t>
        </is>
      </c>
      <c r="F760" t="inlineStr">
        <is>
          <t>biosphere</t>
        </is>
      </c>
      <c r="I760">
        <v>0</v>
      </c>
    </row>
    <row r="761">
      <c r="A761" t="inlineStr">
        <is>
          <t>Benzaldehyde</t>
        </is>
      </c>
      <c r="B761">
        <v>4.9739159967409846e-09</v>
      </c>
      <c r="D761" t="inlineStr">
        <is>
          <t>kilogram</t>
        </is>
      </c>
      <c r="E761" t="inlineStr">
        <is>
          <t>air::urban air close to ground</t>
        </is>
      </c>
      <c r="F761" t="inlineStr">
        <is>
          <t>biosphere</t>
        </is>
      </c>
      <c r="I761">
        <v>0</v>
      </c>
    </row>
    <row r="762">
      <c r="A762" t="inlineStr">
        <is>
          <t>Heptane</t>
        </is>
      </c>
      <c r="B762">
        <v>1.0891786755623254e-09</v>
      </c>
      <c r="D762" t="inlineStr">
        <is>
          <t>kilogram</t>
        </is>
      </c>
      <c r="E762" t="inlineStr">
        <is>
          <t>air::urban air close to ground</t>
        </is>
      </c>
      <c r="F762" t="inlineStr">
        <is>
          <t>biosphere</t>
        </is>
      </c>
      <c r="I762">
        <v>0</v>
      </c>
    </row>
    <row r="763">
      <c r="A763" t="inlineStr">
        <is>
          <t>o-Xylene</t>
        </is>
      </c>
      <c r="B763">
        <v>1.452238139332855e-09</v>
      </c>
      <c r="D763" t="inlineStr">
        <is>
          <t>kilogram</t>
        </is>
      </c>
      <c r="E763" t="inlineStr">
        <is>
          <t>air::urban air close to ground</t>
        </is>
      </c>
      <c r="F763" t="inlineStr">
        <is>
          <t>biosphere</t>
        </is>
      </c>
      <c r="I763">
        <v>0</v>
      </c>
    </row>
    <row r="764">
      <c r="A764" t="inlineStr">
        <is>
          <t>Selenium IV</t>
        </is>
      </c>
      <c r="B764">
        <v>6.332385327245513e-13</v>
      </c>
      <c r="D764" t="inlineStr">
        <is>
          <t>kilogram</t>
        </is>
      </c>
      <c r="E764" t="inlineStr">
        <is>
          <t>air::urban air close to ground</t>
        </is>
      </c>
      <c r="F764" t="inlineStr">
        <is>
          <t>biosphere</t>
        </is>
      </c>
      <c r="I764">
        <v>0</v>
      </c>
    </row>
    <row r="765">
      <c r="A765" t="inlineStr">
        <is>
          <t>Styrene</t>
        </is>
      </c>
      <c r="B765">
        <v>2.033133508766291e-09</v>
      </c>
      <c r="D765" t="inlineStr">
        <is>
          <t>kilogram</t>
        </is>
      </c>
      <c r="E765" t="inlineStr">
        <is>
          <t>air::urban air close to ground</t>
        </is>
      </c>
      <c r="F765" t="inlineStr">
        <is>
          <t>biosphere</t>
        </is>
      </c>
      <c r="I765">
        <v>0</v>
      </c>
    </row>
    <row r="766">
      <c r="A766" t="inlineStr">
        <is>
          <t>Acetaldehyde</t>
        </is>
      </c>
      <c r="B766">
        <v>4.4457756307173774e-08</v>
      </c>
      <c r="D766" t="inlineStr">
        <is>
          <t>kilogram</t>
        </is>
      </c>
      <c r="E766" t="inlineStr">
        <is>
          <t>air::non-urban air or from high stacks</t>
        </is>
      </c>
      <c r="F766" t="inlineStr">
        <is>
          <t>biosphere</t>
        </is>
      </c>
      <c r="I766">
        <v>0</v>
      </c>
    </row>
    <row r="767">
      <c r="A767" t="inlineStr">
        <is>
          <t>Acrolein</t>
        </is>
      </c>
      <c r="B767">
        <v>1.7218867998584824e-08</v>
      </c>
      <c r="D767" t="inlineStr">
        <is>
          <t>kilogram</t>
        </is>
      </c>
      <c r="E767" t="inlineStr">
        <is>
          <t>air::non-urban air or from high stacks</t>
        </is>
      </c>
      <c r="F767" t="inlineStr">
        <is>
          <t>biosphere</t>
        </is>
      </c>
      <c r="I767">
        <v>0</v>
      </c>
    </row>
    <row r="768">
      <c r="A768" t="inlineStr">
        <is>
          <t>Benzaldehyde</t>
        </is>
      </c>
      <c r="B768">
        <v>1.3327598240214973e-08</v>
      </c>
      <c r="D768" t="inlineStr">
        <is>
          <t>kilogram</t>
        </is>
      </c>
      <c r="E768" t="inlineStr">
        <is>
          <t>air::non-urban air or from high stacks</t>
        </is>
      </c>
      <c r="F768" t="inlineStr">
        <is>
          <t>biosphere</t>
        </is>
      </c>
      <c r="I768">
        <v>0</v>
      </c>
    </row>
    <row r="769">
      <c r="A769" t="inlineStr">
        <is>
          <t>Heptane</t>
        </is>
      </c>
      <c r="B769">
        <v>2.9184523187773873e-09</v>
      </c>
      <c r="D769" t="inlineStr">
        <is>
          <t>kilogram</t>
        </is>
      </c>
      <c r="E769" t="inlineStr">
        <is>
          <t>air::non-urban air or from high stacks</t>
        </is>
      </c>
      <c r="F769" t="inlineStr">
        <is>
          <t>biosphere</t>
        </is>
      </c>
      <c r="I769">
        <v>0</v>
      </c>
    </row>
    <row r="770">
      <c r="A770" t="inlineStr">
        <is>
          <t>m-Xylene</t>
        </is>
      </c>
      <c r="B770">
        <v>9.533610453204961e-09</v>
      </c>
      <c r="D770" t="inlineStr">
        <is>
          <t>kilogram</t>
        </is>
      </c>
      <c r="E770" t="inlineStr">
        <is>
          <t>air::non-urban air or from high stacks</t>
        </is>
      </c>
      <c r="F770" t="inlineStr">
        <is>
          <t>biosphere</t>
        </is>
      </c>
      <c r="I770">
        <v>0</v>
      </c>
    </row>
    <row r="771">
      <c r="A771" t="inlineStr">
        <is>
          <t>o-Xylene</t>
        </is>
      </c>
      <c r="B771">
        <v>3.891269758369849e-09</v>
      </c>
      <c r="D771" t="inlineStr">
        <is>
          <t>kilogram</t>
        </is>
      </c>
      <c r="E771" t="inlineStr">
        <is>
          <t>air::non-urban air or from high stacks</t>
        </is>
      </c>
      <c r="F771" t="inlineStr">
        <is>
          <t>biosphere</t>
        </is>
      </c>
      <c r="I771">
        <v>0</v>
      </c>
    </row>
    <row r="772">
      <c r="A772" t="inlineStr">
        <is>
          <t>Styrene</t>
        </is>
      </c>
      <c r="B772">
        <v>5.447777889118377e-09</v>
      </c>
      <c r="D772" t="inlineStr">
        <is>
          <t>kilogram</t>
        </is>
      </c>
      <c r="E772" t="inlineStr">
        <is>
          <t>air::non-urban air or from high stacks</t>
        </is>
      </c>
      <c r="F772" t="inlineStr">
        <is>
          <t>biosphere</t>
        </is>
      </c>
      <c r="I772">
        <v>0</v>
      </c>
    </row>
    <row r="773">
      <c r="A773" t="inlineStr">
        <is>
          <t>exhaust system, for lorry</t>
        </is>
      </c>
      <c r="B773">
        <v>2.4791665583947556e-05</v>
      </c>
      <c r="C773" t="inlineStr">
        <is>
          <t>RER</t>
        </is>
      </c>
      <c r="D773" t="inlineStr">
        <is>
          <t>kilogram</t>
        </is>
      </c>
      <c r="F773" t="inlineStr">
        <is>
          <t>technosphere</t>
        </is>
      </c>
      <c r="G773" t="inlineStr">
        <is>
          <t>exhaust system, for lorry</t>
        </is>
      </c>
      <c r="H773" t="inlineStr">
        <is>
          <t> Energy-use allocation: 220 * 1.367427797431765e-07 / 1.2134485858415922 MJ per ton kilometer.</t>
        </is>
      </c>
      <c r="I773">
        <v>0</v>
      </c>
    </row>
    <row r="774">
      <c r="A774" t="inlineStr">
        <is>
          <t>fuel tank, for diesel vehicle</t>
        </is>
      </c>
      <c r="B774">
        <v>6.181935329374144e-06</v>
      </c>
      <c r="C774" t="inlineStr">
        <is>
          <t>RER</t>
        </is>
      </c>
      <c r="D774" t="inlineStr">
        <is>
          <t>kilogram</t>
        </is>
      </c>
      <c r="F774" t="inlineStr">
        <is>
          <t>technosphere</t>
        </is>
      </c>
      <c r="G774" t="inlineStr">
        <is>
          <t>fuel tank</t>
        </is>
      </c>
      <c r="H774" t="inlineStr">
        <is>
          <t> Energy-use allocation: 54.85818481445312 * 1.367427797431765e-07 / 1.2134485858415922 MJ per ton kilometer.</t>
        </is>
      </c>
      <c r="I774">
        <v>0</v>
      </c>
    </row>
    <row r="775">
      <c r="A775" t="inlineStr">
        <is>
          <t>gearbox, for lorry</t>
        </is>
      </c>
      <c r="B775">
        <v>2.271818151381884e-05</v>
      </c>
      <c r="C775" t="inlineStr">
        <is>
          <t>RER</t>
        </is>
      </c>
      <c r="D775" t="inlineStr">
        <is>
          <t>kilogram</t>
        </is>
      </c>
      <c r="F775" t="inlineStr">
        <is>
          <t>technosphere</t>
        </is>
      </c>
      <c r="G775" t="inlineStr">
        <is>
          <t>gearbox, for lorry</t>
        </is>
      </c>
      <c r="H775" t="inlineStr">
        <is>
          <t> Energy-use allocation: 201.6000061035156 * 1.367427797431765e-07 / 1.2134485858415922 MJ per ton kilometer.</t>
        </is>
      </c>
      <c r="I775">
        <v>0</v>
      </c>
    </row>
    <row r="776">
      <c r="A776" t="inlineStr">
        <is>
          <t>internal combustion engine, for lorry</t>
        </is>
      </c>
      <c r="B776">
        <v>0.000121895652649343</v>
      </c>
      <c r="C776" t="inlineStr">
        <is>
          <t>RER</t>
        </is>
      </c>
      <c r="D776" t="inlineStr">
        <is>
          <t>kilogram</t>
        </is>
      </c>
      <c r="F776" t="inlineStr">
        <is>
          <t>technosphere</t>
        </is>
      </c>
      <c r="G776" t="inlineStr">
        <is>
          <t>internal combustion engine, for lorry</t>
        </is>
      </c>
      <c r="H776" t="inlineStr">
        <is>
          <t> Energy-use allocation: 1081.695922851562 * 1.367427797431765e-07 / 1.2134485858415922 MJ per ton kilometer.</t>
        </is>
      </c>
      <c r="I776">
        <v>0</v>
      </c>
    </row>
    <row r="777">
      <c r="A777" t="inlineStr">
        <is>
          <t>lead acid battery, for lorry</t>
        </is>
      </c>
      <c r="B777">
        <v>3.7651515024380753e-06</v>
      </c>
      <c r="C777" t="inlineStr">
        <is>
          <t>RER</t>
        </is>
      </c>
      <c r="D777" t="inlineStr">
        <is>
          <t>kilogram</t>
        </is>
      </c>
      <c r="F777" t="inlineStr">
        <is>
          <t>technosphere</t>
        </is>
      </c>
      <c r="G777" t="inlineStr">
        <is>
          <t>lead acid battery, for lorry</t>
        </is>
      </c>
      <c r="H777" t="inlineStr">
        <is>
          <t> Energy-use allocation: 33.41176605224609 * 1.367427797431765e-07 / 1.2134485858415922 MJ per ton kilometer.</t>
        </is>
      </c>
      <c r="I777">
        <v>0</v>
      </c>
    </row>
    <row r="778">
      <c r="A778" t="inlineStr">
        <is>
          <t>power electronics, for lorry</t>
        </is>
      </c>
      <c r="B778">
        <v>2.986268808975501e-05</v>
      </c>
      <c r="C778" t="inlineStr">
        <is>
          <t>RER</t>
        </is>
      </c>
      <c r="D778" t="inlineStr">
        <is>
          <t>kilogram</t>
        </is>
      </c>
      <c r="F778" t="inlineStr">
        <is>
          <t>technosphere</t>
        </is>
      </c>
      <c r="G778" t="inlineStr">
        <is>
          <t>power electronics, for lorry</t>
        </is>
      </c>
      <c r="H778" t="inlineStr">
        <is>
          <t> Energy-use allocation: 265 * 1.367427797431765e-07 / 1.2134485858415922 MJ per ton kilometer.</t>
        </is>
      </c>
      <c r="I778">
        <v>0</v>
      </c>
    </row>
    <row r="779">
      <c r="A779" t="inlineStr">
        <is>
          <t>retarder, for lorry</t>
        </is>
      </c>
      <c r="B779">
        <v>7.572726598105075e-06</v>
      </c>
      <c r="C779" t="inlineStr">
        <is>
          <t>RER</t>
        </is>
      </c>
      <c r="D779" t="inlineStr">
        <is>
          <t>kilogram</t>
        </is>
      </c>
      <c r="F779" t="inlineStr">
        <is>
          <t>technosphere</t>
        </is>
      </c>
      <c r="G779" t="inlineStr">
        <is>
          <t>retarder, for lorry</t>
        </is>
      </c>
      <c r="H779" t="inlineStr">
        <is>
          <t> Energy-use allocation: 67.19999694824219 * 1.367427797431765e-07 / 1.2134485858415922 MJ per ton kilometer.</t>
        </is>
      </c>
      <c r="I779">
        <v>0</v>
      </c>
    </row>
    <row r="780">
      <c r="A780" t="inlineStr">
        <is>
          <t>transmission, for lorry</t>
        </is>
      </c>
      <c r="B780">
        <v>3.281514801862079e-05</v>
      </c>
      <c r="C780" t="inlineStr">
        <is>
          <t>RER</t>
        </is>
      </c>
      <c r="D780" t="inlineStr">
        <is>
          <t>kilogram</t>
        </is>
      </c>
      <c r="F780" t="inlineStr">
        <is>
          <t>technosphere</t>
        </is>
      </c>
      <c r="G780" t="inlineStr">
        <is>
          <t>transmission, for lorry</t>
        </is>
      </c>
      <c r="H780" t="inlineStr">
        <is>
          <t> Energy-use allocation: 291.1999816894531 * 1.367427797431765e-07 / 1.2134485858415922 MJ per ton kilometer.</t>
        </is>
      </c>
      <c r="I780">
        <v>0</v>
      </c>
    </row>
    <row r="781">
      <c r="A781" t="inlineStr">
        <is>
          <t>Carbon dioxide, non-fossil</t>
        </is>
      </c>
      <c r="B781">
        <v>0.0732</v>
      </c>
      <c r="D781" t="inlineStr">
        <is>
          <t>kilogram</t>
        </is>
      </c>
      <c r="E781" t="inlineStr">
        <is>
          <t>air::urban air close to ground</t>
        </is>
      </c>
      <c r="F781" t="inlineStr">
        <is>
          <t>biosphere</t>
        </is>
      </c>
      <c r="I781">
        <v>0</v>
      </c>
    </row>
    <row r="782"/>
    <row r="783">
      <c r="A783" t="inlineStr">
        <is>
          <t>Activity</t>
        </is>
      </c>
      <c r="B783" t="inlineStr">
        <is>
          <t>diesel from coal, burned in heavy-duty vehicle</t>
        </is>
      </c>
    </row>
    <row r="784">
      <c r="A784" t="inlineStr">
        <is>
          <t>location</t>
        </is>
      </c>
      <c r="B784" t="inlineStr">
        <is>
          <t>RER</t>
        </is>
      </c>
    </row>
    <row r="785">
      <c r="A785" t="inlineStr">
        <is>
          <t>production amount</t>
        </is>
      </c>
      <c r="B785">
        <v>1</v>
      </c>
    </row>
    <row r="786">
      <c r="A786" t="inlineStr">
        <is>
          <t>reference product</t>
        </is>
      </c>
      <c r="B786" t="inlineStr">
        <is>
          <t>heat</t>
        </is>
      </c>
    </row>
    <row r="787">
      <c r="A787" t="inlineStr">
        <is>
          <t>type</t>
        </is>
      </c>
      <c r="B787" t="inlineStr">
        <is>
          <t>process</t>
        </is>
      </c>
    </row>
    <row r="788">
      <c r="A788" t="inlineStr">
        <is>
          <t>unit</t>
        </is>
      </c>
      <c r="B788" t="inlineStr">
        <is>
          <t>megajoule</t>
        </is>
      </c>
    </row>
    <row r="789">
      <c r="A789" t="inlineStr">
        <is>
          <t>energy use source</t>
        </is>
      </c>
      <c r="B78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790">
      <c r="A790" t="inlineStr">
        <is>
          <t>comment</t>
        </is>
      </c>
      <c r="B79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91">
      <c r="A791" t="inlineStr">
        <is>
          <t>Exchanges</t>
        </is>
      </c>
    </row>
    <row r="792">
      <c r="A792" t="inlineStr">
        <is>
          <t>name</t>
        </is>
      </c>
      <c r="B792" t="inlineStr">
        <is>
          <t>amount</t>
        </is>
      </c>
      <c r="C792" t="inlineStr">
        <is>
          <t>location</t>
        </is>
      </c>
      <c r="D792" t="inlineStr">
        <is>
          <t>unit</t>
        </is>
      </c>
      <c r="E792" t="inlineStr">
        <is>
          <t>categories</t>
        </is>
      </c>
      <c r="F792" t="inlineStr">
        <is>
          <t>type</t>
        </is>
      </c>
      <c r="G792" t="inlineStr">
        <is>
          <t>reference product</t>
        </is>
      </c>
      <c r="H792" t="inlineStr">
        <is>
          <t>comment</t>
        </is>
      </c>
      <c r="I792" t="inlineStr">
        <is>
          <t>uncertainty type</t>
        </is>
      </c>
    </row>
    <row r="793">
      <c r="A793" t="inlineStr">
        <is>
          <t>diesel from coal, burned in heavy-duty vehicle</t>
        </is>
      </c>
      <c r="B793">
        <v>1.0</v>
      </c>
      <c r="C793" t="inlineStr">
        <is>
          <t>RER</t>
        </is>
      </c>
      <c r="D793" t="inlineStr">
        <is>
          <t>megajoule</t>
        </is>
      </c>
      <c r="F793" t="inlineStr">
        <is>
          <t>production</t>
        </is>
      </c>
      <c r="G793" t="inlineStr">
        <is>
          <t>heat</t>
        </is>
      </c>
      <c r="I793">
        <v>0</v>
      </c>
    </row>
    <row r="794">
      <c r="A794" t="inlineStr">
        <is>
          <t>diesel production, synthetic, Fischer Tropsch process, hydrogen from coal gasification, energy allocation</t>
        </is>
      </c>
      <c r="B794">
        <v>0.023255813953488372</v>
      </c>
      <c r="C794" t="inlineStr">
        <is>
          <t>RER</t>
        </is>
      </c>
      <c r="D794" t="inlineStr">
        <is>
          <t>kilogram</t>
        </is>
      </c>
      <c r="F794" t="inlineStr">
        <is>
          <t>technosphere</t>
        </is>
      </c>
      <c r="G794" t="inlineStr">
        <is>
          <t>diesel, synthetic</t>
        </is>
      </c>
      <c r="I794">
        <v>0</v>
      </c>
    </row>
    <row r="795">
      <c r="A795" t="inlineStr">
        <is>
          <t>market for tetrafluoroethane, R134a</t>
        </is>
      </c>
      <c r="B795">
        <v>2.2988634886667227e-07</v>
      </c>
      <c r="C795" t="inlineStr">
        <is>
          <t>GLO</t>
        </is>
      </c>
      <c r="D795" t="inlineStr">
        <is>
          <t>kilogram</t>
        </is>
      </c>
      <c r="F795" t="inlineStr">
        <is>
          <t>technosphere</t>
        </is>
      </c>
      <c r="G795" t="inlineStr">
        <is>
          <t>tetrafluoroethane, R134a</t>
        </is>
      </c>
      <c r="I795">
        <v>0</v>
      </c>
    </row>
    <row r="796">
      <c r="A796" t="inlineStr">
        <is>
          <t>treatment of brake wear emissions, lorry</t>
        </is>
      </c>
      <c r="B796">
        <v>-8.332264901167272e-06</v>
      </c>
      <c r="C796" t="inlineStr">
        <is>
          <t>RER</t>
        </is>
      </c>
      <c r="D796" t="inlineStr">
        <is>
          <t>kilogram</t>
        </is>
      </c>
      <c r="F796" t="inlineStr">
        <is>
          <t>technosphere</t>
        </is>
      </c>
      <c r="G796" t="inlineStr">
        <is>
          <t>brake wear emissions, lorry</t>
        </is>
      </c>
      <c r="I796">
        <v>0</v>
      </c>
    </row>
    <row r="797">
      <c r="A797" t="inlineStr">
        <is>
          <t>treatment of road wear emissions, lorry</t>
        </is>
      </c>
      <c r="B797">
        <v>-1.0511814175882647e-05</v>
      </c>
      <c r="C797" t="inlineStr">
        <is>
          <t>RER</t>
        </is>
      </c>
      <c r="D797" t="inlineStr">
        <is>
          <t>kilogram</t>
        </is>
      </c>
      <c r="F797" t="inlineStr">
        <is>
          <t>technosphere</t>
        </is>
      </c>
      <c r="G797" t="inlineStr">
        <is>
          <t>road wear emissions, lorry</t>
        </is>
      </c>
      <c r="I797">
        <v>0</v>
      </c>
    </row>
    <row r="798">
      <c r="A798" t="inlineStr">
        <is>
          <t>treatment of tyre wear emissions, lorry</t>
        </is>
      </c>
      <c r="B798">
        <v>-8.54276405830878e-06</v>
      </c>
      <c r="C798" t="inlineStr">
        <is>
          <t>RER</t>
        </is>
      </c>
      <c r="D798" t="inlineStr">
        <is>
          <t>kilogram</t>
        </is>
      </c>
      <c r="F798" t="inlineStr">
        <is>
          <t>technosphere</t>
        </is>
      </c>
      <c r="G798" t="inlineStr">
        <is>
          <t>tyre wear emissions, lorry</t>
        </is>
      </c>
      <c r="I798">
        <v>0</v>
      </c>
    </row>
    <row r="799">
      <c r="A799" t="inlineStr">
        <is>
          <t>Toluene</t>
        </is>
      </c>
      <c r="B799">
        <v>9.72817404061121e-11</v>
      </c>
      <c r="D799" t="inlineStr">
        <is>
          <t>kilogram</t>
        </is>
      </c>
      <c r="E799" t="inlineStr">
        <is>
          <t>air::non-urban air or from high stacks</t>
        </is>
      </c>
      <c r="F799" t="inlineStr">
        <is>
          <t>biosphere</t>
        </is>
      </c>
      <c r="I799">
        <v>0</v>
      </c>
    </row>
    <row r="800">
      <c r="A800" t="inlineStr">
        <is>
          <t>NMVOC, non-methane volatile organic compounds</t>
        </is>
      </c>
      <c r="B800">
        <v>7.909005533746073e-07</v>
      </c>
      <c r="D800" t="inlineStr">
        <is>
          <t>kilogram</t>
        </is>
      </c>
      <c r="E800" t="inlineStr">
        <is>
          <t>air::non-urban air or from high stacks</t>
        </is>
      </c>
      <c r="F800" t="inlineStr">
        <is>
          <t>biosphere</t>
        </is>
      </c>
      <c r="I800">
        <v>0</v>
      </c>
    </row>
    <row r="801">
      <c r="A801" t="inlineStr">
        <is>
          <t>Dinitrogen monoxide</t>
        </is>
      </c>
      <c r="B801">
        <v>1.9725120204580215e-05</v>
      </c>
      <c r="D801" t="inlineStr">
        <is>
          <t>kilogram</t>
        </is>
      </c>
      <c r="E801" t="inlineStr">
        <is>
          <t>air::non-urban air or from high stacks</t>
        </is>
      </c>
      <c r="F801" t="inlineStr">
        <is>
          <t>biosphere</t>
        </is>
      </c>
      <c r="I801">
        <v>0</v>
      </c>
    </row>
    <row r="802">
      <c r="A802" t="inlineStr">
        <is>
          <t>Ethane</t>
        </is>
      </c>
      <c r="B802">
        <v>1.0891786400309831e-10</v>
      </c>
      <c r="D802" t="inlineStr">
        <is>
          <t>kilogram</t>
        </is>
      </c>
      <c r="E802" t="inlineStr">
        <is>
          <t>air::urban air close to ground</t>
        </is>
      </c>
      <c r="F802" t="inlineStr">
        <is>
          <t>biosphere</t>
        </is>
      </c>
      <c r="I802">
        <v>0</v>
      </c>
    </row>
    <row r="803">
      <c r="A803" t="inlineStr">
        <is>
          <t>Pentane</t>
        </is>
      </c>
      <c r="B803">
        <v>2.178357280061967e-10</v>
      </c>
      <c r="D803" t="inlineStr">
        <is>
          <t>kilogram</t>
        </is>
      </c>
      <c r="E803" t="inlineStr">
        <is>
          <t>air::urban air close to ground</t>
        </is>
      </c>
      <c r="F803" t="inlineStr">
        <is>
          <t>biosphere</t>
        </is>
      </c>
      <c r="I803">
        <v>0</v>
      </c>
    </row>
    <row r="804">
      <c r="A804" t="inlineStr">
        <is>
          <t>Selenium IV</t>
        </is>
      </c>
      <c r="B804">
        <v>1.6967614759358543e-12</v>
      </c>
      <c r="D804" t="inlineStr">
        <is>
          <t>kilogram</t>
        </is>
      </c>
      <c r="E804" t="inlineStr">
        <is>
          <t>air::non-urban air or from high stacks</t>
        </is>
      </c>
      <c r="F804" t="inlineStr">
        <is>
          <t>biosphere</t>
        </is>
      </c>
      <c r="I804">
        <v>0</v>
      </c>
    </row>
    <row r="805">
      <c r="A805" t="inlineStr">
        <is>
          <t>Arsenic ion</t>
        </is>
      </c>
      <c r="B805">
        <v>1.6967614759358543e-12</v>
      </c>
      <c r="D805" t="inlineStr">
        <is>
          <t>kilogram</t>
        </is>
      </c>
      <c r="E805" t="inlineStr">
        <is>
          <t>air::non-urban air or from high stacks</t>
        </is>
      </c>
      <c r="F805" t="inlineStr">
        <is>
          <t>biosphere</t>
        </is>
      </c>
      <c r="I805">
        <v>0</v>
      </c>
    </row>
    <row r="806">
      <c r="A806" t="inlineStr">
        <is>
          <t>Arsenic ion</t>
        </is>
      </c>
      <c r="B806">
        <v>6.332385327245513e-13</v>
      </c>
      <c r="D806" t="inlineStr">
        <is>
          <t>kilogram</t>
        </is>
      </c>
      <c r="E806" t="inlineStr">
        <is>
          <t>air::urban air close to ground</t>
        </is>
      </c>
      <c r="F806" t="inlineStr">
        <is>
          <t>biosphere</t>
        </is>
      </c>
      <c r="I806">
        <v>0</v>
      </c>
    </row>
    <row r="807">
      <c r="A807" t="inlineStr">
        <is>
          <t>Particulate Matter, &lt; 2.5 um</t>
        </is>
      </c>
      <c r="B807">
        <v>1.7825282603055566e-07</v>
      </c>
      <c r="D807" t="inlineStr">
        <is>
          <t>kilogram</t>
        </is>
      </c>
      <c r="E807" t="inlineStr">
        <is>
          <t>air::urban air close to ground</t>
        </is>
      </c>
      <c r="F807" t="inlineStr">
        <is>
          <t>biosphere</t>
        </is>
      </c>
      <c r="I807">
        <v>0</v>
      </c>
    </row>
    <row r="808">
      <c r="A808" t="inlineStr">
        <is>
          <t>Nickel II</t>
        </is>
      </c>
      <c r="B808">
        <v>3.3862406923329497e-12</v>
      </c>
      <c r="D808" t="inlineStr">
        <is>
          <t>kilogram</t>
        </is>
      </c>
      <c r="E808" t="inlineStr">
        <is>
          <t>air::non-urban air or from high stacks</t>
        </is>
      </c>
      <c r="F808" t="inlineStr">
        <is>
          <t>biosphere</t>
        </is>
      </c>
      <c r="I808">
        <v>0</v>
      </c>
    </row>
    <row r="809">
      <c r="A809" t="inlineStr">
        <is>
          <t>Methane, fossil</t>
        </is>
      </c>
      <c r="B809">
        <v>2.3921714073582906e-08</v>
      </c>
      <c r="D809" t="inlineStr">
        <is>
          <t>kilogram</t>
        </is>
      </c>
      <c r="E809" t="inlineStr">
        <is>
          <t>air::non-urban air or from high stacks</t>
        </is>
      </c>
      <c r="F809" t="inlineStr">
        <is>
          <t>biosphere</t>
        </is>
      </c>
      <c r="I809">
        <v>0</v>
      </c>
    </row>
    <row r="810">
      <c r="A810" t="inlineStr">
        <is>
          <t>Mercury II</t>
        </is>
      </c>
      <c r="B810">
        <v>8.957152806237827e-11</v>
      </c>
      <c r="D810" t="inlineStr">
        <is>
          <t>kilogram</t>
        </is>
      </c>
      <c r="E810" t="inlineStr">
        <is>
          <t>air::non-urban air or from high stacks</t>
        </is>
      </c>
      <c r="F810" t="inlineStr">
        <is>
          <t>biosphere</t>
        </is>
      </c>
      <c r="I810">
        <v>0</v>
      </c>
    </row>
    <row r="811">
      <c r="A811" t="inlineStr">
        <is>
          <t>Ammonia</t>
        </is>
      </c>
      <c r="B811">
        <v>6.894575078264757e-06</v>
      </c>
      <c r="D811" t="inlineStr">
        <is>
          <t>kilogram</t>
        </is>
      </c>
      <c r="E811" t="inlineStr">
        <is>
          <t>air::non-urban air or from high stacks</t>
        </is>
      </c>
      <c r="F811" t="inlineStr">
        <is>
          <t>biosphere</t>
        </is>
      </c>
      <c r="I811">
        <v>0</v>
      </c>
    </row>
    <row r="812">
      <c r="A812" t="inlineStr">
        <is>
          <t>Ethane</t>
        </is>
      </c>
      <c r="B812">
        <v>2.918452212183362e-10</v>
      </c>
      <c r="D812" t="inlineStr">
        <is>
          <t>kilogram</t>
        </is>
      </c>
      <c r="E812" t="inlineStr">
        <is>
          <t>air::non-urban air or from high stacks</t>
        </is>
      </c>
      <c r="F812" t="inlineStr">
        <is>
          <t>biosphere</t>
        </is>
      </c>
      <c r="I812">
        <v>0</v>
      </c>
    </row>
    <row r="813">
      <c r="A813" t="inlineStr">
        <is>
          <t>Nickel II</t>
        </is>
      </c>
      <c r="B813">
        <v>1.263759195389486e-12</v>
      </c>
      <c r="D813" t="inlineStr">
        <is>
          <t>kilogram</t>
        </is>
      </c>
      <c r="E813" t="inlineStr">
        <is>
          <t>air::urban air close to ground</t>
        </is>
      </c>
      <c r="F813" t="inlineStr">
        <is>
          <t>biosphere</t>
        </is>
      </c>
      <c r="I813">
        <v>0</v>
      </c>
    </row>
    <row r="814">
      <c r="A814" t="inlineStr">
        <is>
          <t>Cadmium II</t>
        </is>
      </c>
      <c r="B814">
        <v>8.447396081985474e-13</v>
      </c>
      <c r="D814" t="inlineStr">
        <is>
          <t>kilogram</t>
        </is>
      </c>
      <c r="E814" t="inlineStr">
        <is>
          <t>air::non-urban air or from high stacks</t>
        </is>
      </c>
      <c r="F814" t="inlineStr">
        <is>
          <t>biosphere</t>
        </is>
      </c>
      <c r="I814">
        <v>0</v>
      </c>
    </row>
    <row r="815">
      <c r="A815" t="inlineStr">
        <is>
          <t>Ammonia</t>
        </is>
      </c>
      <c r="B815">
        <v>2.573084583766733e-06</v>
      </c>
      <c r="D815" t="inlineStr">
        <is>
          <t>kilogram</t>
        </is>
      </c>
      <c r="E815" t="inlineStr">
        <is>
          <t>air::urban air close to ground</t>
        </is>
      </c>
      <c r="F815" t="inlineStr">
        <is>
          <t>biosphere</t>
        </is>
      </c>
      <c r="I815">
        <v>0</v>
      </c>
    </row>
    <row r="816">
      <c r="A816" t="inlineStr">
        <is>
          <t>Butane</t>
        </is>
      </c>
      <c r="B816">
        <v>1.4592261593886937e-09</v>
      </c>
      <c r="D816" t="inlineStr">
        <is>
          <t>kilogram</t>
        </is>
      </c>
      <c r="E816" t="inlineStr">
        <is>
          <t>air::non-urban air or from high stacks</t>
        </is>
      </c>
      <c r="F816" t="inlineStr">
        <is>
          <t>biosphere</t>
        </is>
      </c>
      <c r="I816">
        <v>0</v>
      </c>
    </row>
    <row r="817">
      <c r="A817" t="inlineStr">
        <is>
          <t>PAH, polycyclic aromatic hydrocarbons</t>
        </is>
      </c>
      <c r="B817">
        <v>4.946326620454795e-10</v>
      </c>
      <c r="D817" t="inlineStr">
        <is>
          <t>kilogram</t>
        </is>
      </c>
      <c r="E817" t="inlineStr">
        <is>
          <t>air::urban air close to ground</t>
        </is>
      </c>
      <c r="F817" t="inlineStr">
        <is>
          <t>biosphere</t>
        </is>
      </c>
      <c r="I817">
        <v>0</v>
      </c>
    </row>
    <row r="818">
      <c r="A818" t="inlineStr">
        <is>
          <t>Copper ion</t>
        </is>
      </c>
      <c r="B818">
        <v>9.685376539404841e-11</v>
      </c>
      <c r="D818" t="inlineStr">
        <is>
          <t>kilogram</t>
        </is>
      </c>
      <c r="E818" t="inlineStr">
        <is>
          <t>air::non-urban air or from high stacks</t>
        </is>
      </c>
      <c r="F818" t="inlineStr">
        <is>
          <t>biosphere</t>
        </is>
      </c>
      <c r="I818">
        <v>0</v>
      </c>
    </row>
    <row r="819">
      <c r="A819" t="inlineStr">
        <is>
          <t>Nitrogen oxides</t>
        </is>
      </c>
      <c r="B819">
        <v>0.00018753997183161043</v>
      </c>
      <c r="D819" t="inlineStr">
        <is>
          <t>kilogram</t>
        </is>
      </c>
      <c r="E819" t="inlineStr">
        <is>
          <t>air::non-urban air or from high stacks</t>
        </is>
      </c>
      <c r="F819" t="inlineStr">
        <is>
          <t>biosphere</t>
        </is>
      </c>
      <c r="I819">
        <v>0</v>
      </c>
    </row>
    <row r="820">
      <c r="A820" t="inlineStr">
        <is>
          <t>Butane</t>
        </is>
      </c>
      <c r="B820">
        <v>5.445893377811625e-10</v>
      </c>
      <c r="D820" t="inlineStr">
        <is>
          <t>kilogram</t>
        </is>
      </c>
      <c r="E820" t="inlineStr">
        <is>
          <t>air::urban air close to ground</t>
        </is>
      </c>
      <c r="F820" t="inlineStr">
        <is>
          <t>biosphere</t>
        </is>
      </c>
      <c r="I820">
        <v>0</v>
      </c>
    </row>
    <row r="821">
      <c r="A821" t="inlineStr">
        <is>
          <t>Copper ion</t>
        </is>
      </c>
      <c r="B821">
        <v>3.6146231663205874e-11</v>
      </c>
      <c r="D821" t="inlineStr">
        <is>
          <t>kilogram</t>
        </is>
      </c>
      <c r="E821" t="inlineStr">
        <is>
          <t>air::urban air close to ground</t>
        </is>
      </c>
      <c r="F821" t="inlineStr">
        <is>
          <t>biosphere</t>
        </is>
      </c>
      <c r="I821">
        <v>0</v>
      </c>
    </row>
    <row r="822">
      <c r="A822" t="inlineStr">
        <is>
          <t>Chromium III</t>
        </is>
      </c>
      <c r="B822">
        <v>5.3811684196359975e-11</v>
      </c>
      <c r="D822" t="inlineStr">
        <is>
          <t>kilogram</t>
        </is>
      </c>
      <c r="E822" t="inlineStr">
        <is>
          <t>air::urban air close to ground</t>
        </is>
      </c>
      <c r="F822" t="inlineStr">
        <is>
          <t>biosphere</t>
        </is>
      </c>
      <c r="I822">
        <v>0</v>
      </c>
    </row>
    <row r="823">
      <c r="A823" t="inlineStr">
        <is>
          <t>Propane</t>
        </is>
      </c>
      <c r="B823">
        <v>3.6305953483321385e-10</v>
      </c>
      <c r="D823" t="inlineStr">
        <is>
          <t>kilogram</t>
        </is>
      </c>
      <c r="E823" t="inlineStr">
        <is>
          <t>air::urban air close to ground</t>
        </is>
      </c>
      <c r="F823" t="inlineStr">
        <is>
          <t>biosphere</t>
        </is>
      </c>
      <c r="I823">
        <v>0</v>
      </c>
    </row>
    <row r="824">
      <c r="A824" t="inlineStr">
        <is>
          <t>Toluene</t>
        </is>
      </c>
      <c r="B824">
        <v>3.6305953927463155e-11</v>
      </c>
      <c r="D824" t="inlineStr">
        <is>
          <t>kilogram</t>
        </is>
      </c>
      <c r="E824" t="inlineStr">
        <is>
          <t>air::urban air close to ground</t>
        </is>
      </c>
      <c r="F824" t="inlineStr">
        <is>
          <t>biosphere</t>
        </is>
      </c>
      <c r="I824">
        <v>0</v>
      </c>
    </row>
    <row r="825">
      <c r="A825" t="inlineStr">
        <is>
          <t>Dinitrogen monoxide</t>
        </is>
      </c>
      <c r="B825">
        <v>7.361498269225741e-06</v>
      </c>
      <c r="D825" t="inlineStr">
        <is>
          <t>kilogram</t>
        </is>
      </c>
      <c r="E825" t="inlineStr">
        <is>
          <t>air::urban air close to ground</t>
        </is>
      </c>
      <c r="F825" t="inlineStr">
        <is>
          <t>biosphere</t>
        </is>
      </c>
      <c r="I825">
        <v>0</v>
      </c>
    </row>
    <row r="826">
      <c r="A826" t="inlineStr">
        <is>
          <t>Zinc II</t>
        </is>
      </c>
      <c r="B826">
        <v>1.1387421970009149e-10</v>
      </c>
      <c r="D826" t="inlineStr">
        <is>
          <t>kilogram</t>
        </is>
      </c>
      <c r="E826" t="inlineStr">
        <is>
          <t>air::urban air close to ground</t>
        </is>
      </c>
      <c r="F826" t="inlineStr">
        <is>
          <t>biosphere</t>
        </is>
      </c>
      <c r="I826">
        <v>0</v>
      </c>
    </row>
    <row r="827">
      <c r="A827" t="inlineStr">
        <is>
          <t>Chromium VI</t>
        </is>
      </c>
      <c r="B827">
        <v>2.876484190151482e-13</v>
      </c>
      <c r="D827" t="inlineStr">
        <is>
          <t>kilogram</t>
        </is>
      </c>
      <c r="E827" t="inlineStr">
        <is>
          <t>air::non-urban air or from high stacks</t>
        </is>
      </c>
      <c r="F827" t="inlineStr">
        <is>
          <t>biosphere</t>
        </is>
      </c>
      <c r="I827">
        <v>0</v>
      </c>
    </row>
    <row r="828">
      <c r="A828" t="inlineStr">
        <is>
          <t>Benzene</t>
        </is>
      </c>
      <c r="B828">
        <v>1.6645520623154097e-08</v>
      </c>
      <c r="D828" t="inlineStr">
        <is>
          <t>kilogram</t>
        </is>
      </c>
      <c r="E828" t="inlineStr">
        <is>
          <t>air::non-urban air or from high stacks</t>
        </is>
      </c>
      <c r="F828" t="inlineStr">
        <is>
          <t>biosphere</t>
        </is>
      </c>
      <c r="I828">
        <v>0</v>
      </c>
    </row>
    <row r="829">
      <c r="A829" t="inlineStr">
        <is>
          <t>Carbon monoxide, fossil</t>
        </is>
      </c>
      <c r="B829">
        <v>9.188384379664334e-06</v>
      </c>
      <c r="D829" t="inlineStr">
        <is>
          <t>kilogram</t>
        </is>
      </c>
      <c r="E829" t="inlineStr">
        <is>
          <t>air::non-urban air or from high stacks</t>
        </is>
      </c>
      <c r="F829" t="inlineStr">
        <is>
          <t>biosphere</t>
        </is>
      </c>
      <c r="I829">
        <v>0</v>
      </c>
    </row>
    <row r="830">
      <c r="A830" t="inlineStr">
        <is>
          <t>Chromium VI</t>
        </is>
      </c>
      <c r="B830">
        <v>1.0735159075537383e-13</v>
      </c>
      <c r="D830" t="inlineStr">
        <is>
          <t>kilogram</t>
        </is>
      </c>
      <c r="E830" t="inlineStr">
        <is>
          <t>air::urban air close to ground</t>
        </is>
      </c>
      <c r="F830" t="inlineStr">
        <is>
          <t>biosphere</t>
        </is>
      </c>
      <c r="I830">
        <v>0</v>
      </c>
    </row>
    <row r="831">
      <c r="A831" t="inlineStr">
        <is>
          <t>Methane, fossil</t>
        </is>
      </c>
      <c r="B831">
        <v>8.927684532596896e-09</v>
      </c>
      <c r="D831" t="inlineStr">
        <is>
          <t>kilogram</t>
        </is>
      </c>
      <c r="E831" t="inlineStr">
        <is>
          <t>air::urban air close to ground</t>
        </is>
      </c>
      <c r="F831" t="inlineStr">
        <is>
          <t>biosphere</t>
        </is>
      </c>
      <c r="I831">
        <v>0</v>
      </c>
    </row>
    <row r="832">
      <c r="A832" t="inlineStr">
        <is>
          <t>Sulfur dioxide</t>
        </is>
      </c>
      <c r="B832">
        <v>4.6773094495270746e-07</v>
      </c>
      <c r="D832" t="inlineStr">
        <is>
          <t>kilogram</t>
        </is>
      </c>
      <c r="E832" t="inlineStr">
        <is>
          <t>air</t>
        </is>
      </c>
      <c r="F832" t="inlineStr">
        <is>
          <t>biosphere</t>
        </is>
      </c>
      <c r="I832">
        <v>0</v>
      </c>
    </row>
    <row r="833">
      <c r="A833" t="inlineStr">
        <is>
          <t>NMVOC, non-methane volatile organic compounds</t>
        </is>
      </c>
      <c r="B833">
        <v>2.9516741802169465e-07</v>
      </c>
      <c r="D833" t="inlineStr">
        <is>
          <t>kilogram</t>
        </is>
      </c>
      <c r="E833" t="inlineStr">
        <is>
          <t>air::urban air close to ground</t>
        </is>
      </c>
      <c r="F833" t="inlineStr">
        <is>
          <t>biosphere</t>
        </is>
      </c>
      <c r="I833">
        <v>0</v>
      </c>
    </row>
    <row r="834">
      <c r="A834" t="inlineStr">
        <is>
          <t>Formaldehyde</t>
        </is>
      </c>
      <c r="B834">
        <v>3.04970020629929e-08</v>
      </c>
      <c r="D834" t="inlineStr">
        <is>
          <t>kilogram</t>
        </is>
      </c>
      <c r="E834" t="inlineStr">
        <is>
          <t>air::urban air close to ground</t>
        </is>
      </c>
      <c r="F834" t="inlineStr">
        <is>
          <t>biosphere</t>
        </is>
      </c>
      <c r="I834">
        <v>0</v>
      </c>
    </row>
    <row r="835">
      <c r="A835" t="inlineStr">
        <is>
          <t>Nitrogen oxides</t>
        </is>
      </c>
      <c r="B835">
        <v>6.99907066197852e-05</v>
      </c>
      <c r="D835" t="inlineStr">
        <is>
          <t>kilogram</t>
        </is>
      </c>
      <c r="E835" t="inlineStr">
        <is>
          <t>air::urban air close to ground</t>
        </is>
      </c>
      <c r="F835" t="inlineStr">
        <is>
          <t>biosphere</t>
        </is>
      </c>
      <c r="I835">
        <v>0</v>
      </c>
    </row>
    <row r="836">
      <c r="A836" t="inlineStr">
        <is>
          <t>Formaldehyde</t>
        </is>
      </c>
      <c r="B836">
        <v>8.171666492576685e-08</v>
      </c>
      <c r="D836" t="inlineStr">
        <is>
          <t>kilogram</t>
        </is>
      </c>
      <c r="E836" t="inlineStr">
        <is>
          <t>air::non-urban air or from high stacks</t>
        </is>
      </c>
      <c r="F836" t="inlineStr">
        <is>
          <t>biosphere</t>
        </is>
      </c>
      <c r="I836">
        <v>0</v>
      </c>
    </row>
    <row r="837">
      <c r="A837" t="inlineStr">
        <is>
          <t>Zinc II</t>
        </is>
      </c>
      <c r="B837">
        <v>3.051257530798148e-10</v>
      </c>
      <c r="D837" t="inlineStr">
        <is>
          <t>kilogram</t>
        </is>
      </c>
      <c r="E837" t="inlineStr">
        <is>
          <t>air::non-urban air or from high stacks</t>
        </is>
      </c>
      <c r="F837" t="inlineStr">
        <is>
          <t>biosphere</t>
        </is>
      </c>
      <c r="I837">
        <v>0</v>
      </c>
    </row>
    <row r="838">
      <c r="A838" t="inlineStr">
        <is>
          <t>Carbon monoxide, fossil</t>
        </is>
      </c>
      <c r="B838">
        <v>3.4291435191313595e-06</v>
      </c>
      <c r="D838" t="inlineStr">
        <is>
          <t>kilogram</t>
        </is>
      </c>
      <c r="E838" t="inlineStr">
        <is>
          <t>air::urban air close to ground</t>
        </is>
      </c>
      <c r="F838" t="inlineStr">
        <is>
          <t>biosphere</t>
        </is>
      </c>
      <c r="I838">
        <v>0</v>
      </c>
    </row>
    <row r="839">
      <c r="A839" t="inlineStr">
        <is>
          <t>m-Xylene</t>
        </is>
      </c>
      <c r="B839">
        <v>3.5579834982156424e-09</v>
      </c>
      <c r="D839" t="inlineStr">
        <is>
          <t>kilogram</t>
        </is>
      </c>
      <c r="E839" t="inlineStr">
        <is>
          <t>air::urban air close to ground</t>
        </is>
      </c>
      <c r="F839" t="inlineStr">
        <is>
          <t>biosphere</t>
        </is>
      </c>
      <c r="I839">
        <v>0</v>
      </c>
    </row>
    <row r="840">
      <c r="A840" t="inlineStr">
        <is>
          <t>PAH, polycyclic aromatic hydrocarbons</t>
        </is>
      </c>
      <c r="B840">
        <v>1.3253673720206761e-09</v>
      </c>
      <c r="D840" t="inlineStr">
        <is>
          <t>kilogram</t>
        </is>
      </c>
      <c r="E840" t="inlineStr">
        <is>
          <t>air::non-urban air or from high stacks</t>
        </is>
      </c>
      <c r="F840" t="inlineStr">
        <is>
          <t>biosphere</t>
        </is>
      </c>
      <c r="I840">
        <v>0</v>
      </c>
    </row>
    <row r="841">
      <c r="A841" t="inlineStr">
        <is>
          <t>Particulate Matter, &lt; 2.5 um</t>
        </is>
      </c>
      <c r="B841">
        <v>4.776281554847676e-07</v>
      </c>
      <c r="D841" t="inlineStr">
        <is>
          <t>kilogram</t>
        </is>
      </c>
      <c r="E841" t="inlineStr">
        <is>
          <t>air::non-urban air or from high stacks</t>
        </is>
      </c>
      <c r="F841" t="inlineStr">
        <is>
          <t>biosphere</t>
        </is>
      </c>
      <c r="I841">
        <v>0</v>
      </c>
    </row>
    <row r="842">
      <c r="A842" t="inlineStr">
        <is>
          <t>Pentane</t>
        </is>
      </c>
      <c r="B842">
        <v>5.836904424366724e-10</v>
      </c>
      <c r="D842" t="inlineStr">
        <is>
          <t>kilogram</t>
        </is>
      </c>
      <c r="E842" t="inlineStr">
        <is>
          <t>air::non-urban air or from high stacks</t>
        </is>
      </c>
      <c r="F842" t="inlineStr">
        <is>
          <t>biosphere</t>
        </is>
      </c>
      <c r="I842">
        <v>0</v>
      </c>
    </row>
    <row r="843">
      <c r="A843" t="inlineStr">
        <is>
          <t>1,1,1,2-Tetrafluoroethane</t>
        </is>
      </c>
      <c r="B843">
        <v>1.0592803277176511e-07</v>
      </c>
      <c r="D843" t="inlineStr">
        <is>
          <t>kilogram</t>
        </is>
      </c>
      <c r="E843" t="inlineStr">
        <is>
          <t>air</t>
        </is>
      </c>
      <c r="F843" t="inlineStr">
        <is>
          <t>biosphere</t>
        </is>
      </c>
      <c r="I843">
        <v>0</v>
      </c>
    </row>
    <row r="844">
      <c r="A844" t="inlineStr">
        <is>
          <t>Acetaldehyde</t>
        </is>
      </c>
      <c r="B844">
        <v>1.6591821111403828e-08</v>
      </c>
      <c r="D844" t="inlineStr">
        <is>
          <t>kilogram</t>
        </is>
      </c>
      <c r="E844" t="inlineStr">
        <is>
          <t>air::urban air close to ground</t>
        </is>
      </c>
      <c r="F844" t="inlineStr">
        <is>
          <t>biosphere</t>
        </is>
      </c>
      <c r="I844">
        <v>0</v>
      </c>
    </row>
    <row r="845">
      <c r="A845" t="inlineStr">
        <is>
          <t>Benzene</t>
        </is>
      </c>
      <c r="B845">
        <v>6.21217814219678e-09</v>
      </c>
      <c r="D845" t="inlineStr">
        <is>
          <t>kilogram</t>
        </is>
      </c>
      <c r="E845" t="inlineStr">
        <is>
          <t>air::urban air close to ground</t>
        </is>
      </c>
      <c r="F845" t="inlineStr">
        <is>
          <t>biosphere</t>
        </is>
      </c>
      <c r="I845">
        <v>0</v>
      </c>
    </row>
    <row r="846">
      <c r="A846" t="inlineStr">
        <is>
          <t>Mercury II</t>
        </is>
      </c>
      <c r="B846">
        <v>3.342847041832335e-11</v>
      </c>
      <c r="D846" t="inlineStr">
        <is>
          <t>kilogram</t>
        </is>
      </c>
      <c r="E846" t="inlineStr">
        <is>
          <t>air::urban air close to ground</t>
        </is>
      </c>
      <c r="F846" t="inlineStr">
        <is>
          <t>biosphere</t>
        </is>
      </c>
      <c r="I846">
        <v>0</v>
      </c>
    </row>
    <row r="847">
      <c r="A847" t="inlineStr">
        <is>
          <t>Cadmium II</t>
        </is>
      </c>
      <c r="B847">
        <v>3.152603660310432e-13</v>
      </c>
      <c r="D847" t="inlineStr">
        <is>
          <t>kilogram</t>
        </is>
      </c>
      <c r="E847" t="inlineStr">
        <is>
          <t>air::urban air close to ground</t>
        </is>
      </c>
      <c r="F847" t="inlineStr">
        <is>
          <t>biosphere</t>
        </is>
      </c>
      <c r="I847">
        <v>0</v>
      </c>
    </row>
    <row r="848">
      <c r="A848" t="inlineStr">
        <is>
          <t>Propane</t>
        </is>
      </c>
      <c r="B848">
        <v>9.728174395924623e-10</v>
      </c>
      <c r="D848" t="inlineStr">
        <is>
          <t>kilogram</t>
        </is>
      </c>
      <c r="E848" t="inlineStr">
        <is>
          <t>air::non-urban air or from high stacks</t>
        </is>
      </c>
      <c r="F848" t="inlineStr">
        <is>
          <t>biosphere</t>
        </is>
      </c>
      <c r="I848">
        <v>0</v>
      </c>
    </row>
    <row r="849">
      <c r="A849" t="inlineStr">
        <is>
          <t>Chromium III</t>
        </is>
      </c>
      <c r="B849">
        <v>1.4418831693273988e-10</v>
      </c>
      <c r="D849" t="inlineStr">
        <is>
          <t>kilogram</t>
        </is>
      </c>
      <c r="E849" t="inlineStr">
        <is>
          <t>air::non-urban air or from high stacks</t>
        </is>
      </c>
      <c r="F849" t="inlineStr">
        <is>
          <t>biosphere</t>
        </is>
      </c>
      <c r="I849">
        <v>0</v>
      </c>
    </row>
    <row r="850">
      <c r="A850" t="inlineStr">
        <is>
          <t>Acrolein</t>
        </is>
      </c>
      <c r="B850">
        <v>6.42615413607384e-09</v>
      </c>
      <c r="D850" t="inlineStr">
        <is>
          <t>kilogram</t>
        </is>
      </c>
      <c r="E850" t="inlineStr">
        <is>
          <t>air::urban air close to ground</t>
        </is>
      </c>
      <c r="F850" t="inlineStr">
        <is>
          <t>biosphere</t>
        </is>
      </c>
      <c r="I850">
        <v>0</v>
      </c>
    </row>
    <row r="851">
      <c r="A851" t="inlineStr">
        <is>
          <t>Benzaldehyde</t>
        </is>
      </c>
      <c r="B851">
        <v>4.9739159967409846e-09</v>
      </c>
      <c r="D851" t="inlineStr">
        <is>
          <t>kilogram</t>
        </is>
      </c>
      <c r="E851" t="inlineStr">
        <is>
          <t>air::urban air close to ground</t>
        </is>
      </c>
      <c r="F851" t="inlineStr">
        <is>
          <t>biosphere</t>
        </is>
      </c>
      <c r="I851">
        <v>0</v>
      </c>
    </row>
    <row r="852">
      <c r="A852" t="inlineStr">
        <is>
          <t>Heptane</t>
        </is>
      </c>
      <c r="B852">
        <v>1.0891786755623254e-09</v>
      </c>
      <c r="D852" t="inlineStr">
        <is>
          <t>kilogram</t>
        </is>
      </c>
      <c r="E852" t="inlineStr">
        <is>
          <t>air::urban air close to ground</t>
        </is>
      </c>
      <c r="F852" t="inlineStr">
        <is>
          <t>biosphere</t>
        </is>
      </c>
      <c r="I852">
        <v>0</v>
      </c>
    </row>
    <row r="853">
      <c r="A853" t="inlineStr">
        <is>
          <t>o-Xylene</t>
        </is>
      </c>
      <c r="B853">
        <v>1.452238139332855e-09</v>
      </c>
      <c r="D853" t="inlineStr">
        <is>
          <t>kilogram</t>
        </is>
      </c>
      <c r="E853" t="inlineStr">
        <is>
          <t>air::urban air close to ground</t>
        </is>
      </c>
      <c r="F853" t="inlineStr">
        <is>
          <t>biosphere</t>
        </is>
      </c>
      <c r="I853">
        <v>0</v>
      </c>
    </row>
    <row r="854">
      <c r="A854" t="inlineStr">
        <is>
          <t>Selenium IV</t>
        </is>
      </c>
      <c r="B854">
        <v>6.332385327245513e-13</v>
      </c>
      <c r="D854" t="inlineStr">
        <is>
          <t>kilogram</t>
        </is>
      </c>
      <c r="E854" t="inlineStr">
        <is>
          <t>air::urban air close to ground</t>
        </is>
      </c>
      <c r="F854" t="inlineStr">
        <is>
          <t>biosphere</t>
        </is>
      </c>
      <c r="I854">
        <v>0</v>
      </c>
    </row>
    <row r="855">
      <c r="A855" t="inlineStr">
        <is>
          <t>Styrene</t>
        </is>
      </c>
      <c r="B855">
        <v>2.033133508766291e-09</v>
      </c>
      <c r="D855" t="inlineStr">
        <is>
          <t>kilogram</t>
        </is>
      </c>
      <c r="E855" t="inlineStr">
        <is>
          <t>air::urban air close to ground</t>
        </is>
      </c>
      <c r="F855" t="inlineStr">
        <is>
          <t>biosphere</t>
        </is>
      </c>
      <c r="I855">
        <v>0</v>
      </c>
    </row>
    <row r="856">
      <c r="A856" t="inlineStr">
        <is>
          <t>Acetaldehyde</t>
        </is>
      </c>
      <c r="B856">
        <v>4.4457756307173774e-08</v>
      </c>
      <c r="D856" t="inlineStr">
        <is>
          <t>kilogram</t>
        </is>
      </c>
      <c r="E856" t="inlineStr">
        <is>
          <t>air::non-urban air or from high stacks</t>
        </is>
      </c>
      <c r="F856" t="inlineStr">
        <is>
          <t>biosphere</t>
        </is>
      </c>
      <c r="I856">
        <v>0</v>
      </c>
    </row>
    <row r="857">
      <c r="A857" t="inlineStr">
        <is>
          <t>Acrolein</t>
        </is>
      </c>
      <c r="B857">
        <v>1.7218867998584824e-08</v>
      </c>
      <c r="D857" t="inlineStr">
        <is>
          <t>kilogram</t>
        </is>
      </c>
      <c r="E857" t="inlineStr">
        <is>
          <t>air::non-urban air or from high stacks</t>
        </is>
      </c>
      <c r="F857" t="inlineStr">
        <is>
          <t>biosphere</t>
        </is>
      </c>
      <c r="I857">
        <v>0</v>
      </c>
    </row>
    <row r="858">
      <c r="A858" t="inlineStr">
        <is>
          <t>Benzaldehyde</t>
        </is>
      </c>
      <c r="B858">
        <v>1.3327598240214973e-08</v>
      </c>
      <c r="D858" t="inlineStr">
        <is>
          <t>kilogram</t>
        </is>
      </c>
      <c r="E858" t="inlineStr">
        <is>
          <t>air::non-urban air or from high stacks</t>
        </is>
      </c>
      <c r="F858" t="inlineStr">
        <is>
          <t>biosphere</t>
        </is>
      </c>
      <c r="I858">
        <v>0</v>
      </c>
    </row>
    <row r="859">
      <c r="A859" t="inlineStr">
        <is>
          <t>Heptane</t>
        </is>
      </c>
      <c r="B859">
        <v>2.9184523187773873e-09</v>
      </c>
      <c r="D859" t="inlineStr">
        <is>
          <t>kilogram</t>
        </is>
      </c>
      <c r="E859" t="inlineStr">
        <is>
          <t>air::non-urban air or from high stacks</t>
        </is>
      </c>
      <c r="F859" t="inlineStr">
        <is>
          <t>biosphere</t>
        </is>
      </c>
      <c r="I859">
        <v>0</v>
      </c>
    </row>
    <row r="860">
      <c r="A860" t="inlineStr">
        <is>
          <t>m-Xylene</t>
        </is>
      </c>
      <c r="B860">
        <v>9.533610453204961e-09</v>
      </c>
      <c r="D860" t="inlineStr">
        <is>
          <t>kilogram</t>
        </is>
      </c>
      <c r="E860" t="inlineStr">
        <is>
          <t>air::non-urban air or from high stacks</t>
        </is>
      </c>
      <c r="F860" t="inlineStr">
        <is>
          <t>biosphere</t>
        </is>
      </c>
      <c r="I860">
        <v>0</v>
      </c>
    </row>
    <row r="861">
      <c r="A861" t="inlineStr">
        <is>
          <t>o-Xylene</t>
        </is>
      </c>
      <c r="B861">
        <v>3.891269758369849e-09</v>
      </c>
      <c r="D861" t="inlineStr">
        <is>
          <t>kilogram</t>
        </is>
      </c>
      <c r="E861" t="inlineStr">
        <is>
          <t>air::non-urban air or from high stacks</t>
        </is>
      </c>
      <c r="F861" t="inlineStr">
        <is>
          <t>biosphere</t>
        </is>
      </c>
      <c r="I861">
        <v>0</v>
      </c>
    </row>
    <row r="862">
      <c r="A862" t="inlineStr">
        <is>
          <t>Styrene</t>
        </is>
      </c>
      <c r="B862">
        <v>5.447777889118377e-09</v>
      </c>
      <c r="D862" t="inlineStr">
        <is>
          <t>kilogram</t>
        </is>
      </c>
      <c r="E862" t="inlineStr">
        <is>
          <t>air::non-urban air or from high stacks</t>
        </is>
      </c>
      <c r="F862" t="inlineStr">
        <is>
          <t>biosphere</t>
        </is>
      </c>
      <c r="I862">
        <v>0</v>
      </c>
    </row>
    <row r="863">
      <c r="A863" t="inlineStr">
        <is>
          <t>exhaust system, for lorry</t>
        </is>
      </c>
      <c r="B863">
        <v>2.4791665583947556e-05</v>
      </c>
      <c r="C863" t="inlineStr">
        <is>
          <t>RER</t>
        </is>
      </c>
      <c r="D863" t="inlineStr">
        <is>
          <t>kilogram</t>
        </is>
      </c>
      <c r="F863" t="inlineStr">
        <is>
          <t>technosphere</t>
        </is>
      </c>
      <c r="G863" t="inlineStr">
        <is>
          <t>exhaust system, for lorry</t>
        </is>
      </c>
      <c r="H863" t="inlineStr">
        <is>
          <t> Energy-use allocation: 220 * 1.367427797431765e-07 / 1.2134485858415922 MJ per ton kilometer.</t>
        </is>
      </c>
      <c r="I863">
        <v>0</v>
      </c>
    </row>
    <row r="864">
      <c r="A864" t="inlineStr">
        <is>
          <t>fuel tank, for diesel vehicle</t>
        </is>
      </c>
      <c r="B864">
        <v>6.181935329374144e-06</v>
      </c>
      <c r="C864" t="inlineStr">
        <is>
          <t>RER</t>
        </is>
      </c>
      <c r="D864" t="inlineStr">
        <is>
          <t>kilogram</t>
        </is>
      </c>
      <c r="F864" t="inlineStr">
        <is>
          <t>technosphere</t>
        </is>
      </c>
      <c r="G864" t="inlineStr">
        <is>
          <t>fuel tank</t>
        </is>
      </c>
      <c r="H864" t="inlineStr">
        <is>
          <t> Energy-use allocation: 54.85818481445312 * 1.367427797431765e-07 / 1.2134485858415922 MJ per ton kilometer.</t>
        </is>
      </c>
      <c r="I864">
        <v>0</v>
      </c>
    </row>
    <row r="865">
      <c r="A865" t="inlineStr">
        <is>
          <t>gearbox, for lorry</t>
        </is>
      </c>
      <c r="B865">
        <v>2.271818151381884e-05</v>
      </c>
      <c r="C865" t="inlineStr">
        <is>
          <t>RER</t>
        </is>
      </c>
      <c r="D865" t="inlineStr">
        <is>
          <t>kilogram</t>
        </is>
      </c>
      <c r="F865" t="inlineStr">
        <is>
          <t>technosphere</t>
        </is>
      </c>
      <c r="G865" t="inlineStr">
        <is>
          <t>gearbox, for lorry</t>
        </is>
      </c>
      <c r="H865" t="inlineStr">
        <is>
          <t> Energy-use allocation: 201.6000061035156 * 1.367427797431765e-07 / 1.2134485858415922 MJ per ton kilometer.</t>
        </is>
      </c>
      <c r="I865">
        <v>0</v>
      </c>
    </row>
    <row r="866">
      <c r="A866" t="inlineStr">
        <is>
          <t>internal combustion engine, for lorry</t>
        </is>
      </c>
      <c r="B866">
        <v>0.000121895652649343</v>
      </c>
      <c r="C866" t="inlineStr">
        <is>
          <t>RER</t>
        </is>
      </c>
      <c r="D866" t="inlineStr">
        <is>
          <t>kilogram</t>
        </is>
      </c>
      <c r="F866" t="inlineStr">
        <is>
          <t>technosphere</t>
        </is>
      </c>
      <c r="G866" t="inlineStr">
        <is>
          <t>internal combustion engine, for lorry</t>
        </is>
      </c>
      <c r="H866" t="inlineStr">
        <is>
          <t> Energy-use allocation: 1081.695922851562 * 1.367427797431765e-07 / 1.2134485858415922 MJ per ton kilometer.</t>
        </is>
      </c>
      <c r="I866">
        <v>0</v>
      </c>
    </row>
    <row r="867">
      <c r="A867" t="inlineStr">
        <is>
          <t>lead acid battery, for lorry</t>
        </is>
      </c>
      <c r="B867">
        <v>3.7651515024380753e-06</v>
      </c>
      <c r="C867" t="inlineStr">
        <is>
          <t>RER</t>
        </is>
      </c>
      <c r="D867" t="inlineStr">
        <is>
          <t>kilogram</t>
        </is>
      </c>
      <c r="F867" t="inlineStr">
        <is>
          <t>technosphere</t>
        </is>
      </c>
      <c r="G867" t="inlineStr">
        <is>
          <t>lead acid battery, for lorry</t>
        </is>
      </c>
      <c r="H867" t="inlineStr">
        <is>
          <t> Energy-use allocation: 33.41176605224609 * 1.367427797431765e-07 / 1.2134485858415922 MJ per ton kilometer.</t>
        </is>
      </c>
      <c r="I867">
        <v>0</v>
      </c>
    </row>
    <row r="868">
      <c r="A868" t="inlineStr">
        <is>
          <t>power electronics, for lorry</t>
        </is>
      </c>
      <c r="B868">
        <v>2.986268808975501e-05</v>
      </c>
      <c r="C868" t="inlineStr">
        <is>
          <t>RER</t>
        </is>
      </c>
      <c r="D868" t="inlineStr">
        <is>
          <t>kilogram</t>
        </is>
      </c>
      <c r="F868" t="inlineStr">
        <is>
          <t>technosphere</t>
        </is>
      </c>
      <c r="G868" t="inlineStr">
        <is>
          <t>power electronics, for lorry</t>
        </is>
      </c>
      <c r="H868" t="inlineStr">
        <is>
          <t> Energy-use allocation: 265 * 1.367427797431765e-07 / 1.2134485858415922 MJ per ton kilometer.</t>
        </is>
      </c>
      <c r="I868">
        <v>0</v>
      </c>
    </row>
    <row r="869">
      <c r="A869" t="inlineStr">
        <is>
          <t>retarder, for lorry</t>
        </is>
      </c>
      <c r="B869">
        <v>7.572726598105075e-06</v>
      </c>
      <c r="C869" t="inlineStr">
        <is>
          <t>RER</t>
        </is>
      </c>
      <c r="D869" t="inlineStr">
        <is>
          <t>kilogram</t>
        </is>
      </c>
      <c r="F869" t="inlineStr">
        <is>
          <t>technosphere</t>
        </is>
      </c>
      <c r="G869" t="inlineStr">
        <is>
          <t>retarder, for lorry</t>
        </is>
      </c>
      <c r="H869" t="inlineStr">
        <is>
          <t> Energy-use allocation: 67.19999694824219 * 1.367427797431765e-07 / 1.2134485858415922 MJ per ton kilometer.</t>
        </is>
      </c>
      <c r="I869">
        <v>0</v>
      </c>
    </row>
    <row r="870">
      <c r="A870" t="inlineStr">
        <is>
          <t>transmission, for lorry</t>
        </is>
      </c>
      <c r="B870">
        <v>3.281514801862079e-05</v>
      </c>
      <c r="C870" t="inlineStr">
        <is>
          <t>RER</t>
        </is>
      </c>
      <c r="D870" t="inlineStr">
        <is>
          <t>kilogram</t>
        </is>
      </c>
      <c r="F870" t="inlineStr">
        <is>
          <t>technosphere</t>
        </is>
      </c>
      <c r="G870" t="inlineStr">
        <is>
          <t>transmission, for lorry</t>
        </is>
      </c>
      <c r="H870" t="inlineStr">
        <is>
          <t> Energy-use allocation: 291.1999816894531 * 1.367427797431765e-07 / 1.2134485858415922 MJ per ton kilometer.</t>
        </is>
      </c>
      <c r="I870">
        <v>0</v>
      </c>
    </row>
    <row r="871">
      <c r="A871" t="inlineStr">
        <is>
          <t>Carbon dioxide, fossil</t>
        </is>
      </c>
      <c r="B871">
        <v>0.0732</v>
      </c>
      <c r="D871" t="inlineStr">
        <is>
          <t>kilogram</t>
        </is>
      </c>
      <c r="E871" t="inlineStr">
        <is>
          <t>air::urban air close to ground</t>
        </is>
      </c>
      <c r="F871" t="inlineStr">
        <is>
          <t>biosphere</t>
        </is>
      </c>
      <c r="I871">
        <v>0</v>
      </c>
    </row>
    <row r="872"/>
    <row r="873">
      <c r="A873" t="inlineStr">
        <is>
          <t>Activity</t>
        </is>
      </c>
      <c r="B873" t="inlineStr">
        <is>
          <t>diesel, burned in single deck coach or urban bus</t>
        </is>
      </c>
    </row>
    <row r="874">
      <c r="A874" t="inlineStr">
        <is>
          <t>comment</t>
        </is>
      </c>
      <c r="B874"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875">
      <c r="A875" t="inlineStr">
        <is>
          <t>description</t>
        </is>
      </c>
      <c r="B87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876">
      <c r="A876" t="inlineStr">
        <is>
          <t>location</t>
        </is>
      </c>
      <c r="B876" t="inlineStr">
        <is>
          <t>RER</t>
        </is>
      </c>
    </row>
    <row r="877">
      <c r="A877" t="inlineStr">
        <is>
          <t>production amount</t>
        </is>
      </c>
      <c r="B877">
        <v>1</v>
      </c>
    </row>
    <row r="878">
      <c r="A878" t="inlineStr">
        <is>
          <t>reference product</t>
        </is>
      </c>
      <c r="B878" t="inlineStr">
        <is>
          <t>heat</t>
        </is>
      </c>
    </row>
    <row r="879">
      <c r="A879" t="inlineStr">
        <is>
          <t>type</t>
        </is>
      </c>
      <c r="B879" t="inlineStr">
        <is>
          <t>process</t>
        </is>
      </c>
    </row>
    <row r="880">
      <c r="A880" t="inlineStr">
        <is>
          <t>unit</t>
        </is>
      </c>
      <c r="B880" t="inlineStr">
        <is>
          <t>megajoule</t>
        </is>
      </c>
    </row>
    <row r="881">
      <c r="A881" t="inlineStr">
        <is>
          <t>Power, mean</t>
        </is>
      </c>
      <c r="B881">
        <v>245</v>
      </c>
    </row>
    <row r="882">
      <c r="A882" t="inlineStr">
        <is>
          <t>Power, min</t>
        </is>
      </c>
      <c r="B882">
        <v>125</v>
      </c>
    </row>
    <row r="883">
      <c r="A883" t="inlineStr">
        <is>
          <t>Power, max</t>
        </is>
      </c>
      <c r="B883">
        <v>323</v>
      </c>
    </row>
    <row r="884">
      <c r="A884" t="inlineStr">
        <is>
          <t>Lifetime, mean</t>
        </is>
      </c>
      <c r="B884">
        <v>700000</v>
      </c>
    </row>
    <row r="885">
      <c r="A885" t="inlineStr">
        <is>
          <t>Lifetime, min</t>
        </is>
      </c>
      <c r="B885">
        <v>500000</v>
      </c>
    </row>
    <row r="886">
      <c r="A886" t="inlineStr">
        <is>
          <t>Lifetime, max</t>
        </is>
      </c>
      <c r="B886">
        <v>1000000</v>
      </c>
    </row>
    <row r="887">
      <c r="A887" t="inlineStr">
        <is>
          <t>Energy use, mean</t>
        </is>
      </c>
      <c r="B887">
        <v>9500</v>
      </c>
    </row>
    <row r="888">
      <c r="A888" t="inlineStr">
        <is>
          <t>Energy use, min</t>
        </is>
      </c>
      <c r="B888">
        <v>6000</v>
      </c>
    </row>
    <row r="889">
      <c r="A889" t="inlineStr">
        <is>
          <t>Energy use, max</t>
        </is>
      </c>
      <c r="B889">
        <v>12200</v>
      </c>
    </row>
    <row r="890">
      <c r="A890" t="inlineStr">
        <is>
          <t>Electric motor, mean</t>
        </is>
      </c>
      <c r="B890">
        <v>0</v>
      </c>
    </row>
    <row r="891">
      <c r="A891" t="inlineStr">
        <is>
          <t>Electric motor, min</t>
        </is>
      </c>
      <c r="B891">
        <v>0</v>
      </c>
    </row>
    <row r="892">
      <c r="A892" t="inlineStr">
        <is>
          <t>Electric motor, max</t>
        </is>
      </c>
      <c r="B892">
        <v>0</v>
      </c>
    </row>
    <row r="893">
      <c r="A893" t="inlineStr">
        <is>
          <t>Combustion engine, mean</t>
        </is>
      </c>
      <c r="B893">
        <v>733</v>
      </c>
    </row>
    <row r="894">
      <c r="A894" t="inlineStr">
        <is>
          <t>Combustion engine, min</t>
        </is>
      </c>
      <c r="B894">
        <v>400</v>
      </c>
    </row>
    <row r="895">
      <c r="A895" t="inlineStr">
        <is>
          <t>Combustion engine, max</t>
        </is>
      </c>
      <c r="B895">
        <v>955</v>
      </c>
    </row>
    <row r="896">
      <c r="A896" t="inlineStr">
        <is>
          <t>Fuel tank, mean</t>
        </is>
      </c>
      <c r="B896">
        <v>48</v>
      </c>
    </row>
    <row r="897">
      <c r="A897" t="inlineStr">
        <is>
          <t>Fuel tank, min</t>
        </is>
      </c>
      <c r="B897">
        <v>38</v>
      </c>
    </row>
    <row r="898">
      <c r="A898" t="inlineStr">
        <is>
          <t>Fuel tank, max</t>
        </is>
      </c>
      <c r="B898">
        <v>53</v>
      </c>
    </row>
    <row r="899">
      <c r="A899" t="inlineStr">
        <is>
          <t>Battery capacity, mean</t>
        </is>
      </c>
      <c r="B899">
        <v>0</v>
      </c>
    </row>
    <row r="900">
      <c r="A900" t="inlineStr">
        <is>
          <t>Battery capacity, min</t>
        </is>
      </c>
      <c r="B900">
        <v>0</v>
      </c>
    </row>
    <row r="901">
      <c r="A901" t="inlineStr">
        <is>
          <t>Battery capacity, max</t>
        </is>
      </c>
      <c r="B901">
        <v>0</v>
      </c>
    </row>
    <row r="902">
      <c r="A902" t="inlineStr">
        <is>
          <t>Battery replacement, mean</t>
        </is>
      </c>
      <c r="B902">
        <v>0</v>
      </c>
    </row>
    <row r="903">
      <c r="A903" t="inlineStr">
        <is>
          <t>Battery replacement, min</t>
        </is>
      </c>
      <c r="B903">
        <v>0</v>
      </c>
    </row>
    <row r="904">
      <c r="A904" t="inlineStr">
        <is>
          <t>Battery replacement, max</t>
        </is>
      </c>
      <c r="B904">
        <v>0</v>
      </c>
    </row>
    <row r="905">
      <c r="A905" t="inlineStr">
        <is>
          <t>Fuel cell system, mean</t>
        </is>
      </c>
      <c r="B905">
        <v>0</v>
      </c>
    </row>
    <row r="906">
      <c r="A906" t="inlineStr">
        <is>
          <t>Fuel cell system, min</t>
        </is>
      </c>
      <c r="B906">
        <v>0</v>
      </c>
    </row>
    <row r="907">
      <c r="A907" t="inlineStr">
        <is>
          <t>Fuel cell system, max</t>
        </is>
      </c>
      <c r="B907">
        <v>0</v>
      </c>
    </row>
    <row r="908">
      <c r="A908" t="inlineStr">
        <is>
          <t>Fuel cell stack replacement, mean</t>
        </is>
      </c>
      <c r="B908">
        <v>0</v>
      </c>
    </row>
    <row r="909">
      <c r="A909" t="inlineStr">
        <is>
          <t>Fuel cell replacement, min</t>
        </is>
      </c>
      <c r="B909">
        <v>0</v>
      </c>
    </row>
    <row r="910">
      <c r="A910" t="inlineStr">
        <is>
          <t>Fuel cell replacement, max</t>
        </is>
      </c>
      <c r="B910">
        <v>0</v>
      </c>
    </row>
    <row r="911">
      <c r="A911" t="inlineStr">
        <is>
          <t>Onboard charger mass</t>
        </is>
      </c>
      <c r="B911">
        <v>0</v>
      </c>
    </row>
    <row r="912">
      <c r="A912" t="inlineStr">
        <is>
          <t>Controller mass</t>
        </is>
      </c>
      <c r="B912">
        <v>0</v>
      </c>
    </row>
    <row r="913">
      <c r="A913" t="inlineStr">
        <is>
          <t>Converter mass</t>
        </is>
      </c>
      <c r="B913">
        <v>0</v>
      </c>
    </row>
    <row r="914">
      <c r="A914" t="inlineStr">
        <is>
          <t>Electrical powertrain mass</t>
        </is>
      </c>
      <c r="B914">
        <v>0</v>
      </c>
    </row>
    <row r="915">
      <c r="A915" t="inlineStr">
        <is>
          <t>Inverter mass</t>
        </is>
      </c>
      <c r="B915">
        <v>0</v>
      </c>
    </row>
    <row r="916">
      <c r="A916" t="inlineStr">
        <is>
          <t>NOx</t>
        </is>
      </c>
      <c r="B916">
        <v>0.158234892</v>
      </c>
    </row>
    <row r="917">
      <c r="A917" t="inlineStr">
        <is>
          <t>PM 2.5</t>
        </is>
      </c>
      <c r="B917">
        <v>0.000213184</v>
      </c>
    </row>
    <row r="918">
      <c r="A918" t="inlineStr">
        <is>
          <t>energy use source</t>
        </is>
      </c>
      <c r="B918"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false}</t>
        </is>
      </c>
    </row>
    <row r="919">
      <c r="A919" t="inlineStr">
        <is>
          <t>Exchanges</t>
        </is>
      </c>
    </row>
    <row r="920">
      <c r="A920" t="inlineStr">
        <is>
          <t>name</t>
        </is>
      </c>
      <c r="B920" t="inlineStr">
        <is>
          <t>amount</t>
        </is>
      </c>
      <c r="C920" t="inlineStr">
        <is>
          <t>location</t>
        </is>
      </c>
      <c r="D920" t="inlineStr">
        <is>
          <t>unit</t>
        </is>
      </c>
      <c r="E920" t="inlineStr">
        <is>
          <t>categories</t>
        </is>
      </c>
      <c r="F920" t="inlineStr">
        <is>
          <t>type</t>
        </is>
      </c>
      <c r="G920" t="inlineStr">
        <is>
          <t>reference product</t>
        </is>
      </c>
      <c r="H920" t="inlineStr">
        <is>
          <t>comment</t>
        </is>
      </c>
      <c r="I920" t="inlineStr">
        <is>
          <t>uncertainty type</t>
        </is>
      </c>
    </row>
    <row r="921">
      <c r="A921" t="inlineStr">
        <is>
          <t>diesel, burned in single deck coach or urban bus</t>
        </is>
      </c>
      <c r="B921">
        <v>1.0</v>
      </c>
      <c r="C921" t="inlineStr">
        <is>
          <t>RER</t>
        </is>
      </c>
      <c r="D921" t="inlineStr">
        <is>
          <t>megajoule</t>
        </is>
      </c>
      <c r="F921" t="inlineStr">
        <is>
          <t>production</t>
        </is>
      </c>
      <c r="G921" t="inlineStr">
        <is>
          <t>heat</t>
        </is>
      </c>
      <c r="I921">
        <v>0</v>
      </c>
    </row>
    <row r="922">
      <c r="A922" t="inlineStr">
        <is>
          <t>market for diesel, low-sulfur</t>
        </is>
      </c>
      <c r="B922">
        <v>0.023255813953488375</v>
      </c>
      <c r="C922" t="inlineStr">
        <is>
          <t>Europe without Switzerland</t>
        </is>
      </c>
      <c r="D922" t="inlineStr">
        <is>
          <t>kilogram</t>
        </is>
      </c>
      <c r="F922" t="inlineStr">
        <is>
          <t>technosphere</t>
        </is>
      </c>
      <c r="G922" t="inlineStr">
        <is>
          <t>diesel, low-sulfur</t>
        </is>
      </c>
      <c r="I922">
        <v>0</v>
      </c>
    </row>
    <row r="923">
      <c r="A923" t="inlineStr">
        <is>
          <t>Acetaldehyde</t>
        </is>
      </c>
      <c r="B923">
        <v>1.0907339664243923e-07</v>
      </c>
      <c r="D923" t="inlineStr">
        <is>
          <t>kilogram</t>
        </is>
      </c>
      <c r="E923" t="inlineStr">
        <is>
          <t>air::urban air close to ground</t>
        </is>
      </c>
      <c r="F923" t="inlineStr">
        <is>
          <t>biosphere</t>
        </is>
      </c>
      <c r="I923">
        <v>0</v>
      </c>
    </row>
    <row r="924">
      <c r="A924" t="inlineStr">
        <is>
          <t>Acrolein</t>
        </is>
      </c>
      <c r="B924">
        <v>4.224505734291413e-08</v>
      </c>
      <c r="D924" t="inlineStr">
        <is>
          <t>kilogram</t>
        </is>
      </c>
      <c r="E924" t="inlineStr">
        <is>
          <t>air::urban air close to ground</t>
        </is>
      </c>
      <c r="F924" t="inlineStr">
        <is>
          <t>biosphere</t>
        </is>
      </c>
      <c r="I924">
        <v>0</v>
      </c>
    </row>
    <row r="925">
      <c r="A925" t="inlineStr">
        <is>
          <t>Ammonia</t>
        </is>
      </c>
      <c r="B925">
        <v>1.0561513719515261e-06</v>
      </c>
      <c r="D925" t="inlineStr">
        <is>
          <t>kilogram</t>
        </is>
      </c>
      <c r="E925" t="inlineStr">
        <is>
          <t>air::urban air close to ground</t>
        </is>
      </c>
      <c r="F925" t="inlineStr">
        <is>
          <t>biosphere</t>
        </is>
      </c>
      <c r="I925">
        <v>0</v>
      </c>
    </row>
    <row r="926">
      <c r="A926" t="inlineStr">
        <is>
          <t>Arsenic ion</t>
        </is>
      </c>
      <c r="B926">
        <v>2.3299999798920164e-12</v>
      </c>
      <c r="D926" t="inlineStr">
        <is>
          <t>kilogram</t>
        </is>
      </c>
      <c r="E926" t="inlineStr">
        <is>
          <t>air::urban air close to ground</t>
        </is>
      </c>
      <c r="F926" t="inlineStr">
        <is>
          <t>biosphere</t>
        </is>
      </c>
      <c r="I926">
        <v>0</v>
      </c>
    </row>
    <row r="927">
      <c r="A927" t="inlineStr">
        <is>
          <t>Benzaldehyde</t>
        </is>
      </c>
      <c r="B927">
        <v>3.2698151728696235e-08</v>
      </c>
      <c r="D927" t="inlineStr">
        <is>
          <t>kilogram</t>
        </is>
      </c>
      <c r="E927" t="inlineStr">
        <is>
          <t>air::urban air close to ground</t>
        </is>
      </c>
      <c r="F927" t="inlineStr">
        <is>
          <t>biosphere</t>
        </is>
      </c>
      <c r="I927">
        <v>0</v>
      </c>
    </row>
    <row r="928">
      <c r="A928" t="inlineStr">
        <is>
          <t>Benzene</t>
        </is>
      </c>
      <c r="B928">
        <v>2.9067283247454772e-08</v>
      </c>
      <c r="D928" t="inlineStr">
        <is>
          <t>kilogram</t>
        </is>
      </c>
      <c r="E928" t="inlineStr">
        <is>
          <t>air::urban air close to ground</t>
        </is>
      </c>
      <c r="F928" t="inlineStr">
        <is>
          <t>biosphere</t>
        </is>
      </c>
      <c r="I928">
        <v>0</v>
      </c>
    </row>
    <row r="929">
      <c r="A929" t="inlineStr">
        <is>
          <t>Butane</t>
        </is>
      </c>
      <c r="B929">
        <v>3.580089605331705e-09</v>
      </c>
      <c r="D929" t="inlineStr">
        <is>
          <t>kilogram</t>
        </is>
      </c>
      <c r="E929" t="inlineStr">
        <is>
          <t>air::urban air close to ground</t>
        </is>
      </c>
      <c r="F929" t="inlineStr">
        <is>
          <t>biosphere</t>
        </is>
      </c>
      <c r="I929">
        <v>0</v>
      </c>
    </row>
    <row r="930">
      <c r="A930" t="inlineStr">
        <is>
          <t>Cadmium II</t>
        </is>
      </c>
      <c r="B930">
        <v>2.019999982567328e-10</v>
      </c>
      <c r="D930" t="inlineStr">
        <is>
          <t>kilogram</t>
        </is>
      </c>
      <c r="E930" t="inlineStr">
        <is>
          <t>air::urban air close to ground</t>
        </is>
      </c>
      <c r="F930" t="inlineStr">
        <is>
          <t>biosphere</t>
        </is>
      </c>
      <c r="I930">
        <v>0</v>
      </c>
    </row>
    <row r="931">
      <c r="A931" t="inlineStr">
        <is>
          <t>Carbon dioxide, fossil</t>
        </is>
      </c>
      <c r="B931">
        <v>0.07325581395348833</v>
      </c>
      <c r="D931" t="inlineStr">
        <is>
          <t>kilogram</t>
        </is>
      </c>
      <c r="E931" t="inlineStr">
        <is>
          <t>air::unspecified</t>
        </is>
      </c>
      <c r="F931" t="inlineStr">
        <is>
          <t>biosphere</t>
        </is>
      </c>
      <c r="I931">
        <v>0</v>
      </c>
    </row>
    <row r="932">
      <c r="A932" t="inlineStr">
        <is>
          <t>Carbon monoxide, fossil</t>
        </is>
      </c>
      <c r="B932">
        <v>2.094191274474486e-05</v>
      </c>
      <c r="D932" t="inlineStr">
        <is>
          <t>kilogram</t>
        </is>
      </c>
      <c r="E932" t="inlineStr">
        <is>
          <t>air::urban air close to ground</t>
        </is>
      </c>
      <c r="F932" t="inlineStr">
        <is>
          <t>biosphere</t>
        </is>
      </c>
      <c r="I932">
        <v>0</v>
      </c>
    </row>
    <row r="933">
      <c r="A933" t="inlineStr">
        <is>
          <t>Chromium III</t>
        </is>
      </c>
      <c r="B933">
        <v>6.979999939762351e-10</v>
      </c>
      <c r="D933" t="inlineStr">
        <is>
          <t>kilogram</t>
        </is>
      </c>
      <c r="E933" t="inlineStr">
        <is>
          <t>air::urban air close to ground</t>
        </is>
      </c>
      <c r="F933" t="inlineStr">
        <is>
          <t>biosphere</t>
        </is>
      </c>
      <c r="I933">
        <v>0</v>
      </c>
    </row>
    <row r="934">
      <c r="A934" t="inlineStr">
        <is>
          <t>Chromium VI</t>
        </is>
      </c>
      <c r="B934">
        <v>1.3999999879179503e-12</v>
      </c>
      <c r="D934" t="inlineStr">
        <is>
          <t>kilogram</t>
        </is>
      </c>
      <c r="E934" t="inlineStr">
        <is>
          <t>air::urban air close to ground</t>
        </is>
      </c>
      <c r="F934" t="inlineStr">
        <is>
          <t>biosphere</t>
        </is>
      </c>
      <c r="I934">
        <v>0</v>
      </c>
    </row>
    <row r="935">
      <c r="A935" t="inlineStr">
        <is>
          <t>Copper ion</t>
        </is>
      </c>
      <c r="B935">
        <v>4.929999957453923e-10</v>
      </c>
      <c r="D935" t="inlineStr">
        <is>
          <t>kilogram</t>
        </is>
      </c>
      <c r="E935" t="inlineStr">
        <is>
          <t>air::urban air close to ground</t>
        </is>
      </c>
      <c r="F935" t="inlineStr">
        <is>
          <t>biosphere</t>
        </is>
      </c>
      <c r="I935">
        <v>0</v>
      </c>
    </row>
    <row r="936">
      <c r="A936" t="inlineStr">
        <is>
          <t>Dinitrogen monoxide</t>
        </is>
      </c>
      <c r="B936">
        <v>2.386726403554469e-06</v>
      </c>
      <c r="D936" t="inlineStr">
        <is>
          <t>kilogram</t>
        </is>
      </c>
      <c r="E936" t="inlineStr">
        <is>
          <t>air::urban air close to ground</t>
        </is>
      </c>
      <c r="F936" t="inlineStr">
        <is>
          <t>biosphere</t>
        </is>
      </c>
      <c r="I936">
        <v>0</v>
      </c>
    </row>
    <row r="937">
      <c r="A937" t="inlineStr">
        <is>
          <t>Ethane</t>
        </is>
      </c>
      <c r="B937">
        <v>7.160179210663411e-10</v>
      </c>
      <c r="D937" t="inlineStr">
        <is>
          <t>kilogram</t>
        </is>
      </c>
      <c r="E937" t="inlineStr">
        <is>
          <t>air::urban air close to ground</t>
        </is>
      </c>
      <c r="F937" t="inlineStr">
        <is>
          <t>biosphere</t>
        </is>
      </c>
      <c r="I937">
        <v>0</v>
      </c>
    </row>
    <row r="938">
      <c r="A938" t="inlineStr">
        <is>
          <t>1,1,1,2-Tetrafluoroethane</t>
        </is>
      </c>
      <c r="B938">
        <v>1.6688343004579788e-06</v>
      </c>
      <c r="D938" t="inlineStr">
        <is>
          <t>kilogram</t>
        </is>
      </c>
      <c r="E938" t="inlineStr">
        <is>
          <t>air::unspecified</t>
        </is>
      </c>
      <c r="F938" t="inlineStr">
        <is>
          <t>biosphere</t>
        </is>
      </c>
      <c r="I938">
        <v>0</v>
      </c>
    </row>
    <row r="939">
      <c r="A939" t="inlineStr">
        <is>
          <t>Formaldehyde</t>
        </is>
      </c>
      <c r="B939">
        <v>2.004850178985755e-07</v>
      </c>
      <c r="D939" t="inlineStr">
        <is>
          <t>kilogram</t>
        </is>
      </c>
      <c r="E939" t="inlineStr">
        <is>
          <t>air::urban air close to ground</t>
        </is>
      </c>
      <c r="F939" t="inlineStr">
        <is>
          <t>biosphere</t>
        </is>
      </c>
      <c r="I939">
        <v>0</v>
      </c>
    </row>
    <row r="940">
      <c r="A940" t="inlineStr">
        <is>
          <t>Heptane</t>
        </is>
      </c>
      <c r="B940">
        <v>7.16017921066341e-09</v>
      </c>
      <c r="D940" t="inlineStr">
        <is>
          <t>kilogram</t>
        </is>
      </c>
      <c r="E940" t="inlineStr">
        <is>
          <t>air::urban air close to ground</t>
        </is>
      </c>
      <c r="F940" t="inlineStr">
        <is>
          <t>biosphere</t>
        </is>
      </c>
      <c r="I940">
        <v>0</v>
      </c>
    </row>
    <row r="941">
      <c r="A941" t="inlineStr">
        <is>
          <t>Hydrocarbons, chlorinated</t>
        </is>
      </c>
      <c r="B941">
        <v>1.740555928484824e-06</v>
      </c>
      <c r="D941" t="inlineStr">
        <is>
          <t>kilogram</t>
        </is>
      </c>
      <c r="E941" t="inlineStr">
        <is>
          <t>air::urban air close to ground</t>
        </is>
      </c>
      <c r="F941" t="inlineStr">
        <is>
          <t>biosphere</t>
        </is>
      </c>
      <c r="I941">
        <v>0</v>
      </c>
    </row>
    <row r="942">
      <c r="A942" t="inlineStr">
        <is>
          <t>Mercury II</t>
        </is>
      </c>
      <c r="B942">
        <v>1.2299999893850563e-10</v>
      </c>
      <c r="D942" t="inlineStr">
        <is>
          <t>kilogram</t>
        </is>
      </c>
      <c r="E942" t="inlineStr">
        <is>
          <t>air::urban air close to ground</t>
        </is>
      </c>
      <c r="F942" t="inlineStr">
        <is>
          <t>biosphere</t>
        </is>
      </c>
      <c r="I942">
        <v>0</v>
      </c>
    </row>
    <row r="943">
      <c r="A943" t="inlineStr">
        <is>
          <t>Methane, fossil</t>
        </is>
      </c>
      <c r="B943">
        <v>4.177334280532267e-08</v>
      </c>
      <c r="D943" t="inlineStr">
        <is>
          <t>kilogram</t>
        </is>
      </c>
      <c r="E943" t="inlineStr">
        <is>
          <t>air::urban air close to ground</t>
        </is>
      </c>
      <c r="F943" t="inlineStr">
        <is>
          <t>biosphere</t>
        </is>
      </c>
      <c r="I943">
        <v>0</v>
      </c>
    </row>
    <row r="944">
      <c r="A944" t="inlineStr">
        <is>
          <t>NMVOC, non-methane volatile organic compounds</t>
        </is>
      </c>
      <c r="B944">
        <v>1.3811102485122725e-06</v>
      </c>
      <c r="D944" t="inlineStr">
        <is>
          <t>kilogram</t>
        </is>
      </c>
      <c r="E944" t="inlineStr">
        <is>
          <t>air::urban air close to ground</t>
        </is>
      </c>
      <c r="F944" t="inlineStr">
        <is>
          <t>biosphere</t>
        </is>
      </c>
      <c r="I944">
        <v>0</v>
      </c>
    </row>
    <row r="945">
      <c r="A945" t="inlineStr">
        <is>
          <t>Nickel II</t>
        </is>
      </c>
      <c r="B945">
        <v>2.0499999823084267e-10</v>
      </c>
      <c r="D945" t="inlineStr">
        <is>
          <t>kilogram</t>
        </is>
      </c>
      <c r="E945" t="inlineStr">
        <is>
          <t>air::urban air close to ground</t>
        </is>
      </c>
      <c r="F945" t="inlineStr">
        <is>
          <t>biosphere</t>
        </is>
      </c>
      <c r="I945">
        <v>0</v>
      </c>
    </row>
    <row r="946">
      <c r="A946" t="inlineStr">
        <is>
          <t>Nitrogen oxides</t>
        </is>
      </c>
      <c r="B946">
        <v>4.286348264147637e-05</v>
      </c>
      <c r="D946" t="inlineStr">
        <is>
          <t>kilogram</t>
        </is>
      </c>
      <c r="E946" t="inlineStr">
        <is>
          <t>air::urban air close to ground</t>
        </is>
      </c>
      <c r="F946" t="inlineStr">
        <is>
          <t>biosphere</t>
        </is>
      </c>
      <c r="I946">
        <v>0</v>
      </c>
    </row>
    <row r="947">
      <c r="A947" t="inlineStr">
        <is>
          <t>PAH, polycyclic aromatic hydrocarbons</t>
        </is>
      </c>
      <c r="B947">
        <v>1.8199999842933354e-09</v>
      </c>
      <c r="D947" t="inlineStr">
        <is>
          <t>kilogram</t>
        </is>
      </c>
      <c r="E947" t="inlineStr">
        <is>
          <t>air::urban air close to ground</t>
        </is>
      </c>
      <c r="F947" t="inlineStr">
        <is>
          <t>biosphere</t>
        </is>
      </c>
      <c r="I947">
        <v>0</v>
      </c>
    </row>
    <row r="948">
      <c r="A948" t="inlineStr">
        <is>
          <t>Particulate Matter, &lt; 2.5 um</t>
        </is>
      </c>
      <c r="B948">
        <v>2.518198657761128e-06</v>
      </c>
      <c r="D948" t="inlineStr">
        <is>
          <t>kilogram</t>
        </is>
      </c>
      <c r="E948" t="inlineStr">
        <is>
          <t>air::urban air close to ground</t>
        </is>
      </c>
      <c r="F948" t="inlineStr">
        <is>
          <t>biosphere</t>
        </is>
      </c>
      <c r="I948">
        <v>0</v>
      </c>
    </row>
    <row r="949">
      <c r="A949" t="inlineStr">
        <is>
          <t>Pentane</t>
        </is>
      </c>
      <c r="B949">
        <v>1.4320358421326822e-09</v>
      </c>
      <c r="D949" t="inlineStr">
        <is>
          <t>kilogram</t>
        </is>
      </c>
      <c r="E949" t="inlineStr">
        <is>
          <t>air::urban air close to ground</t>
        </is>
      </c>
      <c r="F949" t="inlineStr">
        <is>
          <t>biosphere</t>
        </is>
      </c>
      <c r="I949">
        <v>0</v>
      </c>
    </row>
    <row r="950">
      <c r="A950" t="inlineStr">
        <is>
          <t>Propane</t>
        </is>
      </c>
      <c r="B950">
        <v>2.3867264035544693e-09</v>
      </c>
      <c r="D950" t="inlineStr">
        <is>
          <t>kilogram</t>
        </is>
      </c>
      <c r="E950" t="inlineStr">
        <is>
          <t>air::urban air close to ground</t>
        </is>
      </c>
      <c r="F950" t="inlineStr">
        <is>
          <t>biosphere</t>
        </is>
      </c>
      <c r="I950">
        <v>0</v>
      </c>
    </row>
    <row r="951">
      <c r="A951" t="inlineStr">
        <is>
          <t>Selenium IV</t>
        </is>
      </c>
      <c r="B951">
        <v>2.3299999798920164e-12</v>
      </c>
      <c r="D951" t="inlineStr">
        <is>
          <t>kilogram</t>
        </is>
      </c>
      <c r="E951" t="inlineStr">
        <is>
          <t>air::urban air close to ground</t>
        </is>
      </c>
      <c r="F951" t="inlineStr">
        <is>
          <t>biosphere</t>
        </is>
      </c>
      <c r="I951">
        <v>0</v>
      </c>
    </row>
    <row r="952">
      <c r="A952" t="inlineStr">
        <is>
          <t>Styrene</t>
        </is>
      </c>
      <c r="B952">
        <v>1.3365667859905029e-08</v>
      </c>
      <c r="D952" t="inlineStr">
        <is>
          <t>kilogram</t>
        </is>
      </c>
      <c r="E952" t="inlineStr">
        <is>
          <t>air::urban air close to ground</t>
        </is>
      </c>
      <c r="F952" t="inlineStr">
        <is>
          <t>biosphere</t>
        </is>
      </c>
      <c r="I952">
        <v>0</v>
      </c>
    </row>
    <row r="953">
      <c r="A953" t="inlineStr">
        <is>
          <t>Sulfur dioxide</t>
        </is>
      </c>
      <c r="B953">
        <v>4.6511627906976754e-07</v>
      </c>
      <c r="D953" t="inlineStr">
        <is>
          <t>kilogram</t>
        </is>
      </c>
      <c r="E953" t="inlineStr">
        <is>
          <t>air::unspecified</t>
        </is>
      </c>
      <c r="F953" t="inlineStr">
        <is>
          <t>biosphere</t>
        </is>
      </c>
      <c r="I953">
        <v>0</v>
      </c>
    </row>
    <row r="954">
      <c r="A954" t="inlineStr">
        <is>
          <t>Toluene</t>
        </is>
      </c>
      <c r="B954">
        <v>2.38672640355447e-10</v>
      </c>
      <c r="D954" t="inlineStr">
        <is>
          <t>kilogram</t>
        </is>
      </c>
      <c r="E954" t="inlineStr">
        <is>
          <t>air::urban air close to ground</t>
        </is>
      </c>
      <c r="F954" t="inlineStr">
        <is>
          <t>biosphere</t>
        </is>
      </c>
      <c r="I954">
        <v>0</v>
      </c>
    </row>
    <row r="955">
      <c r="A955" t="inlineStr">
        <is>
          <t>Zinc II</t>
        </is>
      </c>
      <c r="B955">
        <v>4.0499999650483546e-08</v>
      </c>
      <c r="D955" t="inlineStr">
        <is>
          <t>kilogram</t>
        </is>
      </c>
      <c r="E955" t="inlineStr">
        <is>
          <t>air::urban air close to ground</t>
        </is>
      </c>
      <c r="F955" t="inlineStr">
        <is>
          <t>biosphere</t>
        </is>
      </c>
      <c r="I955">
        <v>0</v>
      </c>
    </row>
    <row r="956">
      <c r="A956" t="inlineStr">
        <is>
          <t>m-Xylene</t>
        </is>
      </c>
      <c r="B956">
        <v>2.3389918754833805e-08</v>
      </c>
      <c r="D956" t="inlineStr">
        <is>
          <t>kilogram</t>
        </is>
      </c>
      <c r="E956" t="inlineStr">
        <is>
          <t>air::urban air close to ground</t>
        </is>
      </c>
      <c r="F956" t="inlineStr">
        <is>
          <t>biosphere</t>
        </is>
      </c>
      <c r="I956">
        <v>0</v>
      </c>
    </row>
    <row r="957">
      <c r="A957" t="inlineStr">
        <is>
          <t>o-Xylene</t>
        </is>
      </c>
      <c r="B957">
        <v>9.546905614217876e-09</v>
      </c>
      <c r="D957" t="inlineStr">
        <is>
          <t>kilogram</t>
        </is>
      </c>
      <c r="E957" t="inlineStr">
        <is>
          <t>air::urban air close to ground</t>
        </is>
      </c>
      <c r="F957" t="inlineStr">
        <is>
          <t>biosphere</t>
        </is>
      </c>
      <c r="I957">
        <v>0</v>
      </c>
    </row>
    <row r="958">
      <c r="A958" t="inlineStr">
        <is>
          <t>exhaust system, for lorry</t>
        </is>
      </c>
      <c r="B958">
        <v>1.0221610090305123e-05</v>
      </c>
      <c r="C958" t="inlineStr">
        <is>
          <t>RER</t>
        </is>
      </c>
      <c r="D958" t="inlineStr">
        <is>
          <t>kilogram</t>
        </is>
      </c>
      <c r="F958" t="inlineStr">
        <is>
          <t>technosphere</t>
        </is>
      </c>
      <c r="G958" t="inlineStr">
        <is>
          <t>exhaust system, for lorry</t>
        </is>
      </c>
      <c r="H958" t="inlineStr">
        <is>
          <t> Energy-use allocation: 98 * 1.428571428571429e-07 / 1.3696472352509872 MJ per person kilometer.</t>
        </is>
      </c>
      <c r="I958">
        <v>0</v>
      </c>
    </row>
    <row r="959">
      <c r="A959" t="inlineStr">
        <is>
          <t>fuel tank, for diesel vehicle</t>
        </is>
      </c>
      <c r="B959">
        <v>5.434594663791208e-06</v>
      </c>
      <c r="C959" t="inlineStr">
        <is>
          <t>RER</t>
        </is>
      </c>
      <c r="D959" t="inlineStr">
        <is>
          <t>kilogram</t>
        </is>
      </c>
      <c r="F959" t="inlineStr">
        <is>
          <t>technosphere</t>
        </is>
      </c>
      <c r="G959" t="inlineStr">
        <is>
          <t>fuel tank</t>
        </is>
      </c>
      <c r="H959" t="inlineStr">
        <is>
          <t> Energy-use allocation: 52.10434289179975 * 1.428571428571429e-07 / 1.3696472352509872 MJ per person kilometer.</t>
        </is>
      </c>
      <c r="I959">
        <v>0</v>
      </c>
    </row>
    <row r="960">
      <c r="A960" t="inlineStr">
        <is>
          <t>gearbox, for lorry</t>
        </is>
      </c>
      <c r="B960">
        <v>1.6438852140585983e-05</v>
      </c>
      <c r="C960" t="inlineStr">
        <is>
          <t>RER</t>
        </is>
      </c>
      <c r="D960" t="inlineStr">
        <is>
          <t>kilogram</t>
        </is>
      </c>
      <c r="F960" t="inlineStr">
        <is>
          <t>technosphere</t>
        </is>
      </c>
      <c r="G960" t="inlineStr">
        <is>
          <t>gearbox, for lorry</t>
        </is>
      </c>
      <c r="H960" t="inlineStr">
        <is>
          <t> Energy-use allocation: 157.6079986953735 * 1.428571428571429e-07 / 1.3696472352509872 MJ per person kilometer.</t>
        </is>
      </c>
      <c r="I960">
        <v>0</v>
      </c>
    </row>
    <row r="961">
      <c r="A961" t="inlineStr">
        <is>
          <t>internal combustion engine, for lorry</t>
        </is>
      </c>
      <c r="B961">
        <v>7.397930395893994e-05</v>
      </c>
      <c r="C961" t="inlineStr">
        <is>
          <t>RER</t>
        </is>
      </c>
      <c r="D961" t="inlineStr">
        <is>
          <t>kilogram</t>
        </is>
      </c>
      <c r="F961" t="inlineStr">
        <is>
          <t>technosphere</t>
        </is>
      </c>
      <c r="G961" t="inlineStr">
        <is>
          <t>internal combustion engine, for lorry</t>
        </is>
      </c>
      <c r="H961" t="inlineStr">
        <is>
          <t> Energy-use allocation: 709.2788439320813 * 1.428571428571429e-07 / 1.3696472352509872 MJ per person kilometer.</t>
        </is>
      </c>
      <c r="I961">
        <v>0</v>
      </c>
    </row>
    <row r="962">
      <c r="A962" t="inlineStr">
        <is>
          <t>power electronics, for lorry</t>
        </is>
      </c>
      <c r="B962">
        <v>1.9087292311488137e-05</v>
      </c>
      <c r="C962" t="inlineStr">
        <is>
          <t>RER</t>
        </is>
      </c>
      <c r="D962" t="inlineStr">
        <is>
          <t>kilogram</t>
        </is>
      </c>
      <c r="F962" t="inlineStr">
        <is>
          <t>technosphere</t>
        </is>
      </c>
      <c r="G962" t="inlineStr">
        <is>
          <t>power electronics, for lorry</t>
        </is>
      </c>
      <c r="H962" t="inlineStr">
        <is>
          <t> Energy-use allocation: 183 * 1.428571428571429e-07 / 1.3696472352509872 MJ per person kilometer.</t>
        </is>
      </c>
      <c r="I962">
        <v>0</v>
      </c>
    </row>
    <row r="963">
      <c r="A963" t="inlineStr">
        <is>
          <t>retarder, for lorry</t>
        </is>
      </c>
      <c r="B963">
        <v>5.479617380195329e-06</v>
      </c>
      <c r="C963" t="inlineStr">
        <is>
          <t>RER</t>
        </is>
      </c>
      <c r="D963" t="inlineStr">
        <is>
          <t>kilogram</t>
        </is>
      </c>
      <c r="F963" t="inlineStr">
        <is>
          <t>technosphere</t>
        </is>
      </c>
      <c r="G963" t="inlineStr">
        <is>
          <t>retarder, for lorry</t>
        </is>
      </c>
      <c r="H963" t="inlineStr">
        <is>
          <t> Energy-use allocation: 52.53599956512451 * 1.428571428571429e-07 / 1.3696472352509872 MJ per person kilometer.</t>
        </is>
      </c>
      <c r="I963">
        <v>0</v>
      </c>
    </row>
    <row r="964">
      <c r="A964" t="inlineStr">
        <is>
          <t>transmission, for lorry</t>
        </is>
      </c>
      <c r="B964">
        <v>2.3745008647513085e-05</v>
      </c>
      <c r="C964" t="inlineStr">
        <is>
          <t>RER</t>
        </is>
      </c>
      <c r="D964" t="inlineStr">
        <is>
          <t>kilogram</t>
        </is>
      </c>
      <c r="F964" t="inlineStr">
        <is>
          <t>technosphere</t>
        </is>
      </c>
      <c r="G964" t="inlineStr">
        <is>
          <t>transmission, for lorry</t>
        </is>
      </c>
      <c r="H964" t="inlineStr">
        <is>
          <t> Energy-use allocation: 227.6559981155395 * 1.428571428571429e-07 / 1.3696472352509872 MJ per person kilometer.</t>
        </is>
      </c>
      <c r="I964">
        <v>0</v>
      </c>
    </row>
    <row r="965">
      <c r="A965" t="inlineStr">
        <is>
          <t>market for refrigerant R134a</t>
        </is>
      </c>
      <c r="B965">
        <v>2.451100378797656e-06</v>
      </c>
      <c r="C965" t="inlineStr">
        <is>
          <t>GLO</t>
        </is>
      </c>
      <c r="D965" t="inlineStr">
        <is>
          <t>kilogram</t>
        </is>
      </c>
      <c r="F965" t="inlineStr">
        <is>
          <t>technosphere</t>
        </is>
      </c>
      <c r="G965" t="inlineStr">
        <is>
          <t>refrigerant R134a</t>
        </is>
      </c>
      <c r="I965">
        <v>0</v>
      </c>
    </row>
    <row r="966">
      <c r="A966" t="inlineStr">
        <is>
          <t>treatment of brake wear emissions, lorry</t>
        </is>
      </c>
      <c r="B966">
        <v>-6.837706254606543e-06</v>
      </c>
      <c r="C966" t="inlineStr">
        <is>
          <t>RER</t>
        </is>
      </c>
      <c r="D966" t="inlineStr">
        <is>
          <t>kilogram</t>
        </is>
      </c>
      <c r="F966" t="inlineStr">
        <is>
          <t>technosphere</t>
        </is>
      </c>
      <c r="G966" t="inlineStr">
        <is>
          <t>brake wear emissions, lorry</t>
        </is>
      </c>
      <c r="I966">
        <v>0</v>
      </c>
    </row>
    <row r="967">
      <c r="A967" t="inlineStr">
        <is>
          <t>treatment of road wear emissions, lorry</t>
        </is>
      </c>
      <c r="B967">
        <v>-5.745793792454793e-06</v>
      </c>
      <c r="C967" t="inlineStr">
        <is>
          <t>RER</t>
        </is>
      </c>
      <c r="D967" t="inlineStr">
        <is>
          <t>kilogram</t>
        </is>
      </c>
      <c r="F967" t="inlineStr">
        <is>
          <t>technosphere</t>
        </is>
      </c>
      <c r="G967" t="inlineStr">
        <is>
          <t>road wear emissions, lorry</t>
        </is>
      </c>
      <c r="I967">
        <v>0</v>
      </c>
    </row>
    <row r="968">
      <c r="A968" t="inlineStr">
        <is>
          <t>treatment of tyre wear emissions, lorry</t>
        </is>
      </c>
      <c r="B968">
        <v>-5.674001036673323e-06</v>
      </c>
      <c r="C968" t="inlineStr">
        <is>
          <t>RER</t>
        </is>
      </c>
      <c r="D968" t="inlineStr">
        <is>
          <t>kilogram</t>
        </is>
      </c>
      <c r="F968" t="inlineStr">
        <is>
          <t>technosphere</t>
        </is>
      </c>
      <c r="G968" t="inlineStr">
        <is>
          <t>tyre wear emissions, lorry</t>
        </is>
      </c>
      <c r="I968">
        <v>0</v>
      </c>
    </row>
    <row r="969"/>
    <row r="970">
      <c r="A970" t="inlineStr">
        <is>
          <t>Activity</t>
        </is>
      </c>
      <c r="B970" t="inlineStr">
        <is>
          <t>biodiesel, from residual oily biomass, burned in single deck coach or urban bus</t>
        </is>
      </c>
    </row>
    <row r="971">
      <c r="A971" t="inlineStr">
        <is>
          <t>comment</t>
        </is>
      </c>
      <c r="B971"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972">
      <c r="A972" t="inlineStr">
        <is>
          <t>description</t>
        </is>
      </c>
      <c r="B972"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973">
      <c r="A973" t="inlineStr">
        <is>
          <t>location</t>
        </is>
      </c>
      <c r="B973" t="inlineStr">
        <is>
          <t>RER</t>
        </is>
      </c>
    </row>
    <row r="974">
      <c r="A974" t="inlineStr">
        <is>
          <t>production amount</t>
        </is>
      </c>
      <c r="B974">
        <v>1</v>
      </c>
    </row>
    <row r="975">
      <c r="A975" t="inlineStr">
        <is>
          <t>reference product</t>
        </is>
      </c>
      <c r="B975" t="inlineStr">
        <is>
          <t>heat</t>
        </is>
      </c>
    </row>
    <row r="976">
      <c r="A976" t="inlineStr">
        <is>
          <t>type</t>
        </is>
      </c>
      <c r="B976" t="inlineStr">
        <is>
          <t>process</t>
        </is>
      </c>
    </row>
    <row r="977">
      <c r="A977" t="inlineStr">
        <is>
          <t>unit</t>
        </is>
      </c>
      <c r="B977" t="inlineStr">
        <is>
          <t>megajoule</t>
        </is>
      </c>
    </row>
    <row r="978">
      <c r="A978" t="inlineStr">
        <is>
          <t>Power, mean</t>
        </is>
      </c>
      <c r="B978">
        <v>245</v>
      </c>
    </row>
    <row r="979">
      <c r="A979" t="inlineStr">
        <is>
          <t>Power, min</t>
        </is>
      </c>
      <c r="B979">
        <v>125</v>
      </c>
    </row>
    <row r="980">
      <c r="A980" t="inlineStr">
        <is>
          <t>Power, max</t>
        </is>
      </c>
      <c r="B980">
        <v>323</v>
      </c>
    </row>
    <row r="981">
      <c r="A981" t="inlineStr">
        <is>
          <t>Lifetime, mean</t>
        </is>
      </c>
      <c r="B981">
        <v>700000</v>
      </c>
    </row>
    <row r="982">
      <c r="A982" t="inlineStr">
        <is>
          <t>Lifetime, min</t>
        </is>
      </c>
      <c r="B982">
        <v>500000</v>
      </c>
    </row>
    <row r="983">
      <c r="A983" t="inlineStr">
        <is>
          <t>Lifetime, max</t>
        </is>
      </c>
      <c r="B983">
        <v>1000000</v>
      </c>
    </row>
    <row r="984">
      <c r="A984" t="inlineStr">
        <is>
          <t>Energy use, mean</t>
        </is>
      </c>
      <c r="B984">
        <v>9500</v>
      </c>
    </row>
    <row r="985">
      <c r="A985" t="inlineStr">
        <is>
          <t>Energy use, min</t>
        </is>
      </c>
      <c r="B985">
        <v>6000</v>
      </c>
    </row>
    <row r="986">
      <c r="A986" t="inlineStr">
        <is>
          <t>Energy use, max</t>
        </is>
      </c>
      <c r="B986">
        <v>12200</v>
      </c>
    </row>
    <row r="987">
      <c r="A987" t="inlineStr">
        <is>
          <t>Electric motor, mean</t>
        </is>
      </c>
      <c r="B987">
        <v>0</v>
      </c>
    </row>
    <row r="988">
      <c r="A988" t="inlineStr">
        <is>
          <t>Electric motor, min</t>
        </is>
      </c>
      <c r="B988">
        <v>0</v>
      </c>
    </row>
    <row r="989">
      <c r="A989" t="inlineStr">
        <is>
          <t>Electric motor, max</t>
        </is>
      </c>
      <c r="B989">
        <v>0</v>
      </c>
    </row>
    <row r="990">
      <c r="A990" t="inlineStr">
        <is>
          <t>Combustion engine, mean</t>
        </is>
      </c>
      <c r="B990">
        <v>733</v>
      </c>
    </row>
    <row r="991">
      <c r="A991" t="inlineStr">
        <is>
          <t>Combustion engine, min</t>
        </is>
      </c>
      <c r="B991">
        <v>400</v>
      </c>
    </row>
    <row r="992">
      <c r="A992" t="inlineStr">
        <is>
          <t>Combustion engine, max</t>
        </is>
      </c>
      <c r="B992">
        <v>955</v>
      </c>
    </row>
    <row r="993">
      <c r="A993" t="inlineStr">
        <is>
          <t>Fuel tank, mean</t>
        </is>
      </c>
      <c r="B993">
        <v>48</v>
      </c>
    </row>
    <row r="994">
      <c r="A994" t="inlineStr">
        <is>
          <t>Fuel tank, min</t>
        </is>
      </c>
      <c r="B994">
        <v>38</v>
      </c>
    </row>
    <row r="995">
      <c r="A995" t="inlineStr">
        <is>
          <t>Fuel tank, max</t>
        </is>
      </c>
      <c r="B995">
        <v>53</v>
      </c>
    </row>
    <row r="996">
      <c r="A996" t="inlineStr">
        <is>
          <t>Battery capacity, mean</t>
        </is>
      </c>
      <c r="B996">
        <v>0</v>
      </c>
    </row>
    <row r="997">
      <c r="A997" t="inlineStr">
        <is>
          <t>Battery capacity, min</t>
        </is>
      </c>
      <c r="B997">
        <v>0</v>
      </c>
    </row>
    <row r="998">
      <c r="A998" t="inlineStr">
        <is>
          <t>Battery capacity, max</t>
        </is>
      </c>
      <c r="B998">
        <v>0</v>
      </c>
    </row>
    <row r="999">
      <c r="A999" t="inlineStr">
        <is>
          <t>Battery replacement, mean</t>
        </is>
      </c>
      <c r="B999">
        <v>0</v>
      </c>
    </row>
    <row r="1000">
      <c r="A1000" t="inlineStr">
        <is>
          <t>Battery replacement, min</t>
        </is>
      </c>
      <c r="B1000">
        <v>0</v>
      </c>
    </row>
    <row r="1001">
      <c r="A1001" t="inlineStr">
        <is>
          <t>Battery replacement, max</t>
        </is>
      </c>
      <c r="B1001">
        <v>0</v>
      </c>
    </row>
    <row r="1002">
      <c r="A1002" t="inlineStr">
        <is>
          <t>Fuel cell system, mean</t>
        </is>
      </c>
      <c r="B1002">
        <v>0</v>
      </c>
    </row>
    <row r="1003">
      <c r="A1003" t="inlineStr">
        <is>
          <t>Fuel cell system, min</t>
        </is>
      </c>
      <c r="B1003">
        <v>0</v>
      </c>
    </row>
    <row r="1004">
      <c r="A1004" t="inlineStr">
        <is>
          <t>Fuel cell system, max</t>
        </is>
      </c>
      <c r="B1004">
        <v>0</v>
      </c>
    </row>
    <row r="1005">
      <c r="A1005" t="inlineStr">
        <is>
          <t>Fuel cell stack replacement, mean</t>
        </is>
      </c>
      <c r="B1005">
        <v>0</v>
      </c>
    </row>
    <row r="1006">
      <c r="A1006" t="inlineStr">
        <is>
          <t>Fuel cell replacement, min</t>
        </is>
      </c>
      <c r="B1006">
        <v>0</v>
      </c>
    </row>
    <row r="1007">
      <c r="A1007" t="inlineStr">
        <is>
          <t>Fuel cell replacement, max</t>
        </is>
      </c>
      <c r="B1007">
        <v>0</v>
      </c>
    </row>
    <row r="1008">
      <c r="A1008" t="inlineStr">
        <is>
          <t>Onboard charger mass</t>
        </is>
      </c>
      <c r="B1008">
        <v>0</v>
      </c>
    </row>
    <row r="1009">
      <c r="A1009" t="inlineStr">
        <is>
          <t>Controller mass</t>
        </is>
      </c>
      <c r="B1009">
        <v>0</v>
      </c>
    </row>
    <row r="1010">
      <c r="A1010" t="inlineStr">
        <is>
          <t>Converter mass</t>
        </is>
      </c>
      <c r="B1010">
        <v>0</v>
      </c>
    </row>
    <row r="1011">
      <c r="A1011" t="inlineStr">
        <is>
          <t>Electrical powertrain mass</t>
        </is>
      </c>
      <c r="B1011">
        <v>0</v>
      </c>
    </row>
    <row r="1012">
      <c r="A1012" t="inlineStr">
        <is>
          <t>Inverter mass</t>
        </is>
      </c>
      <c r="B1012">
        <v>0</v>
      </c>
    </row>
    <row r="1013">
      <c r="A1013" t="inlineStr">
        <is>
          <t>NOx</t>
        </is>
      </c>
      <c r="B1013">
        <v>0.158234892</v>
      </c>
    </row>
    <row r="1014">
      <c r="A1014" t="inlineStr">
        <is>
          <t>PM 2.5</t>
        </is>
      </c>
      <c r="B1014">
        <v>0.000213184</v>
      </c>
    </row>
    <row r="1015">
      <c r="A1015" t="inlineStr">
        <is>
          <t>energy use source</t>
        </is>
      </c>
      <c r="B1015"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016">
      <c r="A1016" t="inlineStr">
        <is>
          <t>Exchanges</t>
        </is>
      </c>
    </row>
    <row r="1017">
      <c r="A1017" t="inlineStr">
        <is>
          <t>name</t>
        </is>
      </c>
      <c r="B1017" t="inlineStr">
        <is>
          <t>amount</t>
        </is>
      </c>
      <c r="C1017" t="inlineStr">
        <is>
          <t>location</t>
        </is>
      </c>
      <c r="D1017" t="inlineStr">
        <is>
          <t>unit</t>
        </is>
      </c>
      <c r="E1017" t="inlineStr">
        <is>
          <t>categories</t>
        </is>
      </c>
      <c r="F1017" t="inlineStr">
        <is>
          <t>type</t>
        </is>
      </c>
      <c r="G1017" t="inlineStr">
        <is>
          <t>reference product</t>
        </is>
      </c>
      <c r="H1017" t="inlineStr">
        <is>
          <t>comment</t>
        </is>
      </c>
      <c r="I1017" t="inlineStr">
        <is>
          <t>uncertainty type</t>
        </is>
      </c>
    </row>
    <row r="1018">
      <c r="A1018" t="inlineStr">
        <is>
          <t>biodiesel, from residual oily biomass, burned in single deck coach or urban bus</t>
        </is>
      </c>
      <c r="B1018">
        <v>1.0</v>
      </c>
      <c r="C1018" t="inlineStr">
        <is>
          <t>RER</t>
        </is>
      </c>
      <c r="D1018" t="inlineStr">
        <is>
          <t>megajoule</t>
        </is>
      </c>
      <c r="F1018" t="inlineStr">
        <is>
          <t>production</t>
        </is>
      </c>
      <c r="G1018" t="inlineStr">
        <is>
          <t>heat</t>
        </is>
      </c>
      <c r="I1018">
        <v>0</v>
      </c>
    </row>
    <row r="1019">
      <c r="A1019" t="inlineStr">
        <is>
          <t>biodiesel production, via transesterification, from used cooking oil, energy allocation</t>
        </is>
      </c>
      <c r="B1019">
        <v>0.02631578947368421</v>
      </c>
      <c r="C1019" t="inlineStr">
        <is>
          <t>RER</t>
        </is>
      </c>
      <c r="D1019" t="inlineStr">
        <is>
          <t>kilogram</t>
        </is>
      </c>
      <c r="F1019" t="inlineStr">
        <is>
          <t>technosphere</t>
        </is>
      </c>
      <c r="G1019" t="inlineStr">
        <is>
          <t>biodiesel, from cooking oil</t>
        </is>
      </c>
      <c r="I1019">
        <v>0</v>
      </c>
    </row>
    <row r="1020">
      <c r="A1020" t="inlineStr">
        <is>
          <t>Acetaldehyde</t>
        </is>
      </c>
      <c r="B1020">
        <v>1.0907339664243923e-07</v>
      </c>
      <c r="D1020" t="inlineStr">
        <is>
          <t>kilogram</t>
        </is>
      </c>
      <c r="E1020" t="inlineStr">
        <is>
          <t>air::urban air close to ground</t>
        </is>
      </c>
      <c r="F1020" t="inlineStr">
        <is>
          <t>biosphere</t>
        </is>
      </c>
      <c r="I1020">
        <v>0</v>
      </c>
    </row>
    <row r="1021">
      <c r="A1021" t="inlineStr">
        <is>
          <t>Acrolein</t>
        </is>
      </c>
      <c r="B1021">
        <v>4.224505734291413e-08</v>
      </c>
      <c r="D1021" t="inlineStr">
        <is>
          <t>kilogram</t>
        </is>
      </c>
      <c r="E1021" t="inlineStr">
        <is>
          <t>air::urban air close to ground</t>
        </is>
      </c>
      <c r="F1021" t="inlineStr">
        <is>
          <t>biosphere</t>
        </is>
      </c>
      <c r="I1021">
        <v>0</v>
      </c>
    </row>
    <row r="1022">
      <c r="A1022" t="inlineStr">
        <is>
          <t>Ammonia</t>
        </is>
      </c>
      <c r="B1022">
        <v>1.0561513719515261e-06</v>
      </c>
      <c r="D1022" t="inlineStr">
        <is>
          <t>kilogram</t>
        </is>
      </c>
      <c r="E1022" t="inlineStr">
        <is>
          <t>air::urban air close to ground</t>
        </is>
      </c>
      <c r="F1022" t="inlineStr">
        <is>
          <t>biosphere</t>
        </is>
      </c>
      <c r="I1022">
        <v>0</v>
      </c>
    </row>
    <row r="1023">
      <c r="A1023" t="inlineStr">
        <is>
          <t>Arsenic ion</t>
        </is>
      </c>
      <c r="B1023">
        <v>2.3299999798920164e-12</v>
      </c>
      <c r="D1023" t="inlineStr">
        <is>
          <t>kilogram</t>
        </is>
      </c>
      <c r="E1023" t="inlineStr">
        <is>
          <t>air::urban air close to ground</t>
        </is>
      </c>
      <c r="F1023" t="inlineStr">
        <is>
          <t>biosphere</t>
        </is>
      </c>
      <c r="I1023">
        <v>0</v>
      </c>
    </row>
    <row r="1024">
      <c r="A1024" t="inlineStr">
        <is>
          <t>Benzaldehyde</t>
        </is>
      </c>
      <c r="B1024">
        <v>3.2698151728696235e-08</v>
      </c>
      <c r="D1024" t="inlineStr">
        <is>
          <t>kilogram</t>
        </is>
      </c>
      <c r="E1024" t="inlineStr">
        <is>
          <t>air::urban air close to ground</t>
        </is>
      </c>
      <c r="F1024" t="inlineStr">
        <is>
          <t>biosphere</t>
        </is>
      </c>
      <c r="I1024">
        <v>0</v>
      </c>
    </row>
    <row r="1025">
      <c r="A1025" t="inlineStr">
        <is>
          <t>Benzene</t>
        </is>
      </c>
      <c r="B1025">
        <v>2.9067283247454772e-08</v>
      </c>
      <c r="D1025" t="inlineStr">
        <is>
          <t>kilogram</t>
        </is>
      </c>
      <c r="E1025" t="inlineStr">
        <is>
          <t>air::urban air close to ground</t>
        </is>
      </c>
      <c r="F1025" t="inlineStr">
        <is>
          <t>biosphere</t>
        </is>
      </c>
      <c r="I1025">
        <v>0</v>
      </c>
    </row>
    <row r="1026">
      <c r="A1026" t="inlineStr">
        <is>
          <t>Butane</t>
        </is>
      </c>
      <c r="B1026">
        <v>3.580089605331705e-09</v>
      </c>
      <c r="D1026" t="inlineStr">
        <is>
          <t>kilogram</t>
        </is>
      </c>
      <c r="E1026" t="inlineStr">
        <is>
          <t>air::urban air close to ground</t>
        </is>
      </c>
      <c r="F1026" t="inlineStr">
        <is>
          <t>biosphere</t>
        </is>
      </c>
      <c r="I1026">
        <v>0</v>
      </c>
    </row>
    <row r="1027">
      <c r="A1027" t="inlineStr">
        <is>
          <t>Cadmium II</t>
        </is>
      </c>
      <c r="B1027">
        <v>2.019999982567328e-10</v>
      </c>
      <c r="D1027" t="inlineStr">
        <is>
          <t>kilogram</t>
        </is>
      </c>
      <c r="E1027" t="inlineStr">
        <is>
          <t>air::urban air close to ground</t>
        </is>
      </c>
      <c r="F1027" t="inlineStr">
        <is>
          <t>biosphere</t>
        </is>
      </c>
      <c r="I1027">
        <v>0</v>
      </c>
    </row>
    <row r="1028">
      <c r="A1028" t="inlineStr">
        <is>
          <t>Carbon monoxide, fossil</t>
        </is>
      </c>
      <c r="B1028">
        <v>2.094191274474486e-05</v>
      </c>
      <c r="D1028" t="inlineStr">
        <is>
          <t>kilogram</t>
        </is>
      </c>
      <c r="E1028" t="inlineStr">
        <is>
          <t>air::urban air close to ground</t>
        </is>
      </c>
      <c r="F1028" t="inlineStr">
        <is>
          <t>biosphere</t>
        </is>
      </c>
      <c r="I1028">
        <v>0</v>
      </c>
    </row>
    <row r="1029">
      <c r="A1029" t="inlineStr">
        <is>
          <t>Chromium III</t>
        </is>
      </c>
      <c r="B1029">
        <v>6.979999939762351e-10</v>
      </c>
      <c r="D1029" t="inlineStr">
        <is>
          <t>kilogram</t>
        </is>
      </c>
      <c r="E1029" t="inlineStr">
        <is>
          <t>air::urban air close to ground</t>
        </is>
      </c>
      <c r="F1029" t="inlineStr">
        <is>
          <t>biosphere</t>
        </is>
      </c>
      <c r="I1029">
        <v>0</v>
      </c>
    </row>
    <row r="1030">
      <c r="A1030" t="inlineStr">
        <is>
          <t>Chromium VI</t>
        </is>
      </c>
      <c r="B1030">
        <v>1.3999999879179503e-12</v>
      </c>
      <c r="D1030" t="inlineStr">
        <is>
          <t>kilogram</t>
        </is>
      </c>
      <c r="E1030" t="inlineStr">
        <is>
          <t>air::urban air close to ground</t>
        </is>
      </c>
      <c r="F1030" t="inlineStr">
        <is>
          <t>biosphere</t>
        </is>
      </c>
      <c r="I1030">
        <v>0</v>
      </c>
    </row>
    <row r="1031">
      <c r="A1031" t="inlineStr">
        <is>
          <t>Copper ion</t>
        </is>
      </c>
      <c r="B1031">
        <v>4.929999957453923e-10</v>
      </c>
      <c r="D1031" t="inlineStr">
        <is>
          <t>kilogram</t>
        </is>
      </c>
      <c r="E1031" t="inlineStr">
        <is>
          <t>air::urban air close to ground</t>
        </is>
      </c>
      <c r="F1031" t="inlineStr">
        <is>
          <t>biosphere</t>
        </is>
      </c>
      <c r="I1031">
        <v>0</v>
      </c>
    </row>
    <row r="1032">
      <c r="A1032" t="inlineStr">
        <is>
          <t>Dinitrogen monoxide</t>
        </is>
      </c>
      <c r="B1032">
        <v>2.386726403554469e-06</v>
      </c>
      <c r="D1032" t="inlineStr">
        <is>
          <t>kilogram</t>
        </is>
      </c>
      <c r="E1032" t="inlineStr">
        <is>
          <t>air::urban air close to ground</t>
        </is>
      </c>
      <c r="F1032" t="inlineStr">
        <is>
          <t>biosphere</t>
        </is>
      </c>
      <c r="I1032">
        <v>0</v>
      </c>
    </row>
    <row r="1033">
      <c r="A1033" t="inlineStr">
        <is>
          <t>Ethane</t>
        </is>
      </c>
      <c r="B1033">
        <v>7.160179210663411e-10</v>
      </c>
      <c r="D1033" t="inlineStr">
        <is>
          <t>kilogram</t>
        </is>
      </c>
      <c r="E1033" t="inlineStr">
        <is>
          <t>air::urban air close to ground</t>
        </is>
      </c>
      <c r="F1033" t="inlineStr">
        <is>
          <t>biosphere</t>
        </is>
      </c>
      <c r="I1033">
        <v>0</v>
      </c>
    </row>
    <row r="1034">
      <c r="A1034" t="inlineStr">
        <is>
          <t>1,1,1,2-Tetrafluoroethane</t>
        </is>
      </c>
      <c r="B1034">
        <v>1.6688343004579788e-06</v>
      </c>
      <c r="D1034" t="inlineStr">
        <is>
          <t>kilogram</t>
        </is>
      </c>
      <c r="E1034" t="inlineStr">
        <is>
          <t>air::unspecified</t>
        </is>
      </c>
      <c r="F1034" t="inlineStr">
        <is>
          <t>biosphere</t>
        </is>
      </c>
      <c r="I1034">
        <v>0</v>
      </c>
    </row>
    <row r="1035">
      <c r="A1035" t="inlineStr">
        <is>
          <t>Formaldehyde</t>
        </is>
      </c>
      <c r="B1035">
        <v>2.004850178985755e-07</v>
      </c>
      <c r="D1035" t="inlineStr">
        <is>
          <t>kilogram</t>
        </is>
      </c>
      <c r="E1035" t="inlineStr">
        <is>
          <t>air::urban air close to ground</t>
        </is>
      </c>
      <c r="F1035" t="inlineStr">
        <is>
          <t>biosphere</t>
        </is>
      </c>
      <c r="I1035">
        <v>0</v>
      </c>
    </row>
    <row r="1036">
      <c r="A1036" t="inlineStr">
        <is>
          <t>Heptane</t>
        </is>
      </c>
      <c r="B1036">
        <v>7.16017921066341e-09</v>
      </c>
      <c r="D1036" t="inlineStr">
        <is>
          <t>kilogram</t>
        </is>
      </c>
      <c r="E1036" t="inlineStr">
        <is>
          <t>air::urban air close to ground</t>
        </is>
      </c>
      <c r="F1036" t="inlineStr">
        <is>
          <t>biosphere</t>
        </is>
      </c>
      <c r="I1036">
        <v>0</v>
      </c>
    </row>
    <row r="1037">
      <c r="A1037" t="inlineStr">
        <is>
          <t>Hydrocarbons, chlorinated</t>
        </is>
      </c>
      <c r="B1037">
        <v>1.740555928484824e-06</v>
      </c>
      <c r="D1037" t="inlineStr">
        <is>
          <t>kilogram</t>
        </is>
      </c>
      <c r="E1037" t="inlineStr">
        <is>
          <t>air::urban air close to ground</t>
        </is>
      </c>
      <c r="F1037" t="inlineStr">
        <is>
          <t>biosphere</t>
        </is>
      </c>
      <c r="I1037">
        <v>0</v>
      </c>
    </row>
    <row r="1038">
      <c r="A1038" t="inlineStr">
        <is>
          <t>Mercury II</t>
        </is>
      </c>
      <c r="B1038">
        <v>1.2299999893850563e-10</v>
      </c>
      <c r="D1038" t="inlineStr">
        <is>
          <t>kilogram</t>
        </is>
      </c>
      <c r="E1038" t="inlineStr">
        <is>
          <t>air::urban air close to ground</t>
        </is>
      </c>
      <c r="F1038" t="inlineStr">
        <is>
          <t>biosphere</t>
        </is>
      </c>
      <c r="I1038">
        <v>0</v>
      </c>
    </row>
    <row r="1039">
      <c r="A1039" t="inlineStr">
        <is>
          <t>Methane, fossil</t>
        </is>
      </c>
      <c r="B1039">
        <v>4.177334280532267e-08</v>
      </c>
      <c r="D1039" t="inlineStr">
        <is>
          <t>kilogram</t>
        </is>
      </c>
      <c r="E1039" t="inlineStr">
        <is>
          <t>air::urban air close to ground</t>
        </is>
      </c>
      <c r="F1039" t="inlineStr">
        <is>
          <t>biosphere</t>
        </is>
      </c>
      <c r="I1039">
        <v>0</v>
      </c>
    </row>
    <row r="1040">
      <c r="A1040" t="inlineStr">
        <is>
          <t>NMVOC, non-methane volatile organic compounds</t>
        </is>
      </c>
      <c r="B1040">
        <v>1.3811102485122725e-06</v>
      </c>
      <c r="D1040" t="inlineStr">
        <is>
          <t>kilogram</t>
        </is>
      </c>
      <c r="E1040" t="inlineStr">
        <is>
          <t>air::urban air close to ground</t>
        </is>
      </c>
      <c r="F1040" t="inlineStr">
        <is>
          <t>biosphere</t>
        </is>
      </c>
      <c r="I1040">
        <v>0</v>
      </c>
    </row>
    <row r="1041">
      <c r="A1041" t="inlineStr">
        <is>
          <t>Nickel II</t>
        </is>
      </c>
      <c r="B1041">
        <v>2.0499999823084267e-10</v>
      </c>
      <c r="D1041" t="inlineStr">
        <is>
          <t>kilogram</t>
        </is>
      </c>
      <c r="E1041" t="inlineStr">
        <is>
          <t>air::urban air close to ground</t>
        </is>
      </c>
      <c r="F1041" t="inlineStr">
        <is>
          <t>biosphere</t>
        </is>
      </c>
      <c r="I1041">
        <v>0</v>
      </c>
    </row>
    <row r="1042">
      <c r="A1042" t="inlineStr">
        <is>
          <t>Nitrogen oxides</t>
        </is>
      </c>
      <c r="B1042">
        <v>4.286348264147637e-05</v>
      </c>
      <c r="D1042" t="inlineStr">
        <is>
          <t>kilogram</t>
        </is>
      </c>
      <c r="E1042" t="inlineStr">
        <is>
          <t>air::urban air close to ground</t>
        </is>
      </c>
      <c r="F1042" t="inlineStr">
        <is>
          <t>biosphere</t>
        </is>
      </c>
      <c r="I1042">
        <v>0</v>
      </c>
    </row>
    <row r="1043">
      <c r="A1043" t="inlineStr">
        <is>
          <t>PAH, polycyclic aromatic hydrocarbons</t>
        </is>
      </c>
      <c r="B1043">
        <v>1.8199999842933354e-09</v>
      </c>
      <c r="D1043" t="inlineStr">
        <is>
          <t>kilogram</t>
        </is>
      </c>
      <c r="E1043" t="inlineStr">
        <is>
          <t>air::urban air close to ground</t>
        </is>
      </c>
      <c r="F1043" t="inlineStr">
        <is>
          <t>biosphere</t>
        </is>
      </c>
      <c r="I1043">
        <v>0</v>
      </c>
    </row>
    <row r="1044">
      <c r="A1044" t="inlineStr">
        <is>
          <t>Particulate Matter, &lt; 2.5 um</t>
        </is>
      </c>
      <c r="B1044">
        <v>2.518198657761128e-06</v>
      </c>
      <c r="D1044" t="inlineStr">
        <is>
          <t>kilogram</t>
        </is>
      </c>
      <c r="E1044" t="inlineStr">
        <is>
          <t>air::urban air close to ground</t>
        </is>
      </c>
      <c r="F1044" t="inlineStr">
        <is>
          <t>biosphere</t>
        </is>
      </c>
      <c r="I1044">
        <v>0</v>
      </c>
    </row>
    <row r="1045">
      <c r="A1045" t="inlineStr">
        <is>
          <t>Pentane</t>
        </is>
      </c>
      <c r="B1045">
        <v>1.4320358421326822e-09</v>
      </c>
      <c r="D1045" t="inlineStr">
        <is>
          <t>kilogram</t>
        </is>
      </c>
      <c r="E1045" t="inlineStr">
        <is>
          <t>air::urban air close to ground</t>
        </is>
      </c>
      <c r="F1045" t="inlineStr">
        <is>
          <t>biosphere</t>
        </is>
      </c>
      <c r="I1045">
        <v>0</v>
      </c>
    </row>
    <row r="1046">
      <c r="A1046" t="inlineStr">
        <is>
          <t>Propane</t>
        </is>
      </c>
      <c r="B1046">
        <v>2.3867264035544693e-09</v>
      </c>
      <c r="D1046" t="inlineStr">
        <is>
          <t>kilogram</t>
        </is>
      </c>
      <c r="E1046" t="inlineStr">
        <is>
          <t>air::urban air close to ground</t>
        </is>
      </c>
      <c r="F1046" t="inlineStr">
        <is>
          <t>biosphere</t>
        </is>
      </c>
      <c r="I1046">
        <v>0</v>
      </c>
    </row>
    <row r="1047">
      <c r="A1047" t="inlineStr">
        <is>
          <t>Selenium IV</t>
        </is>
      </c>
      <c r="B1047">
        <v>2.3299999798920164e-12</v>
      </c>
      <c r="D1047" t="inlineStr">
        <is>
          <t>kilogram</t>
        </is>
      </c>
      <c r="E1047" t="inlineStr">
        <is>
          <t>air::urban air close to ground</t>
        </is>
      </c>
      <c r="F1047" t="inlineStr">
        <is>
          <t>biosphere</t>
        </is>
      </c>
      <c r="I1047">
        <v>0</v>
      </c>
    </row>
    <row r="1048">
      <c r="A1048" t="inlineStr">
        <is>
          <t>Styrene</t>
        </is>
      </c>
      <c r="B1048">
        <v>1.3365667859905029e-08</v>
      </c>
      <c r="D1048" t="inlineStr">
        <is>
          <t>kilogram</t>
        </is>
      </c>
      <c r="E1048" t="inlineStr">
        <is>
          <t>air::urban air close to ground</t>
        </is>
      </c>
      <c r="F1048" t="inlineStr">
        <is>
          <t>biosphere</t>
        </is>
      </c>
      <c r="I1048">
        <v>0</v>
      </c>
    </row>
    <row r="1049">
      <c r="A1049" t="inlineStr">
        <is>
          <t>Sulfur dioxide</t>
        </is>
      </c>
      <c r="B1049">
        <v>4.6511627906976754e-07</v>
      </c>
      <c r="D1049" t="inlineStr">
        <is>
          <t>kilogram</t>
        </is>
      </c>
      <c r="E1049" t="inlineStr">
        <is>
          <t>air::unspecified</t>
        </is>
      </c>
      <c r="F1049" t="inlineStr">
        <is>
          <t>biosphere</t>
        </is>
      </c>
      <c r="I1049">
        <v>0</v>
      </c>
    </row>
    <row r="1050">
      <c r="A1050" t="inlineStr">
        <is>
          <t>Toluene</t>
        </is>
      </c>
      <c r="B1050">
        <v>2.38672640355447e-10</v>
      </c>
      <c r="D1050" t="inlineStr">
        <is>
          <t>kilogram</t>
        </is>
      </c>
      <c r="E1050" t="inlineStr">
        <is>
          <t>air::urban air close to ground</t>
        </is>
      </c>
      <c r="F1050" t="inlineStr">
        <is>
          <t>biosphere</t>
        </is>
      </c>
      <c r="I1050">
        <v>0</v>
      </c>
    </row>
    <row r="1051">
      <c r="A1051" t="inlineStr">
        <is>
          <t>Zinc II</t>
        </is>
      </c>
      <c r="B1051">
        <v>4.0499999650483546e-08</v>
      </c>
      <c r="D1051" t="inlineStr">
        <is>
          <t>kilogram</t>
        </is>
      </c>
      <c r="E1051" t="inlineStr">
        <is>
          <t>air::urban air close to ground</t>
        </is>
      </c>
      <c r="F1051" t="inlineStr">
        <is>
          <t>biosphere</t>
        </is>
      </c>
      <c r="I1051">
        <v>0</v>
      </c>
    </row>
    <row r="1052">
      <c r="A1052" t="inlineStr">
        <is>
          <t>m-Xylene</t>
        </is>
      </c>
      <c r="B1052">
        <v>2.3389918754833805e-08</v>
      </c>
      <c r="D1052" t="inlineStr">
        <is>
          <t>kilogram</t>
        </is>
      </c>
      <c r="E1052" t="inlineStr">
        <is>
          <t>air::urban air close to ground</t>
        </is>
      </c>
      <c r="F1052" t="inlineStr">
        <is>
          <t>biosphere</t>
        </is>
      </c>
      <c r="I1052">
        <v>0</v>
      </c>
    </row>
    <row r="1053">
      <c r="A1053" t="inlineStr">
        <is>
          <t>o-Xylene</t>
        </is>
      </c>
      <c r="B1053">
        <v>9.546905614217876e-09</v>
      </c>
      <c r="D1053" t="inlineStr">
        <is>
          <t>kilogram</t>
        </is>
      </c>
      <c r="E1053" t="inlineStr">
        <is>
          <t>air::urban air close to ground</t>
        </is>
      </c>
      <c r="F1053" t="inlineStr">
        <is>
          <t>biosphere</t>
        </is>
      </c>
      <c r="I1053">
        <v>0</v>
      </c>
    </row>
    <row r="1054">
      <c r="A1054" t="inlineStr">
        <is>
          <t>exhaust system, for lorry</t>
        </is>
      </c>
      <c r="B1054">
        <v>1.0221610090305123e-05</v>
      </c>
      <c r="C1054" t="inlineStr">
        <is>
          <t>RER</t>
        </is>
      </c>
      <c r="D1054" t="inlineStr">
        <is>
          <t>kilogram</t>
        </is>
      </c>
      <c r="F1054" t="inlineStr">
        <is>
          <t>technosphere</t>
        </is>
      </c>
      <c r="G1054" t="inlineStr">
        <is>
          <t>exhaust system, for lorry</t>
        </is>
      </c>
      <c r="H1054" t="inlineStr">
        <is>
          <t> Energy-use allocation: 98 * 1.428571428571429e-07 / 1.3696472352509872 MJ per person kilometer.</t>
        </is>
      </c>
      <c r="I1054">
        <v>0</v>
      </c>
    </row>
    <row r="1055">
      <c r="A1055" t="inlineStr">
        <is>
          <t>fuel tank, for diesel vehicle</t>
        </is>
      </c>
      <c r="B1055">
        <v>5.434594663791208e-06</v>
      </c>
      <c r="C1055" t="inlineStr">
        <is>
          <t>RER</t>
        </is>
      </c>
      <c r="D1055" t="inlineStr">
        <is>
          <t>kilogram</t>
        </is>
      </c>
      <c r="F1055" t="inlineStr">
        <is>
          <t>technosphere</t>
        </is>
      </c>
      <c r="G1055" t="inlineStr">
        <is>
          <t>fuel tank</t>
        </is>
      </c>
      <c r="H1055" t="inlineStr">
        <is>
          <t> Energy-use allocation: 52.10434289179975 * 1.428571428571429e-07 / 1.3696472352509872 MJ per person kilometer.</t>
        </is>
      </c>
      <c r="I1055">
        <v>0</v>
      </c>
    </row>
    <row r="1056">
      <c r="A1056" t="inlineStr">
        <is>
          <t>gearbox, for lorry</t>
        </is>
      </c>
      <c r="B1056">
        <v>1.6438852140585983e-05</v>
      </c>
      <c r="C1056" t="inlineStr">
        <is>
          <t>RER</t>
        </is>
      </c>
      <c r="D1056" t="inlineStr">
        <is>
          <t>kilogram</t>
        </is>
      </c>
      <c r="F1056" t="inlineStr">
        <is>
          <t>technosphere</t>
        </is>
      </c>
      <c r="G1056" t="inlineStr">
        <is>
          <t>gearbox, for lorry</t>
        </is>
      </c>
      <c r="H1056" t="inlineStr">
        <is>
          <t> Energy-use allocation: 157.6079986953735 * 1.428571428571429e-07 / 1.3696472352509872 MJ per person kilometer.</t>
        </is>
      </c>
      <c r="I1056">
        <v>0</v>
      </c>
    </row>
    <row r="1057">
      <c r="A1057" t="inlineStr">
        <is>
          <t>internal combustion engine, for lorry</t>
        </is>
      </c>
      <c r="B1057">
        <v>7.397930395893994e-05</v>
      </c>
      <c r="C1057" t="inlineStr">
        <is>
          <t>RER</t>
        </is>
      </c>
      <c r="D1057" t="inlineStr">
        <is>
          <t>kilogram</t>
        </is>
      </c>
      <c r="F1057" t="inlineStr">
        <is>
          <t>technosphere</t>
        </is>
      </c>
      <c r="G1057" t="inlineStr">
        <is>
          <t>internal combustion engine, for lorry</t>
        </is>
      </c>
      <c r="H1057" t="inlineStr">
        <is>
          <t> Energy-use allocation: 709.2788439320813 * 1.428571428571429e-07 / 1.3696472352509872 MJ per person kilometer.</t>
        </is>
      </c>
      <c r="I1057">
        <v>0</v>
      </c>
    </row>
    <row r="1058">
      <c r="A1058" t="inlineStr">
        <is>
          <t>power electronics, for lorry</t>
        </is>
      </c>
      <c r="B1058">
        <v>1.9087292311488137e-05</v>
      </c>
      <c r="C1058" t="inlineStr">
        <is>
          <t>RER</t>
        </is>
      </c>
      <c r="D1058" t="inlineStr">
        <is>
          <t>kilogram</t>
        </is>
      </c>
      <c r="F1058" t="inlineStr">
        <is>
          <t>technosphere</t>
        </is>
      </c>
      <c r="G1058" t="inlineStr">
        <is>
          <t>power electronics, for lorry</t>
        </is>
      </c>
      <c r="H1058" t="inlineStr">
        <is>
          <t> Energy-use allocation: 183 * 1.428571428571429e-07 / 1.3696472352509872 MJ per person kilometer.</t>
        </is>
      </c>
      <c r="I1058">
        <v>0</v>
      </c>
    </row>
    <row r="1059">
      <c r="A1059" t="inlineStr">
        <is>
          <t>retarder, for lorry</t>
        </is>
      </c>
      <c r="B1059">
        <v>5.479617380195329e-06</v>
      </c>
      <c r="C1059" t="inlineStr">
        <is>
          <t>RER</t>
        </is>
      </c>
      <c r="D1059" t="inlineStr">
        <is>
          <t>kilogram</t>
        </is>
      </c>
      <c r="F1059" t="inlineStr">
        <is>
          <t>technosphere</t>
        </is>
      </c>
      <c r="G1059" t="inlineStr">
        <is>
          <t>retarder, for lorry</t>
        </is>
      </c>
      <c r="H1059" t="inlineStr">
        <is>
          <t> Energy-use allocation: 52.53599956512451 * 1.428571428571429e-07 / 1.3696472352509872 MJ per person kilometer.</t>
        </is>
      </c>
      <c r="I1059">
        <v>0</v>
      </c>
    </row>
    <row r="1060">
      <c r="A1060" t="inlineStr">
        <is>
          <t>transmission, for lorry</t>
        </is>
      </c>
      <c r="B1060">
        <v>2.3745008647513085e-05</v>
      </c>
      <c r="C1060" t="inlineStr">
        <is>
          <t>RER</t>
        </is>
      </c>
      <c r="D1060" t="inlineStr">
        <is>
          <t>kilogram</t>
        </is>
      </c>
      <c r="F1060" t="inlineStr">
        <is>
          <t>technosphere</t>
        </is>
      </c>
      <c r="G1060" t="inlineStr">
        <is>
          <t>transmission, for lorry</t>
        </is>
      </c>
      <c r="H1060" t="inlineStr">
        <is>
          <t> Energy-use allocation: 227.6559981155395 * 1.428571428571429e-07 / 1.3696472352509872 MJ per person kilometer.</t>
        </is>
      </c>
      <c r="I1060">
        <v>0</v>
      </c>
    </row>
    <row r="1061">
      <c r="A1061" t="inlineStr">
        <is>
          <t>market for refrigerant R134a</t>
        </is>
      </c>
      <c r="B1061">
        <v>2.451100378797656e-06</v>
      </c>
      <c r="C1061" t="inlineStr">
        <is>
          <t>GLO</t>
        </is>
      </c>
      <c r="D1061" t="inlineStr">
        <is>
          <t>kilogram</t>
        </is>
      </c>
      <c r="F1061" t="inlineStr">
        <is>
          <t>technosphere</t>
        </is>
      </c>
      <c r="G1061" t="inlineStr">
        <is>
          <t>refrigerant R134a</t>
        </is>
      </c>
      <c r="I1061">
        <v>0</v>
      </c>
    </row>
    <row r="1062">
      <c r="A1062" t="inlineStr">
        <is>
          <t>treatment of brake wear emissions, lorry</t>
        </is>
      </c>
      <c r="B1062">
        <v>-6.837706254606543e-06</v>
      </c>
      <c r="C1062" t="inlineStr">
        <is>
          <t>RER</t>
        </is>
      </c>
      <c r="D1062" t="inlineStr">
        <is>
          <t>kilogram</t>
        </is>
      </c>
      <c r="F1062" t="inlineStr">
        <is>
          <t>technosphere</t>
        </is>
      </c>
      <c r="G1062" t="inlineStr">
        <is>
          <t>brake wear emissions, lorry</t>
        </is>
      </c>
      <c r="I1062">
        <v>0</v>
      </c>
    </row>
    <row r="1063">
      <c r="A1063" t="inlineStr">
        <is>
          <t>treatment of road wear emissions, lorry</t>
        </is>
      </c>
      <c r="B1063">
        <v>-5.745793792454793e-06</v>
      </c>
      <c r="C1063" t="inlineStr">
        <is>
          <t>RER</t>
        </is>
      </c>
      <c r="D1063" t="inlineStr">
        <is>
          <t>kilogram</t>
        </is>
      </c>
      <c r="F1063" t="inlineStr">
        <is>
          <t>technosphere</t>
        </is>
      </c>
      <c r="G1063" t="inlineStr">
        <is>
          <t>road wear emissions, lorry</t>
        </is>
      </c>
      <c r="I1063">
        <v>0</v>
      </c>
    </row>
    <row r="1064">
      <c r="A1064" t="inlineStr">
        <is>
          <t>treatment of tyre wear emissions, lorry</t>
        </is>
      </c>
      <c r="B1064">
        <v>-5.674001036673323e-06</v>
      </c>
      <c r="C1064" t="inlineStr">
        <is>
          <t>RER</t>
        </is>
      </c>
      <c r="D1064" t="inlineStr">
        <is>
          <t>kilogram</t>
        </is>
      </c>
      <c r="F1064" t="inlineStr">
        <is>
          <t>technosphere</t>
        </is>
      </c>
      <c r="G1064" t="inlineStr">
        <is>
          <t>tyre wear emissions, lorry</t>
        </is>
      </c>
      <c r="I1064">
        <v>0</v>
      </c>
    </row>
    <row r="1065">
      <c r="A1065" t="inlineStr">
        <is>
          <t>Carbon dioxide, non-fossil</t>
        </is>
      </c>
      <c r="B1065">
        <v>0.0734</v>
      </c>
      <c r="D1065" t="inlineStr">
        <is>
          <t>kilogram</t>
        </is>
      </c>
      <c r="E1065" t="inlineStr">
        <is>
          <t>air::urban air close to ground</t>
        </is>
      </c>
      <c r="F1065" t="inlineStr">
        <is>
          <t>biosphere</t>
        </is>
      </c>
      <c r="I1065">
        <v>0</v>
      </c>
    </row>
    <row r="1066"/>
    <row r="1067">
      <c r="A1067" t="inlineStr">
        <is>
          <t>Activity</t>
        </is>
      </c>
      <c r="B1067" t="inlineStr">
        <is>
          <t>biodiesel, from non-residual oily biomass, burned in single deck coach or urban bus</t>
        </is>
      </c>
    </row>
    <row r="1068">
      <c r="A1068" t="inlineStr">
        <is>
          <t>comment</t>
        </is>
      </c>
      <c r="B1068"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069">
      <c r="A1069" t="inlineStr">
        <is>
          <t>description</t>
        </is>
      </c>
      <c r="B1069"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070">
      <c r="A1070" t="inlineStr">
        <is>
          <t>location</t>
        </is>
      </c>
      <c r="B1070" t="inlineStr">
        <is>
          <t>RER</t>
        </is>
      </c>
    </row>
    <row r="1071">
      <c r="A1071" t="inlineStr">
        <is>
          <t>production amount</t>
        </is>
      </c>
      <c r="B1071">
        <v>1</v>
      </c>
    </row>
    <row r="1072">
      <c r="A1072" t="inlineStr">
        <is>
          <t>reference product</t>
        </is>
      </c>
      <c r="B1072" t="inlineStr">
        <is>
          <t>heat</t>
        </is>
      </c>
    </row>
    <row r="1073">
      <c r="A1073" t="inlineStr">
        <is>
          <t>type</t>
        </is>
      </c>
      <c r="B1073" t="inlineStr">
        <is>
          <t>process</t>
        </is>
      </c>
    </row>
    <row r="1074">
      <c r="A1074" t="inlineStr">
        <is>
          <t>unit</t>
        </is>
      </c>
      <c r="B1074" t="inlineStr">
        <is>
          <t>megajoule</t>
        </is>
      </c>
    </row>
    <row r="1075">
      <c r="A1075" t="inlineStr">
        <is>
          <t>Power, mean</t>
        </is>
      </c>
      <c r="B1075">
        <v>245</v>
      </c>
    </row>
    <row r="1076">
      <c r="A1076" t="inlineStr">
        <is>
          <t>Power, min</t>
        </is>
      </c>
      <c r="B1076">
        <v>125</v>
      </c>
    </row>
    <row r="1077">
      <c r="A1077" t="inlineStr">
        <is>
          <t>Power, max</t>
        </is>
      </c>
      <c r="B1077">
        <v>323</v>
      </c>
    </row>
    <row r="1078">
      <c r="A1078" t="inlineStr">
        <is>
          <t>Lifetime, mean</t>
        </is>
      </c>
      <c r="B1078">
        <v>700000</v>
      </c>
    </row>
    <row r="1079">
      <c r="A1079" t="inlineStr">
        <is>
          <t>Lifetime, min</t>
        </is>
      </c>
      <c r="B1079">
        <v>500000</v>
      </c>
    </row>
    <row r="1080">
      <c r="A1080" t="inlineStr">
        <is>
          <t>Lifetime, max</t>
        </is>
      </c>
      <c r="B1080">
        <v>1000000</v>
      </c>
    </row>
    <row r="1081">
      <c r="A1081" t="inlineStr">
        <is>
          <t>Energy use, mean</t>
        </is>
      </c>
      <c r="B1081">
        <v>9500</v>
      </c>
    </row>
    <row r="1082">
      <c r="A1082" t="inlineStr">
        <is>
          <t>Energy use, min</t>
        </is>
      </c>
      <c r="B1082">
        <v>6000</v>
      </c>
    </row>
    <row r="1083">
      <c r="A1083" t="inlineStr">
        <is>
          <t>Energy use, max</t>
        </is>
      </c>
      <c r="B1083">
        <v>12200</v>
      </c>
    </row>
    <row r="1084">
      <c r="A1084" t="inlineStr">
        <is>
          <t>Electric motor, mean</t>
        </is>
      </c>
      <c r="B1084">
        <v>0</v>
      </c>
    </row>
    <row r="1085">
      <c r="A1085" t="inlineStr">
        <is>
          <t>Electric motor, min</t>
        </is>
      </c>
      <c r="B1085">
        <v>0</v>
      </c>
    </row>
    <row r="1086">
      <c r="A1086" t="inlineStr">
        <is>
          <t>Electric motor, max</t>
        </is>
      </c>
      <c r="B1086">
        <v>0</v>
      </c>
    </row>
    <row r="1087">
      <c r="A1087" t="inlineStr">
        <is>
          <t>Combustion engine, mean</t>
        </is>
      </c>
      <c r="B1087">
        <v>733</v>
      </c>
    </row>
    <row r="1088">
      <c r="A1088" t="inlineStr">
        <is>
          <t>Combustion engine, min</t>
        </is>
      </c>
      <c r="B1088">
        <v>400</v>
      </c>
    </row>
    <row r="1089">
      <c r="A1089" t="inlineStr">
        <is>
          <t>Combustion engine, max</t>
        </is>
      </c>
      <c r="B1089">
        <v>955</v>
      </c>
    </row>
    <row r="1090">
      <c r="A1090" t="inlineStr">
        <is>
          <t>Fuel tank, mean</t>
        </is>
      </c>
      <c r="B1090">
        <v>48</v>
      </c>
    </row>
    <row r="1091">
      <c r="A1091" t="inlineStr">
        <is>
          <t>Fuel tank, min</t>
        </is>
      </c>
      <c r="B1091">
        <v>38</v>
      </c>
    </row>
    <row r="1092">
      <c r="A1092" t="inlineStr">
        <is>
          <t>Fuel tank, max</t>
        </is>
      </c>
      <c r="B1092">
        <v>53</v>
      </c>
    </row>
    <row r="1093">
      <c r="A1093" t="inlineStr">
        <is>
          <t>Battery capacity, mean</t>
        </is>
      </c>
      <c r="B1093">
        <v>0</v>
      </c>
    </row>
    <row r="1094">
      <c r="A1094" t="inlineStr">
        <is>
          <t>Battery capacity, min</t>
        </is>
      </c>
      <c r="B1094">
        <v>0</v>
      </c>
    </row>
    <row r="1095">
      <c r="A1095" t="inlineStr">
        <is>
          <t>Battery capacity, max</t>
        </is>
      </c>
      <c r="B1095">
        <v>0</v>
      </c>
    </row>
    <row r="1096">
      <c r="A1096" t="inlineStr">
        <is>
          <t>Battery replacement, mean</t>
        </is>
      </c>
      <c r="B1096">
        <v>0</v>
      </c>
    </row>
    <row r="1097">
      <c r="A1097" t="inlineStr">
        <is>
          <t>Battery replacement, min</t>
        </is>
      </c>
      <c r="B1097">
        <v>0</v>
      </c>
    </row>
    <row r="1098">
      <c r="A1098" t="inlineStr">
        <is>
          <t>Battery replacement, max</t>
        </is>
      </c>
      <c r="B1098">
        <v>0</v>
      </c>
    </row>
    <row r="1099">
      <c r="A1099" t="inlineStr">
        <is>
          <t>Fuel cell system, mean</t>
        </is>
      </c>
      <c r="B1099">
        <v>0</v>
      </c>
    </row>
    <row r="1100">
      <c r="A1100" t="inlineStr">
        <is>
          <t>Fuel cell system, min</t>
        </is>
      </c>
      <c r="B1100">
        <v>0</v>
      </c>
    </row>
    <row r="1101">
      <c r="A1101" t="inlineStr">
        <is>
          <t>Fuel cell system, max</t>
        </is>
      </c>
      <c r="B1101">
        <v>0</v>
      </c>
    </row>
    <row r="1102">
      <c r="A1102" t="inlineStr">
        <is>
          <t>Fuel cell stack replacement, mean</t>
        </is>
      </c>
      <c r="B1102">
        <v>0</v>
      </c>
    </row>
    <row r="1103">
      <c r="A1103" t="inlineStr">
        <is>
          <t>Fuel cell replacement, min</t>
        </is>
      </c>
      <c r="B1103">
        <v>0</v>
      </c>
    </row>
    <row r="1104">
      <c r="A1104" t="inlineStr">
        <is>
          <t>Fuel cell replacement, max</t>
        </is>
      </c>
      <c r="B1104">
        <v>0</v>
      </c>
    </row>
    <row r="1105">
      <c r="A1105" t="inlineStr">
        <is>
          <t>Onboard charger mass</t>
        </is>
      </c>
      <c r="B1105">
        <v>0</v>
      </c>
    </row>
    <row r="1106">
      <c r="A1106" t="inlineStr">
        <is>
          <t>Controller mass</t>
        </is>
      </c>
      <c r="B1106">
        <v>0</v>
      </c>
    </row>
    <row r="1107">
      <c r="A1107" t="inlineStr">
        <is>
          <t>Converter mass</t>
        </is>
      </c>
      <c r="B1107">
        <v>0</v>
      </c>
    </row>
    <row r="1108">
      <c r="A1108" t="inlineStr">
        <is>
          <t>Electrical powertrain mass</t>
        </is>
      </c>
      <c r="B1108">
        <v>0</v>
      </c>
    </row>
    <row r="1109">
      <c r="A1109" t="inlineStr">
        <is>
          <t>Inverter mass</t>
        </is>
      </c>
      <c r="B1109">
        <v>0</v>
      </c>
    </row>
    <row r="1110">
      <c r="A1110" t="inlineStr">
        <is>
          <t>NOx</t>
        </is>
      </c>
      <c r="B1110">
        <v>0.158234892</v>
      </c>
    </row>
    <row r="1111">
      <c r="A1111" t="inlineStr">
        <is>
          <t>PM 2.5</t>
        </is>
      </c>
      <c r="B1111">
        <v>0.000213184</v>
      </c>
    </row>
    <row r="1112">
      <c r="A1112" t="inlineStr">
        <is>
          <t>energy use source</t>
        </is>
      </c>
      <c r="B1112"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113">
      <c r="A1113" t="inlineStr">
        <is>
          <t>Exchanges</t>
        </is>
      </c>
    </row>
    <row r="1114">
      <c r="A1114" t="inlineStr">
        <is>
          <t>name</t>
        </is>
      </c>
      <c r="B1114" t="inlineStr">
        <is>
          <t>amount</t>
        </is>
      </c>
      <c r="C1114" t="inlineStr">
        <is>
          <t>location</t>
        </is>
      </c>
      <c r="D1114" t="inlineStr">
        <is>
          <t>unit</t>
        </is>
      </c>
      <c r="E1114" t="inlineStr">
        <is>
          <t>categories</t>
        </is>
      </c>
      <c r="F1114" t="inlineStr">
        <is>
          <t>type</t>
        </is>
      </c>
      <c r="G1114" t="inlineStr">
        <is>
          <t>reference product</t>
        </is>
      </c>
      <c r="H1114" t="inlineStr">
        <is>
          <t>comment</t>
        </is>
      </c>
      <c r="I1114" t="inlineStr">
        <is>
          <t>uncertainty type</t>
        </is>
      </c>
    </row>
    <row r="1115">
      <c r="A1115" t="inlineStr">
        <is>
          <t>biodiesel, from non-residual oily biomass, burned in single deck coach or urban bus</t>
        </is>
      </c>
      <c r="B1115">
        <v>1.0</v>
      </c>
      <c r="C1115" t="inlineStr">
        <is>
          <t>RER</t>
        </is>
      </c>
      <c r="D1115" t="inlineStr">
        <is>
          <t>megajoule</t>
        </is>
      </c>
      <c r="F1115" t="inlineStr">
        <is>
          <t>production</t>
        </is>
      </c>
      <c r="G1115" t="inlineStr">
        <is>
          <t>heat</t>
        </is>
      </c>
      <c r="I1115">
        <v>0</v>
      </c>
    </row>
    <row r="1116">
      <c r="A1116" t="inlineStr">
        <is>
          <t>biodiesel production, via transesterification, from rapeseed oil, energy allocation</t>
        </is>
      </c>
      <c r="B1116">
        <v>0.02631578947368421</v>
      </c>
      <c r="C1116" t="inlineStr">
        <is>
          <t>RER</t>
        </is>
      </c>
      <c r="D1116" t="inlineStr">
        <is>
          <t>kilogram</t>
        </is>
      </c>
      <c r="F1116" t="inlineStr">
        <is>
          <t>technosphere</t>
        </is>
      </c>
      <c r="G1116" t="inlineStr">
        <is>
          <t>biodiesel, from rapeseed oil</t>
        </is>
      </c>
      <c r="I1116">
        <v>0</v>
      </c>
    </row>
    <row r="1117">
      <c r="A1117" t="inlineStr">
        <is>
          <t>Acetaldehyde</t>
        </is>
      </c>
      <c r="B1117">
        <v>1.0907339664243923e-07</v>
      </c>
      <c r="D1117" t="inlineStr">
        <is>
          <t>kilogram</t>
        </is>
      </c>
      <c r="E1117" t="inlineStr">
        <is>
          <t>air::urban air close to ground</t>
        </is>
      </c>
      <c r="F1117" t="inlineStr">
        <is>
          <t>biosphere</t>
        </is>
      </c>
      <c r="I1117">
        <v>0</v>
      </c>
    </row>
    <row r="1118">
      <c r="A1118" t="inlineStr">
        <is>
          <t>Acrolein</t>
        </is>
      </c>
      <c r="B1118">
        <v>4.224505734291413e-08</v>
      </c>
      <c r="D1118" t="inlineStr">
        <is>
          <t>kilogram</t>
        </is>
      </c>
      <c r="E1118" t="inlineStr">
        <is>
          <t>air::urban air close to ground</t>
        </is>
      </c>
      <c r="F1118" t="inlineStr">
        <is>
          <t>biosphere</t>
        </is>
      </c>
      <c r="I1118">
        <v>0</v>
      </c>
    </row>
    <row r="1119">
      <c r="A1119" t="inlineStr">
        <is>
          <t>Ammonia</t>
        </is>
      </c>
      <c r="B1119">
        <v>1.0561513719515261e-06</v>
      </c>
      <c r="D1119" t="inlineStr">
        <is>
          <t>kilogram</t>
        </is>
      </c>
      <c r="E1119" t="inlineStr">
        <is>
          <t>air::urban air close to ground</t>
        </is>
      </c>
      <c r="F1119" t="inlineStr">
        <is>
          <t>biosphere</t>
        </is>
      </c>
      <c r="I1119">
        <v>0</v>
      </c>
    </row>
    <row r="1120">
      <c r="A1120" t="inlineStr">
        <is>
          <t>Arsenic ion</t>
        </is>
      </c>
      <c r="B1120">
        <v>2.3299999798920164e-12</v>
      </c>
      <c r="D1120" t="inlineStr">
        <is>
          <t>kilogram</t>
        </is>
      </c>
      <c r="E1120" t="inlineStr">
        <is>
          <t>air::urban air close to ground</t>
        </is>
      </c>
      <c r="F1120" t="inlineStr">
        <is>
          <t>biosphere</t>
        </is>
      </c>
      <c r="I1120">
        <v>0</v>
      </c>
    </row>
    <row r="1121">
      <c r="A1121" t="inlineStr">
        <is>
          <t>Benzaldehyde</t>
        </is>
      </c>
      <c r="B1121">
        <v>3.2698151728696235e-08</v>
      </c>
      <c r="D1121" t="inlineStr">
        <is>
          <t>kilogram</t>
        </is>
      </c>
      <c r="E1121" t="inlineStr">
        <is>
          <t>air::urban air close to ground</t>
        </is>
      </c>
      <c r="F1121" t="inlineStr">
        <is>
          <t>biosphere</t>
        </is>
      </c>
      <c r="I1121">
        <v>0</v>
      </c>
    </row>
    <row r="1122">
      <c r="A1122" t="inlineStr">
        <is>
          <t>Benzene</t>
        </is>
      </c>
      <c r="B1122">
        <v>2.9067283247454772e-08</v>
      </c>
      <c r="D1122" t="inlineStr">
        <is>
          <t>kilogram</t>
        </is>
      </c>
      <c r="E1122" t="inlineStr">
        <is>
          <t>air::urban air close to ground</t>
        </is>
      </c>
      <c r="F1122" t="inlineStr">
        <is>
          <t>biosphere</t>
        </is>
      </c>
      <c r="I1122">
        <v>0</v>
      </c>
    </row>
    <row r="1123">
      <c r="A1123" t="inlineStr">
        <is>
          <t>Butane</t>
        </is>
      </c>
      <c r="B1123">
        <v>3.580089605331705e-09</v>
      </c>
      <c r="D1123" t="inlineStr">
        <is>
          <t>kilogram</t>
        </is>
      </c>
      <c r="E1123" t="inlineStr">
        <is>
          <t>air::urban air close to ground</t>
        </is>
      </c>
      <c r="F1123" t="inlineStr">
        <is>
          <t>biosphere</t>
        </is>
      </c>
      <c r="I1123">
        <v>0</v>
      </c>
    </row>
    <row r="1124">
      <c r="A1124" t="inlineStr">
        <is>
          <t>Cadmium II</t>
        </is>
      </c>
      <c r="B1124">
        <v>2.019999982567328e-10</v>
      </c>
      <c r="D1124" t="inlineStr">
        <is>
          <t>kilogram</t>
        </is>
      </c>
      <c r="E1124" t="inlineStr">
        <is>
          <t>air::urban air close to ground</t>
        </is>
      </c>
      <c r="F1124" t="inlineStr">
        <is>
          <t>biosphere</t>
        </is>
      </c>
      <c r="I1124">
        <v>0</v>
      </c>
    </row>
    <row r="1125">
      <c r="A1125" t="inlineStr">
        <is>
          <t>Carbon monoxide, fossil</t>
        </is>
      </c>
      <c r="B1125">
        <v>2.094191274474486e-05</v>
      </c>
      <c r="D1125" t="inlineStr">
        <is>
          <t>kilogram</t>
        </is>
      </c>
      <c r="E1125" t="inlineStr">
        <is>
          <t>air::urban air close to ground</t>
        </is>
      </c>
      <c r="F1125" t="inlineStr">
        <is>
          <t>biosphere</t>
        </is>
      </c>
      <c r="I1125">
        <v>0</v>
      </c>
    </row>
    <row r="1126">
      <c r="A1126" t="inlineStr">
        <is>
          <t>Chromium III</t>
        </is>
      </c>
      <c r="B1126">
        <v>6.979999939762351e-10</v>
      </c>
      <c r="D1126" t="inlineStr">
        <is>
          <t>kilogram</t>
        </is>
      </c>
      <c r="E1126" t="inlineStr">
        <is>
          <t>air::urban air close to ground</t>
        </is>
      </c>
      <c r="F1126" t="inlineStr">
        <is>
          <t>biosphere</t>
        </is>
      </c>
      <c r="I1126">
        <v>0</v>
      </c>
    </row>
    <row r="1127">
      <c r="A1127" t="inlineStr">
        <is>
          <t>Chromium VI</t>
        </is>
      </c>
      <c r="B1127">
        <v>1.3999999879179503e-12</v>
      </c>
      <c r="D1127" t="inlineStr">
        <is>
          <t>kilogram</t>
        </is>
      </c>
      <c r="E1127" t="inlineStr">
        <is>
          <t>air::urban air close to ground</t>
        </is>
      </c>
      <c r="F1127" t="inlineStr">
        <is>
          <t>biosphere</t>
        </is>
      </c>
      <c r="I1127">
        <v>0</v>
      </c>
    </row>
    <row r="1128">
      <c r="A1128" t="inlineStr">
        <is>
          <t>Copper ion</t>
        </is>
      </c>
      <c r="B1128">
        <v>4.929999957453923e-10</v>
      </c>
      <c r="D1128" t="inlineStr">
        <is>
          <t>kilogram</t>
        </is>
      </c>
      <c r="E1128" t="inlineStr">
        <is>
          <t>air::urban air close to ground</t>
        </is>
      </c>
      <c r="F1128" t="inlineStr">
        <is>
          <t>biosphere</t>
        </is>
      </c>
      <c r="I1128">
        <v>0</v>
      </c>
    </row>
    <row r="1129">
      <c r="A1129" t="inlineStr">
        <is>
          <t>Dinitrogen monoxide</t>
        </is>
      </c>
      <c r="B1129">
        <v>2.386726403554469e-06</v>
      </c>
      <c r="D1129" t="inlineStr">
        <is>
          <t>kilogram</t>
        </is>
      </c>
      <c r="E1129" t="inlineStr">
        <is>
          <t>air::urban air close to ground</t>
        </is>
      </c>
      <c r="F1129" t="inlineStr">
        <is>
          <t>biosphere</t>
        </is>
      </c>
      <c r="I1129">
        <v>0</v>
      </c>
    </row>
    <row r="1130">
      <c r="A1130" t="inlineStr">
        <is>
          <t>Ethane</t>
        </is>
      </c>
      <c r="B1130">
        <v>7.160179210663411e-10</v>
      </c>
      <c r="D1130" t="inlineStr">
        <is>
          <t>kilogram</t>
        </is>
      </c>
      <c r="E1130" t="inlineStr">
        <is>
          <t>air::urban air close to ground</t>
        </is>
      </c>
      <c r="F1130" t="inlineStr">
        <is>
          <t>biosphere</t>
        </is>
      </c>
      <c r="I1130">
        <v>0</v>
      </c>
    </row>
    <row r="1131">
      <c r="A1131" t="inlineStr">
        <is>
          <t>1,1,1,2-Tetrafluoroethane</t>
        </is>
      </c>
      <c r="B1131">
        <v>1.6688343004579788e-06</v>
      </c>
      <c r="D1131" t="inlineStr">
        <is>
          <t>kilogram</t>
        </is>
      </c>
      <c r="E1131" t="inlineStr">
        <is>
          <t>air::unspecified</t>
        </is>
      </c>
      <c r="F1131" t="inlineStr">
        <is>
          <t>biosphere</t>
        </is>
      </c>
      <c r="I1131">
        <v>0</v>
      </c>
    </row>
    <row r="1132">
      <c r="A1132" t="inlineStr">
        <is>
          <t>Formaldehyde</t>
        </is>
      </c>
      <c r="B1132">
        <v>2.004850178985755e-07</v>
      </c>
      <c r="D1132" t="inlineStr">
        <is>
          <t>kilogram</t>
        </is>
      </c>
      <c r="E1132" t="inlineStr">
        <is>
          <t>air::urban air close to ground</t>
        </is>
      </c>
      <c r="F1132" t="inlineStr">
        <is>
          <t>biosphere</t>
        </is>
      </c>
      <c r="I1132">
        <v>0</v>
      </c>
    </row>
    <row r="1133">
      <c r="A1133" t="inlineStr">
        <is>
          <t>Heptane</t>
        </is>
      </c>
      <c r="B1133">
        <v>7.16017921066341e-09</v>
      </c>
      <c r="D1133" t="inlineStr">
        <is>
          <t>kilogram</t>
        </is>
      </c>
      <c r="E1133" t="inlineStr">
        <is>
          <t>air::urban air close to ground</t>
        </is>
      </c>
      <c r="F1133" t="inlineStr">
        <is>
          <t>biosphere</t>
        </is>
      </c>
      <c r="I1133">
        <v>0</v>
      </c>
    </row>
    <row r="1134">
      <c r="A1134" t="inlineStr">
        <is>
          <t>Hydrocarbons, chlorinated</t>
        </is>
      </c>
      <c r="B1134">
        <v>1.740555928484824e-06</v>
      </c>
      <c r="D1134" t="inlineStr">
        <is>
          <t>kilogram</t>
        </is>
      </c>
      <c r="E1134" t="inlineStr">
        <is>
          <t>air::urban air close to ground</t>
        </is>
      </c>
      <c r="F1134" t="inlineStr">
        <is>
          <t>biosphere</t>
        </is>
      </c>
      <c r="I1134">
        <v>0</v>
      </c>
    </row>
    <row r="1135">
      <c r="A1135" t="inlineStr">
        <is>
          <t>Mercury II</t>
        </is>
      </c>
      <c r="B1135">
        <v>1.2299999893850563e-10</v>
      </c>
      <c r="D1135" t="inlineStr">
        <is>
          <t>kilogram</t>
        </is>
      </c>
      <c r="E1135" t="inlineStr">
        <is>
          <t>air::urban air close to ground</t>
        </is>
      </c>
      <c r="F1135" t="inlineStr">
        <is>
          <t>biosphere</t>
        </is>
      </c>
      <c r="I1135">
        <v>0</v>
      </c>
    </row>
    <row r="1136">
      <c r="A1136" t="inlineStr">
        <is>
          <t>Methane, fossil</t>
        </is>
      </c>
      <c r="B1136">
        <v>4.177334280532267e-08</v>
      </c>
      <c r="D1136" t="inlineStr">
        <is>
          <t>kilogram</t>
        </is>
      </c>
      <c r="E1136" t="inlineStr">
        <is>
          <t>air::urban air close to ground</t>
        </is>
      </c>
      <c r="F1136" t="inlineStr">
        <is>
          <t>biosphere</t>
        </is>
      </c>
      <c r="I1136">
        <v>0</v>
      </c>
    </row>
    <row r="1137">
      <c r="A1137" t="inlineStr">
        <is>
          <t>NMVOC, non-methane volatile organic compounds</t>
        </is>
      </c>
      <c r="B1137">
        <v>1.3811102485122725e-06</v>
      </c>
      <c r="D1137" t="inlineStr">
        <is>
          <t>kilogram</t>
        </is>
      </c>
      <c r="E1137" t="inlineStr">
        <is>
          <t>air::urban air close to ground</t>
        </is>
      </c>
      <c r="F1137" t="inlineStr">
        <is>
          <t>biosphere</t>
        </is>
      </c>
      <c r="I1137">
        <v>0</v>
      </c>
    </row>
    <row r="1138">
      <c r="A1138" t="inlineStr">
        <is>
          <t>Nickel II</t>
        </is>
      </c>
      <c r="B1138">
        <v>2.0499999823084267e-10</v>
      </c>
      <c r="D1138" t="inlineStr">
        <is>
          <t>kilogram</t>
        </is>
      </c>
      <c r="E1138" t="inlineStr">
        <is>
          <t>air::urban air close to ground</t>
        </is>
      </c>
      <c r="F1138" t="inlineStr">
        <is>
          <t>biosphere</t>
        </is>
      </c>
      <c r="I1138">
        <v>0</v>
      </c>
    </row>
    <row r="1139">
      <c r="A1139" t="inlineStr">
        <is>
          <t>Nitrogen oxides</t>
        </is>
      </c>
      <c r="B1139">
        <v>4.286348264147637e-05</v>
      </c>
      <c r="D1139" t="inlineStr">
        <is>
          <t>kilogram</t>
        </is>
      </c>
      <c r="E1139" t="inlineStr">
        <is>
          <t>air::urban air close to ground</t>
        </is>
      </c>
      <c r="F1139" t="inlineStr">
        <is>
          <t>biosphere</t>
        </is>
      </c>
      <c r="I1139">
        <v>0</v>
      </c>
    </row>
    <row r="1140">
      <c r="A1140" t="inlineStr">
        <is>
          <t>PAH, polycyclic aromatic hydrocarbons</t>
        </is>
      </c>
      <c r="B1140">
        <v>1.8199999842933354e-09</v>
      </c>
      <c r="D1140" t="inlineStr">
        <is>
          <t>kilogram</t>
        </is>
      </c>
      <c r="E1140" t="inlineStr">
        <is>
          <t>air::urban air close to ground</t>
        </is>
      </c>
      <c r="F1140" t="inlineStr">
        <is>
          <t>biosphere</t>
        </is>
      </c>
      <c r="I1140">
        <v>0</v>
      </c>
    </row>
    <row r="1141">
      <c r="A1141" t="inlineStr">
        <is>
          <t>Particulate Matter, &lt; 2.5 um</t>
        </is>
      </c>
      <c r="B1141">
        <v>2.518198657761128e-06</v>
      </c>
      <c r="D1141" t="inlineStr">
        <is>
          <t>kilogram</t>
        </is>
      </c>
      <c r="E1141" t="inlineStr">
        <is>
          <t>air::urban air close to ground</t>
        </is>
      </c>
      <c r="F1141" t="inlineStr">
        <is>
          <t>biosphere</t>
        </is>
      </c>
      <c r="I1141">
        <v>0</v>
      </c>
    </row>
    <row r="1142">
      <c r="A1142" t="inlineStr">
        <is>
          <t>Pentane</t>
        </is>
      </c>
      <c r="B1142">
        <v>1.4320358421326822e-09</v>
      </c>
      <c r="D1142" t="inlineStr">
        <is>
          <t>kilogram</t>
        </is>
      </c>
      <c r="E1142" t="inlineStr">
        <is>
          <t>air::urban air close to ground</t>
        </is>
      </c>
      <c r="F1142" t="inlineStr">
        <is>
          <t>biosphere</t>
        </is>
      </c>
      <c r="I1142">
        <v>0</v>
      </c>
    </row>
    <row r="1143">
      <c r="A1143" t="inlineStr">
        <is>
          <t>Propane</t>
        </is>
      </c>
      <c r="B1143">
        <v>2.3867264035544693e-09</v>
      </c>
      <c r="D1143" t="inlineStr">
        <is>
          <t>kilogram</t>
        </is>
      </c>
      <c r="E1143" t="inlineStr">
        <is>
          <t>air::urban air close to ground</t>
        </is>
      </c>
      <c r="F1143" t="inlineStr">
        <is>
          <t>biosphere</t>
        </is>
      </c>
      <c r="I1143">
        <v>0</v>
      </c>
    </row>
    <row r="1144">
      <c r="A1144" t="inlineStr">
        <is>
          <t>Selenium IV</t>
        </is>
      </c>
      <c r="B1144">
        <v>2.3299999798920164e-12</v>
      </c>
      <c r="D1144" t="inlineStr">
        <is>
          <t>kilogram</t>
        </is>
      </c>
      <c r="E1144" t="inlineStr">
        <is>
          <t>air::urban air close to ground</t>
        </is>
      </c>
      <c r="F1144" t="inlineStr">
        <is>
          <t>biosphere</t>
        </is>
      </c>
      <c r="I1144">
        <v>0</v>
      </c>
    </row>
    <row r="1145">
      <c r="A1145" t="inlineStr">
        <is>
          <t>Styrene</t>
        </is>
      </c>
      <c r="B1145">
        <v>1.3365667859905029e-08</v>
      </c>
      <c r="D1145" t="inlineStr">
        <is>
          <t>kilogram</t>
        </is>
      </c>
      <c r="E1145" t="inlineStr">
        <is>
          <t>air::urban air close to ground</t>
        </is>
      </c>
      <c r="F1145" t="inlineStr">
        <is>
          <t>biosphere</t>
        </is>
      </c>
      <c r="I1145">
        <v>0</v>
      </c>
    </row>
    <row r="1146">
      <c r="A1146" t="inlineStr">
        <is>
          <t>Sulfur dioxide</t>
        </is>
      </c>
      <c r="B1146">
        <v>4.6511627906976754e-07</v>
      </c>
      <c r="D1146" t="inlineStr">
        <is>
          <t>kilogram</t>
        </is>
      </c>
      <c r="E1146" t="inlineStr">
        <is>
          <t>air::unspecified</t>
        </is>
      </c>
      <c r="F1146" t="inlineStr">
        <is>
          <t>biosphere</t>
        </is>
      </c>
      <c r="I1146">
        <v>0</v>
      </c>
    </row>
    <row r="1147">
      <c r="A1147" t="inlineStr">
        <is>
          <t>Toluene</t>
        </is>
      </c>
      <c r="B1147">
        <v>2.38672640355447e-10</v>
      </c>
      <c r="D1147" t="inlineStr">
        <is>
          <t>kilogram</t>
        </is>
      </c>
      <c r="E1147" t="inlineStr">
        <is>
          <t>air::urban air close to ground</t>
        </is>
      </c>
      <c r="F1147" t="inlineStr">
        <is>
          <t>biosphere</t>
        </is>
      </c>
      <c r="I1147">
        <v>0</v>
      </c>
    </row>
    <row r="1148">
      <c r="A1148" t="inlineStr">
        <is>
          <t>Zinc II</t>
        </is>
      </c>
      <c r="B1148">
        <v>4.0499999650483546e-08</v>
      </c>
      <c r="D1148" t="inlineStr">
        <is>
          <t>kilogram</t>
        </is>
      </c>
      <c r="E1148" t="inlineStr">
        <is>
          <t>air::urban air close to ground</t>
        </is>
      </c>
      <c r="F1148" t="inlineStr">
        <is>
          <t>biosphere</t>
        </is>
      </c>
      <c r="I1148">
        <v>0</v>
      </c>
    </row>
    <row r="1149">
      <c r="A1149" t="inlineStr">
        <is>
          <t>m-Xylene</t>
        </is>
      </c>
      <c r="B1149">
        <v>2.3389918754833805e-08</v>
      </c>
      <c r="D1149" t="inlineStr">
        <is>
          <t>kilogram</t>
        </is>
      </c>
      <c r="E1149" t="inlineStr">
        <is>
          <t>air::urban air close to ground</t>
        </is>
      </c>
      <c r="F1149" t="inlineStr">
        <is>
          <t>biosphere</t>
        </is>
      </c>
      <c r="I1149">
        <v>0</v>
      </c>
    </row>
    <row r="1150">
      <c r="A1150" t="inlineStr">
        <is>
          <t>o-Xylene</t>
        </is>
      </c>
      <c r="B1150">
        <v>9.546905614217876e-09</v>
      </c>
      <c r="D1150" t="inlineStr">
        <is>
          <t>kilogram</t>
        </is>
      </c>
      <c r="E1150" t="inlineStr">
        <is>
          <t>air::urban air close to ground</t>
        </is>
      </c>
      <c r="F1150" t="inlineStr">
        <is>
          <t>biosphere</t>
        </is>
      </c>
      <c r="I1150">
        <v>0</v>
      </c>
    </row>
    <row r="1151">
      <c r="A1151" t="inlineStr">
        <is>
          <t>exhaust system, for lorry</t>
        </is>
      </c>
      <c r="B1151">
        <v>1.0221610090305123e-05</v>
      </c>
      <c r="C1151" t="inlineStr">
        <is>
          <t>RER</t>
        </is>
      </c>
      <c r="D1151" t="inlineStr">
        <is>
          <t>kilogram</t>
        </is>
      </c>
      <c r="F1151" t="inlineStr">
        <is>
          <t>technosphere</t>
        </is>
      </c>
      <c r="G1151" t="inlineStr">
        <is>
          <t>exhaust system, for lorry</t>
        </is>
      </c>
      <c r="H1151" t="inlineStr">
        <is>
          <t> Energy-use allocation: 98 * 1.428571428571429e-07 / 1.3696472352509872 MJ per person kilometer.</t>
        </is>
      </c>
      <c r="I1151">
        <v>0</v>
      </c>
    </row>
    <row r="1152">
      <c r="A1152" t="inlineStr">
        <is>
          <t>fuel tank, for diesel vehicle</t>
        </is>
      </c>
      <c r="B1152">
        <v>5.434594663791208e-06</v>
      </c>
      <c r="C1152" t="inlineStr">
        <is>
          <t>RER</t>
        </is>
      </c>
      <c r="D1152" t="inlineStr">
        <is>
          <t>kilogram</t>
        </is>
      </c>
      <c r="F1152" t="inlineStr">
        <is>
          <t>technosphere</t>
        </is>
      </c>
      <c r="G1152" t="inlineStr">
        <is>
          <t>fuel tank</t>
        </is>
      </c>
      <c r="H1152" t="inlineStr">
        <is>
          <t> Energy-use allocation: 52.10434289179975 * 1.428571428571429e-07 / 1.3696472352509872 MJ per person kilometer.</t>
        </is>
      </c>
      <c r="I1152">
        <v>0</v>
      </c>
    </row>
    <row r="1153">
      <c r="A1153" t="inlineStr">
        <is>
          <t>gearbox, for lorry</t>
        </is>
      </c>
      <c r="B1153">
        <v>1.6438852140585983e-05</v>
      </c>
      <c r="C1153" t="inlineStr">
        <is>
          <t>RER</t>
        </is>
      </c>
      <c r="D1153" t="inlineStr">
        <is>
          <t>kilogram</t>
        </is>
      </c>
      <c r="F1153" t="inlineStr">
        <is>
          <t>technosphere</t>
        </is>
      </c>
      <c r="G1153" t="inlineStr">
        <is>
          <t>gearbox, for lorry</t>
        </is>
      </c>
      <c r="H1153" t="inlineStr">
        <is>
          <t> Energy-use allocation: 157.6079986953735 * 1.428571428571429e-07 / 1.3696472352509872 MJ per person kilometer.</t>
        </is>
      </c>
      <c r="I1153">
        <v>0</v>
      </c>
    </row>
    <row r="1154">
      <c r="A1154" t="inlineStr">
        <is>
          <t>internal combustion engine, for lorry</t>
        </is>
      </c>
      <c r="B1154">
        <v>7.397930395893994e-05</v>
      </c>
      <c r="C1154" t="inlineStr">
        <is>
          <t>RER</t>
        </is>
      </c>
      <c r="D1154" t="inlineStr">
        <is>
          <t>kilogram</t>
        </is>
      </c>
      <c r="F1154" t="inlineStr">
        <is>
          <t>technosphere</t>
        </is>
      </c>
      <c r="G1154" t="inlineStr">
        <is>
          <t>internal combustion engine, for lorry</t>
        </is>
      </c>
      <c r="H1154" t="inlineStr">
        <is>
          <t> Energy-use allocation: 709.2788439320813 * 1.428571428571429e-07 / 1.3696472352509872 MJ per person kilometer.</t>
        </is>
      </c>
      <c r="I1154">
        <v>0</v>
      </c>
    </row>
    <row r="1155">
      <c r="A1155" t="inlineStr">
        <is>
          <t>power electronics, for lorry</t>
        </is>
      </c>
      <c r="B1155">
        <v>1.9087292311488137e-05</v>
      </c>
      <c r="C1155" t="inlineStr">
        <is>
          <t>RER</t>
        </is>
      </c>
      <c r="D1155" t="inlineStr">
        <is>
          <t>kilogram</t>
        </is>
      </c>
      <c r="F1155" t="inlineStr">
        <is>
          <t>technosphere</t>
        </is>
      </c>
      <c r="G1155" t="inlineStr">
        <is>
          <t>power electronics, for lorry</t>
        </is>
      </c>
      <c r="H1155" t="inlineStr">
        <is>
          <t> Energy-use allocation: 183 * 1.428571428571429e-07 / 1.3696472352509872 MJ per person kilometer.</t>
        </is>
      </c>
      <c r="I1155">
        <v>0</v>
      </c>
    </row>
    <row r="1156">
      <c r="A1156" t="inlineStr">
        <is>
          <t>retarder, for lorry</t>
        </is>
      </c>
      <c r="B1156">
        <v>5.479617380195329e-06</v>
      </c>
      <c r="C1156" t="inlineStr">
        <is>
          <t>RER</t>
        </is>
      </c>
      <c r="D1156" t="inlineStr">
        <is>
          <t>kilogram</t>
        </is>
      </c>
      <c r="F1156" t="inlineStr">
        <is>
          <t>technosphere</t>
        </is>
      </c>
      <c r="G1156" t="inlineStr">
        <is>
          <t>retarder, for lorry</t>
        </is>
      </c>
      <c r="H1156" t="inlineStr">
        <is>
          <t> Energy-use allocation: 52.53599956512451 * 1.428571428571429e-07 / 1.3696472352509872 MJ per person kilometer.</t>
        </is>
      </c>
      <c r="I1156">
        <v>0</v>
      </c>
    </row>
    <row r="1157">
      <c r="A1157" t="inlineStr">
        <is>
          <t>transmission, for lorry</t>
        </is>
      </c>
      <c r="B1157">
        <v>2.3745008647513085e-05</v>
      </c>
      <c r="C1157" t="inlineStr">
        <is>
          <t>RER</t>
        </is>
      </c>
      <c r="D1157" t="inlineStr">
        <is>
          <t>kilogram</t>
        </is>
      </c>
      <c r="F1157" t="inlineStr">
        <is>
          <t>technosphere</t>
        </is>
      </c>
      <c r="G1157" t="inlineStr">
        <is>
          <t>transmission, for lorry</t>
        </is>
      </c>
      <c r="H1157" t="inlineStr">
        <is>
          <t> Energy-use allocation: 227.6559981155395 * 1.428571428571429e-07 / 1.3696472352509872 MJ per person kilometer.</t>
        </is>
      </c>
      <c r="I1157">
        <v>0</v>
      </c>
    </row>
    <row r="1158">
      <c r="A1158" t="inlineStr">
        <is>
          <t>market for refrigerant R134a</t>
        </is>
      </c>
      <c r="B1158">
        <v>2.451100378797656e-06</v>
      </c>
      <c r="C1158" t="inlineStr">
        <is>
          <t>GLO</t>
        </is>
      </c>
      <c r="D1158" t="inlineStr">
        <is>
          <t>kilogram</t>
        </is>
      </c>
      <c r="F1158" t="inlineStr">
        <is>
          <t>technosphere</t>
        </is>
      </c>
      <c r="G1158" t="inlineStr">
        <is>
          <t>refrigerant R134a</t>
        </is>
      </c>
      <c r="I1158">
        <v>0</v>
      </c>
    </row>
    <row r="1159">
      <c r="A1159" t="inlineStr">
        <is>
          <t>treatment of brake wear emissions, lorry</t>
        </is>
      </c>
      <c r="B1159">
        <v>-6.837706254606543e-06</v>
      </c>
      <c r="C1159" t="inlineStr">
        <is>
          <t>RER</t>
        </is>
      </c>
      <c r="D1159" t="inlineStr">
        <is>
          <t>kilogram</t>
        </is>
      </c>
      <c r="F1159" t="inlineStr">
        <is>
          <t>technosphere</t>
        </is>
      </c>
      <c r="G1159" t="inlineStr">
        <is>
          <t>brake wear emissions, lorry</t>
        </is>
      </c>
      <c r="I1159">
        <v>0</v>
      </c>
    </row>
    <row r="1160">
      <c r="A1160" t="inlineStr">
        <is>
          <t>treatment of road wear emissions, lorry</t>
        </is>
      </c>
      <c r="B1160">
        <v>-5.745793792454793e-06</v>
      </c>
      <c r="C1160" t="inlineStr">
        <is>
          <t>RER</t>
        </is>
      </c>
      <c r="D1160" t="inlineStr">
        <is>
          <t>kilogram</t>
        </is>
      </c>
      <c r="F1160" t="inlineStr">
        <is>
          <t>technosphere</t>
        </is>
      </c>
      <c r="G1160" t="inlineStr">
        <is>
          <t>road wear emissions, lorry</t>
        </is>
      </c>
      <c r="I1160">
        <v>0</v>
      </c>
    </row>
    <row r="1161">
      <c r="A1161" t="inlineStr">
        <is>
          <t>treatment of tyre wear emissions, lorry</t>
        </is>
      </c>
      <c r="B1161">
        <v>-5.674001036673323e-06</v>
      </c>
      <c r="C1161" t="inlineStr">
        <is>
          <t>RER</t>
        </is>
      </c>
      <c r="D1161" t="inlineStr">
        <is>
          <t>kilogram</t>
        </is>
      </c>
      <c r="F1161" t="inlineStr">
        <is>
          <t>technosphere</t>
        </is>
      </c>
      <c r="G1161" t="inlineStr">
        <is>
          <t>tyre wear emissions, lorry</t>
        </is>
      </c>
      <c r="I1161">
        <v>0</v>
      </c>
    </row>
    <row r="1162">
      <c r="A1162" t="inlineStr">
        <is>
          <t>Carbon dioxide, non-fossil</t>
        </is>
      </c>
      <c r="B1162">
        <v>0.0734</v>
      </c>
      <c r="D1162" t="inlineStr">
        <is>
          <t>kilogram</t>
        </is>
      </c>
      <c r="E1162" t="inlineStr">
        <is>
          <t>air::urban air close to ground</t>
        </is>
      </c>
      <c r="F1162" t="inlineStr">
        <is>
          <t>biosphere</t>
        </is>
      </c>
      <c r="I1162">
        <v>0</v>
      </c>
    </row>
    <row r="1163"/>
    <row r="1164">
      <c r="A1164" t="inlineStr">
        <is>
          <t>Activity</t>
        </is>
      </c>
      <c r="B1164" t="inlineStr">
        <is>
          <t>biodiesel, from non-residual cellulosic biomass, burned in single deck coach or urban bus</t>
        </is>
      </c>
    </row>
    <row r="1165">
      <c r="A1165" t="inlineStr">
        <is>
          <t>comment</t>
        </is>
      </c>
      <c r="B1165"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166">
      <c r="A1166" t="inlineStr">
        <is>
          <t>description</t>
        </is>
      </c>
      <c r="B116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167">
      <c r="A1167" t="inlineStr">
        <is>
          <t>location</t>
        </is>
      </c>
      <c r="B1167" t="inlineStr">
        <is>
          <t>RER</t>
        </is>
      </c>
    </row>
    <row r="1168">
      <c r="A1168" t="inlineStr">
        <is>
          <t>production amount</t>
        </is>
      </c>
      <c r="B1168">
        <v>1</v>
      </c>
    </row>
    <row r="1169">
      <c r="A1169" t="inlineStr">
        <is>
          <t>reference product</t>
        </is>
      </c>
      <c r="B1169" t="inlineStr">
        <is>
          <t>heat</t>
        </is>
      </c>
    </row>
    <row r="1170">
      <c r="A1170" t="inlineStr">
        <is>
          <t>type</t>
        </is>
      </c>
      <c r="B1170" t="inlineStr">
        <is>
          <t>process</t>
        </is>
      </c>
    </row>
    <row r="1171">
      <c r="A1171" t="inlineStr">
        <is>
          <t>unit</t>
        </is>
      </c>
      <c r="B1171" t="inlineStr">
        <is>
          <t>megajoule</t>
        </is>
      </c>
    </row>
    <row r="1172">
      <c r="A1172" t="inlineStr">
        <is>
          <t>Power, mean</t>
        </is>
      </c>
      <c r="B1172">
        <v>245</v>
      </c>
    </row>
    <row r="1173">
      <c r="A1173" t="inlineStr">
        <is>
          <t>Power, min</t>
        </is>
      </c>
      <c r="B1173">
        <v>125</v>
      </c>
    </row>
    <row r="1174">
      <c r="A1174" t="inlineStr">
        <is>
          <t>Power, max</t>
        </is>
      </c>
      <c r="B1174">
        <v>323</v>
      </c>
    </row>
    <row r="1175">
      <c r="A1175" t="inlineStr">
        <is>
          <t>Lifetime, mean</t>
        </is>
      </c>
      <c r="B1175">
        <v>700000</v>
      </c>
    </row>
    <row r="1176">
      <c r="A1176" t="inlineStr">
        <is>
          <t>Lifetime, min</t>
        </is>
      </c>
      <c r="B1176">
        <v>500000</v>
      </c>
    </row>
    <row r="1177">
      <c r="A1177" t="inlineStr">
        <is>
          <t>Lifetime, max</t>
        </is>
      </c>
      <c r="B1177">
        <v>1000000</v>
      </c>
    </row>
    <row r="1178">
      <c r="A1178" t="inlineStr">
        <is>
          <t>Energy use, mean</t>
        </is>
      </c>
      <c r="B1178">
        <v>9500</v>
      </c>
    </row>
    <row r="1179">
      <c r="A1179" t="inlineStr">
        <is>
          <t>Energy use, min</t>
        </is>
      </c>
      <c r="B1179">
        <v>6000</v>
      </c>
    </row>
    <row r="1180">
      <c r="A1180" t="inlineStr">
        <is>
          <t>Energy use, max</t>
        </is>
      </c>
      <c r="B1180">
        <v>12200</v>
      </c>
    </row>
    <row r="1181">
      <c r="A1181" t="inlineStr">
        <is>
          <t>Electric motor, mean</t>
        </is>
      </c>
      <c r="B1181">
        <v>0</v>
      </c>
    </row>
    <row r="1182">
      <c r="A1182" t="inlineStr">
        <is>
          <t>Electric motor, min</t>
        </is>
      </c>
      <c r="B1182">
        <v>0</v>
      </c>
    </row>
    <row r="1183">
      <c r="A1183" t="inlineStr">
        <is>
          <t>Electric motor, max</t>
        </is>
      </c>
      <c r="B1183">
        <v>0</v>
      </c>
    </row>
    <row r="1184">
      <c r="A1184" t="inlineStr">
        <is>
          <t>Combustion engine, mean</t>
        </is>
      </c>
      <c r="B1184">
        <v>733</v>
      </c>
    </row>
    <row r="1185">
      <c r="A1185" t="inlineStr">
        <is>
          <t>Combustion engine, min</t>
        </is>
      </c>
      <c r="B1185">
        <v>400</v>
      </c>
    </row>
    <row r="1186">
      <c r="A1186" t="inlineStr">
        <is>
          <t>Combustion engine, max</t>
        </is>
      </c>
      <c r="B1186">
        <v>955</v>
      </c>
    </row>
    <row r="1187">
      <c r="A1187" t="inlineStr">
        <is>
          <t>Fuel tank, mean</t>
        </is>
      </c>
      <c r="B1187">
        <v>48</v>
      </c>
    </row>
    <row r="1188">
      <c r="A1188" t="inlineStr">
        <is>
          <t>Fuel tank, min</t>
        </is>
      </c>
      <c r="B1188">
        <v>38</v>
      </c>
    </row>
    <row r="1189">
      <c r="A1189" t="inlineStr">
        <is>
          <t>Fuel tank, max</t>
        </is>
      </c>
      <c r="B1189">
        <v>53</v>
      </c>
    </row>
    <row r="1190">
      <c r="A1190" t="inlineStr">
        <is>
          <t>Battery capacity, mean</t>
        </is>
      </c>
      <c r="B1190">
        <v>0</v>
      </c>
    </row>
    <row r="1191">
      <c r="A1191" t="inlineStr">
        <is>
          <t>Battery capacity, min</t>
        </is>
      </c>
      <c r="B1191">
        <v>0</v>
      </c>
    </row>
    <row r="1192">
      <c r="A1192" t="inlineStr">
        <is>
          <t>Battery capacity, max</t>
        </is>
      </c>
      <c r="B1192">
        <v>0</v>
      </c>
    </row>
    <row r="1193">
      <c r="A1193" t="inlineStr">
        <is>
          <t>Battery replacement, mean</t>
        </is>
      </c>
      <c r="B1193">
        <v>0</v>
      </c>
    </row>
    <row r="1194">
      <c r="A1194" t="inlineStr">
        <is>
          <t>Battery replacement, min</t>
        </is>
      </c>
      <c r="B1194">
        <v>0</v>
      </c>
    </row>
    <row r="1195">
      <c r="A1195" t="inlineStr">
        <is>
          <t>Battery replacement, max</t>
        </is>
      </c>
      <c r="B1195">
        <v>0</v>
      </c>
    </row>
    <row r="1196">
      <c r="A1196" t="inlineStr">
        <is>
          <t>Fuel cell system, mean</t>
        </is>
      </c>
      <c r="B1196">
        <v>0</v>
      </c>
    </row>
    <row r="1197">
      <c r="A1197" t="inlineStr">
        <is>
          <t>Fuel cell system, min</t>
        </is>
      </c>
      <c r="B1197">
        <v>0</v>
      </c>
    </row>
    <row r="1198">
      <c r="A1198" t="inlineStr">
        <is>
          <t>Fuel cell system, max</t>
        </is>
      </c>
      <c r="B1198">
        <v>0</v>
      </c>
    </row>
    <row r="1199">
      <c r="A1199" t="inlineStr">
        <is>
          <t>Fuel cell stack replacement, mean</t>
        </is>
      </c>
      <c r="B1199">
        <v>0</v>
      </c>
    </row>
    <row r="1200">
      <c r="A1200" t="inlineStr">
        <is>
          <t>Fuel cell replacement, min</t>
        </is>
      </c>
      <c r="B1200">
        <v>0</v>
      </c>
    </row>
    <row r="1201">
      <c r="A1201" t="inlineStr">
        <is>
          <t>Fuel cell replacement, max</t>
        </is>
      </c>
      <c r="B1201">
        <v>0</v>
      </c>
    </row>
    <row r="1202">
      <c r="A1202" t="inlineStr">
        <is>
          <t>Onboard charger mass</t>
        </is>
      </c>
      <c r="B1202">
        <v>0</v>
      </c>
    </row>
    <row r="1203">
      <c r="A1203" t="inlineStr">
        <is>
          <t>Controller mass</t>
        </is>
      </c>
      <c r="B1203">
        <v>0</v>
      </c>
    </row>
    <row r="1204">
      <c r="A1204" t="inlineStr">
        <is>
          <t>Converter mass</t>
        </is>
      </c>
      <c r="B1204">
        <v>0</v>
      </c>
    </row>
    <row r="1205">
      <c r="A1205" t="inlineStr">
        <is>
          <t>Electrical powertrain mass</t>
        </is>
      </c>
      <c r="B1205">
        <v>0</v>
      </c>
    </row>
    <row r="1206">
      <c r="A1206" t="inlineStr">
        <is>
          <t>Inverter mass</t>
        </is>
      </c>
      <c r="B1206">
        <v>0</v>
      </c>
    </row>
    <row r="1207">
      <c r="A1207" t="inlineStr">
        <is>
          <t>NOx</t>
        </is>
      </c>
      <c r="B1207">
        <v>0.158234892</v>
      </c>
    </row>
    <row r="1208">
      <c r="A1208" t="inlineStr">
        <is>
          <t>PM 2.5</t>
        </is>
      </c>
      <c r="B1208">
        <v>0.000213184</v>
      </c>
    </row>
    <row r="1209">
      <c r="A1209" t="inlineStr">
        <is>
          <t>energy use source</t>
        </is>
      </c>
      <c r="B1209"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210">
      <c r="A1210" t="inlineStr">
        <is>
          <t>Exchanges</t>
        </is>
      </c>
    </row>
    <row r="1211">
      <c r="A1211" t="inlineStr">
        <is>
          <t>name</t>
        </is>
      </c>
      <c r="B1211" t="inlineStr">
        <is>
          <t>amount</t>
        </is>
      </c>
      <c r="C1211" t="inlineStr">
        <is>
          <t>location</t>
        </is>
      </c>
      <c r="D1211" t="inlineStr">
        <is>
          <t>unit</t>
        </is>
      </c>
      <c r="E1211" t="inlineStr">
        <is>
          <t>categories</t>
        </is>
      </c>
      <c r="F1211" t="inlineStr">
        <is>
          <t>type</t>
        </is>
      </c>
      <c r="G1211" t="inlineStr">
        <is>
          <t>reference product</t>
        </is>
      </c>
      <c r="H1211" t="inlineStr">
        <is>
          <t>comment</t>
        </is>
      </c>
      <c r="I1211" t="inlineStr">
        <is>
          <t>uncertainty type</t>
        </is>
      </c>
    </row>
    <row r="1212">
      <c r="A1212" t="inlineStr">
        <is>
          <t>biodiesel, from non-residual cellulosic biomass, burned in single deck coach or urban bus</t>
        </is>
      </c>
      <c r="B1212">
        <v>1.0</v>
      </c>
      <c r="C1212" t="inlineStr">
        <is>
          <t>RER</t>
        </is>
      </c>
      <c r="D1212" t="inlineStr">
        <is>
          <t>megajoule</t>
        </is>
      </c>
      <c r="F1212" t="inlineStr">
        <is>
          <t>production</t>
        </is>
      </c>
      <c r="G1212" t="inlineStr">
        <is>
          <t>heat</t>
        </is>
      </c>
      <c r="I1212">
        <v>0</v>
      </c>
    </row>
    <row r="1213">
      <c r="A1213" t="inlineStr">
        <is>
          <t>biodiesel production, via Fischer-Tropsch, from forest product (non-residual), energy allocation</t>
        </is>
      </c>
      <c r="B1213">
        <v>0.023255813953488372</v>
      </c>
      <c r="C1213" t="inlineStr">
        <is>
          <t>RER</t>
        </is>
      </c>
      <c r="D1213" t="inlineStr">
        <is>
          <t>kilogram</t>
        </is>
      </c>
      <c r="F1213" t="inlineStr">
        <is>
          <t>technosphere</t>
        </is>
      </c>
      <c r="G1213" t="inlineStr">
        <is>
          <t>biodiesel, from forest residues</t>
        </is>
      </c>
      <c r="I1213">
        <v>0</v>
      </c>
    </row>
    <row r="1214">
      <c r="A1214" t="inlineStr">
        <is>
          <t>Acetaldehyde</t>
        </is>
      </c>
      <c r="B1214">
        <v>1.0907339664243923e-07</v>
      </c>
      <c r="D1214" t="inlineStr">
        <is>
          <t>kilogram</t>
        </is>
      </c>
      <c r="E1214" t="inlineStr">
        <is>
          <t>air::urban air close to ground</t>
        </is>
      </c>
      <c r="F1214" t="inlineStr">
        <is>
          <t>biosphere</t>
        </is>
      </c>
      <c r="I1214">
        <v>0</v>
      </c>
    </row>
    <row r="1215">
      <c r="A1215" t="inlineStr">
        <is>
          <t>Acrolein</t>
        </is>
      </c>
      <c r="B1215">
        <v>4.224505734291413e-08</v>
      </c>
      <c r="D1215" t="inlineStr">
        <is>
          <t>kilogram</t>
        </is>
      </c>
      <c r="E1215" t="inlineStr">
        <is>
          <t>air::urban air close to ground</t>
        </is>
      </c>
      <c r="F1215" t="inlineStr">
        <is>
          <t>biosphere</t>
        </is>
      </c>
      <c r="I1215">
        <v>0</v>
      </c>
    </row>
    <row r="1216">
      <c r="A1216" t="inlineStr">
        <is>
          <t>Ammonia</t>
        </is>
      </c>
      <c r="B1216">
        <v>1.0561513719515261e-06</v>
      </c>
      <c r="D1216" t="inlineStr">
        <is>
          <t>kilogram</t>
        </is>
      </c>
      <c r="E1216" t="inlineStr">
        <is>
          <t>air::urban air close to ground</t>
        </is>
      </c>
      <c r="F1216" t="inlineStr">
        <is>
          <t>biosphere</t>
        </is>
      </c>
      <c r="I1216">
        <v>0</v>
      </c>
    </row>
    <row r="1217">
      <c r="A1217" t="inlineStr">
        <is>
          <t>Arsenic ion</t>
        </is>
      </c>
      <c r="B1217">
        <v>2.3299999798920164e-12</v>
      </c>
      <c r="D1217" t="inlineStr">
        <is>
          <t>kilogram</t>
        </is>
      </c>
      <c r="E1217" t="inlineStr">
        <is>
          <t>air::urban air close to ground</t>
        </is>
      </c>
      <c r="F1217" t="inlineStr">
        <is>
          <t>biosphere</t>
        </is>
      </c>
      <c r="I1217">
        <v>0</v>
      </c>
    </row>
    <row r="1218">
      <c r="A1218" t="inlineStr">
        <is>
          <t>Benzaldehyde</t>
        </is>
      </c>
      <c r="B1218">
        <v>3.2698151728696235e-08</v>
      </c>
      <c r="D1218" t="inlineStr">
        <is>
          <t>kilogram</t>
        </is>
      </c>
      <c r="E1218" t="inlineStr">
        <is>
          <t>air::urban air close to ground</t>
        </is>
      </c>
      <c r="F1218" t="inlineStr">
        <is>
          <t>biosphere</t>
        </is>
      </c>
      <c r="I1218">
        <v>0</v>
      </c>
    </row>
    <row r="1219">
      <c r="A1219" t="inlineStr">
        <is>
          <t>Benzene</t>
        </is>
      </c>
      <c r="B1219">
        <v>2.9067283247454772e-08</v>
      </c>
      <c r="D1219" t="inlineStr">
        <is>
          <t>kilogram</t>
        </is>
      </c>
      <c r="E1219" t="inlineStr">
        <is>
          <t>air::urban air close to ground</t>
        </is>
      </c>
      <c r="F1219" t="inlineStr">
        <is>
          <t>biosphere</t>
        </is>
      </c>
      <c r="I1219">
        <v>0</v>
      </c>
    </row>
    <row r="1220">
      <c r="A1220" t="inlineStr">
        <is>
          <t>Butane</t>
        </is>
      </c>
      <c r="B1220">
        <v>3.580089605331705e-09</v>
      </c>
      <c r="D1220" t="inlineStr">
        <is>
          <t>kilogram</t>
        </is>
      </c>
      <c r="E1220" t="inlineStr">
        <is>
          <t>air::urban air close to ground</t>
        </is>
      </c>
      <c r="F1220" t="inlineStr">
        <is>
          <t>biosphere</t>
        </is>
      </c>
      <c r="I1220">
        <v>0</v>
      </c>
    </row>
    <row r="1221">
      <c r="A1221" t="inlineStr">
        <is>
          <t>Cadmium II</t>
        </is>
      </c>
      <c r="B1221">
        <v>2.019999982567328e-10</v>
      </c>
      <c r="D1221" t="inlineStr">
        <is>
          <t>kilogram</t>
        </is>
      </c>
      <c r="E1221" t="inlineStr">
        <is>
          <t>air::urban air close to ground</t>
        </is>
      </c>
      <c r="F1221" t="inlineStr">
        <is>
          <t>biosphere</t>
        </is>
      </c>
      <c r="I1221">
        <v>0</v>
      </c>
    </row>
    <row r="1222">
      <c r="A1222" t="inlineStr">
        <is>
          <t>Carbon monoxide, fossil</t>
        </is>
      </c>
      <c r="B1222">
        <v>2.094191274474486e-05</v>
      </c>
      <c r="D1222" t="inlineStr">
        <is>
          <t>kilogram</t>
        </is>
      </c>
      <c r="E1222" t="inlineStr">
        <is>
          <t>air::urban air close to ground</t>
        </is>
      </c>
      <c r="F1222" t="inlineStr">
        <is>
          <t>biosphere</t>
        </is>
      </c>
      <c r="I1222">
        <v>0</v>
      </c>
    </row>
    <row r="1223">
      <c r="A1223" t="inlineStr">
        <is>
          <t>Chromium III</t>
        </is>
      </c>
      <c r="B1223">
        <v>6.979999939762351e-10</v>
      </c>
      <c r="D1223" t="inlineStr">
        <is>
          <t>kilogram</t>
        </is>
      </c>
      <c r="E1223" t="inlineStr">
        <is>
          <t>air::urban air close to ground</t>
        </is>
      </c>
      <c r="F1223" t="inlineStr">
        <is>
          <t>biosphere</t>
        </is>
      </c>
      <c r="I1223">
        <v>0</v>
      </c>
    </row>
    <row r="1224">
      <c r="A1224" t="inlineStr">
        <is>
          <t>Chromium VI</t>
        </is>
      </c>
      <c r="B1224">
        <v>1.3999999879179503e-12</v>
      </c>
      <c r="D1224" t="inlineStr">
        <is>
          <t>kilogram</t>
        </is>
      </c>
      <c r="E1224" t="inlineStr">
        <is>
          <t>air::urban air close to ground</t>
        </is>
      </c>
      <c r="F1224" t="inlineStr">
        <is>
          <t>biosphere</t>
        </is>
      </c>
      <c r="I1224">
        <v>0</v>
      </c>
    </row>
    <row r="1225">
      <c r="A1225" t="inlineStr">
        <is>
          <t>Copper ion</t>
        </is>
      </c>
      <c r="B1225">
        <v>4.929999957453923e-10</v>
      </c>
      <c r="D1225" t="inlineStr">
        <is>
          <t>kilogram</t>
        </is>
      </c>
      <c r="E1225" t="inlineStr">
        <is>
          <t>air::urban air close to ground</t>
        </is>
      </c>
      <c r="F1225" t="inlineStr">
        <is>
          <t>biosphere</t>
        </is>
      </c>
      <c r="I1225">
        <v>0</v>
      </c>
    </row>
    <row r="1226">
      <c r="A1226" t="inlineStr">
        <is>
          <t>Dinitrogen monoxide</t>
        </is>
      </c>
      <c r="B1226">
        <v>2.386726403554469e-06</v>
      </c>
      <c r="D1226" t="inlineStr">
        <is>
          <t>kilogram</t>
        </is>
      </c>
      <c r="E1226" t="inlineStr">
        <is>
          <t>air::urban air close to ground</t>
        </is>
      </c>
      <c r="F1226" t="inlineStr">
        <is>
          <t>biosphere</t>
        </is>
      </c>
      <c r="I1226">
        <v>0</v>
      </c>
    </row>
    <row r="1227">
      <c r="A1227" t="inlineStr">
        <is>
          <t>Ethane</t>
        </is>
      </c>
      <c r="B1227">
        <v>7.160179210663411e-10</v>
      </c>
      <c r="D1227" t="inlineStr">
        <is>
          <t>kilogram</t>
        </is>
      </c>
      <c r="E1227" t="inlineStr">
        <is>
          <t>air::urban air close to ground</t>
        </is>
      </c>
      <c r="F1227" t="inlineStr">
        <is>
          <t>biosphere</t>
        </is>
      </c>
      <c r="I1227">
        <v>0</v>
      </c>
    </row>
    <row r="1228">
      <c r="A1228" t="inlineStr">
        <is>
          <t>1,1,1,2-Tetrafluoroethane</t>
        </is>
      </c>
      <c r="B1228">
        <v>1.6688343004579788e-06</v>
      </c>
      <c r="D1228" t="inlineStr">
        <is>
          <t>kilogram</t>
        </is>
      </c>
      <c r="E1228" t="inlineStr">
        <is>
          <t>air::unspecified</t>
        </is>
      </c>
      <c r="F1228" t="inlineStr">
        <is>
          <t>biosphere</t>
        </is>
      </c>
      <c r="I1228">
        <v>0</v>
      </c>
    </row>
    <row r="1229">
      <c r="A1229" t="inlineStr">
        <is>
          <t>Formaldehyde</t>
        </is>
      </c>
      <c r="B1229">
        <v>2.004850178985755e-07</v>
      </c>
      <c r="D1229" t="inlineStr">
        <is>
          <t>kilogram</t>
        </is>
      </c>
      <c r="E1229" t="inlineStr">
        <is>
          <t>air::urban air close to ground</t>
        </is>
      </c>
      <c r="F1229" t="inlineStr">
        <is>
          <t>biosphere</t>
        </is>
      </c>
      <c r="I1229">
        <v>0</v>
      </c>
    </row>
    <row r="1230">
      <c r="A1230" t="inlineStr">
        <is>
          <t>Heptane</t>
        </is>
      </c>
      <c r="B1230">
        <v>7.16017921066341e-09</v>
      </c>
      <c r="D1230" t="inlineStr">
        <is>
          <t>kilogram</t>
        </is>
      </c>
      <c r="E1230" t="inlineStr">
        <is>
          <t>air::urban air close to ground</t>
        </is>
      </c>
      <c r="F1230" t="inlineStr">
        <is>
          <t>biosphere</t>
        </is>
      </c>
      <c r="I1230">
        <v>0</v>
      </c>
    </row>
    <row r="1231">
      <c r="A1231" t="inlineStr">
        <is>
          <t>Hydrocarbons, chlorinated</t>
        </is>
      </c>
      <c r="B1231">
        <v>1.740555928484824e-06</v>
      </c>
      <c r="D1231" t="inlineStr">
        <is>
          <t>kilogram</t>
        </is>
      </c>
      <c r="E1231" t="inlineStr">
        <is>
          <t>air::urban air close to ground</t>
        </is>
      </c>
      <c r="F1231" t="inlineStr">
        <is>
          <t>biosphere</t>
        </is>
      </c>
      <c r="I1231">
        <v>0</v>
      </c>
    </row>
    <row r="1232">
      <c r="A1232" t="inlineStr">
        <is>
          <t>Mercury II</t>
        </is>
      </c>
      <c r="B1232">
        <v>1.2299999893850563e-10</v>
      </c>
      <c r="D1232" t="inlineStr">
        <is>
          <t>kilogram</t>
        </is>
      </c>
      <c r="E1232" t="inlineStr">
        <is>
          <t>air::urban air close to ground</t>
        </is>
      </c>
      <c r="F1232" t="inlineStr">
        <is>
          <t>biosphere</t>
        </is>
      </c>
      <c r="I1232">
        <v>0</v>
      </c>
    </row>
    <row r="1233">
      <c r="A1233" t="inlineStr">
        <is>
          <t>Methane, fossil</t>
        </is>
      </c>
      <c r="B1233">
        <v>4.177334280532267e-08</v>
      </c>
      <c r="D1233" t="inlineStr">
        <is>
          <t>kilogram</t>
        </is>
      </c>
      <c r="E1233" t="inlineStr">
        <is>
          <t>air::urban air close to ground</t>
        </is>
      </c>
      <c r="F1233" t="inlineStr">
        <is>
          <t>biosphere</t>
        </is>
      </c>
      <c r="I1233">
        <v>0</v>
      </c>
    </row>
    <row r="1234">
      <c r="A1234" t="inlineStr">
        <is>
          <t>NMVOC, non-methane volatile organic compounds</t>
        </is>
      </c>
      <c r="B1234">
        <v>1.3811102485122725e-06</v>
      </c>
      <c r="D1234" t="inlineStr">
        <is>
          <t>kilogram</t>
        </is>
      </c>
      <c r="E1234" t="inlineStr">
        <is>
          <t>air::urban air close to ground</t>
        </is>
      </c>
      <c r="F1234" t="inlineStr">
        <is>
          <t>biosphere</t>
        </is>
      </c>
      <c r="I1234">
        <v>0</v>
      </c>
    </row>
    <row r="1235">
      <c r="A1235" t="inlineStr">
        <is>
          <t>Nickel II</t>
        </is>
      </c>
      <c r="B1235">
        <v>2.0499999823084267e-10</v>
      </c>
      <c r="D1235" t="inlineStr">
        <is>
          <t>kilogram</t>
        </is>
      </c>
      <c r="E1235" t="inlineStr">
        <is>
          <t>air::urban air close to ground</t>
        </is>
      </c>
      <c r="F1235" t="inlineStr">
        <is>
          <t>biosphere</t>
        </is>
      </c>
      <c r="I1235">
        <v>0</v>
      </c>
    </row>
    <row r="1236">
      <c r="A1236" t="inlineStr">
        <is>
          <t>Nitrogen oxides</t>
        </is>
      </c>
      <c r="B1236">
        <v>4.286348264147637e-05</v>
      </c>
      <c r="D1236" t="inlineStr">
        <is>
          <t>kilogram</t>
        </is>
      </c>
      <c r="E1236" t="inlineStr">
        <is>
          <t>air::urban air close to ground</t>
        </is>
      </c>
      <c r="F1236" t="inlineStr">
        <is>
          <t>biosphere</t>
        </is>
      </c>
      <c r="I1236">
        <v>0</v>
      </c>
    </row>
    <row r="1237">
      <c r="A1237" t="inlineStr">
        <is>
          <t>PAH, polycyclic aromatic hydrocarbons</t>
        </is>
      </c>
      <c r="B1237">
        <v>1.8199999842933354e-09</v>
      </c>
      <c r="D1237" t="inlineStr">
        <is>
          <t>kilogram</t>
        </is>
      </c>
      <c r="E1237" t="inlineStr">
        <is>
          <t>air::urban air close to ground</t>
        </is>
      </c>
      <c r="F1237" t="inlineStr">
        <is>
          <t>biosphere</t>
        </is>
      </c>
      <c r="I1237">
        <v>0</v>
      </c>
    </row>
    <row r="1238">
      <c r="A1238" t="inlineStr">
        <is>
          <t>Particulate Matter, &lt; 2.5 um</t>
        </is>
      </c>
      <c r="B1238">
        <v>2.518198657761128e-06</v>
      </c>
      <c r="D1238" t="inlineStr">
        <is>
          <t>kilogram</t>
        </is>
      </c>
      <c r="E1238" t="inlineStr">
        <is>
          <t>air::urban air close to ground</t>
        </is>
      </c>
      <c r="F1238" t="inlineStr">
        <is>
          <t>biosphere</t>
        </is>
      </c>
      <c r="I1238">
        <v>0</v>
      </c>
    </row>
    <row r="1239">
      <c r="A1239" t="inlineStr">
        <is>
          <t>Pentane</t>
        </is>
      </c>
      <c r="B1239">
        <v>1.4320358421326822e-09</v>
      </c>
      <c r="D1239" t="inlineStr">
        <is>
          <t>kilogram</t>
        </is>
      </c>
      <c r="E1239" t="inlineStr">
        <is>
          <t>air::urban air close to ground</t>
        </is>
      </c>
      <c r="F1239" t="inlineStr">
        <is>
          <t>biosphere</t>
        </is>
      </c>
      <c r="I1239">
        <v>0</v>
      </c>
    </row>
    <row r="1240">
      <c r="A1240" t="inlineStr">
        <is>
          <t>Propane</t>
        </is>
      </c>
      <c r="B1240">
        <v>2.3867264035544693e-09</v>
      </c>
      <c r="D1240" t="inlineStr">
        <is>
          <t>kilogram</t>
        </is>
      </c>
      <c r="E1240" t="inlineStr">
        <is>
          <t>air::urban air close to ground</t>
        </is>
      </c>
      <c r="F1240" t="inlineStr">
        <is>
          <t>biosphere</t>
        </is>
      </c>
      <c r="I1240">
        <v>0</v>
      </c>
    </row>
    <row r="1241">
      <c r="A1241" t="inlineStr">
        <is>
          <t>Selenium IV</t>
        </is>
      </c>
      <c r="B1241">
        <v>2.3299999798920164e-12</v>
      </c>
      <c r="D1241" t="inlineStr">
        <is>
          <t>kilogram</t>
        </is>
      </c>
      <c r="E1241" t="inlineStr">
        <is>
          <t>air::urban air close to ground</t>
        </is>
      </c>
      <c r="F1241" t="inlineStr">
        <is>
          <t>biosphere</t>
        </is>
      </c>
      <c r="I1241">
        <v>0</v>
      </c>
    </row>
    <row r="1242">
      <c r="A1242" t="inlineStr">
        <is>
          <t>Styrene</t>
        </is>
      </c>
      <c r="B1242">
        <v>1.3365667859905029e-08</v>
      </c>
      <c r="D1242" t="inlineStr">
        <is>
          <t>kilogram</t>
        </is>
      </c>
      <c r="E1242" t="inlineStr">
        <is>
          <t>air::urban air close to ground</t>
        </is>
      </c>
      <c r="F1242" t="inlineStr">
        <is>
          <t>biosphere</t>
        </is>
      </c>
      <c r="I1242">
        <v>0</v>
      </c>
    </row>
    <row r="1243">
      <c r="A1243" t="inlineStr">
        <is>
          <t>Sulfur dioxide</t>
        </is>
      </c>
      <c r="B1243">
        <v>4.6511627906976754e-07</v>
      </c>
      <c r="D1243" t="inlineStr">
        <is>
          <t>kilogram</t>
        </is>
      </c>
      <c r="E1243" t="inlineStr">
        <is>
          <t>air::unspecified</t>
        </is>
      </c>
      <c r="F1243" t="inlineStr">
        <is>
          <t>biosphere</t>
        </is>
      </c>
      <c r="I1243">
        <v>0</v>
      </c>
    </row>
    <row r="1244">
      <c r="A1244" t="inlineStr">
        <is>
          <t>Toluene</t>
        </is>
      </c>
      <c r="B1244">
        <v>2.38672640355447e-10</v>
      </c>
      <c r="D1244" t="inlineStr">
        <is>
          <t>kilogram</t>
        </is>
      </c>
      <c r="E1244" t="inlineStr">
        <is>
          <t>air::urban air close to ground</t>
        </is>
      </c>
      <c r="F1244" t="inlineStr">
        <is>
          <t>biosphere</t>
        </is>
      </c>
      <c r="I1244">
        <v>0</v>
      </c>
    </row>
    <row r="1245">
      <c r="A1245" t="inlineStr">
        <is>
          <t>Zinc II</t>
        </is>
      </c>
      <c r="B1245">
        <v>4.0499999650483546e-08</v>
      </c>
      <c r="D1245" t="inlineStr">
        <is>
          <t>kilogram</t>
        </is>
      </c>
      <c r="E1245" t="inlineStr">
        <is>
          <t>air::urban air close to ground</t>
        </is>
      </c>
      <c r="F1245" t="inlineStr">
        <is>
          <t>biosphere</t>
        </is>
      </c>
      <c r="I1245">
        <v>0</v>
      </c>
    </row>
    <row r="1246">
      <c r="A1246" t="inlineStr">
        <is>
          <t>m-Xylene</t>
        </is>
      </c>
      <c r="B1246">
        <v>2.3389918754833805e-08</v>
      </c>
      <c r="D1246" t="inlineStr">
        <is>
          <t>kilogram</t>
        </is>
      </c>
      <c r="E1246" t="inlineStr">
        <is>
          <t>air::urban air close to ground</t>
        </is>
      </c>
      <c r="F1246" t="inlineStr">
        <is>
          <t>biosphere</t>
        </is>
      </c>
      <c r="I1246">
        <v>0</v>
      </c>
    </row>
    <row r="1247">
      <c r="A1247" t="inlineStr">
        <is>
          <t>o-Xylene</t>
        </is>
      </c>
      <c r="B1247">
        <v>9.546905614217876e-09</v>
      </c>
      <c r="D1247" t="inlineStr">
        <is>
          <t>kilogram</t>
        </is>
      </c>
      <c r="E1247" t="inlineStr">
        <is>
          <t>air::urban air close to ground</t>
        </is>
      </c>
      <c r="F1247" t="inlineStr">
        <is>
          <t>biosphere</t>
        </is>
      </c>
      <c r="I1247">
        <v>0</v>
      </c>
    </row>
    <row r="1248">
      <c r="A1248" t="inlineStr">
        <is>
          <t>exhaust system, for lorry</t>
        </is>
      </c>
      <c r="B1248">
        <v>1.0221610090305123e-05</v>
      </c>
      <c r="C1248" t="inlineStr">
        <is>
          <t>RER</t>
        </is>
      </c>
      <c r="D1248" t="inlineStr">
        <is>
          <t>kilogram</t>
        </is>
      </c>
      <c r="F1248" t="inlineStr">
        <is>
          <t>technosphere</t>
        </is>
      </c>
      <c r="G1248" t="inlineStr">
        <is>
          <t>exhaust system, for lorry</t>
        </is>
      </c>
      <c r="H1248" t="inlineStr">
        <is>
          <t> Energy-use allocation: 98 * 1.428571428571429e-07 / 1.3696472352509872 MJ per person kilometer.</t>
        </is>
      </c>
      <c r="I1248">
        <v>0</v>
      </c>
    </row>
    <row r="1249">
      <c r="A1249" t="inlineStr">
        <is>
          <t>fuel tank, for diesel vehicle</t>
        </is>
      </c>
      <c r="B1249">
        <v>5.434594663791208e-06</v>
      </c>
      <c r="C1249" t="inlineStr">
        <is>
          <t>RER</t>
        </is>
      </c>
      <c r="D1249" t="inlineStr">
        <is>
          <t>kilogram</t>
        </is>
      </c>
      <c r="F1249" t="inlineStr">
        <is>
          <t>technosphere</t>
        </is>
      </c>
      <c r="G1249" t="inlineStr">
        <is>
          <t>fuel tank</t>
        </is>
      </c>
      <c r="H1249" t="inlineStr">
        <is>
          <t> Energy-use allocation: 52.10434289179975 * 1.428571428571429e-07 / 1.3696472352509872 MJ per person kilometer.</t>
        </is>
      </c>
      <c r="I1249">
        <v>0</v>
      </c>
    </row>
    <row r="1250">
      <c r="A1250" t="inlineStr">
        <is>
          <t>gearbox, for lorry</t>
        </is>
      </c>
      <c r="B1250">
        <v>1.6438852140585983e-05</v>
      </c>
      <c r="C1250" t="inlineStr">
        <is>
          <t>RER</t>
        </is>
      </c>
      <c r="D1250" t="inlineStr">
        <is>
          <t>kilogram</t>
        </is>
      </c>
      <c r="F1250" t="inlineStr">
        <is>
          <t>technosphere</t>
        </is>
      </c>
      <c r="G1250" t="inlineStr">
        <is>
          <t>gearbox, for lorry</t>
        </is>
      </c>
      <c r="H1250" t="inlineStr">
        <is>
          <t> Energy-use allocation: 157.6079986953735 * 1.428571428571429e-07 / 1.3696472352509872 MJ per person kilometer.</t>
        </is>
      </c>
      <c r="I1250">
        <v>0</v>
      </c>
    </row>
    <row r="1251">
      <c r="A1251" t="inlineStr">
        <is>
          <t>internal combustion engine, for lorry</t>
        </is>
      </c>
      <c r="B1251">
        <v>7.397930395893994e-05</v>
      </c>
      <c r="C1251" t="inlineStr">
        <is>
          <t>RER</t>
        </is>
      </c>
      <c r="D1251" t="inlineStr">
        <is>
          <t>kilogram</t>
        </is>
      </c>
      <c r="F1251" t="inlineStr">
        <is>
          <t>technosphere</t>
        </is>
      </c>
      <c r="G1251" t="inlineStr">
        <is>
          <t>internal combustion engine, for lorry</t>
        </is>
      </c>
      <c r="H1251" t="inlineStr">
        <is>
          <t> Energy-use allocation: 709.2788439320813 * 1.428571428571429e-07 / 1.3696472352509872 MJ per person kilometer.</t>
        </is>
      </c>
      <c r="I1251">
        <v>0</v>
      </c>
    </row>
    <row r="1252">
      <c r="A1252" t="inlineStr">
        <is>
          <t>power electronics, for lorry</t>
        </is>
      </c>
      <c r="B1252">
        <v>1.9087292311488137e-05</v>
      </c>
      <c r="C1252" t="inlineStr">
        <is>
          <t>RER</t>
        </is>
      </c>
      <c r="D1252" t="inlineStr">
        <is>
          <t>kilogram</t>
        </is>
      </c>
      <c r="F1252" t="inlineStr">
        <is>
          <t>technosphere</t>
        </is>
      </c>
      <c r="G1252" t="inlineStr">
        <is>
          <t>power electronics, for lorry</t>
        </is>
      </c>
      <c r="H1252" t="inlineStr">
        <is>
          <t> Energy-use allocation: 183 * 1.428571428571429e-07 / 1.3696472352509872 MJ per person kilometer.</t>
        </is>
      </c>
      <c r="I1252">
        <v>0</v>
      </c>
    </row>
    <row r="1253">
      <c r="A1253" t="inlineStr">
        <is>
          <t>retarder, for lorry</t>
        </is>
      </c>
      <c r="B1253">
        <v>5.479617380195329e-06</v>
      </c>
      <c r="C1253" t="inlineStr">
        <is>
          <t>RER</t>
        </is>
      </c>
      <c r="D1253" t="inlineStr">
        <is>
          <t>kilogram</t>
        </is>
      </c>
      <c r="F1253" t="inlineStr">
        <is>
          <t>technosphere</t>
        </is>
      </c>
      <c r="G1253" t="inlineStr">
        <is>
          <t>retarder, for lorry</t>
        </is>
      </c>
      <c r="H1253" t="inlineStr">
        <is>
          <t> Energy-use allocation: 52.53599956512451 * 1.428571428571429e-07 / 1.3696472352509872 MJ per person kilometer.</t>
        </is>
      </c>
      <c r="I1253">
        <v>0</v>
      </c>
    </row>
    <row r="1254">
      <c r="A1254" t="inlineStr">
        <is>
          <t>transmission, for lorry</t>
        </is>
      </c>
      <c r="B1254">
        <v>2.3745008647513085e-05</v>
      </c>
      <c r="C1254" t="inlineStr">
        <is>
          <t>RER</t>
        </is>
      </c>
      <c r="D1254" t="inlineStr">
        <is>
          <t>kilogram</t>
        </is>
      </c>
      <c r="F1254" t="inlineStr">
        <is>
          <t>technosphere</t>
        </is>
      </c>
      <c r="G1254" t="inlineStr">
        <is>
          <t>transmission, for lorry</t>
        </is>
      </c>
      <c r="H1254" t="inlineStr">
        <is>
          <t> Energy-use allocation: 227.6559981155395 * 1.428571428571429e-07 / 1.3696472352509872 MJ per person kilometer.</t>
        </is>
      </c>
      <c r="I1254">
        <v>0</v>
      </c>
    </row>
    <row r="1255">
      <c r="A1255" t="inlineStr">
        <is>
          <t>market for refrigerant R134a</t>
        </is>
      </c>
      <c r="B1255">
        <v>2.451100378797656e-06</v>
      </c>
      <c r="C1255" t="inlineStr">
        <is>
          <t>GLO</t>
        </is>
      </c>
      <c r="D1255" t="inlineStr">
        <is>
          <t>kilogram</t>
        </is>
      </c>
      <c r="F1255" t="inlineStr">
        <is>
          <t>technosphere</t>
        </is>
      </c>
      <c r="G1255" t="inlineStr">
        <is>
          <t>refrigerant R134a</t>
        </is>
      </c>
      <c r="I1255">
        <v>0</v>
      </c>
    </row>
    <row r="1256">
      <c r="A1256" t="inlineStr">
        <is>
          <t>treatment of brake wear emissions, lorry</t>
        </is>
      </c>
      <c r="B1256">
        <v>-6.837706254606543e-06</v>
      </c>
      <c r="C1256" t="inlineStr">
        <is>
          <t>RER</t>
        </is>
      </c>
      <c r="D1256" t="inlineStr">
        <is>
          <t>kilogram</t>
        </is>
      </c>
      <c r="F1256" t="inlineStr">
        <is>
          <t>technosphere</t>
        </is>
      </c>
      <c r="G1256" t="inlineStr">
        <is>
          <t>brake wear emissions, lorry</t>
        </is>
      </c>
      <c r="I1256">
        <v>0</v>
      </c>
    </row>
    <row r="1257">
      <c r="A1257" t="inlineStr">
        <is>
          <t>treatment of road wear emissions, lorry</t>
        </is>
      </c>
      <c r="B1257">
        <v>-5.745793792454793e-06</v>
      </c>
      <c r="C1257" t="inlineStr">
        <is>
          <t>RER</t>
        </is>
      </c>
      <c r="D1257" t="inlineStr">
        <is>
          <t>kilogram</t>
        </is>
      </c>
      <c r="F1257" t="inlineStr">
        <is>
          <t>technosphere</t>
        </is>
      </c>
      <c r="G1257" t="inlineStr">
        <is>
          <t>road wear emissions, lorry</t>
        </is>
      </c>
      <c r="I1257">
        <v>0</v>
      </c>
    </row>
    <row r="1258">
      <c r="A1258" t="inlineStr">
        <is>
          <t>treatment of tyre wear emissions, lorry</t>
        </is>
      </c>
      <c r="B1258">
        <v>-5.674001036673323e-06</v>
      </c>
      <c r="C1258" t="inlineStr">
        <is>
          <t>RER</t>
        </is>
      </c>
      <c r="D1258" t="inlineStr">
        <is>
          <t>kilogram</t>
        </is>
      </c>
      <c r="F1258" t="inlineStr">
        <is>
          <t>technosphere</t>
        </is>
      </c>
      <c r="G1258" t="inlineStr">
        <is>
          <t>tyre wear emissions, lorry</t>
        </is>
      </c>
      <c r="I1258">
        <v>0</v>
      </c>
    </row>
    <row r="1259">
      <c r="A1259" t="inlineStr">
        <is>
          <t>Carbon dioxide, non-fossil</t>
        </is>
      </c>
      <c r="B1259">
        <v>0.0732</v>
      </c>
      <c r="D1259" t="inlineStr">
        <is>
          <t>kilogram</t>
        </is>
      </c>
      <c r="E1259" t="inlineStr">
        <is>
          <t>air::urban air close to ground</t>
        </is>
      </c>
      <c r="F1259" t="inlineStr">
        <is>
          <t>biosphere</t>
        </is>
      </c>
      <c r="I1259">
        <v>0</v>
      </c>
    </row>
    <row r="1260"/>
    <row r="1261">
      <c r="A1261" t="inlineStr">
        <is>
          <t>Activity</t>
        </is>
      </c>
      <c r="B1261" t="inlineStr">
        <is>
          <t>biodiesel, from residual cellulosic biomass, burned in single deck coach or urban bus</t>
        </is>
      </c>
    </row>
    <row r="1262">
      <c r="A1262" t="inlineStr">
        <is>
          <t>comment</t>
        </is>
      </c>
      <c r="B1262"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263">
      <c r="A1263" t="inlineStr">
        <is>
          <t>description</t>
        </is>
      </c>
      <c r="B126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264">
      <c r="A1264" t="inlineStr">
        <is>
          <t>location</t>
        </is>
      </c>
      <c r="B1264" t="inlineStr">
        <is>
          <t>RER</t>
        </is>
      </c>
    </row>
    <row r="1265">
      <c r="A1265" t="inlineStr">
        <is>
          <t>production amount</t>
        </is>
      </c>
      <c r="B1265">
        <v>1</v>
      </c>
    </row>
    <row r="1266">
      <c r="A1266" t="inlineStr">
        <is>
          <t>reference product</t>
        </is>
      </c>
      <c r="B1266" t="inlineStr">
        <is>
          <t>heat</t>
        </is>
      </c>
    </row>
    <row r="1267">
      <c r="A1267" t="inlineStr">
        <is>
          <t>type</t>
        </is>
      </c>
      <c r="B1267" t="inlineStr">
        <is>
          <t>process</t>
        </is>
      </c>
    </row>
    <row r="1268">
      <c r="A1268" t="inlineStr">
        <is>
          <t>unit</t>
        </is>
      </c>
      <c r="B1268" t="inlineStr">
        <is>
          <t>megajoule</t>
        </is>
      </c>
    </row>
    <row r="1269">
      <c r="A1269" t="inlineStr">
        <is>
          <t>Power, mean</t>
        </is>
      </c>
      <c r="B1269">
        <v>245</v>
      </c>
    </row>
    <row r="1270">
      <c r="A1270" t="inlineStr">
        <is>
          <t>Power, min</t>
        </is>
      </c>
      <c r="B1270">
        <v>125</v>
      </c>
    </row>
    <row r="1271">
      <c r="A1271" t="inlineStr">
        <is>
          <t>Power, max</t>
        </is>
      </c>
      <c r="B1271">
        <v>323</v>
      </c>
    </row>
    <row r="1272">
      <c r="A1272" t="inlineStr">
        <is>
          <t>Lifetime, mean</t>
        </is>
      </c>
      <c r="B1272">
        <v>700000</v>
      </c>
    </row>
    <row r="1273">
      <c r="A1273" t="inlineStr">
        <is>
          <t>Lifetime, min</t>
        </is>
      </c>
      <c r="B1273">
        <v>500000</v>
      </c>
    </row>
    <row r="1274">
      <c r="A1274" t="inlineStr">
        <is>
          <t>Lifetime, max</t>
        </is>
      </c>
      <c r="B1274">
        <v>1000000</v>
      </c>
    </row>
    <row r="1275">
      <c r="A1275" t="inlineStr">
        <is>
          <t>Energy use, mean</t>
        </is>
      </c>
      <c r="B1275">
        <v>9500</v>
      </c>
    </row>
    <row r="1276">
      <c r="A1276" t="inlineStr">
        <is>
          <t>Energy use, min</t>
        </is>
      </c>
      <c r="B1276">
        <v>6000</v>
      </c>
    </row>
    <row r="1277">
      <c r="A1277" t="inlineStr">
        <is>
          <t>Energy use, max</t>
        </is>
      </c>
      <c r="B1277">
        <v>12200</v>
      </c>
    </row>
    <row r="1278">
      <c r="A1278" t="inlineStr">
        <is>
          <t>Electric motor, mean</t>
        </is>
      </c>
      <c r="B1278">
        <v>0</v>
      </c>
    </row>
    <row r="1279">
      <c r="A1279" t="inlineStr">
        <is>
          <t>Electric motor, min</t>
        </is>
      </c>
      <c r="B1279">
        <v>0</v>
      </c>
    </row>
    <row r="1280">
      <c r="A1280" t="inlineStr">
        <is>
          <t>Electric motor, max</t>
        </is>
      </c>
      <c r="B1280">
        <v>0</v>
      </c>
    </row>
    <row r="1281">
      <c r="A1281" t="inlineStr">
        <is>
          <t>Combustion engine, mean</t>
        </is>
      </c>
      <c r="B1281">
        <v>733</v>
      </c>
    </row>
    <row r="1282">
      <c r="A1282" t="inlineStr">
        <is>
          <t>Combustion engine, min</t>
        </is>
      </c>
      <c r="B1282">
        <v>400</v>
      </c>
    </row>
    <row r="1283">
      <c r="A1283" t="inlineStr">
        <is>
          <t>Combustion engine, max</t>
        </is>
      </c>
      <c r="B1283">
        <v>955</v>
      </c>
    </row>
    <row r="1284">
      <c r="A1284" t="inlineStr">
        <is>
          <t>Fuel tank, mean</t>
        </is>
      </c>
      <c r="B1284">
        <v>48</v>
      </c>
    </row>
    <row r="1285">
      <c r="A1285" t="inlineStr">
        <is>
          <t>Fuel tank, min</t>
        </is>
      </c>
      <c r="B1285">
        <v>38</v>
      </c>
    </row>
    <row r="1286">
      <c r="A1286" t="inlineStr">
        <is>
          <t>Fuel tank, max</t>
        </is>
      </c>
      <c r="B1286">
        <v>53</v>
      </c>
    </row>
    <row r="1287">
      <c r="A1287" t="inlineStr">
        <is>
          <t>Battery capacity, mean</t>
        </is>
      </c>
      <c r="B1287">
        <v>0</v>
      </c>
    </row>
    <row r="1288">
      <c r="A1288" t="inlineStr">
        <is>
          <t>Battery capacity, min</t>
        </is>
      </c>
      <c r="B1288">
        <v>0</v>
      </c>
    </row>
    <row r="1289">
      <c r="A1289" t="inlineStr">
        <is>
          <t>Battery capacity, max</t>
        </is>
      </c>
      <c r="B1289">
        <v>0</v>
      </c>
    </row>
    <row r="1290">
      <c r="A1290" t="inlineStr">
        <is>
          <t>Battery replacement, mean</t>
        </is>
      </c>
      <c r="B1290">
        <v>0</v>
      </c>
    </row>
    <row r="1291">
      <c r="A1291" t="inlineStr">
        <is>
          <t>Battery replacement, min</t>
        </is>
      </c>
      <c r="B1291">
        <v>0</v>
      </c>
    </row>
    <row r="1292">
      <c r="A1292" t="inlineStr">
        <is>
          <t>Battery replacement, max</t>
        </is>
      </c>
      <c r="B1292">
        <v>0</v>
      </c>
    </row>
    <row r="1293">
      <c r="A1293" t="inlineStr">
        <is>
          <t>Fuel cell system, mean</t>
        </is>
      </c>
      <c r="B1293">
        <v>0</v>
      </c>
    </row>
    <row r="1294">
      <c r="A1294" t="inlineStr">
        <is>
          <t>Fuel cell system, min</t>
        </is>
      </c>
      <c r="B1294">
        <v>0</v>
      </c>
    </row>
    <row r="1295">
      <c r="A1295" t="inlineStr">
        <is>
          <t>Fuel cell system, max</t>
        </is>
      </c>
      <c r="B1295">
        <v>0</v>
      </c>
    </row>
    <row r="1296">
      <c r="A1296" t="inlineStr">
        <is>
          <t>Fuel cell stack replacement, mean</t>
        </is>
      </c>
      <c r="B1296">
        <v>0</v>
      </c>
    </row>
    <row r="1297">
      <c r="A1297" t="inlineStr">
        <is>
          <t>Fuel cell replacement, min</t>
        </is>
      </c>
      <c r="B1297">
        <v>0</v>
      </c>
    </row>
    <row r="1298">
      <c r="A1298" t="inlineStr">
        <is>
          <t>Fuel cell replacement, max</t>
        </is>
      </c>
      <c r="B1298">
        <v>0</v>
      </c>
    </row>
    <row r="1299">
      <c r="A1299" t="inlineStr">
        <is>
          <t>Onboard charger mass</t>
        </is>
      </c>
      <c r="B1299">
        <v>0</v>
      </c>
    </row>
    <row r="1300">
      <c r="A1300" t="inlineStr">
        <is>
          <t>Controller mass</t>
        </is>
      </c>
      <c r="B1300">
        <v>0</v>
      </c>
    </row>
    <row r="1301">
      <c r="A1301" t="inlineStr">
        <is>
          <t>Converter mass</t>
        </is>
      </c>
      <c r="B1301">
        <v>0</v>
      </c>
    </row>
    <row r="1302">
      <c r="A1302" t="inlineStr">
        <is>
          <t>Electrical powertrain mass</t>
        </is>
      </c>
      <c r="B1302">
        <v>0</v>
      </c>
    </row>
    <row r="1303">
      <c r="A1303" t="inlineStr">
        <is>
          <t>Inverter mass</t>
        </is>
      </c>
      <c r="B1303">
        <v>0</v>
      </c>
    </row>
    <row r="1304">
      <c r="A1304" t="inlineStr">
        <is>
          <t>NOx</t>
        </is>
      </c>
      <c r="B1304">
        <v>0.158234892</v>
      </c>
    </row>
    <row r="1305">
      <c r="A1305" t="inlineStr">
        <is>
          <t>PM 2.5</t>
        </is>
      </c>
      <c r="B1305">
        <v>0.000213184</v>
      </c>
    </row>
    <row r="1306">
      <c r="A1306" t="inlineStr">
        <is>
          <t>energy use source</t>
        </is>
      </c>
      <c r="B1306"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307">
      <c r="A1307" t="inlineStr">
        <is>
          <t>Exchanges</t>
        </is>
      </c>
    </row>
    <row r="1308">
      <c r="A1308" t="inlineStr">
        <is>
          <t>name</t>
        </is>
      </c>
      <c r="B1308" t="inlineStr">
        <is>
          <t>amount</t>
        </is>
      </c>
      <c r="C1308" t="inlineStr">
        <is>
          <t>location</t>
        </is>
      </c>
      <c r="D1308" t="inlineStr">
        <is>
          <t>unit</t>
        </is>
      </c>
      <c r="E1308" t="inlineStr">
        <is>
          <t>categories</t>
        </is>
      </c>
      <c r="F1308" t="inlineStr">
        <is>
          <t>type</t>
        </is>
      </c>
      <c r="G1308" t="inlineStr">
        <is>
          <t>reference product</t>
        </is>
      </c>
      <c r="H1308" t="inlineStr">
        <is>
          <t>comment</t>
        </is>
      </c>
      <c r="I1308" t="inlineStr">
        <is>
          <t>uncertainty type</t>
        </is>
      </c>
    </row>
    <row r="1309">
      <c r="A1309" t="inlineStr">
        <is>
          <t>biodiesel, from residual cellulosic biomass, burned in single deck coach or urban bus</t>
        </is>
      </c>
      <c r="B1309">
        <v>1.0</v>
      </c>
      <c r="C1309" t="inlineStr">
        <is>
          <t>RER</t>
        </is>
      </c>
      <c r="D1309" t="inlineStr">
        <is>
          <t>megajoule</t>
        </is>
      </c>
      <c r="F1309" t="inlineStr">
        <is>
          <t>production</t>
        </is>
      </c>
      <c r="G1309" t="inlineStr">
        <is>
          <t>heat</t>
        </is>
      </c>
      <c r="I1309">
        <v>0</v>
      </c>
    </row>
    <row r="1310">
      <c r="A1310" t="inlineStr">
        <is>
          <t>biodiesel production, via Fischer-Tropsch, from forest residues, energy allocation</t>
        </is>
      </c>
      <c r="B1310">
        <v>0.023255813953488372</v>
      </c>
      <c r="C1310" t="inlineStr">
        <is>
          <t>RER</t>
        </is>
      </c>
      <c r="D1310" t="inlineStr">
        <is>
          <t>kilogram</t>
        </is>
      </c>
      <c r="F1310" t="inlineStr">
        <is>
          <t>technosphere</t>
        </is>
      </c>
      <c r="G1310" t="inlineStr">
        <is>
          <t>biodiesel, from forest residues</t>
        </is>
      </c>
      <c r="I1310">
        <v>0</v>
      </c>
    </row>
    <row r="1311">
      <c r="A1311" t="inlineStr">
        <is>
          <t>Acetaldehyde</t>
        </is>
      </c>
      <c r="B1311">
        <v>1.0907339664243923e-07</v>
      </c>
      <c r="D1311" t="inlineStr">
        <is>
          <t>kilogram</t>
        </is>
      </c>
      <c r="E1311" t="inlineStr">
        <is>
          <t>air::urban air close to ground</t>
        </is>
      </c>
      <c r="F1311" t="inlineStr">
        <is>
          <t>biosphere</t>
        </is>
      </c>
      <c r="I1311">
        <v>0</v>
      </c>
    </row>
    <row r="1312">
      <c r="A1312" t="inlineStr">
        <is>
          <t>Acrolein</t>
        </is>
      </c>
      <c r="B1312">
        <v>4.224505734291413e-08</v>
      </c>
      <c r="D1312" t="inlineStr">
        <is>
          <t>kilogram</t>
        </is>
      </c>
      <c r="E1312" t="inlineStr">
        <is>
          <t>air::urban air close to ground</t>
        </is>
      </c>
      <c r="F1312" t="inlineStr">
        <is>
          <t>biosphere</t>
        </is>
      </c>
      <c r="I1312">
        <v>0</v>
      </c>
    </row>
    <row r="1313">
      <c r="A1313" t="inlineStr">
        <is>
          <t>Ammonia</t>
        </is>
      </c>
      <c r="B1313">
        <v>1.0561513719515261e-06</v>
      </c>
      <c r="D1313" t="inlineStr">
        <is>
          <t>kilogram</t>
        </is>
      </c>
      <c r="E1313" t="inlineStr">
        <is>
          <t>air::urban air close to ground</t>
        </is>
      </c>
      <c r="F1313" t="inlineStr">
        <is>
          <t>biosphere</t>
        </is>
      </c>
      <c r="I1313">
        <v>0</v>
      </c>
    </row>
    <row r="1314">
      <c r="A1314" t="inlineStr">
        <is>
          <t>Arsenic ion</t>
        </is>
      </c>
      <c r="B1314">
        <v>2.3299999798920164e-12</v>
      </c>
      <c r="D1314" t="inlineStr">
        <is>
          <t>kilogram</t>
        </is>
      </c>
      <c r="E1314" t="inlineStr">
        <is>
          <t>air::urban air close to ground</t>
        </is>
      </c>
      <c r="F1314" t="inlineStr">
        <is>
          <t>biosphere</t>
        </is>
      </c>
      <c r="I1314">
        <v>0</v>
      </c>
    </row>
    <row r="1315">
      <c r="A1315" t="inlineStr">
        <is>
          <t>Benzaldehyde</t>
        </is>
      </c>
      <c r="B1315">
        <v>3.2698151728696235e-08</v>
      </c>
      <c r="D1315" t="inlineStr">
        <is>
          <t>kilogram</t>
        </is>
      </c>
      <c r="E1315" t="inlineStr">
        <is>
          <t>air::urban air close to ground</t>
        </is>
      </c>
      <c r="F1315" t="inlineStr">
        <is>
          <t>biosphere</t>
        </is>
      </c>
      <c r="I1315">
        <v>0</v>
      </c>
    </row>
    <row r="1316">
      <c r="A1316" t="inlineStr">
        <is>
          <t>Benzene</t>
        </is>
      </c>
      <c r="B1316">
        <v>2.9067283247454772e-08</v>
      </c>
      <c r="D1316" t="inlineStr">
        <is>
          <t>kilogram</t>
        </is>
      </c>
      <c r="E1316" t="inlineStr">
        <is>
          <t>air::urban air close to ground</t>
        </is>
      </c>
      <c r="F1316" t="inlineStr">
        <is>
          <t>biosphere</t>
        </is>
      </c>
      <c r="I1316">
        <v>0</v>
      </c>
    </row>
    <row r="1317">
      <c r="A1317" t="inlineStr">
        <is>
          <t>Butane</t>
        </is>
      </c>
      <c r="B1317">
        <v>3.580089605331705e-09</v>
      </c>
      <c r="D1317" t="inlineStr">
        <is>
          <t>kilogram</t>
        </is>
      </c>
      <c r="E1317" t="inlineStr">
        <is>
          <t>air::urban air close to ground</t>
        </is>
      </c>
      <c r="F1317" t="inlineStr">
        <is>
          <t>biosphere</t>
        </is>
      </c>
      <c r="I1317">
        <v>0</v>
      </c>
    </row>
    <row r="1318">
      <c r="A1318" t="inlineStr">
        <is>
          <t>Cadmium II</t>
        </is>
      </c>
      <c r="B1318">
        <v>2.019999982567328e-10</v>
      </c>
      <c r="D1318" t="inlineStr">
        <is>
          <t>kilogram</t>
        </is>
      </c>
      <c r="E1318" t="inlineStr">
        <is>
          <t>air::urban air close to ground</t>
        </is>
      </c>
      <c r="F1318" t="inlineStr">
        <is>
          <t>biosphere</t>
        </is>
      </c>
      <c r="I1318">
        <v>0</v>
      </c>
    </row>
    <row r="1319">
      <c r="A1319" t="inlineStr">
        <is>
          <t>Carbon monoxide, fossil</t>
        </is>
      </c>
      <c r="B1319">
        <v>2.094191274474486e-05</v>
      </c>
      <c r="D1319" t="inlineStr">
        <is>
          <t>kilogram</t>
        </is>
      </c>
      <c r="E1319" t="inlineStr">
        <is>
          <t>air::urban air close to ground</t>
        </is>
      </c>
      <c r="F1319" t="inlineStr">
        <is>
          <t>biosphere</t>
        </is>
      </c>
      <c r="I1319">
        <v>0</v>
      </c>
    </row>
    <row r="1320">
      <c r="A1320" t="inlineStr">
        <is>
          <t>Chromium III</t>
        </is>
      </c>
      <c r="B1320">
        <v>6.979999939762351e-10</v>
      </c>
      <c r="D1320" t="inlineStr">
        <is>
          <t>kilogram</t>
        </is>
      </c>
      <c r="E1320" t="inlineStr">
        <is>
          <t>air::urban air close to ground</t>
        </is>
      </c>
      <c r="F1320" t="inlineStr">
        <is>
          <t>biosphere</t>
        </is>
      </c>
      <c r="I1320">
        <v>0</v>
      </c>
    </row>
    <row r="1321">
      <c r="A1321" t="inlineStr">
        <is>
          <t>Chromium VI</t>
        </is>
      </c>
      <c r="B1321">
        <v>1.3999999879179503e-12</v>
      </c>
      <c r="D1321" t="inlineStr">
        <is>
          <t>kilogram</t>
        </is>
      </c>
      <c r="E1321" t="inlineStr">
        <is>
          <t>air::urban air close to ground</t>
        </is>
      </c>
      <c r="F1321" t="inlineStr">
        <is>
          <t>biosphere</t>
        </is>
      </c>
      <c r="I1321">
        <v>0</v>
      </c>
    </row>
    <row r="1322">
      <c r="A1322" t="inlineStr">
        <is>
          <t>Copper ion</t>
        </is>
      </c>
      <c r="B1322">
        <v>4.929999957453923e-10</v>
      </c>
      <c r="D1322" t="inlineStr">
        <is>
          <t>kilogram</t>
        </is>
      </c>
      <c r="E1322" t="inlineStr">
        <is>
          <t>air::urban air close to ground</t>
        </is>
      </c>
      <c r="F1322" t="inlineStr">
        <is>
          <t>biosphere</t>
        </is>
      </c>
      <c r="I1322">
        <v>0</v>
      </c>
    </row>
    <row r="1323">
      <c r="A1323" t="inlineStr">
        <is>
          <t>Dinitrogen monoxide</t>
        </is>
      </c>
      <c r="B1323">
        <v>2.386726403554469e-06</v>
      </c>
      <c r="D1323" t="inlineStr">
        <is>
          <t>kilogram</t>
        </is>
      </c>
      <c r="E1323" t="inlineStr">
        <is>
          <t>air::urban air close to ground</t>
        </is>
      </c>
      <c r="F1323" t="inlineStr">
        <is>
          <t>biosphere</t>
        </is>
      </c>
      <c r="I1323">
        <v>0</v>
      </c>
    </row>
    <row r="1324">
      <c r="A1324" t="inlineStr">
        <is>
          <t>Ethane</t>
        </is>
      </c>
      <c r="B1324">
        <v>7.160179210663411e-10</v>
      </c>
      <c r="D1324" t="inlineStr">
        <is>
          <t>kilogram</t>
        </is>
      </c>
      <c r="E1324" t="inlineStr">
        <is>
          <t>air::urban air close to ground</t>
        </is>
      </c>
      <c r="F1324" t="inlineStr">
        <is>
          <t>biosphere</t>
        </is>
      </c>
      <c r="I1324">
        <v>0</v>
      </c>
    </row>
    <row r="1325">
      <c r="A1325" t="inlineStr">
        <is>
          <t>1,1,1,2-Tetrafluoroethane</t>
        </is>
      </c>
      <c r="B1325">
        <v>1.6688343004579788e-06</v>
      </c>
      <c r="D1325" t="inlineStr">
        <is>
          <t>kilogram</t>
        </is>
      </c>
      <c r="E1325" t="inlineStr">
        <is>
          <t>air::unspecified</t>
        </is>
      </c>
      <c r="F1325" t="inlineStr">
        <is>
          <t>biosphere</t>
        </is>
      </c>
      <c r="I1325">
        <v>0</v>
      </c>
    </row>
    <row r="1326">
      <c r="A1326" t="inlineStr">
        <is>
          <t>Formaldehyde</t>
        </is>
      </c>
      <c r="B1326">
        <v>2.004850178985755e-07</v>
      </c>
      <c r="D1326" t="inlineStr">
        <is>
          <t>kilogram</t>
        </is>
      </c>
      <c r="E1326" t="inlineStr">
        <is>
          <t>air::urban air close to ground</t>
        </is>
      </c>
      <c r="F1326" t="inlineStr">
        <is>
          <t>biosphere</t>
        </is>
      </c>
      <c r="I1326">
        <v>0</v>
      </c>
    </row>
    <row r="1327">
      <c r="A1327" t="inlineStr">
        <is>
          <t>Heptane</t>
        </is>
      </c>
      <c r="B1327">
        <v>7.16017921066341e-09</v>
      </c>
      <c r="D1327" t="inlineStr">
        <is>
          <t>kilogram</t>
        </is>
      </c>
      <c r="E1327" t="inlineStr">
        <is>
          <t>air::urban air close to ground</t>
        </is>
      </c>
      <c r="F1327" t="inlineStr">
        <is>
          <t>biosphere</t>
        </is>
      </c>
      <c r="I1327">
        <v>0</v>
      </c>
    </row>
    <row r="1328">
      <c r="A1328" t="inlineStr">
        <is>
          <t>Hydrocarbons, chlorinated</t>
        </is>
      </c>
      <c r="B1328">
        <v>1.740555928484824e-06</v>
      </c>
      <c r="D1328" t="inlineStr">
        <is>
          <t>kilogram</t>
        </is>
      </c>
      <c r="E1328" t="inlineStr">
        <is>
          <t>air::urban air close to ground</t>
        </is>
      </c>
      <c r="F1328" t="inlineStr">
        <is>
          <t>biosphere</t>
        </is>
      </c>
      <c r="I1328">
        <v>0</v>
      </c>
    </row>
    <row r="1329">
      <c r="A1329" t="inlineStr">
        <is>
          <t>Mercury II</t>
        </is>
      </c>
      <c r="B1329">
        <v>1.2299999893850563e-10</v>
      </c>
      <c r="D1329" t="inlineStr">
        <is>
          <t>kilogram</t>
        </is>
      </c>
      <c r="E1329" t="inlineStr">
        <is>
          <t>air::urban air close to ground</t>
        </is>
      </c>
      <c r="F1329" t="inlineStr">
        <is>
          <t>biosphere</t>
        </is>
      </c>
      <c r="I1329">
        <v>0</v>
      </c>
    </row>
    <row r="1330">
      <c r="A1330" t="inlineStr">
        <is>
          <t>Methane, fossil</t>
        </is>
      </c>
      <c r="B1330">
        <v>4.177334280532267e-08</v>
      </c>
      <c r="D1330" t="inlineStr">
        <is>
          <t>kilogram</t>
        </is>
      </c>
      <c r="E1330" t="inlineStr">
        <is>
          <t>air::urban air close to ground</t>
        </is>
      </c>
      <c r="F1330" t="inlineStr">
        <is>
          <t>biosphere</t>
        </is>
      </c>
      <c r="I1330">
        <v>0</v>
      </c>
    </row>
    <row r="1331">
      <c r="A1331" t="inlineStr">
        <is>
          <t>NMVOC, non-methane volatile organic compounds</t>
        </is>
      </c>
      <c r="B1331">
        <v>1.3811102485122725e-06</v>
      </c>
      <c r="D1331" t="inlineStr">
        <is>
          <t>kilogram</t>
        </is>
      </c>
      <c r="E1331" t="inlineStr">
        <is>
          <t>air::urban air close to ground</t>
        </is>
      </c>
      <c r="F1331" t="inlineStr">
        <is>
          <t>biosphere</t>
        </is>
      </c>
      <c r="I1331">
        <v>0</v>
      </c>
    </row>
    <row r="1332">
      <c r="A1332" t="inlineStr">
        <is>
          <t>Nickel II</t>
        </is>
      </c>
      <c r="B1332">
        <v>2.0499999823084267e-10</v>
      </c>
      <c r="D1332" t="inlineStr">
        <is>
          <t>kilogram</t>
        </is>
      </c>
      <c r="E1332" t="inlineStr">
        <is>
          <t>air::urban air close to ground</t>
        </is>
      </c>
      <c r="F1332" t="inlineStr">
        <is>
          <t>biosphere</t>
        </is>
      </c>
      <c r="I1332">
        <v>0</v>
      </c>
    </row>
    <row r="1333">
      <c r="A1333" t="inlineStr">
        <is>
          <t>Nitrogen oxides</t>
        </is>
      </c>
      <c r="B1333">
        <v>4.286348264147637e-05</v>
      </c>
      <c r="D1333" t="inlineStr">
        <is>
          <t>kilogram</t>
        </is>
      </c>
      <c r="E1333" t="inlineStr">
        <is>
          <t>air::urban air close to ground</t>
        </is>
      </c>
      <c r="F1333" t="inlineStr">
        <is>
          <t>biosphere</t>
        </is>
      </c>
      <c r="I1333">
        <v>0</v>
      </c>
    </row>
    <row r="1334">
      <c r="A1334" t="inlineStr">
        <is>
          <t>PAH, polycyclic aromatic hydrocarbons</t>
        </is>
      </c>
      <c r="B1334">
        <v>1.8199999842933354e-09</v>
      </c>
      <c r="D1334" t="inlineStr">
        <is>
          <t>kilogram</t>
        </is>
      </c>
      <c r="E1334" t="inlineStr">
        <is>
          <t>air::urban air close to ground</t>
        </is>
      </c>
      <c r="F1334" t="inlineStr">
        <is>
          <t>biosphere</t>
        </is>
      </c>
      <c r="I1334">
        <v>0</v>
      </c>
    </row>
    <row r="1335">
      <c r="A1335" t="inlineStr">
        <is>
          <t>Particulate Matter, &lt; 2.5 um</t>
        </is>
      </c>
      <c r="B1335">
        <v>2.518198657761128e-06</v>
      </c>
      <c r="D1335" t="inlineStr">
        <is>
          <t>kilogram</t>
        </is>
      </c>
      <c r="E1335" t="inlineStr">
        <is>
          <t>air::urban air close to ground</t>
        </is>
      </c>
      <c r="F1335" t="inlineStr">
        <is>
          <t>biosphere</t>
        </is>
      </c>
      <c r="I1335">
        <v>0</v>
      </c>
    </row>
    <row r="1336">
      <c r="A1336" t="inlineStr">
        <is>
          <t>Pentane</t>
        </is>
      </c>
      <c r="B1336">
        <v>1.4320358421326822e-09</v>
      </c>
      <c r="D1336" t="inlineStr">
        <is>
          <t>kilogram</t>
        </is>
      </c>
      <c r="E1336" t="inlineStr">
        <is>
          <t>air::urban air close to ground</t>
        </is>
      </c>
      <c r="F1336" t="inlineStr">
        <is>
          <t>biosphere</t>
        </is>
      </c>
      <c r="I1336">
        <v>0</v>
      </c>
    </row>
    <row r="1337">
      <c r="A1337" t="inlineStr">
        <is>
          <t>Propane</t>
        </is>
      </c>
      <c r="B1337">
        <v>2.3867264035544693e-09</v>
      </c>
      <c r="D1337" t="inlineStr">
        <is>
          <t>kilogram</t>
        </is>
      </c>
      <c r="E1337" t="inlineStr">
        <is>
          <t>air::urban air close to ground</t>
        </is>
      </c>
      <c r="F1337" t="inlineStr">
        <is>
          <t>biosphere</t>
        </is>
      </c>
      <c r="I1337">
        <v>0</v>
      </c>
    </row>
    <row r="1338">
      <c r="A1338" t="inlineStr">
        <is>
          <t>Selenium IV</t>
        </is>
      </c>
      <c r="B1338">
        <v>2.3299999798920164e-12</v>
      </c>
      <c r="D1338" t="inlineStr">
        <is>
          <t>kilogram</t>
        </is>
      </c>
      <c r="E1338" t="inlineStr">
        <is>
          <t>air::urban air close to ground</t>
        </is>
      </c>
      <c r="F1338" t="inlineStr">
        <is>
          <t>biosphere</t>
        </is>
      </c>
      <c r="I1338">
        <v>0</v>
      </c>
    </row>
    <row r="1339">
      <c r="A1339" t="inlineStr">
        <is>
          <t>Styrene</t>
        </is>
      </c>
      <c r="B1339">
        <v>1.3365667859905029e-08</v>
      </c>
      <c r="D1339" t="inlineStr">
        <is>
          <t>kilogram</t>
        </is>
      </c>
      <c r="E1339" t="inlineStr">
        <is>
          <t>air::urban air close to ground</t>
        </is>
      </c>
      <c r="F1339" t="inlineStr">
        <is>
          <t>biosphere</t>
        </is>
      </c>
      <c r="I1339">
        <v>0</v>
      </c>
    </row>
    <row r="1340">
      <c r="A1340" t="inlineStr">
        <is>
          <t>Sulfur dioxide</t>
        </is>
      </c>
      <c r="B1340">
        <v>4.6511627906976754e-07</v>
      </c>
      <c r="D1340" t="inlineStr">
        <is>
          <t>kilogram</t>
        </is>
      </c>
      <c r="E1340" t="inlineStr">
        <is>
          <t>air::unspecified</t>
        </is>
      </c>
      <c r="F1340" t="inlineStr">
        <is>
          <t>biosphere</t>
        </is>
      </c>
      <c r="I1340">
        <v>0</v>
      </c>
    </row>
    <row r="1341">
      <c r="A1341" t="inlineStr">
        <is>
          <t>Toluene</t>
        </is>
      </c>
      <c r="B1341">
        <v>2.38672640355447e-10</v>
      </c>
      <c r="D1341" t="inlineStr">
        <is>
          <t>kilogram</t>
        </is>
      </c>
      <c r="E1341" t="inlineStr">
        <is>
          <t>air::urban air close to ground</t>
        </is>
      </c>
      <c r="F1341" t="inlineStr">
        <is>
          <t>biosphere</t>
        </is>
      </c>
      <c r="I1341">
        <v>0</v>
      </c>
    </row>
    <row r="1342">
      <c r="A1342" t="inlineStr">
        <is>
          <t>Zinc II</t>
        </is>
      </c>
      <c r="B1342">
        <v>4.0499999650483546e-08</v>
      </c>
      <c r="D1342" t="inlineStr">
        <is>
          <t>kilogram</t>
        </is>
      </c>
      <c r="E1342" t="inlineStr">
        <is>
          <t>air::urban air close to ground</t>
        </is>
      </c>
      <c r="F1342" t="inlineStr">
        <is>
          <t>biosphere</t>
        </is>
      </c>
      <c r="I1342">
        <v>0</v>
      </c>
    </row>
    <row r="1343">
      <c r="A1343" t="inlineStr">
        <is>
          <t>m-Xylene</t>
        </is>
      </c>
      <c r="B1343">
        <v>2.3389918754833805e-08</v>
      </c>
      <c r="D1343" t="inlineStr">
        <is>
          <t>kilogram</t>
        </is>
      </c>
      <c r="E1343" t="inlineStr">
        <is>
          <t>air::urban air close to ground</t>
        </is>
      </c>
      <c r="F1343" t="inlineStr">
        <is>
          <t>biosphere</t>
        </is>
      </c>
      <c r="I1343">
        <v>0</v>
      </c>
    </row>
    <row r="1344">
      <c r="A1344" t="inlineStr">
        <is>
          <t>o-Xylene</t>
        </is>
      </c>
      <c r="B1344">
        <v>9.546905614217876e-09</v>
      </c>
      <c r="D1344" t="inlineStr">
        <is>
          <t>kilogram</t>
        </is>
      </c>
      <c r="E1344" t="inlineStr">
        <is>
          <t>air::urban air close to ground</t>
        </is>
      </c>
      <c r="F1344" t="inlineStr">
        <is>
          <t>biosphere</t>
        </is>
      </c>
      <c r="I1344">
        <v>0</v>
      </c>
    </row>
    <row r="1345">
      <c r="A1345" t="inlineStr">
        <is>
          <t>exhaust system, for lorry</t>
        </is>
      </c>
      <c r="B1345">
        <v>1.0221610090305123e-05</v>
      </c>
      <c r="C1345" t="inlineStr">
        <is>
          <t>RER</t>
        </is>
      </c>
      <c r="D1345" t="inlineStr">
        <is>
          <t>kilogram</t>
        </is>
      </c>
      <c r="F1345" t="inlineStr">
        <is>
          <t>technosphere</t>
        </is>
      </c>
      <c r="G1345" t="inlineStr">
        <is>
          <t>exhaust system, for lorry</t>
        </is>
      </c>
      <c r="H1345" t="inlineStr">
        <is>
          <t> Energy-use allocation: 98 * 1.428571428571429e-07 / 1.3696472352509872 MJ per person kilometer.</t>
        </is>
      </c>
      <c r="I1345">
        <v>0</v>
      </c>
    </row>
    <row r="1346">
      <c r="A1346" t="inlineStr">
        <is>
          <t>fuel tank, for diesel vehicle</t>
        </is>
      </c>
      <c r="B1346">
        <v>5.434594663791208e-06</v>
      </c>
      <c r="C1346" t="inlineStr">
        <is>
          <t>RER</t>
        </is>
      </c>
      <c r="D1346" t="inlineStr">
        <is>
          <t>kilogram</t>
        </is>
      </c>
      <c r="F1346" t="inlineStr">
        <is>
          <t>technosphere</t>
        </is>
      </c>
      <c r="G1346" t="inlineStr">
        <is>
          <t>fuel tank</t>
        </is>
      </c>
      <c r="H1346" t="inlineStr">
        <is>
          <t> Energy-use allocation: 52.10434289179975 * 1.428571428571429e-07 / 1.3696472352509872 MJ per person kilometer.</t>
        </is>
      </c>
      <c r="I1346">
        <v>0</v>
      </c>
    </row>
    <row r="1347">
      <c r="A1347" t="inlineStr">
        <is>
          <t>gearbox, for lorry</t>
        </is>
      </c>
      <c r="B1347">
        <v>1.6438852140585983e-05</v>
      </c>
      <c r="C1347" t="inlineStr">
        <is>
          <t>RER</t>
        </is>
      </c>
      <c r="D1347" t="inlineStr">
        <is>
          <t>kilogram</t>
        </is>
      </c>
      <c r="F1347" t="inlineStr">
        <is>
          <t>technosphere</t>
        </is>
      </c>
      <c r="G1347" t="inlineStr">
        <is>
          <t>gearbox, for lorry</t>
        </is>
      </c>
      <c r="H1347" t="inlineStr">
        <is>
          <t> Energy-use allocation: 157.6079986953735 * 1.428571428571429e-07 / 1.3696472352509872 MJ per person kilometer.</t>
        </is>
      </c>
      <c r="I1347">
        <v>0</v>
      </c>
    </row>
    <row r="1348">
      <c r="A1348" t="inlineStr">
        <is>
          <t>internal combustion engine, for lorry</t>
        </is>
      </c>
      <c r="B1348">
        <v>7.397930395893994e-05</v>
      </c>
      <c r="C1348" t="inlineStr">
        <is>
          <t>RER</t>
        </is>
      </c>
      <c r="D1348" t="inlineStr">
        <is>
          <t>kilogram</t>
        </is>
      </c>
      <c r="F1348" t="inlineStr">
        <is>
          <t>technosphere</t>
        </is>
      </c>
      <c r="G1348" t="inlineStr">
        <is>
          <t>internal combustion engine, for lorry</t>
        </is>
      </c>
      <c r="H1348" t="inlineStr">
        <is>
          <t> Energy-use allocation: 709.2788439320813 * 1.428571428571429e-07 / 1.3696472352509872 MJ per person kilometer.</t>
        </is>
      </c>
      <c r="I1348">
        <v>0</v>
      </c>
    </row>
    <row r="1349">
      <c r="A1349" t="inlineStr">
        <is>
          <t>power electronics, for lorry</t>
        </is>
      </c>
      <c r="B1349">
        <v>1.9087292311488137e-05</v>
      </c>
      <c r="C1349" t="inlineStr">
        <is>
          <t>RER</t>
        </is>
      </c>
      <c r="D1349" t="inlineStr">
        <is>
          <t>kilogram</t>
        </is>
      </c>
      <c r="F1349" t="inlineStr">
        <is>
          <t>technosphere</t>
        </is>
      </c>
      <c r="G1349" t="inlineStr">
        <is>
          <t>power electronics, for lorry</t>
        </is>
      </c>
      <c r="H1349" t="inlineStr">
        <is>
          <t> Energy-use allocation: 183 * 1.428571428571429e-07 / 1.3696472352509872 MJ per person kilometer.</t>
        </is>
      </c>
      <c r="I1349">
        <v>0</v>
      </c>
    </row>
    <row r="1350">
      <c r="A1350" t="inlineStr">
        <is>
          <t>retarder, for lorry</t>
        </is>
      </c>
      <c r="B1350">
        <v>5.479617380195329e-06</v>
      </c>
      <c r="C1350" t="inlineStr">
        <is>
          <t>RER</t>
        </is>
      </c>
      <c r="D1350" t="inlineStr">
        <is>
          <t>kilogram</t>
        </is>
      </c>
      <c r="F1350" t="inlineStr">
        <is>
          <t>technosphere</t>
        </is>
      </c>
      <c r="G1350" t="inlineStr">
        <is>
          <t>retarder, for lorry</t>
        </is>
      </c>
      <c r="H1350" t="inlineStr">
        <is>
          <t> Energy-use allocation: 52.53599956512451 * 1.428571428571429e-07 / 1.3696472352509872 MJ per person kilometer.</t>
        </is>
      </c>
      <c r="I1350">
        <v>0</v>
      </c>
    </row>
    <row r="1351">
      <c r="A1351" t="inlineStr">
        <is>
          <t>transmission, for lorry</t>
        </is>
      </c>
      <c r="B1351">
        <v>2.3745008647513085e-05</v>
      </c>
      <c r="C1351" t="inlineStr">
        <is>
          <t>RER</t>
        </is>
      </c>
      <c r="D1351" t="inlineStr">
        <is>
          <t>kilogram</t>
        </is>
      </c>
      <c r="F1351" t="inlineStr">
        <is>
          <t>technosphere</t>
        </is>
      </c>
      <c r="G1351" t="inlineStr">
        <is>
          <t>transmission, for lorry</t>
        </is>
      </c>
      <c r="H1351" t="inlineStr">
        <is>
          <t> Energy-use allocation: 227.6559981155395 * 1.428571428571429e-07 / 1.3696472352509872 MJ per person kilometer.</t>
        </is>
      </c>
      <c r="I1351">
        <v>0</v>
      </c>
    </row>
    <row r="1352">
      <c r="A1352" t="inlineStr">
        <is>
          <t>market for refrigerant R134a</t>
        </is>
      </c>
      <c r="B1352">
        <v>2.451100378797656e-06</v>
      </c>
      <c r="C1352" t="inlineStr">
        <is>
          <t>GLO</t>
        </is>
      </c>
      <c r="D1352" t="inlineStr">
        <is>
          <t>kilogram</t>
        </is>
      </c>
      <c r="F1352" t="inlineStr">
        <is>
          <t>technosphere</t>
        </is>
      </c>
      <c r="G1352" t="inlineStr">
        <is>
          <t>refrigerant R134a</t>
        </is>
      </c>
      <c r="I1352">
        <v>0</v>
      </c>
    </row>
    <row r="1353">
      <c r="A1353" t="inlineStr">
        <is>
          <t>treatment of brake wear emissions, lorry</t>
        </is>
      </c>
      <c r="B1353">
        <v>-6.837706254606543e-06</v>
      </c>
      <c r="C1353" t="inlineStr">
        <is>
          <t>RER</t>
        </is>
      </c>
      <c r="D1353" t="inlineStr">
        <is>
          <t>kilogram</t>
        </is>
      </c>
      <c r="F1353" t="inlineStr">
        <is>
          <t>technosphere</t>
        </is>
      </c>
      <c r="G1353" t="inlineStr">
        <is>
          <t>brake wear emissions, lorry</t>
        </is>
      </c>
      <c r="I1353">
        <v>0</v>
      </c>
    </row>
    <row r="1354">
      <c r="A1354" t="inlineStr">
        <is>
          <t>treatment of road wear emissions, lorry</t>
        </is>
      </c>
      <c r="B1354">
        <v>-5.745793792454793e-06</v>
      </c>
      <c r="C1354" t="inlineStr">
        <is>
          <t>RER</t>
        </is>
      </c>
      <c r="D1354" t="inlineStr">
        <is>
          <t>kilogram</t>
        </is>
      </c>
      <c r="F1354" t="inlineStr">
        <is>
          <t>technosphere</t>
        </is>
      </c>
      <c r="G1354" t="inlineStr">
        <is>
          <t>road wear emissions, lorry</t>
        </is>
      </c>
      <c r="I1354">
        <v>0</v>
      </c>
    </row>
    <row r="1355">
      <c r="A1355" t="inlineStr">
        <is>
          <t>treatment of tyre wear emissions, lorry</t>
        </is>
      </c>
      <c r="B1355">
        <v>-5.674001036673323e-06</v>
      </c>
      <c r="C1355" t="inlineStr">
        <is>
          <t>RER</t>
        </is>
      </c>
      <c r="D1355" t="inlineStr">
        <is>
          <t>kilogram</t>
        </is>
      </c>
      <c r="F1355" t="inlineStr">
        <is>
          <t>technosphere</t>
        </is>
      </c>
      <c r="G1355" t="inlineStr">
        <is>
          <t>tyre wear emissions, lorry</t>
        </is>
      </c>
      <c r="I1355">
        <v>0</v>
      </c>
    </row>
    <row r="1356">
      <c r="A1356" t="inlineStr">
        <is>
          <t>Carbon dioxide, non-fossil</t>
        </is>
      </c>
      <c r="B1356">
        <v>0.0732</v>
      </c>
      <c r="D1356" t="inlineStr">
        <is>
          <t>kilogram</t>
        </is>
      </c>
      <c r="E1356" t="inlineStr">
        <is>
          <t>air::urban air close to ground</t>
        </is>
      </c>
      <c r="F1356" t="inlineStr">
        <is>
          <t>biosphere</t>
        </is>
      </c>
      <c r="I1356">
        <v>0</v>
      </c>
    </row>
    <row r="1357"/>
    <row r="1358">
      <c r="A1358" t="inlineStr">
        <is>
          <t>Activity</t>
        </is>
      </c>
      <c r="B1358" t="inlineStr">
        <is>
          <t>diesel, synthetic, burned in single deck coach or urban bus</t>
        </is>
      </c>
    </row>
    <row r="1359">
      <c r="A1359" t="inlineStr">
        <is>
          <t>comment</t>
        </is>
      </c>
      <c r="B1359"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360">
      <c r="A1360" t="inlineStr">
        <is>
          <t>description</t>
        </is>
      </c>
      <c r="B1360"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361">
      <c r="A1361" t="inlineStr">
        <is>
          <t>location</t>
        </is>
      </c>
      <c r="B1361" t="inlineStr">
        <is>
          <t>RER</t>
        </is>
      </c>
    </row>
    <row r="1362">
      <c r="A1362" t="inlineStr">
        <is>
          <t>production amount</t>
        </is>
      </c>
      <c r="B1362">
        <v>1</v>
      </c>
    </row>
    <row r="1363">
      <c r="A1363" t="inlineStr">
        <is>
          <t>reference product</t>
        </is>
      </c>
      <c r="B1363" t="inlineStr">
        <is>
          <t>heat</t>
        </is>
      </c>
    </row>
    <row r="1364">
      <c r="A1364" t="inlineStr">
        <is>
          <t>type</t>
        </is>
      </c>
      <c r="B1364" t="inlineStr">
        <is>
          <t>process</t>
        </is>
      </c>
    </row>
    <row r="1365">
      <c r="A1365" t="inlineStr">
        <is>
          <t>unit</t>
        </is>
      </c>
      <c r="B1365" t="inlineStr">
        <is>
          <t>megajoule</t>
        </is>
      </c>
    </row>
    <row r="1366">
      <c r="A1366" t="inlineStr">
        <is>
          <t>Power, mean</t>
        </is>
      </c>
      <c r="B1366">
        <v>245</v>
      </c>
    </row>
    <row r="1367">
      <c r="A1367" t="inlineStr">
        <is>
          <t>Power, min</t>
        </is>
      </c>
      <c r="B1367">
        <v>125</v>
      </c>
    </row>
    <row r="1368">
      <c r="A1368" t="inlineStr">
        <is>
          <t>Power, max</t>
        </is>
      </c>
      <c r="B1368">
        <v>323</v>
      </c>
    </row>
    <row r="1369">
      <c r="A1369" t="inlineStr">
        <is>
          <t>Lifetime, mean</t>
        </is>
      </c>
      <c r="B1369">
        <v>700000</v>
      </c>
    </row>
    <row r="1370">
      <c r="A1370" t="inlineStr">
        <is>
          <t>Lifetime, min</t>
        </is>
      </c>
      <c r="B1370">
        <v>500000</v>
      </c>
    </row>
    <row r="1371">
      <c r="A1371" t="inlineStr">
        <is>
          <t>Lifetime, max</t>
        </is>
      </c>
      <c r="B1371">
        <v>1000000</v>
      </c>
    </row>
    <row r="1372">
      <c r="A1372" t="inlineStr">
        <is>
          <t>Energy use, mean</t>
        </is>
      </c>
      <c r="B1372">
        <v>9500</v>
      </c>
    </row>
    <row r="1373">
      <c r="A1373" t="inlineStr">
        <is>
          <t>Energy use, min</t>
        </is>
      </c>
      <c r="B1373">
        <v>6000</v>
      </c>
    </row>
    <row r="1374">
      <c r="A1374" t="inlineStr">
        <is>
          <t>Energy use, max</t>
        </is>
      </c>
      <c r="B1374">
        <v>12200</v>
      </c>
    </row>
    <row r="1375">
      <c r="A1375" t="inlineStr">
        <is>
          <t>Electric motor, mean</t>
        </is>
      </c>
      <c r="B1375">
        <v>0</v>
      </c>
    </row>
    <row r="1376">
      <c r="A1376" t="inlineStr">
        <is>
          <t>Electric motor, min</t>
        </is>
      </c>
      <c r="B1376">
        <v>0</v>
      </c>
    </row>
    <row r="1377">
      <c r="A1377" t="inlineStr">
        <is>
          <t>Electric motor, max</t>
        </is>
      </c>
      <c r="B1377">
        <v>0</v>
      </c>
    </row>
    <row r="1378">
      <c r="A1378" t="inlineStr">
        <is>
          <t>Combustion engine, mean</t>
        </is>
      </c>
      <c r="B1378">
        <v>733</v>
      </c>
    </row>
    <row r="1379">
      <c r="A1379" t="inlineStr">
        <is>
          <t>Combustion engine, min</t>
        </is>
      </c>
      <c r="B1379">
        <v>400</v>
      </c>
    </row>
    <row r="1380">
      <c r="A1380" t="inlineStr">
        <is>
          <t>Combustion engine, max</t>
        </is>
      </c>
      <c r="B1380">
        <v>955</v>
      </c>
    </row>
    <row r="1381">
      <c r="A1381" t="inlineStr">
        <is>
          <t>Fuel tank, mean</t>
        </is>
      </c>
      <c r="B1381">
        <v>48</v>
      </c>
    </row>
    <row r="1382">
      <c r="A1382" t="inlineStr">
        <is>
          <t>Fuel tank, min</t>
        </is>
      </c>
      <c r="B1382">
        <v>38</v>
      </c>
    </row>
    <row r="1383">
      <c r="A1383" t="inlineStr">
        <is>
          <t>Fuel tank, max</t>
        </is>
      </c>
      <c r="B1383">
        <v>53</v>
      </c>
    </row>
    <row r="1384">
      <c r="A1384" t="inlineStr">
        <is>
          <t>Battery capacity, mean</t>
        </is>
      </c>
      <c r="B1384">
        <v>0</v>
      </c>
    </row>
    <row r="1385">
      <c r="A1385" t="inlineStr">
        <is>
          <t>Battery capacity, min</t>
        </is>
      </c>
      <c r="B1385">
        <v>0</v>
      </c>
    </row>
    <row r="1386">
      <c r="A1386" t="inlineStr">
        <is>
          <t>Battery capacity, max</t>
        </is>
      </c>
      <c r="B1386">
        <v>0</v>
      </c>
    </row>
    <row r="1387">
      <c r="A1387" t="inlineStr">
        <is>
          <t>Battery replacement, mean</t>
        </is>
      </c>
      <c r="B1387">
        <v>0</v>
      </c>
    </row>
    <row r="1388">
      <c r="A1388" t="inlineStr">
        <is>
          <t>Battery replacement, min</t>
        </is>
      </c>
      <c r="B1388">
        <v>0</v>
      </c>
    </row>
    <row r="1389">
      <c r="A1389" t="inlineStr">
        <is>
          <t>Battery replacement, max</t>
        </is>
      </c>
      <c r="B1389">
        <v>0</v>
      </c>
    </row>
    <row r="1390">
      <c r="A1390" t="inlineStr">
        <is>
          <t>Fuel cell system, mean</t>
        </is>
      </c>
      <c r="B1390">
        <v>0</v>
      </c>
    </row>
    <row r="1391">
      <c r="A1391" t="inlineStr">
        <is>
          <t>Fuel cell system, min</t>
        </is>
      </c>
      <c r="B1391">
        <v>0</v>
      </c>
    </row>
    <row r="1392">
      <c r="A1392" t="inlineStr">
        <is>
          <t>Fuel cell system, max</t>
        </is>
      </c>
      <c r="B1392">
        <v>0</v>
      </c>
    </row>
    <row r="1393">
      <c r="A1393" t="inlineStr">
        <is>
          <t>Fuel cell stack replacement, mean</t>
        </is>
      </c>
      <c r="B1393">
        <v>0</v>
      </c>
    </row>
    <row r="1394">
      <c r="A1394" t="inlineStr">
        <is>
          <t>Fuel cell replacement, min</t>
        </is>
      </c>
      <c r="B1394">
        <v>0</v>
      </c>
    </row>
    <row r="1395">
      <c r="A1395" t="inlineStr">
        <is>
          <t>Fuel cell replacement, max</t>
        </is>
      </c>
      <c r="B1395">
        <v>0</v>
      </c>
    </row>
    <row r="1396">
      <c r="A1396" t="inlineStr">
        <is>
          <t>Onboard charger mass</t>
        </is>
      </c>
      <c r="B1396">
        <v>0</v>
      </c>
    </row>
    <row r="1397">
      <c r="A1397" t="inlineStr">
        <is>
          <t>Controller mass</t>
        </is>
      </c>
      <c r="B1397">
        <v>0</v>
      </c>
    </row>
    <row r="1398">
      <c r="A1398" t="inlineStr">
        <is>
          <t>Converter mass</t>
        </is>
      </c>
      <c r="B1398">
        <v>0</v>
      </c>
    </row>
    <row r="1399">
      <c r="A1399" t="inlineStr">
        <is>
          <t>Electrical powertrain mass</t>
        </is>
      </c>
      <c r="B1399">
        <v>0</v>
      </c>
    </row>
    <row r="1400">
      <c r="A1400" t="inlineStr">
        <is>
          <t>Inverter mass</t>
        </is>
      </c>
      <c r="B1400">
        <v>0</v>
      </c>
    </row>
    <row r="1401">
      <c r="A1401" t="inlineStr">
        <is>
          <t>NOx</t>
        </is>
      </c>
      <c r="B1401">
        <v>0.158234892</v>
      </c>
    </row>
    <row r="1402">
      <c r="A1402" t="inlineStr">
        <is>
          <t>PM 2.5</t>
        </is>
      </c>
      <c r="B1402">
        <v>0.000213184</v>
      </c>
    </row>
    <row r="1403">
      <c r="A1403" t="inlineStr">
        <is>
          <t>energy use source</t>
        </is>
      </c>
      <c r="B1403"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404">
      <c r="A1404" t="inlineStr">
        <is>
          <t>Exchanges</t>
        </is>
      </c>
    </row>
    <row r="1405">
      <c r="A1405" t="inlineStr">
        <is>
          <t>name</t>
        </is>
      </c>
      <c r="B1405" t="inlineStr">
        <is>
          <t>amount</t>
        </is>
      </c>
      <c r="C1405" t="inlineStr">
        <is>
          <t>location</t>
        </is>
      </c>
      <c r="D1405" t="inlineStr">
        <is>
          <t>unit</t>
        </is>
      </c>
      <c r="E1405" t="inlineStr">
        <is>
          <t>categories</t>
        </is>
      </c>
      <c r="F1405" t="inlineStr">
        <is>
          <t>type</t>
        </is>
      </c>
      <c r="G1405" t="inlineStr">
        <is>
          <t>reference product</t>
        </is>
      </c>
      <c r="H1405" t="inlineStr">
        <is>
          <t>comment</t>
        </is>
      </c>
      <c r="I1405" t="inlineStr">
        <is>
          <t>uncertainty type</t>
        </is>
      </c>
    </row>
    <row r="1406">
      <c r="A1406" t="inlineStr">
        <is>
          <t>diesel, synthetic, burned in single deck coach or urban bus</t>
        </is>
      </c>
      <c r="B1406">
        <v>1.0</v>
      </c>
      <c r="C1406" t="inlineStr">
        <is>
          <t>RER</t>
        </is>
      </c>
      <c r="D1406" t="inlineStr">
        <is>
          <t>megajoule</t>
        </is>
      </c>
      <c r="F1406" t="inlineStr">
        <is>
          <t>production</t>
        </is>
      </c>
      <c r="G1406" t="inlineStr">
        <is>
          <t>heat</t>
        </is>
      </c>
      <c r="I1406">
        <v>0</v>
      </c>
    </row>
    <row r="1407">
      <c r="A1407" t="inlineStr">
        <is>
          <t>diesel production, synthetic, from Fischer Tropsch process, market-average hydrogen, energy allocation, at fuelling station</t>
        </is>
      </c>
      <c r="B1407">
        <v>0.023255813953488372</v>
      </c>
      <c r="C1407" t="inlineStr">
        <is>
          <t>RER</t>
        </is>
      </c>
      <c r="D1407" t="inlineStr">
        <is>
          <t>kilogram</t>
        </is>
      </c>
      <c r="F1407" t="inlineStr">
        <is>
          <t>technosphere</t>
        </is>
      </c>
      <c r="G1407" t="inlineStr">
        <is>
          <t>diesel, synthetic, vehicle grade</t>
        </is>
      </c>
      <c r="I1407">
        <v>0</v>
      </c>
    </row>
    <row r="1408">
      <c r="A1408" t="inlineStr">
        <is>
          <t>Acetaldehyde</t>
        </is>
      </c>
      <c r="B1408">
        <v>1.0907339664243923e-07</v>
      </c>
      <c r="D1408" t="inlineStr">
        <is>
          <t>kilogram</t>
        </is>
      </c>
      <c r="E1408" t="inlineStr">
        <is>
          <t>air::urban air close to ground</t>
        </is>
      </c>
      <c r="F1408" t="inlineStr">
        <is>
          <t>biosphere</t>
        </is>
      </c>
      <c r="I1408">
        <v>0</v>
      </c>
    </row>
    <row r="1409">
      <c r="A1409" t="inlineStr">
        <is>
          <t>Acrolein</t>
        </is>
      </c>
      <c r="B1409">
        <v>4.224505734291413e-08</v>
      </c>
      <c r="D1409" t="inlineStr">
        <is>
          <t>kilogram</t>
        </is>
      </c>
      <c r="E1409" t="inlineStr">
        <is>
          <t>air::urban air close to ground</t>
        </is>
      </c>
      <c r="F1409" t="inlineStr">
        <is>
          <t>biosphere</t>
        </is>
      </c>
      <c r="I1409">
        <v>0</v>
      </c>
    </row>
    <row r="1410">
      <c r="A1410" t="inlineStr">
        <is>
          <t>Ammonia</t>
        </is>
      </c>
      <c r="B1410">
        <v>1.0561513719515261e-06</v>
      </c>
      <c r="D1410" t="inlineStr">
        <is>
          <t>kilogram</t>
        </is>
      </c>
      <c r="E1410" t="inlineStr">
        <is>
          <t>air::urban air close to ground</t>
        </is>
      </c>
      <c r="F1410" t="inlineStr">
        <is>
          <t>biosphere</t>
        </is>
      </c>
      <c r="I1410">
        <v>0</v>
      </c>
    </row>
    <row r="1411">
      <c r="A1411" t="inlineStr">
        <is>
          <t>Arsenic ion</t>
        </is>
      </c>
      <c r="B1411">
        <v>2.3299999798920164e-12</v>
      </c>
      <c r="D1411" t="inlineStr">
        <is>
          <t>kilogram</t>
        </is>
      </c>
      <c r="E1411" t="inlineStr">
        <is>
          <t>air::urban air close to ground</t>
        </is>
      </c>
      <c r="F1411" t="inlineStr">
        <is>
          <t>biosphere</t>
        </is>
      </c>
      <c r="I1411">
        <v>0</v>
      </c>
    </row>
    <row r="1412">
      <c r="A1412" t="inlineStr">
        <is>
          <t>Benzaldehyde</t>
        </is>
      </c>
      <c r="B1412">
        <v>3.2698151728696235e-08</v>
      </c>
      <c r="D1412" t="inlineStr">
        <is>
          <t>kilogram</t>
        </is>
      </c>
      <c r="E1412" t="inlineStr">
        <is>
          <t>air::urban air close to ground</t>
        </is>
      </c>
      <c r="F1412" t="inlineStr">
        <is>
          <t>biosphere</t>
        </is>
      </c>
      <c r="I1412">
        <v>0</v>
      </c>
    </row>
    <row r="1413">
      <c r="A1413" t="inlineStr">
        <is>
          <t>Benzene</t>
        </is>
      </c>
      <c r="B1413">
        <v>2.9067283247454772e-08</v>
      </c>
      <c r="D1413" t="inlineStr">
        <is>
          <t>kilogram</t>
        </is>
      </c>
      <c r="E1413" t="inlineStr">
        <is>
          <t>air::urban air close to ground</t>
        </is>
      </c>
      <c r="F1413" t="inlineStr">
        <is>
          <t>biosphere</t>
        </is>
      </c>
      <c r="I1413">
        <v>0</v>
      </c>
    </row>
    <row r="1414">
      <c r="A1414" t="inlineStr">
        <is>
          <t>Butane</t>
        </is>
      </c>
      <c r="B1414">
        <v>3.580089605331705e-09</v>
      </c>
      <c r="D1414" t="inlineStr">
        <is>
          <t>kilogram</t>
        </is>
      </c>
      <c r="E1414" t="inlineStr">
        <is>
          <t>air::urban air close to ground</t>
        </is>
      </c>
      <c r="F1414" t="inlineStr">
        <is>
          <t>biosphere</t>
        </is>
      </c>
      <c r="I1414">
        <v>0</v>
      </c>
    </row>
    <row r="1415">
      <c r="A1415" t="inlineStr">
        <is>
          <t>Cadmium II</t>
        </is>
      </c>
      <c r="B1415">
        <v>2.019999982567328e-10</v>
      </c>
      <c r="D1415" t="inlineStr">
        <is>
          <t>kilogram</t>
        </is>
      </c>
      <c r="E1415" t="inlineStr">
        <is>
          <t>air::urban air close to ground</t>
        </is>
      </c>
      <c r="F1415" t="inlineStr">
        <is>
          <t>biosphere</t>
        </is>
      </c>
      <c r="I1415">
        <v>0</v>
      </c>
    </row>
    <row r="1416">
      <c r="A1416" t="inlineStr">
        <is>
          <t>Carbon monoxide, fossil</t>
        </is>
      </c>
      <c r="B1416">
        <v>2.094191274474486e-05</v>
      </c>
      <c r="D1416" t="inlineStr">
        <is>
          <t>kilogram</t>
        </is>
      </c>
      <c r="E1416" t="inlineStr">
        <is>
          <t>air::urban air close to ground</t>
        </is>
      </c>
      <c r="F1416" t="inlineStr">
        <is>
          <t>biosphere</t>
        </is>
      </c>
      <c r="I1416">
        <v>0</v>
      </c>
    </row>
    <row r="1417">
      <c r="A1417" t="inlineStr">
        <is>
          <t>Chromium III</t>
        </is>
      </c>
      <c r="B1417">
        <v>6.979999939762351e-10</v>
      </c>
      <c r="D1417" t="inlineStr">
        <is>
          <t>kilogram</t>
        </is>
      </c>
      <c r="E1417" t="inlineStr">
        <is>
          <t>air::urban air close to ground</t>
        </is>
      </c>
      <c r="F1417" t="inlineStr">
        <is>
          <t>biosphere</t>
        </is>
      </c>
      <c r="I1417">
        <v>0</v>
      </c>
    </row>
    <row r="1418">
      <c r="A1418" t="inlineStr">
        <is>
          <t>Chromium VI</t>
        </is>
      </c>
      <c r="B1418">
        <v>1.3999999879179503e-12</v>
      </c>
      <c r="D1418" t="inlineStr">
        <is>
          <t>kilogram</t>
        </is>
      </c>
      <c r="E1418" t="inlineStr">
        <is>
          <t>air::urban air close to ground</t>
        </is>
      </c>
      <c r="F1418" t="inlineStr">
        <is>
          <t>biosphere</t>
        </is>
      </c>
      <c r="I1418">
        <v>0</v>
      </c>
    </row>
    <row r="1419">
      <c r="A1419" t="inlineStr">
        <is>
          <t>Copper ion</t>
        </is>
      </c>
      <c r="B1419">
        <v>4.929999957453923e-10</v>
      </c>
      <c r="D1419" t="inlineStr">
        <is>
          <t>kilogram</t>
        </is>
      </c>
      <c r="E1419" t="inlineStr">
        <is>
          <t>air::urban air close to ground</t>
        </is>
      </c>
      <c r="F1419" t="inlineStr">
        <is>
          <t>biosphere</t>
        </is>
      </c>
      <c r="I1419">
        <v>0</v>
      </c>
    </row>
    <row r="1420">
      <c r="A1420" t="inlineStr">
        <is>
          <t>Dinitrogen monoxide</t>
        </is>
      </c>
      <c r="B1420">
        <v>2.386726403554469e-06</v>
      </c>
      <c r="D1420" t="inlineStr">
        <is>
          <t>kilogram</t>
        </is>
      </c>
      <c r="E1420" t="inlineStr">
        <is>
          <t>air::urban air close to ground</t>
        </is>
      </c>
      <c r="F1420" t="inlineStr">
        <is>
          <t>biosphere</t>
        </is>
      </c>
      <c r="I1420">
        <v>0</v>
      </c>
    </row>
    <row r="1421">
      <c r="A1421" t="inlineStr">
        <is>
          <t>Ethane</t>
        </is>
      </c>
      <c r="B1421">
        <v>7.160179210663411e-10</v>
      </c>
      <c r="D1421" t="inlineStr">
        <is>
          <t>kilogram</t>
        </is>
      </c>
      <c r="E1421" t="inlineStr">
        <is>
          <t>air::urban air close to ground</t>
        </is>
      </c>
      <c r="F1421" t="inlineStr">
        <is>
          <t>biosphere</t>
        </is>
      </c>
      <c r="I1421">
        <v>0</v>
      </c>
    </row>
    <row r="1422">
      <c r="A1422" t="inlineStr">
        <is>
          <t>1,1,1,2-Tetrafluoroethane</t>
        </is>
      </c>
      <c r="B1422">
        <v>1.6688343004579788e-06</v>
      </c>
      <c r="D1422" t="inlineStr">
        <is>
          <t>kilogram</t>
        </is>
      </c>
      <c r="E1422" t="inlineStr">
        <is>
          <t>air::unspecified</t>
        </is>
      </c>
      <c r="F1422" t="inlineStr">
        <is>
          <t>biosphere</t>
        </is>
      </c>
      <c r="I1422">
        <v>0</v>
      </c>
    </row>
    <row r="1423">
      <c r="A1423" t="inlineStr">
        <is>
          <t>Formaldehyde</t>
        </is>
      </c>
      <c r="B1423">
        <v>2.004850178985755e-07</v>
      </c>
      <c r="D1423" t="inlineStr">
        <is>
          <t>kilogram</t>
        </is>
      </c>
      <c r="E1423" t="inlineStr">
        <is>
          <t>air::urban air close to ground</t>
        </is>
      </c>
      <c r="F1423" t="inlineStr">
        <is>
          <t>biosphere</t>
        </is>
      </c>
      <c r="I1423">
        <v>0</v>
      </c>
    </row>
    <row r="1424">
      <c r="A1424" t="inlineStr">
        <is>
          <t>Heptane</t>
        </is>
      </c>
      <c r="B1424">
        <v>7.16017921066341e-09</v>
      </c>
      <c r="D1424" t="inlineStr">
        <is>
          <t>kilogram</t>
        </is>
      </c>
      <c r="E1424" t="inlineStr">
        <is>
          <t>air::urban air close to ground</t>
        </is>
      </c>
      <c r="F1424" t="inlineStr">
        <is>
          <t>biosphere</t>
        </is>
      </c>
      <c r="I1424">
        <v>0</v>
      </c>
    </row>
    <row r="1425">
      <c r="A1425" t="inlineStr">
        <is>
          <t>Hydrocarbons, chlorinated</t>
        </is>
      </c>
      <c r="B1425">
        <v>1.740555928484824e-06</v>
      </c>
      <c r="D1425" t="inlineStr">
        <is>
          <t>kilogram</t>
        </is>
      </c>
      <c r="E1425" t="inlineStr">
        <is>
          <t>air::urban air close to ground</t>
        </is>
      </c>
      <c r="F1425" t="inlineStr">
        <is>
          <t>biosphere</t>
        </is>
      </c>
      <c r="I1425">
        <v>0</v>
      </c>
    </row>
    <row r="1426">
      <c r="A1426" t="inlineStr">
        <is>
          <t>Mercury II</t>
        </is>
      </c>
      <c r="B1426">
        <v>1.2299999893850563e-10</v>
      </c>
      <c r="D1426" t="inlineStr">
        <is>
          <t>kilogram</t>
        </is>
      </c>
      <c r="E1426" t="inlineStr">
        <is>
          <t>air::urban air close to ground</t>
        </is>
      </c>
      <c r="F1426" t="inlineStr">
        <is>
          <t>biosphere</t>
        </is>
      </c>
      <c r="I1426">
        <v>0</v>
      </c>
    </row>
    <row r="1427">
      <c r="A1427" t="inlineStr">
        <is>
          <t>Methane, fossil</t>
        </is>
      </c>
      <c r="B1427">
        <v>4.177334280532267e-08</v>
      </c>
      <c r="D1427" t="inlineStr">
        <is>
          <t>kilogram</t>
        </is>
      </c>
      <c r="E1427" t="inlineStr">
        <is>
          <t>air::urban air close to ground</t>
        </is>
      </c>
      <c r="F1427" t="inlineStr">
        <is>
          <t>biosphere</t>
        </is>
      </c>
      <c r="I1427">
        <v>0</v>
      </c>
    </row>
    <row r="1428">
      <c r="A1428" t="inlineStr">
        <is>
          <t>NMVOC, non-methane volatile organic compounds</t>
        </is>
      </c>
      <c r="B1428">
        <v>1.3811102485122725e-06</v>
      </c>
      <c r="D1428" t="inlineStr">
        <is>
          <t>kilogram</t>
        </is>
      </c>
      <c r="E1428" t="inlineStr">
        <is>
          <t>air::urban air close to ground</t>
        </is>
      </c>
      <c r="F1428" t="inlineStr">
        <is>
          <t>biosphere</t>
        </is>
      </c>
      <c r="I1428">
        <v>0</v>
      </c>
    </row>
    <row r="1429">
      <c r="A1429" t="inlineStr">
        <is>
          <t>Nickel II</t>
        </is>
      </c>
      <c r="B1429">
        <v>2.0499999823084267e-10</v>
      </c>
      <c r="D1429" t="inlineStr">
        <is>
          <t>kilogram</t>
        </is>
      </c>
      <c r="E1429" t="inlineStr">
        <is>
          <t>air::urban air close to ground</t>
        </is>
      </c>
      <c r="F1429" t="inlineStr">
        <is>
          <t>biosphere</t>
        </is>
      </c>
      <c r="I1429">
        <v>0</v>
      </c>
    </row>
    <row r="1430">
      <c r="A1430" t="inlineStr">
        <is>
          <t>Nitrogen oxides</t>
        </is>
      </c>
      <c r="B1430">
        <v>4.286348264147637e-05</v>
      </c>
      <c r="D1430" t="inlineStr">
        <is>
          <t>kilogram</t>
        </is>
      </c>
      <c r="E1430" t="inlineStr">
        <is>
          <t>air::urban air close to ground</t>
        </is>
      </c>
      <c r="F1430" t="inlineStr">
        <is>
          <t>biosphere</t>
        </is>
      </c>
      <c r="I1430">
        <v>0</v>
      </c>
    </row>
    <row r="1431">
      <c r="A1431" t="inlineStr">
        <is>
          <t>PAH, polycyclic aromatic hydrocarbons</t>
        </is>
      </c>
      <c r="B1431">
        <v>1.8199999842933354e-09</v>
      </c>
      <c r="D1431" t="inlineStr">
        <is>
          <t>kilogram</t>
        </is>
      </c>
      <c r="E1431" t="inlineStr">
        <is>
          <t>air::urban air close to ground</t>
        </is>
      </c>
      <c r="F1431" t="inlineStr">
        <is>
          <t>biosphere</t>
        </is>
      </c>
      <c r="I1431">
        <v>0</v>
      </c>
    </row>
    <row r="1432">
      <c r="A1432" t="inlineStr">
        <is>
          <t>Particulate Matter, &lt; 2.5 um</t>
        </is>
      </c>
      <c r="B1432">
        <v>2.518198657761128e-06</v>
      </c>
      <c r="D1432" t="inlineStr">
        <is>
          <t>kilogram</t>
        </is>
      </c>
      <c r="E1432" t="inlineStr">
        <is>
          <t>air::urban air close to ground</t>
        </is>
      </c>
      <c r="F1432" t="inlineStr">
        <is>
          <t>biosphere</t>
        </is>
      </c>
      <c r="I1432">
        <v>0</v>
      </c>
    </row>
    <row r="1433">
      <c r="A1433" t="inlineStr">
        <is>
          <t>Pentane</t>
        </is>
      </c>
      <c r="B1433">
        <v>1.4320358421326822e-09</v>
      </c>
      <c r="D1433" t="inlineStr">
        <is>
          <t>kilogram</t>
        </is>
      </c>
      <c r="E1433" t="inlineStr">
        <is>
          <t>air::urban air close to ground</t>
        </is>
      </c>
      <c r="F1433" t="inlineStr">
        <is>
          <t>biosphere</t>
        </is>
      </c>
      <c r="I1433">
        <v>0</v>
      </c>
    </row>
    <row r="1434">
      <c r="A1434" t="inlineStr">
        <is>
          <t>Propane</t>
        </is>
      </c>
      <c r="B1434">
        <v>2.3867264035544693e-09</v>
      </c>
      <c r="D1434" t="inlineStr">
        <is>
          <t>kilogram</t>
        </is>
      </c>
      <c r="E1434" t="inlineStr">
        <is>
          <t>air::urban air close to ground</t>
        </is>
      </c>
      <c r="F1434" t="inlineStr">
        <is>
          <t>biosphere</t>
        </is>
      </c>
      <c r="I1434">
        <v>0</v>
      </c>
    </row>
    <row r="1435">
      <c r="A1435" t="inlineStr">
        <is>
          <t>Selenium IV</t>
        </is>
      </c>
      <c r="B1435">
        <v>2.3299999798920164e-12</v>
      </c>
      <c r="D1435" t="inlineStr">
        <is>
          <t>kilogram</t>
        </is>
      </c>
      <c r="E1435" t="inlineStr">
        <is>
          <t>air::urban air close to ground</t>
        </is>
      </c>
      <c r="F1435" t="inlineStr">
        <is>
          <t>biosphere</t>
        </is>
      </c>
      <c r="I1435">
        <v>0</v>
      </c>
    </row>
    <row r="1436">
      <c r="A1436" t="inlineStr">
        <is>
          <t>Styrene</t>
        </is>
      </c>
      <c r="B1436">
        <v>1.3365667859905029e-08</v>
      </c>
      <c r="D1436" t="inlineStr">
        <is>
          <t>kilogram</t>
        </is>
      </c>
      <c r="E1436" t="inlineStr">
        <is>
          <t>air::urban air close to ground</t>
        </is>
      </c>
      <c r="F1436" t="inlineStr">
        <is>
          <t>biosphere</t>
        </is>
      </c>
      <c r="I1436">
        <v>0</v>
      </c>
    </row>
    <row r="1437">
      <c r="A1437" t="inlineStr">
        <is>
          <t>Sulfur dioxide</t>
        </is>
      </c>
      <c r="B1437">
        <v>4.6511627906976754e-07</v>
      </c>
      <c r="D1437" t="inlineStr">
        <is>
          <t>kilogram</t>
        </is>
      </c>
      <c r="E1437" t="inlineStr">
        <is>
          <t>air::unspecified</t>
        </is>
      </c>
      <c r="F1437" t="inlineStr">
        <is>
          <t>biosphere</t>
        </is>
      </c>
      <c r="I1437">
        <v>0</v>
      </c>
    </row>
    <row r="1438">
      <c r="A1438" t="inlineStr">
        <is>
          <t>Toluene</t>
        </is>
      </c>
      <c r="B1438">
        <v>2.38672640355447e-10</v>
      </c>
      <c r="D1438" t="inlineStr">
        <is>
          <t>kilogram</t>
        </is>
      </c>
      <c r="E1438" t="inlineStr">
        <is>
          <t>air::urban air close to ground</t>
        </is>
      </c>
      <c r="F1438" t="inlineStr">
        <is>
          <t>biosphere</t>
        </is>
      </c>
      <c r="I1438">
        <v>0</v>
      </c>
    </row>
    <row r="1439">
      <c r="A1439" t="inlineStr">
        <is>
          <t>Zinc II</t>
        </is>
      </c>
      <c r="B1439">
        <v>4.0499999650483546e-08</v>
      </c>
      <c r="D1439" t="inlineStr">
        <is>
          <t>kilogram</t>
        </is>
      </c>
      <c r="E1439" t="inlineStr">
        <is>
          <t>air::urban air close to ground</t>
        </is>
      </c>
      <c r="F1439" t="inlineStr">
        <is>
          <t>biosphere</t>
        </is>
      </c>
      <c r="I1439">
        <v>0</v>
      </c>
    </row>
    <row r="1440">
      <c r="A1440" t="inlineStr">
        <is>
          <t>m-Xylene</t>
        </is>
      </c>
      <c r="B1440">
        <v>2.3389918754833805e-08</v>
      </c>
      <c r="D1440" t="inlineStr">
        <is>
          <t>kilogram</t>
        </is>
      </c>
      <c r="E1440" t="inlineStr">
        <is>
          <t>air::urban air close to ground</t>
        </is>
      </c>
      <c r="F1440" t="inlineStr">
        <is>
          <t>biosphere</t>
        </is>
      </c>
      <c r="I1440">
        <v>0</v>
      </c>
    </row>
    <row r="1441">
      <c r="A1441" t="inlineStr">
        <is>
          <t>o-Xylene</t>
        </is>
      </c>
      <c r="B1441">
        <v>9.546905614217876e-09</v>
      </c>
      <c r="D1441" t="inlineStr">
        <is>
          <t>kilogram</t>
        </is>
      </c>
      <c r="E1441" t="inlineStr">
        <is>
          <t>air::urban air close to ground</t>
        </is>
      </c>
      <c r="F1441" t="inlineStr">
        <is>
          <t>biosphere</t>
        </is>
      </c>
      <c r="I1441">
        <v>0</v>
      </c>
    </row>
    <row r="1442">
      <c r="A1442" t="inlineStr">
        <is>
          <t>exhaust system, for lorry</t>
        </is>
      </c>
      <c r="B1442">
        <v>1.0221610090305123e-05</v>
      </c>
      <c r="C1442" t="inlineStr">
        <is>
          <t>RER</t>
        </is>
      </c>
      <c r="D1442" t="inlineStr">
        <is>
          <t>kilogram</t>
        </is>
      </c>
      <c r="F1442" t="inlineStr">
        <is>
          <t>technosphere</t>
        </is>
      </c>
      <c r="G1442" t="inlineStr">
        <is>
          <t>exhaust system, for lorry</t>
        </is>
      </c>
      <c r="H1442" t="inlineStr">
        <is>
          <t> Energy-use allocation: 98 * 1.428571428571429e-07 / 1.3696472352509872 MJ per person kilometer.</t>
        </is>
      </c>
      <c r="I1442">
        <v>0</v>
      </c>
    </row>
    <row r="1443">
      <c r="A1443" t="inlineStr">
        <is>
          <t>fuel tank, for diesel vehicle</t>
        </is>
      </c>
      <c r="B1443">
        <v>5.434594663791208e-06</v>
      </c>
      <c r="C1443" t="inlineStr">
        <is>
          <t>RER</t>
        </is>
      </c>
      <c r="D1443" t="inlineStr">
        <is>
          <t>kilogram</t>
        </is>
      </c>
      <c r="F1443" t="inlineStr">
        <is>
          <t>technosphere</t>
        </is>
      </c>
      <c r="G1443" t="inlineStr">
        <is>
          <t>fuel tank</t>
        </is>
      </c>
      <c r="H1443" t="inlineStr">
        <is>
          <t> Energy-use allocation: 52.10434289179975 * 1.428571428571429e-07 / 1.3696472352509872 MJ per person kilometer.</t>
        </is>
      </c>
      <c r="I1443">
        <v>0</v>
      </c>
    </row>
    <row r="1444">
      <c r="A1444" t="inlineStr">
        <is>
          <t>gearbox, for lorry</t>
        </is>
      </c>
      <c r="B1444">
        <v>1.6438852140585983e-05</v>
      </c>
      <c r="C1444" t="inlineStr">
        <is>
          <t>RER</t>
        </is>
      </c>
      <c r="D1444" t="inlineStr">
        <is>
          <t>kilogram</t>
        </is>
      </c>
      <c r="F1444" t="inlineStr">
        <is>
          <t>technosphere</t>
        </is>
      </c>
      <c r="G1444" t="inlineStr">
        <is>
          <t>gearbox, for lorry</t>
        </is>
      </c>
      <c r="H1444" t="inlineStr">
        <is>
          <t> Energy-use allocation: 157.6079986953735 * 1.428571428571429e-07 / 1.3696472352509872 MJ per person kilometer.</t>
        </is>
      </c>
      <c r="I1444">
        <v>0</v>
      </c>
    </row>
    <row r="1445">
      <c r="A1445" t="inlineStr">
        <is>
          <t>internal combustion engine, for lorry</t>
        </is>
      </c>
      <c r="B1445">
        <v>7.397930395893994e-05</v>
      </c>
      <c r="C1445" t="inlineStr">
        <is>
          <t>RER</t>
        </is>
      </c>
      <c r="D1445" t="inlineStr">
        <is>
          <t>kilogram</t>
        </is>
      </c>
      <c r="F1445" t="inlineStr">
        <is>
          <t>technosphere</t>
        </is>
      </c>
      <c r="G1445" t="inlineStr">
        <is>
          <t>internal combustion engine, for lorry</t>
        </is>
      </c>
      <c r="H1445" t="inlineStr">
        <is>
          <t> Energy-use allocation: 709.2788439320813 * 1.428571428571429e-07 / 1.3696472352509872 MJ per person kilometer.</t>
        </is>
      </c>
      <c r="I1445">
        <v>0</v>
      </c>
    </row>
    <row r="1446">
      <c r="A1446" t="inlineStr">
        <is>
          <t>power electronics, for lorry</t>
        </is>
      </c>
      <c r="B1446">
        <v>1.9087292311488137e-05</v>
      </c>
      <c r="C1446" t="inlineStr">
        <is>
          <t>RER</t>
        </is>
      </c>
      <c r="D1446" t="inlineStr">
        <is>
          <t>kilogram</t>
        </is>
      </c>
      <c r="F1446" t="inlineStr">
        <is>
          <t>technosphere</t>
        </is>
      </c>
      <c r="G1446" t="inlineStr">
        <is>
          <t>power electronics, for lorry</t>
        </is>
      </c>
      <c r="H1446" t="inlineStr">
        <is>
          <t> Energy-use allocation: 183 * 1.428571428571429e-07 / 1.3696472352509872 MJ per person kilometer.</t>
        </is>
      </c>
      <c r="I1446">
        <v>0</v>
      </c>
    </row>
    <row r="1447">
      <c r="A1447" t="inlineStr">
        <is>
          <t>retarder, for lorry</t>
        </is>
      </c>
      <c r="B1447">
        <v>5.479617380195329e-06</v>
      </c>
      <c r="C1447" t="inlineStr">
        <is>
          <t>RER</t>
        </is>
      </c>
      <c r="D1447" t="inlineStr">
        <is>
          <t>kilogram</t>
        </is>
      </c>
      <c r="F1447" t="inlineStr">
        <is>
          <t>technosphere</t>
        </is>
      </c>
      <c r="G1447" t="inlineStr">
        <is>
          <t>retarder, for lorry</t>
        </is>
      </c>
      <c r="H1447" t="inlineStr">
        <is>
          <t> Energy-use allocation: 52.53599956512451 * 1.428571428571429e-07 / 1.3696472352509872 MJ per person kilometer.</t>
        </is>
      </c>
      <c r="I1447">
        <v>0</v>
      </c>
    </row>
    <row r="1448">
      <c r="A1448" t="inlineStr">
        <is>
          <t>transmission, for lorry</t>
        </is>
      </c>
      <c r="B1448">
        <v>2.3745008647513085e-05</v>
      </c>
      <c r="C1448" t="inlineStr">
        <is>
          <t>RER</t>
        </is>
      </c>
      <c r="D1448" t="inlineStr">
        <is>
          <t>kilogram</t>
        </is>
      </c>
      <c r="F1448" t="inlineStr">
        <is>
          <t>technosphere</t>
        </is>
      </c>
      <c r="G1448" t="inlineStr">
        <is>
          <t>transmission, for lorry</t>
        </is>
      </c>
      <c r="H1448" t="inlineStr">
        <is>
          <t> Energy-use allocation: 227.6559981155395 * 1.428571428571429e-07 / 1.3696472352509872 MJ per person kilometer.</t>
        </is>
      </c>
      <c r="I1448">
        <v>0</v>
      </c>
    </row>
    <row r="1449">
      <c r="A1449" t="inlineStr">
        <is>
          <t>market for refrigerant R134a</t>
        </is>
      </c>
      <c r="B1449">
        <v>2.451100378797656e-06</v>
      </c>
      <c r="C1449" t="inlineStr">
        <is>
          <t>GLO</t>
        </is>
      </c>
      <c r="D1449" t="inlineStr">
        <is>
          <t>kilogram</t>
        </is>
      </c>
      <c r="F1449" t="inlineStr">
        <is>
          <t>technosphere</t>
        </is>
      </c>
      <c r="G1449" t="inlineStr">
        <is>
          <t>refrigerant R134a</t>
        </is>
      </c>
      <c r="I1449">
        <v>0</v>
      </c>
    </row>
    <row r="1450">
      <c r="A1450" t="inlineStr">
        <is>
          <t>treatment of brake wear emissions, lorry</t>
        </is>
      </c>
      <c r="B1450">
        <v>-6.837706254606543e-06</v>
      </c>
      <c r="C1450" t="inlineStr">
        <is>
          <t>RER</t>
        </is>
      </c>
      <c r="D1450" t="inlineStr">
        <is>
          <t>kilogram</t>
        </is>
      </c>
      <c r="F1450" t="inlineStr">
        <is>
          <t>technosphere</t>
        </is>
      </c>
      <c r="G1450" t="inlineStr">
        <is>
          <t>brake wear emissions, lorry</t>
        </is>
      </c>
      <c r="I1450">
        <v>0</v>
      </c>
    </row>
    <row r="1451">
      <c r="A1451" t="inlineStr">
        <is>
          <t>treatment of road wear emissions, lorry</t>
        </is>
      </c>
      <c r="B1451">
        <v>-5.745793792454793e-06</v>
      </c>
      <c r="C1451" t="inlineStr">
        <is>
          <t>RER</t>
        </is>
      </c>
      <c r="D1451" t="inlineStr">
        <is>
          <t>kilogram</t>
        </is>
      </c>
      <c r="F1451" t="inlineStr">
        <is>
          <t>technosphere</t>
        </is>
      </c>
      <c r="G1451" t="inlineStr">
        <is>
          <t>road wear emissions, lorry</t>
        </is>
      </c>
      <c r="I1451">
        <v>0</v>
      </c>
    </row>
    <row r="1452">
      <c r="A1452" t="inlineStr">
        <is>
          <t>treatment of tyre wear emissions, lorry</t>
        </is>
      </c>
      <c r="B1452">
        <v>-5.674001036673323e-06</v>
      </c>
      <c r="C1452" t="inlineStr">
        <is>
          <t>RER</t>
        </is>
      </c>
      <c r="D1452" t="inlineStr">
        <is>
          <t>kilogram</t>
        </is>
      </c>
      <c r="F1452" t="inlineStr">
        <is>
          <t>technosphere</t>
        </is>
      </c>
      <c r="G1452" t="inlineStr">
        <is>
          <t>tyre wear emissions, lorry</t>
        </is>
      </c>
      <c r="I1452">
        <v>0</v>
      </c>
    </row>
    <row r="1453">
      <c r="A1453" t="inlineStr">
        <is>
          <t>Carbon dioxide, non-fossil</t>
        </is>
      </c>
      <c r="B1453">
        <v>0.0732</v>
      </c>
      <c r="D1453" t="inlineStr">
        <is>
          <t>kilogram</t>
        </is>
      </c>
      <c r="E1453" t="inlineStr">
        <is>
          <t>air::urban air close to ground</t>
        </is>
      </c>
      <c r="F1453" t="inlineStr">
        <is>
          <t>biosphere</t>
        </is>
      </c>
      <c r="I1453">
        <v>0</v>
      </c>
    </row>
    <row r="1454"/>
    <row r="1455">
      <c r="A1455" t="inlineStr">
        <is>
          <t>Activity</t>
        </is>
      </c>
      <c r="B1455" t="inlineStr">
        <is>
          <t>compressed gas, burned in single deck coach or urban bus</t>
        </is>
      </c>
    </row>
    <row r="1456">
      <c r="A1456" t="inlineStr">
        <is>
          <t>comment</t>
        </is>
      </c>
      <c r="B1456"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457">
      <c r="A1457" t="inlineStr">
        <is>
          <t>description</t>
        </is>
      </c>
      <c r="B145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458">
      <c r="A1458" t="inlineStr">
        <is>
          <t>location</t>
        </is>
      </c>
      <c r="B1458" t="inlineStr">
        <is>
          <t>RER</t>
        </is>
      </c>
    </row>
    <row r="1459">
      <c r="A1459" t="inlineStr">
        <is>
          <t>production amount</t>
        </is>
      </c>
      <c r="B1459">
        <v>1</v>
      </c>
    </row>
    <row r="1460">
      <c r="A1460" t="inlineStr">
        <is>
          <t>reference product</t>
        </is>
      </c>
      <c r="B1460" t="inlineStr">
        <is>
          <t>heat</t>
        </is>
      </c>
    </row>
    <row r="1461">
      <c r="A1461" t="inlineStr">
        <is>
          <t>source</t>
        </is>
      </c>
      <c r="B1461" t="inlineStr">
        <is>
          <t>Sacchi, R., Bauer, C., and Cox, B. Does size matter? The influence of size, load factor, range autonomy and application type on the Life Cycle Assessment of current and future trucks. 2021. Environmental Science and Technology.</t>
        </is>
      </c>
    </row>
    <row r="1462">
      <c r="A1462" t="inlineStr">
        <is>
          <t>type</t>
        </is>
      </c>
      <c r="B1462" t="inlineStr">
        <is>
          <t>process</t>
        </is>
      </c>
    </row>
    <row r="1463">
      <c r="A1463" t="inlineStr">
        <is>
          <t>unit</t>
        </is>
      </c>
      <c r="B1463" t="inlineStr">
        <is>
          <t>megajoule</t>
        </is>
      </c>
    </row>
    <row r="1464">
      <c r="A1464" t="inlineStr">
        <is>
          <t>Power, mean</t>
        </is>
      </c>
      <c r="B1464">
        <v>242</v>
      </c>
    </row>
    <row r="1465">
      <c r="A1465" t="inlineStr">
        <is>
          <t>Power, min</t>
        </is>
      </c>
      <c r="B1465">
        <v>128</v>
      </c>
    </row>
    <row r="1466">
      <c r="A1466" t="inlineStr">
        <is>
          <t>Power, max</t>
        </is>
      </c>
      <c r="B1466">
        <v>328</v>
      </c>
    </row>
    <row r="1467">
      <c r="A1467" t="inlineStr">
        <is>
          <t>Lifetime, mean</t>
        </is>
      </c>
      <c r="B1467">
        <v>700000</v>
      </c>
    </row>
    <row r="1468">
      <c r="A1468" t="inlineStr">
        <is>
          <t>Lifetime, min</t>
        </is>
      </c>
      <c r="B1468">
        <v>500000</v>
      </c>
    </row>
    <row r="1469">
      <c r="A1469" t="inlineStr">
        <is>
          <t>Lifetime, max</t>
        </is>
      </c>
      <c r="B1469">
        <v>1000000</v>
      </c>
    </row>
    <row r="1470">
      <c r="A1470" t="inlineStr">
        <is>
          <t>Energy use, mean</t>
        </is>
      </c>
      <c r="B1470">
        <v>8650</v>
      </c>
    </row>
    <row r="1471">
      <c r="A1471" t="inlineStr">
        <is>
          <t>Energy use, min</t>
        </is>
      </c>
      <c r="B1471">
        <v>5600</v>
      </c>
    </row>
    <row r="1472">
      <c r="A1472" t="inlineStr">
        <is>
          <t>Energy use, max</t>
        </is>
      </c>
      <c r="B1472">
        <v>11410</v>
      </c>
    </row>
    <row r="1473">
      <c r="A1473" t="inlineStr">
        <is>
          <t>Electric motor, mean</t>
        </is>
      </c>
      <c r="B1473">
        <v>0</v>
      </c>
    </row>
    <row r="1474">
      <c r="A1474" t="inlineStr">
        <is>
          <t>Electric motor, min</t>
        </is>
      </c>
      <c r="B1474">
        <v>0</v>
      </c>
    </row>
    <row r="1475">
      <c r="A1475" t="inlineStr">
        <is>
          <t>Electric motor, max</t>
        </is>
      </c>
      <c r="B1475">
        <v>0</v>
      </c>
    </row>
    <row r="1476">
      <c r="A1476" t="inlineStr">
        <is>
          <t>Combustion engine, mean</t>
        </is>
      </c>
      <c r="B1476">
        <v>872</v>
      </c>
    </row>
    <row r="1477">
      <c r="A1477" t="inlineStr">
        <is>
          <t>Combustion engine, min</t>
        </is>
      </c>
      <c r="B1477">
        <v>540</v>
      </c>
    </row>
    <row r="1478">
      <c r="A1478" t="inlineStr">
        <is>
          <t>Combustion engine, max</t>
        </is>
      </c>
      <c r="B1478">
        <v>1120</v>
      </c>
    </row>
    <row r="1479">
      <c r="A1479" t="inlineStr">
        <is>
          <t>Fuel tank, mean</t>
        </is>
      </c>
      <c r="B1479">
        <v>142</v>
      </c>
    </row>
    <row r="1480">
      <c r="A1480" t="inlineStr">
        <is>
          <t>Fuel tank, min</t>
        </is>
      </c>
      <c r="B1480">
        <v>77</v>
      </c>
    </row>
    <row r="1481">
      <c r="A1481" t="inlineStr">
        <is>
          <t>Fuel tank, max</t>
        </is>
      </c>
      <c r="B1481">
        <v>154</v>
      </c>
    </row>
    <row r="1482">
      <c r="A1482" t="inlineStr">
        <is>
          <t>Battery capacity, mean</t>
        </is>
      </c>
      <c r="B1482">
        <v>0</v>
      </c>
    </row>
    <row r="1483">
      <c r="A1483" t="inlineStr">
        <is>
          <t>Battery capacity, min</t>
        </is>
      </c>
      <c r="B1483">
        <v>0</v>
      </c>
    </row>
    <row r="1484">
      <c r="A1484" t="inlineStr">
        <is>
          <t>Battery capacity, max</t>
        </is>
      </c>
      <c r="B1484">
        <v>0</v>
      </c>
    </row>
    <row r="1485">
      <c r="A1485" t="inlineStr">
        <is>
          <t>Battery replacement, mean</t>
        </is>
      </c>
      <c r="B1485">
        <v>0</v>
      </c>
    </row>
    <row r="1486">
      <c r="A1486" t="inlineStr">
        <is>
          <t>Battery replacement, min</t>
        </is>
      </c>
      <c r="B1486">
        <v>0</v>
      </c>
    </row>
    <row r="1487">
      <c r="A1487" t="inlineStr">
        <is>
          <t>Battery replacement, max</t>
        </is>
      </c>
      <c r="B1487">
        <v>0</v>
      </c>
    </row>
    <row r="1488">
      <c r="A1488" t="inlineStr">
        <is>
          <t>Fuel cell system, mean</t>
        </is>
      </c>
      <c r="B1488">
        <v>0</v>
      </c>
    </row>
    <row r="1489">
      <c r="A1489" t="inlineStr">
        <is>
          <t>Fuel cell system, min</t>
        </is>
      </c>
      <c r="B1489">
        <v>0</v>
      </c>
    </row>
    <row r="1490">
      <c r="A1490" t="inlineStr">
        <is>
          <t>Fuel cell system, max</t>
        </is>
      </c>
      <c r="B1490">
        <v>0</v>
      </c>
    </row>
    <row r="1491">
      <c r="A1491" t="inlineStr">
        <is>
          <t>Fuel cell stack replacement, mean</t>
        </is>
      </c>
      <c r="B1491">
        <v>0</v>
      </c>
    </row>
    <row r="1492">
      <c r="A1492" t="inlineStr">
        <is>
          <t>Fuel cell replacement, min</t>
        </is>
      </c>
      <c r="B1492">
        <v>0</v>
      </c>
    </row>
    <row r="1493">
      <c r="A1493" t="inlineStr">
        <is>
          <t>Fuel cell replacement, max</t>
        </is>
      </c>
      <c r="B1493">
        <v>0</v>
      </c>
    </row>
    <row r="1494">
      <c r="A1494" t="inlineStr">
        <is>
          <t>Onboard charger mass</t>
        </is>
      </c>
      <c r="B1494">
        <v>0</v>
      </c>
    </row>
    <row r="1495">
      <c r="A1495" t="inlineStr">
        <is>
          <t>Controller mass</t>
        </is>
      </c>
      <c r="B1495">
        <v>0</v>
      </c>
    </row>
    <row r="1496">
      <c r="A1496" t="inlineStr">
        <is>
          <t>Converter mass</t>
        </is>
      </c>
      <c r="B1496">
        <v>0</v>
      </c>
    </row>
    <row r="1497">
      <c r="A1497" t="inlineStr">
        <is>
          <t>Electrical powertrain mass</t>
        </is>
      </c>
      <c r="B1497">
        <v>0</v>
      </c>
    </row>
    <row r="1498">
      <c r="A1498" t="inlineStr">
        <is>
          <t>Inverter mass</t>
        </is>
      </c>
      <c r="B1498">
        <v>0</v>
      </c>
    </row>
    <row r="1499">
      <c r="A1499" t="inlineStr">
        <is>
          <t>NOx</t>
        </is>
      </c>
      <c r="B1499">
        <v>0.030144677</v>
      </c>
    </row>
    <row r="1500">
      <c r="A1500" t="inlineStr">
        <is>
          <t>PM 2.5</t>
        </is>
      </c>
      <c r="B1500">
        <v>0.005563615</v>
      </c>
    </row>
    <row r="1501">
      <c r="A1501" t="inlineStr">
        <is>
          <t>energy use source</t>
        </is>
      </c>
      <c r="B1501"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false}</t>
        </is>
      </c>
    </row>
    <row r="1502">
      <c r="A1502" t="inlineStr">
        <is>
          <t>Exchanges</t>
        </is>
      </c>
    </row>
    <row r="1503">
      <c r="A1503" t="inlineStr">
        <is>
          <t>name</t>
        </is>
      </c>
      <c r="B1503" t="inlineStr">
        <is>
          <t>amount</t>
        </is>
      </c>
      <c r="C1503" t="inlineStr">
        <is>
          <t>location</t>
        </is>
      </c>
      <c r="D1503" t="inlineStr">
        <is>
          <t>unit</t>
        </is>
      </c>
      <c r="E1503" t="inlineStr">
        <is>
          <t>categories</t>
        </is>
      </c>
      <c r="F1503" t="inlineStr">
        <is>
          <t>type</t>
        </is>
      </c>
      <c r="G1503" t="inlineStr">
        <is>
          <t>reference product</t>
        </is>
      </c>
      <c r="H1503" t="inlineStr">
        <is>
          <t>comment</t>
        </is>
      </c>
      <c r="I1503" t="inlineStr">
        <is>
          <t>uncertainty type</t>
        </is>
      </c>
    </row>
    <row r="1504">
      <c r="A1504" t="inlineStr">
        <is>
          <t>compressed gas, burned in single deck coach or urban bus</t>
        </is>
      </c>
      <c r="B1504">
        <v>1.0</v>
      </c>
      <c r="C1504" t="inlineStr">
        <is>
          <t>RER</t>
        </is>
      </c>
      <c r="D1504" t="inlineStr">
        <is>
          <t>megajoule</t>
        </is>
      </c>
      <c r="F1504" t="inlineStr">
        <is>
          <t>production</t>
        </is>
      </c>
      <c r="G1504" t="inlineStr">
        <is>
          <t>heat</t>
        </is>
      </c>
      <c r="I1504">
        <v>0</v>
      </c>
    </row>
    <row r="1505">
      <c r="A1505" t="inlineStr">
        <is>
          <t>market for natural gas, medium pressure, vehicle grade</t>
        </is>
      </c>
      <c r="B1505">
        <v>0.02150537634408602</v>
      </c>
      <c r="C1505" t="inlineStr">
        <is>
          <t>GLO</t>
        </is>
      </c>
      <c r="D1505" t="inlineStr">
        <is>
          <t>kilogram</t>
        </is>
      </c>
      <c r="F1505" t="inlineStr">
        <is>
          <t>technosphere</t>
        </is>
      </c>
      <c r="G1505" t="inlineStr">
        <is>
          <t>natural gas, medium pressure, vehicle grade</t>
        </is>
      </c>
      <c r="I1505">
        <v>0</v>
      </c>
    </row>
    <row r="1506">
      <c r="A1506" t="inlineStr">
        <is>
          <t>Acetaldehyde</t>
        </is>
      </c>
      <c r="B1506">
        <v>1.109751604497317e-07</v>
      </c>
      <c r="D1506" t="inlineStr">
        <is>
          <t>kilogram</t>
        </is>
      </c>
      <c r="E1506" t="inlineStr">
        <is>
          <t>air::urban air close to ground</t>
        </is>
      </c>
      <c r="F1506" t="inlineStr">
        <is>
          <t>biosphere</t>
        </is>
      </c>
      <c r="I1506">
        <v>0</v>
      </c>
    </row>
    <row r="1507">
      <c r="A1507" t="inlineStr">
        <is>
          <t>Acrolein</t>
        </is>
      </c>
      <c r="B1507">
        <v>4.298162669497268e-08</v>
      </c>
      <c r="D1507" t="inlineStr">
        <is>
          <t>kilogram</t>
        </is>
      </c>
      <c r="E1507" t="inlineStr">
        <is>
          <t>air::urban air close to ground</t>
        </is>
      </c>
      <c r="F1507" t="inlineStr">
        <is>
          <t>biosphere</t>
        </is>
      </c>
      <c r="I1507">
        <v>0</v>
      </c>
    </row>
    <row r="1508">
      <c r="A1508" t="inlineStr">
        <is>
          <t>Ammonia</t>
        </is>
      </c>
      <c r="B1508">
        <v>1.0745660405694292e-06</v>
      </c>
      <c r="D1508" t="inlineStr">
        <is>
          <t>kilogram</t>
        </is>
      </c>
      <c r="E1508" t="inlineStr">
        <is>
          <t>air::urban air close to ground</t>
        </is>
      </c>
      <c r="F1508" t="inlineStr">
        <is>
          <t>biosphere</t>
        </is>
      </c>
      <c r="I1508">
        <v>0</v>
      </c>
    </row>
    <row r="1509">
      <c r="A1509" t="inlineStr">
        <is>
          <t>Benzaldehyde</t>
        </is>
      </c>
      <c r="B1509">
        <v>3.32682647300071e-08</v>
      </c>
      <c r="D1509" t="inlineStr">
        <is>
          <t>kilogram</t>
        </is>
      </c>
      <c r="E1509" t="inlineStr">
        <is>
          <t>air::urban air close to ground</t>
        </is>
      </c>
      <c r="F1509" t="inlineStr">
        <is>
          <t>biosphere</t>
        </is>
      </c>
      <c r="I1509">
        <v>0</v>
      </c>
    </row>
    <row r="1510">
      <c r="A1510" t="inlineStr">
        <is>
          <t>Butane</t>
        </is>
      </c>
      <c r="B1510">
        <v>3.6425107368620904e-09</v>
      </c>
      <c r="D1510" t="inlineStr">
        <is>
          <t>kilogram</t>
        </is>
      </c>
      <c r="E1510" t="inlineStr">
        <is>
          <t>air::urban air close to ground</t>
        </is>
      </c>
      <c r="F1510" t="inlineStr">
        <is>
          <t>biosphere</t>
        </is>
      </c>
      <c r="I1510">
        <v>0</v>
      </c>
    </row>
    <row r="1511">
      <c r="A1511" t="inlineStr">
        <is>
          <t>Carbon dioxide, fossil</t>
        </is>
      </c>
      <c r="B1511">
        <v>0.05740478943351019</v>
      </c>
      <c r="D1511" t="inlineStr">
        <is>
          <t>kilogram</t>
        </is>
      </c>
      <c r="E1511" t="inlineStr">
        <is>
          <t>air::unspecified</t>
        </is>
      </c>
      <c r="F1511" t="inlineStr">
        <is>
          <t>biosphere</t>
        </is>
      </c>
      <c r="I1511">
        <v>0</v>
      </c>
    </row>
    <row r="1512">
      <c r="A1512" t="inlineStr">
        <is>
          <t>Carbon monoxide, fossil</t>
        </is>
      </c>
      <c r="B1512">
        <v>5.139999781097948e-05</v>
      </c>
      <c r="D1512" t="inlineStr">
        <is>
          <t>kilogram</t>
        </is>
      </c>
      <c r="E1512" t="inlineStr">
        <is>
          <t>air::urban air close to ground</t>
        </is>
      </c>
      <c r="F1512" t="inlineStr">
        <is>
          <t>biosphere</t>
        </is>
      </c>
      <c r="I1512">
        <v>0</v>
      </c>
    </row>
    <row r="1513">
      <c r="A1513" t="inlineStr">
        <is>
          <t>Dinitrogen monoxide</t>
        </is>
      </c>
      <c r="B1513">
        <v>2.4283404912413948e-06</v>
      </c>
      <c r="D1513" t="inlineStr">
        <is>
          <t>kilogram</t>
        </is>
      </c>
      <c r="E1513" t="inlineStr">
        <is>
          <t>air::urban air close to ground</t>
        </is>
      </c>
      <c r="F1513" t="inlineStr">
        <is>
          <t>biosphere</t>
        </is>
      </c>
      <c r="I1513">
        <v>0</v>
      </c>
    </row>
    <row r="1514">
      <c r="A1514" t="inlineStr">
        <is>
          <t>Ethane</t>
        </is>
      </c>
      <c r="B1514">
        <v>7.285021473724182e-10</v>
      </c>
      <c r="D1514" t="inlineStr">
        <is>
          <t>kilogram</t>
        </is>
      </c>
      <c r="E1514" t="inlineStr">
        <is>
          <t>air::urban air close to ground</t>
        </is>
      </c>
      <c r="F1514" t="inlineStr">
        <is>
          <t>biosphere</t>
        </is>
      </c>
      <c r="I1514">
        <v>0</v>
      </c>
    </row>
    <row r="1515">
      <c r="A1515" t="inlineStr">
        <is>
          <t>1,1,1,2-Tetrafluoroethane</t>
        </is>
      </c>
      <c r="B1515">
        <v>1.664477823027126e-06</v>
      </c>
      <c r="D1515" t="inlineStr">
        <is>
          <t>kilogram</t>
        </is>
      </c>
      <c r="E1515" t="inlineStr">
        <is>
          <t>air::unspecified</t>
        </is>
      </c>
      <c r="F1515" t="inlineStr">
        <is>
          <t>biosphere</t>
        </is>
      </c>
      <c r="I1515">
        <v>0</v>
      </c>
    </row>
    <row r="1516">
      <c r="A1516" t="inlineStr">
        <is>
          <t>Formaldehyde</t>
        </is>
      </c>
      <c r="B1516">
        <v>2.0398060126427713e-07</v>
      </c>
      <c r="D1516" t="inlineStr">
        <is>
          <t>kilogram</t>
        </is>
      </c>
      <c r="E1516" t="inlineStr">
        <is>
          <t>air::urban air close to ground</t>
        </is>
      </c>
      <c r="F1516" t="inlineStr">
        <is>
          <t>biosphere</t>
        </is>
      </c>
      <c r="I1516">
        <v>0</v>
      </c>
    </row>
    <row r="1517">
      <c r="A1517" t="inlineStr">
        <is>
          <t>Heptane</t>
        </is>
      </c>
      <c r="B1517">
        <v>7.285021473724182e-09</v>
      </c>
      <c r="D1517" t="inlineStr">
        <is>
          <t>kilogram</t>
        </is>
      </c>
      <c r="E1517" t="inlineStr">
        <is>
          <t>air::urban air close to ground</t>
        </is>
      </c>
      <c r="F1517" t="inlineStr">
        <is>
          <t>biosphere</t>
        </is>
      </c>
      <c r="I1517">
        <v>0</v>
      </c>
    </row>
    <row r="1518">
      <c r="A1518" t="inlineStr">
        <is>
          <t>Hydrocarbons, chlorinated</t>
        </is>
      </c>
      <c r="B1518">
        <v>2.425180577139861e-05</v>
      </c>
      <c r="D1518" t="inlineStr">
        <is>
          <t>kilogram</t>
        </is>
      </c>
      <c r="E1518" t="inlineStr">
        <is>
          <t>air::urban air close to ground</t>
        </is>
      </c>
      <c r="F1518" t="inlineStr">
        <is>
          <t>biosphere</t>
        </is>
      </c>
      <c r="I1518">
        <v>0</v>
      </c>
    </row>
    <row r="1519">
      <c r="A1519" t="inlineStr">
        <is>
          <t>Methane, fossil</t>
        </is>
      </c>
      <c r="B1519">
        <v>2.2311661663762063e-05</v>
      </c>
      <c r="D1519" t="inlineStr">
        <is>
          <t>kilogram</t>
        </is>
      </c>
      <c r="E1519" t="inlineStr">
        <is>
          <t>air::urban air close to ground</t>
        </is>
      </c>
      <c r="F1519" t="inlineStr">
        <is>
          <t>biosphere</t>
        </is>
      </c>
      <c r="I1519">
        <v>0</v>
      </c>
    </row>
    <row r="1520">
      <c r="A1520" t="inlineStr">
        <is>
          <t>Methane, fossil</t>
        </is>
      </c>
      <c r="B1520">
        <v>8.567879426879306e-05</v>
      </c>
      <c r="D1520" t="inlineStr">
        <is>
          <t>kilogram</t>
        </is>
      </c>
      <c r="E1520" t="inlineStr">
        <is>
          <t>air::unspecified</t>
        </is>
      </c>
      <c r="F1520" t="inlineStr">
        <is>
          <t>biosphere</t>
        </is>
      </c>
      <c r="I1520">
        <v>0</v>
      </c>
    </row>
    <row r="1521">
      <c r="A1521" t="inlineStr">
        <is>
          <t>NMVOC, non-methane volatile organic compounds</t>
        </is>
      </c>
      <c r="B1521">
        <v>1.5773374046907533e-06</v>
      </c>
      <c r="D1521" t="inlineStr">
        <is>
          <t>kilogram</t>
        </is>
      </c>
      <c r="E1521" t="inlineStr">
        <is>
          <t>air::urban air close to ground</t>
        </is>
      </c>
      <c r="F1521" t="inlineStr">
        <is>
          <t>biosphere</t>
        </is>
      </c>
      <c r="I1521">
        <v>0</v>
      </c>
    </row>
    <row r="1522">
      <c r="A1522" t="inlineStr">
        <is>
          <t>Nitrogen oxides</t>
        </is>
      </c>
      <c r="B1522">
        <v>9.347478057632093e-05</v>
      </c>
      <c r="D1522" t="inlineStr">
        <is>
          <t>kilogram</t>
        </is>
      </c>
      <c r="E1522" t="inlineStr">
        <is>
          <t>air::urban air close to ground</t>
        </is>
      </c>
      <c r="F1522" t="inlineStr">
        <is>
          <t>biosphere</t>
        </is>
      </c>
      <c r="I1522">
        <v>0</v>
      </c>
    </row>
    <row r="1523">
      <c r="A1523" t="inlineStr">
        <is>
          <t>Particulate Matter, &lt; 2.5 um</t>
        </is>
      </c>
      <c r="B1523">
        <v>4.0106032285058246e-07</v>
      </c>
      <c r="D1523" t="inlineStr">
        <is>
          <t>kilogram</t>
        </is>
      </c>
      <c r="E1523" t="inlineStr">
        <is>
          <t>air::urban air close to ground</t>
        </is>
      </c>
      <c r="F1523" t="inlineStr">
        <is>
          <t>biosphere</t>
        </is>
      </c>
      <c r="I1523">
        <v>0</v>
      </c>
    </row>
    <row r="1524">
      <c r="A1524" t="inlineStr">
        <is>
          <t>Pentane</t>
        </is>
      </c>
      <c r="B1524">
        <v>1.4570042947448357e-09</v>
      </c>
      <c r="D1524" t="inlineStr">
        <is>
          <t>kilogram</t>
        </is>
      </c>
      <c r="E1524" t="inlineStr">
        <is>
          <t>air::urban air close to ground</t>
        </is>
      </c>
      <c r="F1524" t="inlineStr">
        <is>
          <t>biosphere</t>
        </is>
      </c>
      <c r="I1524">
        <v>0</v>
      </c>
    </row>
    <row r="1525">
      <c r="A1525" t="inlineStr">
        <is>
          <t>Propane</t>
        </is>
      </c>
      <c r="B1525">
        <v>2.428340491241394e-09</v>
      </c>
      <c r="D1525" t="inlineStr">
        <is>
          <t>kilogram</t>
        </is>
      </c>
      <c r="E1525" t="inlineStr">
        <is>
          <t>air::urban air close to ground</t>
        </is>
      </c>
      <c r="F1525" t="inlineStr">
        <is>
          <t>biosphere</t>
        </is>
      </c>
      <c r="I1525">
        <v>0</v>
      </c>
    </row>
    <row r="1526">
      <c r="A1526" t="inlineStr">
        <is>
          <t>Styrene</t>
        </is>
      </c>
      <c r="B1526">
        <v>1.3598706750951805e-08</v>
      </c>
      <c r="D1526" t="inlineStr">
        <is>
          <t>kilogram</t>
        </is>
      </c>
      <c r="E1526" t="inlineStr">
        <is>
          <t>air::urban air close to ground</t>
        </is>
      </c>
      <c r="F1526" t="inlineStr">
        <is>
          <t>biosphere</t>
        </is>
      </c>
      <c r="I1526">
        <v>0</v>
      </c>
    </row>
    <row r="1527">
      <c r="A1527" t="inlineStr">
        <is>
          <t>Toluene</t>
        </is>
      </c>
      <c r="B1527">
        <v>2.4283404912413937e-10</v>
      </c>
      <c r="D1527" t="inlineStr">
        <is>
          <t>kilogram</t>
        </is>
      </c>
      <c r="E1527" t="inlineStr">
        <is>
          <t>air::urban air close to ground</t>
        </is>
      </c>
      <c r="F1527" t="inlineStr">
        <is>
          <t>biosphere</t>
        </is>
      </c>
      <c r="I1527">
        <v>0</v>
      </c>
    </row>
    <row r="1528">
      <c r="A1528" t="inlineStr">
        <is>
          <t>m-Xylene</t>
        </is>
      </c>
      <c r="B1528">
        <v>2.379773681416566e-08</v>
      </c>
      <c r="D1528" t="inlineStr">
        <is>
          <t>kilogram</t>
        </is>
      </c>
      <c r="E1528" t="inlineStr">
        <is>
          <t>air::urban air close to ground</t>
        </is>
      </c>
      <c r="F1528" t="inlineStr">
        <is>
          <t>biosphere</t>
        </is>
      </c>
      <c r="I1528">
        <v>0</v>
      </c>
    </row>
    <row r="1529">
      <c r="A1529" t="inlineStr">
        <is>
          <t>o-Xylene</t>
        </is>
      </c>
      <c r="B1529">
        <v>9.713361964965576e-09</v>
      </c>
      <c r="D1529" t="inlineStr">
        <is>
          <t>kilogram</t>
        </is>
      </c>
      <c r="E1529" t="inlineStr">
        <is>
          <t>air::urban air close to ground</t>
        </is>
      </c>
      <c r="F1529" t="inlineStr">
        <is>
          <t>biosphere</t>
        </is>
      </c>
      <c r="I1529">
        <v>0</v>
      </c>
    </row>
    <row r="1530">
      <c r="A1530" t="inlineStr">
        <is>
          <t>fuel tank assembly, compressed natural gas, 200 bar</t>
        </is>
      </c>
      <c r="B1530">
        <v>1.6089533395676763e-05</v>
      </c>
      <c r="C1530" t="inlineStr">
        <is>
          <t>RER</t>
        </is>
      </c>
      <c r="D1530" t="inlineStr">
        <is>
          <t>kilogram</t>
        </is>
      </c>
      <c r="F1530" t="inlineStr">
        <is>
          <t>technosphere</t>
        </is>
      </c>
      <c r="G1530" t="inlineStr">
        <is>
          <t>fuel tank, compressed natural gas, 200 bar</t>
        </is>
      </c>
      <c r="H1530" t="inlineStr">
        <is>
          <t> Energy-use allocation: 154.66264 * 1.428571428571429e-07 / 1.3732320455657014 MJ per person kilometer.</t>
        </is>
      </c>
      <c r="I1530">
        <v>0</v>
      </c>
    </row>
    <row r="1531">
      <c r="A1531" t="inlineStr">
        <is>
          <t>exhaust system, for lorry</t>
        </is>
      </c>
      <c r="B1531">
        <v>1.019492666604115e-05</v>
      </c>
      <c r="C1531" t="inlineStr">
        <is>
          <t>RER</t>
        </is>
      </c>
      <c r="D1531" t="inlineStr">
        <is>
          <t>kilogram</t>
        </is>
      </c>
      <c r="F1531" t="inlineStr">
        <is>
          <t>technosphere</t>
        </is>
      </c>
      <c r="G1531" t="inlineStr">
        <is>
          <t>exhaust system, for lorry</t>
        </is>
      </c>
      <c r="H1531" t="inlineStr">
        <is>
          <t> Energy-use allocation: 98 * 1.428571428571429e-07 / 1.3732320455657014 MJ per person kilometer.</t>
        </is>
      </c>
      <c r="I1531">
        <v>0</v>
      </c>
    </row>
    <row r="1532">
      <c r="A1532" t="inlineStr">
        <is>
          <t>gearbox, for lorry</t>
        </is>
      </c>
      <c r="B1532">
        <v>1.639593866000859e-05</v>
      </c>
      <c r="C1532" t="inlineStr">
        <is>
          <t>RER</t>
        </is>
      </c>
      <c r="D1532" t="inlineStr">
        <is>
          <t>kilogram</t>
        </is>
      </c>
      <c r="F1532" t="inlineStr">
        <is>
          <t>technosphere</t>
        </is>
      </c>
      <c r="G1532" t="inlineStr">
        <is>
          <t>gearbox, for lorry</t>
        </is>
      </c>
      <c r="H1532" t="inlineStr">
        <is>
          <t> Energy-use allocation: 157.6079986953735 * 1.428571428571429e-07 / 1.3732320455657014 MJ per person kilometer.</t>
        </is>
      </c>
      <c r="I1532">
        <v>0</v>
      </c>
    </row>
    <row r="1533">
      <c r="A1533" t="inlineStr">
        <is>
          <t>internal combustion engine, for lorry</t>
        </is>
      </c>
      <c r="B1533">
        <v>7.877413170343471e-05</v>
      </c>
      <c r="C1533" t="inlineStr">
        <is>
          <t>RER</t>
        </is>
      </c>
      <c r="D1533" t="inlineStr">
        <is>
          <t>kilogram</t>
        </is>
      </c>
      <c r="F1533" t="inlineStr">
        <is>
          <t>technosphere</t>
        </is>
      </c>
      <c r="G1533" t="inlineStr">
        <is>
          <t>internal combustion engine, for lorry</t>
        </is>
      </c>
      <c r="H1533" t="inlineStr">
        <is>
          <t> Energy-use allocation: 757.2261341173871 * 1.428571428571429e-07 / 1.3732320455657014 MJ per person kilometer.</t>
        </is>
      </c>
      <c r="I1533">
        <v>0</v>
      </c>
    </row>
    <row r="1534">
      <c r="A1534" t="inlineStr">
        <is>
          <t>power electronics, for lorry</t>
        </is>
      </c>
      <c r="B1534">
        <v>1.903746510087276e-05</v>
      </c>
      <c r="C1534" t="inlineStr">
        <is>
          <t>RER</t>
        </is>
      </c>
      <c r="D1534" t="inlineStr">
        <is>
          <t>kilogram</t>
        </is>
      </c>
      <c r="F1534" t="inlineStr">
        <is>
          <t>technosphere</t>
        </is>
      </c>
      <c r="G1534" t="inlineStr">
        <is>
          <t>power electronics, for lorry</t>
        </is>
      </c>
      <c r="H1534" t="inlineStr">
        <is>
          <t> Energy-use allocation: 183 * 1.428571428571429e-07 / 1.3732320455657014 MJ per person kilometer.</t>
        </is>
      </c>
      <c r="I1534">
        <v>0</v>
      </c>
    </row>
    <row r="1535">
      <c r="A1535" t="inlineStr">
        <is>
          <t>retarder, for lorry</t>
        </is>
      </c>
      <c r="B1535">
        <v>5.465312886669532e-06</v>
      </c>
      <c r="C1535" t="inlineStr">
        <is>
          <t>RER</t>
        </is>
      </c>
      <c r="D1535" t="inlineStr">
        <is>
          <t>kilogram</t>
        </is>
      </c>
      <c r="F1535" t="inlineStr">
        <is>
          <t>technosphere</t>
        </is>
      </c>
      <c r="G1535" t="inlineStr">
        <is>
          <t>retarder, for lorry</t>
        </is>
      </c>
      <c r="H1535" t="inlineStr">
        <is>
          <t> Energy-use allocation: 52.53599956512451 * 1.428571428571429e-07 / 1.3732320455657014 MJ per person kilometer.</t>
        </is>
      </c>
      <c r="I1535">
        <v>0</v>
      </c>
    </row>
    <row r="1536">
      <c r="A1536" t="inlineStr">
        <is>
          <t>transmission, for lorry</t>
        </is>
      </c>
      <c r="B1536">
        <v>2.3683022508901298e-05</v>
      </c>
      <c r="C1536" t="inlineStr">
        <is>
          <t>RER</t>
        </is>
      </c>
      <c r="D1536" t="inlineStr">
        <is>
          <t>kilogram</t>
        </is>
      </c>
      <c r="F1536" t="inlineStr">
        <is>
          <t>technosphere</t>
        </is>
      </c>
      <c r="G1536" t="inlineStr">
        <is>
          <t>transmission, for lorry</t>
        </is>
      </c>
      <c r="H1536" t="inlineStr">
        <is>
          <t> Energy-use allocation: 227.6559981155395 * 1.428571428571429e-07 / 1.3732320455657014 MJ per person kilometer.</t>
        </is>
      </c>
      <c r="I1536">
        <v>0</v>
      </c>
    </row>
    <row r="1537">
      <c r="A1537" t="inlineStr">
        <is>
          <t>market for refrigerant R134a</t>
        </is>
      </c>
      <c r="B1537">
        <v>2.4447018025710913e-06</v>
      </c>
      <c r="C1537" t="inlineStr">
        <is>
          <t>GLO</t>
        </is>
      </c>
      <c r="D1537" t="inlineStr">
        <is>
          <t>kilogram</t>
        </is>
      </c>
      <c r="F1537" t="inlineStr">
        <is>
          <t>technosphere</t>
        </is>
      </c>
      <c r="G1537" t="inlineStr">
        <is>
          <t>refrigerant R134a</t>
        </is>
      </c>
      <c r="I1537">
        <v>0</v>
      </c>
    </row>
    <row r="1538">
      <c r="A1538" t="inlineStr">
        <is>
          <t>treatment of brake wear emissions, lorry</t>
        </is>
      </c>
      <c r="B1538">
        <v>-6.869912841974368e-06</v>
      </c>
      <c r="C1538" t="inlineStr">
        <is>
          <t>RER</t>
        </is>
      </c>
      <c r="D1538" t="inlineStr">
        <is>
          <t>kilogram</t>
        </is>
      </c>
      <c r="F1538" t="inlineStr">
        <is>
          <t>technosphere</t>
        </is>
      </c>
      <c r="G1538" t="inlineStr">
        <is>
          <t>brake wear emissions, lorry</t>
        </is>
      </c>
      <c r="I1538">
        <v>0</v>
      </c>
    </row>
    <row r="1539">
      <c r="A1539" t="inlineStr">
        <is>
          <t>treatment of road wear emissions, lorry</t>
        </is>
      </c>
      <c r="B1539">
        <v>-5.779482396303892e-06</v>
      </c>
      <c r="C1539" t="inlineStr">
        <is>
          <t>RER</t>
        </is>
      </c>
      <c r="D1539" t="inlineStr">
        <is>
          <t>kilogram</t>
        </is>
      </c>
      <c r="F1539" t="inlineStr">
        <is>
          <t>technosphere</t>
        </is>
      </c>
      <c r="G1539" t="inlineStr">
        <is>
          <t>road wear emissions, lorry</t>
        </is>
      </c>
      <c r="I1539">
        <v>0</v>
      </c>
    </row>
    <row r="1540">
      <c r="A1540" t="inlineStr">
        <is>
          <t>treatment of tyre wear emissions, lorry</t>
        </is>
      </c>
      <c r="B1540">
        <v>-5.699427716395153e-06</v>
      </c>
      <c r="C1540" t="inlineStr">
        <is>
          <t>RER</t>
        </is>
      </c>
      <c r="D1540" t="inlineStr">
        <is>
          <t>kilogram</t>
        </is>
      </c>
      <c r="F1540" t="inlineStr">
        <is>
          <t>technosphere</t>
        </is>
      </c>
      <c r="G1540" t="inlineStr">
        <is>
          <t>tyre wear emissions, lorry</t>
        </is>
      </c>
      <c r="I1540">
        <v>0</v>
      </c>
    </row>
    <row r="1541"/>
    <row r="1542">
      <c r="A1542" t="inlineStr">
        <is>
          <t>Activity</t>
        </is>
      </c>
      <c r="B1542" t="inlineStr">
        <is>
          <t>compressed gas, synthetic, burned in single deck coach or urban bus</t>
        </is>
      </c>
    </row>
    <row r="1543">
      <c r="A1543" t="inlineStr">
        <is>
          <t>comment</t>
        </is>
      </c>
      <c r="B1543"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544">
      <c r="A1544" t="inlineStr">
        <is>
          <t>description</t>
        </is>
      </c>
      <c r="B1544"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545">
      <c r="A1545" t="inlineStr">
        <is>
          <t>location</t>
        </is>
      </c>
      <c r="B1545" t="inlineStr">
        <is>
          <t>RER</t>
        </is>
      </c>
    </row>
    <row r="1546">
      <c r="A1546" t="inlineStr">
        <is>
          <t>production amount</t>
        </is>
      </c>
      <c r="B1546">
        <v>1</v>
      </c>
    </row>
    <row r="1547">
      <c r="A1547" t="inlineStr">
        <is>
          <t>reference product</t>
        </is>
      </c>
      <c r="B1547" t="inlineStr">
        <is>
          <t>heat</t>
        </is>
      </c>
    </row>
    <row r="1548">
      <c r="A1548" t="inlineStr">
        <is>
          <t>source</t>
        </is>
      </c>
      <c r="B1548" t="inlineStr">
        <is>
          <t>Sacchi, R., Bauer, C., and Cox, B. Does size matter? The influence of size, load factor, range autonomy and application type on the Life Cycle Assessment of current and future trucks. 2021. Environmental Science and Technology.</t>
        </is>
      </c>
    </row>
    <row r="1549">
      <c r="A1549" t="inlineStr">
        <is>
          <t>type</t>
        </is>
      </c>
      <c r="B1549" t="inlineStr">
        <is>
          <t>process</t>
        </is>
      </c>
    </row>
    <row r="1550">
      <c r="A1550" t="inlineStr">
        <is>
          <t>unit</t>
        </is>
      </c>
      <c r="B1550" t="inlineStr">
        <is>
          <t>megajoule</t>
        </is>
      </c>
    </row>
    <row r="1551">
      <c r="A1551" t="inlineStr">
        <is>
          <t>Power, mean</t>
        </is>
      </c>
      <c r="B1551">
        <v>242</v>
      </c>
    </row>
    <row r="1552">
      <c r="A1552" t="inlineStr">
        <is>
          <t>Power, min</t>
        </is>
      </c>
      <c r="B1552">
        <v>128</v>
      </c>
    </row>
    <row r="1553">
      <c r="A1553" t="inlineStr">
        <is>
          <t>Power, max</t>
        </is>
      </c>
      <c r="B1553">
        <v>328</v>
      </c>
    </row>
    <row r="1554">
      <c r="A1554" t="inlineStr">
        <is>
          <t>Lifetime, mean</t>
        </is>
      </c>
      <c r="B1554">
        <v>700000</v>
      </c>
    </row>
    <row r="1555">
      <c r="A1555" t="inlineStr">
        <is>
          <t>Lifetime, min</t>
        </is>
      </c>
      <c r="B1555">
        <v>500000</v>
      </c>
    </row>
    <row r="1556">
      <c r="A1556" t="inlineStr">
        <is>
          <t>Lifetime, max</t>
        </is>
      </c>
      <c r="B1556">
        <v>1000000</v>
      </c>
    </row>
    <row r="1557">
      <c r="A1557" t="inlineStr">
        <is>
          <t>Energy use, mean</t>
        </is>
      </c>
      <c r="B1557">
        <v>8650</v>
      </c>
    </row>
    <row r="1558">
      <c r="A1558" t="inlineStr">
        <is>
          <t>Energy use, min</t>
        </is>
      </c>
      <c r="B1558">
        <v>5600</v>
      </c>
    </row>
    <row r="1559">
      <c r="A1559" t="inlineStr">
        <is>
          <t>Energy use, max</t>
        </is>
      </c>
      <c r="B1559">
        <v>11410</v>
      </c>
    </row>
    <row r="1560">
      <c r="A1560" t="inlineStr">
        <is>
          <t>Electric motor, mean</t>
        </is>
      </c>
      <c r="B1560">
        <v>0</v>
      </c>
    </row>
    <row r="1561">
      <c r="A1561" t="inlineStr">
        <is>
          <t>Electric motor, min</t>
        </is>
      </c>
      <c r="B1561">
        <v>0</v>
      </c>
    </row>
    <row r="1562">
      <c r="A1562" t="inlineStr">
        <is>
          <t>Electric motor, max</t>
        </is>
      </c>
      <c r="B1562">
        <v>0</v>
      </c>
    </row>
    <row r="1563">
      <c r="A1563" t="inlineStr">
        <is>
          <t>Combustion engine, mean</t>
        </is>
      </c>
      <c r="B1563">
        <v>872</v>
      </c>
    </row>
    <row r="1564">
      <c r="A1564" t="inlineStr">
        <is>
          <t>Combustion engine, min</t>
        </is>
      </c>
      <c r="B1564">
        <v>540</v>
      </c>
    </row>
    <row r="1565">
      <c r="A1565" t="inlineStr">
        <is>
          <t>Combustion engine, max</t>
        </is>
      </c>
      <c r="B1565">
        <v>1120</v>
      </c>
    </row>
    <row r="1566">
      <c r="A1566" t="inlineStr">
        <is>
          <t>Fuel tank, mean</t>
        </is>
      </c>
      <c r="B1566">
        <v>142</v>
      </c>
    </row>
    <row r="1567">
      <c r="A1567" t="inlineStr">
        <is>
          <t>Fuel tank, min</t>
        </is>
      </c>
      <c r="B1567">
        <v>77</v>
      </c>
    </row>
    <row r="1568">
      <c r="A1568" t="inlineStr">
        <is>
          <t>Fuel tank, max</t>
        </is>
      </c>
      <c r="B1568">
        <v>154</v>
      </c>
    </row>
    <row r="1569">
      <c r="A1569" t="inlineStr">
        <is>
          <t>Battery capacity, mean</t>
        </is>
      </c>
      <c r="B1569">
        <v>0</v>
      </c>
    </row>
    <row r="1570">
      <c r="A1570" t="inlineStr">
        <is>
          <t>Battery capacity, min</t>
        </is>
      </c>
      <c r="B1570">
        <v>0</v>
      </c>
    </row>
    <row r="1571">
      <c r="A1571" t="inlineStr">
        <is>
          <t>Battery capacity, max</t>
        </is>
      </c>
      <c r="B1571">
        <v>0</v>
      </c>
    </row>
    <row r="1572">
      <c r="A1572" t="inlineStr">
        <is>
          <t>Battery replacement, mean</t>
        </is>
      </c>
      <c r="B1572">
        <v>0</v>
      </c>
    </row>
    <row r="1573">
      <c r="A1573" t="inlineStr">
        <is>
          <t>Battery replacement, min</t>
        </is>
      </c>
      <c r="B1573">
        <v>0</v>
      </c>
    </row>
    <row r="1574">
      <c r="A1574" t="inlineStr">
        <is>
          <t>Battery replacement, max</t>
        </is>
      </c>
      <c r="B1574">
        <v>0</v>
      </c>
    </row>
    <row r="1575">
      <c r="A1575" t="inlineStr">
        <is>
          <t>Fuel cell system, mean</t>
        </is>
      </c>
      <c r="B1575">
        <v>0</v>
      </c>
    </row>
    <row r="1576">
      <c r="A1576" t="inlineStr">
        <is>
          <t>Fuel cell system, min</t>
        </is>
      </c>
      <c r="B1576">
        <v>0</v>
      </c>
    </row>
    <row r="1577">
      <c r="A1577" t="inlineStr">
        <is>
          <t>Fuel cell system, max</t>
        </is>
      </c>
      <c r="B1577">
        <v>0</v>
      </c>
    </row>
    <row r="1578">
      <c r="A1578" t="inlineStr">
        <is>
          <t>Fuel cell stack replacement, mean</t>
        </is>
      </c>
      <c r="B1578">
        <v>0</v>
      </c>
    </row>
    <row r="1579">
      <c r="A1579" t="inlineStr">
        <is>
          <t>Fuel cell replacement, min</t>
        </is>
      </c>
      <c r="B1579">
        <v>0</v>
      </c>
    </row>
    <row r="1580">
      <c r="A1580" t="inlineStr">
        <is>
          <t>Fuel cell replacement, max</t>
        </is>
      </c>
      <c r="B1580">
        <v>0</v>
      </c>
    </row>
    <row r="1581">
      <c r="A1581" t="inlineStr">
        <is>
          <t>Onboard charger mass</t>
        </is>
      </c>
      <c r="B1581">
        <v>0</v>
      </c>
    </row>
    <row r="1582">
      <c r="A1582" t="inlineStr">
        <is>
          <t>Controller mass</t>
        </is>
      </c>
      <c r="B1582">
        <v>0</v>
      </c>
    </row>
    <row r="1583">
      <c r="A1583" t="inlineStr">
        <is>
          <t>Converter mass</t>
        </is>
      </c>
      <c r="B1583">
        <v>0</v>
      </c>
    </row>
    <row r="1584">
      <c r="A1584" t="inlineStr">
        <is>
          <t>Electrical powertrain mass</t>
        </is>
      </c>
      <c r="B1584">
        <v>0</v>
      </c>
    </row>
    <row r="1585">
      <c r="A1585" t="inlineStr">
        <is>
          <t>Inverter mass</t>
        </is>
      </c>
      <c r="B1585">
        <v>0</v>
      </c>
    </row>
    <row r="1586">
      <c r="A1586" t="inlineStr">
        <is>
          <t>NOx</t>
        </is>
      </c>
      <c r="B1586">
        <v>0.030144677</v>
      </c>
    </row>
    <row r="1587">
      <c r="A1587" t="inlineStr">
        <is>
          <t>PM 2.5</t>
        </is>
      </c>
      <c r="B1587">
        <v>0.005563615</v>
      </c>
    </row>
    <row r="1588">
      <c r="A1588" t="inlineStr">
        <is>
          <t>energy use source</t>
        </is>
      </c>
      <c r="B1588"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589">
      <c r="A1589" t="inlineStr">
        <is>
          <t>Exchanges</t>
        </is>
      </c>
    </row>
    <row r="1590">
      <c r="A1590" t="inlineStr">
        <is>
          <t>name</t>
        </is>
      </c>
      <c r="B1590" t="inlineStr">
        <is>
          <t>amount</t>
        </is>
      </c>
      <c r="C1590" t="inlineStr">
        <is>
          <t>location</t>
        </is>
      </c>
      <c r="D1590" t="inlineStr">
        <is>
          <t>unit</t>
        </is>
      </c>
      <c r="E1590" t="inlineStr">
        <is>
          <t>categories</t>
        </is>
      </c>
      <c r="F1590" t="inlineStr">
        <is>
          <t>type</t>
        </is>
      </c>
      <c r="G1590" t="inlineStr">
        <is>
          <t>reference product</t>
        </is>
      </c>
      <c r="H1590" t="inlineStr">
        <is>
          <t>comment</t>
        </is>
      </c>
      <c r="I1590" t="inlineStr">
        <is>
          <t>uncertainty type</t>
        </is>
      </c>
    </row>
    <row r="1591">
      <c r="A1591" t="inlineStr">
        <is>
          <t>compressed gas, synthetic, burned in single deck coach or urban bus</t>
        </is>
      </c>
      <c r="B1591">
        <v>1.0</v>
      </c>
      <c r="C1591" t="inlineStr">
        <is>
          <t>RER</t>
        </is>
      </c>
      <c r="D1591" t="inlineStr">
        <is>
          <t>megajoule</t>
        </is>
      </c>
      <c r="F1591" t="inlineStr">
        <is>
          <t>production</t>
        </is>
      </c>
      <c r="G1591" t="inlineStr">
        <is>
          <t>heat</t>
        </is>
      </c>
      <c r="I1591">
        <v>0</v>
      </c>
    </row>
    <row r="1592">
      <c r="A1592" t="inlineStr">
        <is>
          <t>methane, from electrochemical methanation, with carbon from atmosphere, using heat pump heat</t>
        </is>
      </c>
      <c r="B1592">
        <v>0.021052631578947368</v>
      </c>
      <c r="C1592" t="inlineStr">
        <is>
          <t>RER</t>
        </is>
      </c>
      <c r="D1592" t="inlineStr">
        <is>
          <t>kilogram</t>
        </is>
      </c>
      <c r="F1592" t="inlineStr">
        <is>
          <t>technosphere</t>
        </is>
      </c>
      <c r="G1592" t="inlineStr">
        <is>
          <t>methane, from electrochemical methanation</t>
        </is>
      </c>
      <c r="I1592">
        <v>0</v>
      </c>
    </row>
    <row r="1593">
      <c r="A1593" t="inlineStr">
        <is>
          <t>Acetaldehyde</t>
        </is>
      </c>
      <c r="B1593">
        <v>1.109751604497317e-07</v>
      </c>
      <c r="D1593" t="inlineStr">
        <is>
          <t>kilogram</t>
        </is>
      </c>
      <c r="E1593" t="inlineStr">
        <is>
          <t>air::urban air close to ground</t>
        </is>
      </c>
      <c r="F1593" t="inlineStr">
        <is>
          <t>biosphere</t>
        </is>
      </c>
      <c r="I1593">
        <v>0</v>
      </c>
    </row>
    <row r="1594">
      <c r="A1594" t="inlineStr">
        <is>
          <t>Acrolein</t>
        </is>
      </c>
      <c r="B1594">
        <v>4.298162669497268e-08</v>
      </c>
      <c r="D1594" t="inlineStr">
        <is>
          <t>kilogram</t>
        </is>
      </c>
      <c r="E1594" t="inlineStr">
        <is>
          <t>air::urban air close to ground</t>
        </is>
      </c>
      <c r="F1594" t="inlineStr">
        <is>
          <t>biosphere</t>
        </is>
      </c>
      <c r="I1594">
        <v>0</v>
      </c>
    </row>
    <row r="1595">
      <c r="A1595" t="inlineStr">
        <is>
          <t>Ammonia</t>
        </is>
      </c>
      <c r="B1595">
        <v>1.0745660405694292e-06</v>
      </c>
      <c r="D1595" t="inlineStr">
        <is>
          <t>kilogram</t>
        </is>
      </c>
      <c r="E1595" t="inlineStr">
        <is>
          <t>air::urban air close to ground</t>
        </is>
      </c>
      <c r="F1595" t="inlineStr">
        <is>
          <t>biosphere</t>
        </is>
      </c>
      <c r="I1595">
        <v>0</v>
      </c>
    </row>
    <row r="1596">
      <c r="A1596" t="inlineStr">
        <is>
          <t>Benzaldehyde</t>
        </is>
      </c>
      <c r="B1596">
        <v>3.32682647300071e-08</v>
      </c>
      <c r="D1596" t="inlineStr">
        <is>
          <t>kilogram</t>
        </is>
      </c>
      <c r="E1596" t="inlineStr">
        <is>
          <t>air::urban air close to ground</t>
        </is>
      </c>
      <c r="F1596" t="inlineStr">
        <is>
          <t>biosphere</t>
        </is>
      </c>
      <c r="I1596">
        <v>0</v>
      </c>
    </row>
    <row r="1597">
      <c r="A1597" t="inlineStr">
        <is>
          <t>Butane</t>
        </is>
      </c>
      <c r="B1597">
        <v>3.6425107368620904e-09</v>
      </c>
      <c r="D1597" t="inlineStr">
        <is>
          <t>kilogram</t>
        </is>
      </c>
      <c r="E1597" t="inlineStr">
        <is>
          <t>air::urban air close to ground</t>
        </is>
      </c>
      <c r="F1597" t="inlineStr">
        <is>
          <t>biosphere</t>
        </is>
      </c>
      <c r="I1597">
        <v>0</v>
      </c>
    </row>
    <row r="1598">
      <c r="A1598" t="inlineStr">
        <is>
          <t>Carbon monoxide, fossil</t>
        </is>
      </c>
      <c r="B1598">
        <v>5.139999781097948e-05</v>
      </c>
      <c r="D1598" t="inlineStr">
        <is>
          <t>kilogram</t>
        </is>
      </c>
      <c r="E1598" t="inlineStr">
        <is>
          <t>air::urban air close to ground</t>
        </is>
      </c>
      <c r="F1598" t="inlineStr">
        <is>
          <t>biosphere</t>
        </is>
      </c>
      <c r="I1598">
        <v>0</v>
      </c>
    </row>
    <row r="1599">
      <c r="A1599" t="inlineStr">
        <is>
          <t>Dinitrogen monoxide</t>
        </is>
      </c>
      <c r="B1599">
        <v>2.4283404912413948e-06</v>
      </c>
      <c r="D1599" t="inlineStr">
        <is>
          <t>kilogram</t>
        </is>
      </c>
      <c r="E1599" t="inlineStr">
        <is>
          <t>air::urban air close to ground</t>
        </is>
      </c>
      <c r="F1599" t="inlineStr">
        <is>
          <t>biosphere</t>
        </is>
      </c>
      <c r="I1599">
        <v>0</v>
      </c>
    </row>
    <row r="1600">
      <c r="A1600" t="inlineStr">
        <is>
          <t>Ethane</t>
        </is>
      </c>
      <c r="B1600">
        <v>7.285021473724182e-10</v>
      </c>
      <c r="D1600" t="inlineStr">
        <is>
          <t>kilogram</t>
        </is>
      </c>
      <c r="E1600" t="inlineStr">
        <is>
          <t>air::urban air close to ground</t>
        </is>
      </c>
      <c r="F1600" t="inlineStr">
        <is>
          <t>biosphere</t>
        </is>
      </c>
      <c r="I1600">
        <v>0</v>
      </c>
    </row>
    <row r="1601">
      <c r="A1601" t="inlineStr">
        <is>
          <t>1,1,1,2-Tetrafluoroethane</t>
        </is>
      </c>
      <c r="B1601">
        <v>1.664477823027126e-06</v>
      </c>
      <c r="D1601" t="inlineStr">
        <is>
          <t>kilogram</t>
        </is>
      </c>
      <c r="E1601" t="inlineStr">
        <is>
          <t>air::unspecified</t>
        </is>
      </c>
      <c r="F1601" t="inlineStr">
        <is>
          <t>biosphere</t>
        </is>
      </c>
      <c r="I1601">
        <v>0</v>
      </c>
    </row>
    <row r="1602">
      <c r="A1602" t="inlineStr">
        <is>
          <t>Formaldehyde</t>
        </is>
      </c>
      <c r="B1602">
        <v>2.0398060126427713e-07</v>
      </c>
      <c r="D1602" t="inlineStr">
        <is>
          <t>kilogram</t>
        </is>
      </c>
      <c r="E1602" t="inlineStr">
        <is>
          <t>air::urban air close to ground</t>
        </is>
      </c>
      <c r="F1602" t="inlineStr">
        <is>
          <t>biosphere</t>
        </is>
      </c>
      <c r="I1602">
        <v>0</v>
      </c>
    </row>
    <row r="1603">
      <c r="A1603" t="inlineStr">
        <is>
          <t>Heptane</t>
        </is>
      </c>
      <c r="B1603">
        <v>7.285021473724182e-09</v>
      </c>
      <c r="D1603" t="inlineStr">
        <is>
          <t>kilogram</t>
        </is>
      </c>
      <c r="E1603" t="inlineStr">
        <is>
          <t>air::urban air close to ground</t>
        </is>
      </c>
      <c r="F1603" t="inlineStr">
        <is>
          <t>biosphere</t>
        </is>
      </c>
      <c r="I1603">
        <v>0</v>
      </c>
    </row>
    <row r="1604">
      <c r="A1604" t="inlineStr">
        <is>
          <t>Hydrocarbons, chlorinated</t>
        </is>
      </c>
      <c r="B1604">
        <v>2.425180577139861e-05</v>
      </c>
      <c r="D1604" t="inlineStr">
        <is>
          <t>kilogram</t>
        </is>
      </c>
      <c r="E1604" t="inlineStr">
        <is>
          <t>air::urban air close to ground</t>
        </is>
      </c>
      <c r="F1604" t="inlineStr">
        <is>
          <t>biosphere</t>
        </is>
      </c>
      <c r="I1604">
        <v>0</v>
      </c>
    </row>
    <row r="1605">
      <c r="A1605" t="inlineStr">
        <is>
          <t>Methane, fossil</t>
        </is>
      </c>
      <c r="B1605">
        <v>2.2311661663762063e-05</v>
      </c>
      <c r="D1605" t="inlineStr">
        <is>
          <t>kilogram</t>
        </is>
      </c>
      <c r="E1605" t="inlineStr">
        <is>
          <t>air::urban air close to ground</t>
        </is>
      </c>
      <c r="F1605" t="inlineStr">
        <is>
          <t>biosphere</t>
        </is>
      </c>
      <c r="I1605">
        <v>0</v>
      </c>
    </row>
    <row r="1606">
      <c r="A1606" t="inlineStr">
        <is>
          <t>Methane, fossil</t>
        </is>
      </c>
      <c r="B1606">
        <v>8.567879426879306e-05</v>
      </c>
      <c r="D1606" t="inlineStr">
        <is>
          <t>kilogram</t>
        </is>
      </c>
      <c r="E1606" t="inlineStr">
        <is>
          <t>air::unspecified</t>
        </is>
      </c>
      <c r="F1606" t="inlineStr">
        <is>
          <t>biosphere</t>
        </is>
      </c>
      <c r="I1606">
        <v>0</v>
      </c>
    </row>
    <row r="1607">
      <c r="A1607" t="inlineStr">
        <is>
          <t>NMVOC, non-methane volatile organic compounds</t>
        </is>
      </c>
      <c r="B1607">
        <v>1.5773374046907533e-06</v>
      </c>
      <c r="D1607" t="inlineStr">
        <is>
          <t>kilogram</t>
        </is>
      </c>
      <c r="E1607" t="inlineStr">
        <is>
          <t>air::urban air close to ground</t>
        </is>
      </c>
      <c r="F1607" t="inlineStr">
        <is>
          <t>biosphere</t>
        </is>
      </c>
      <c r="I1607">
        <v>0</v>
      </c>
    </row>
    <row r="1608">
      <c r="A1608" t="inlineStr">
        <is>
          <t>Nitrogen oxides</t>
        </is>
      </c>
      <c r="B1608">
        <v>9.347478057632093e-05</v>
      </c>
      <c r="D1608" t="inlineStr">
        <is>
          <t>kilogram</t>
        </is>
      </c>
      <c r="E1608" t="inlineStr">
        <is>
          <t>air::urban air close to ground</t>
        </is>
      </c>
      <c r="F1608" t="inlineStr">
        <is>
          <t>biosphere</t>
        </is>
      </c>
      <c r="I1608">
        <v>0</v>
      </c>
    </row>
    <row r="1609">
      <c r="A1609" t="inlineStr">
        <is>
          <t>Particulate Matter, &lt; 2.5 um</t>
        </is>
      </c>
      <c r="B1609">
        <v>4.0106032285058246e-07</v>
      </c>
      <c r="D1609" t="inlineStr">
        <is>
          <t>kilogram</t>
        </is>
      </c>
      <c r="E1609" t="inlineStr">
        <is>
          <t>air::urban air close to ground</t>
        </is>
      </c>
      <c r="F1609" t="inlineStr">
        <is>
          <t>biosphere</t>
        </is>
      </c>
      <c r="I1609">
        <v>0</v>
      </c>
    </row>
    <row r="1610">
      <c r="A1610" t="inlineStr">
        <is>
          <t>Pentane</t>
        </is>
      </c>
      <c r="B1610">
        <v>1.4570042947448357e-09</v>
      </c>
      <c r="D1610" t="inlineStr">
        <is>
          <t>kilogram</t>
        </is>
      </c>
      <c r="E1610" t="inlineStr">
        <is>
          <t>air::urban air close to ground</t>
        </is>
      </c>
      <c r="F1610" t="inlineStr">
        <is>
          <t>biosphere</t>
        </is>
      </c>
      <c r="I1610">
        <v>0</v>
      </c>
    </row>
    <row r="1611">
      <c r="A1611" t="inlineStr">
        <is>
          <t>Propane</t>
        </is>
      </c>
      <c r="B1611">
        <v>2.428340491241394e-09</v>
      </c>
      <c r="D1611" t="inlineStr">
        <is>
          <t>kilogram</t>
        </is>
      </c>
      <c r="E1611" t="inlineStr">
        <is>
          <t>air::urban air close to ground</t>
        </is>
      </c>
      <c r="F1611" t="inlineStr">
        <is>
          <t>biosphere</t>
        </is>
      </c>
      <c r="I1611">
        <v>0</v>
      </c>
    </row>
    <row r="1612">
      <c r="A1612" t="inlineStr">
        <is>
          <t>Styrene</t>
        </is>
      </c>
      <c r="B1612">
        <v>1.3598706750951805e-08</v>
      </c>
      <c r="D1612" t="inlineStr">
        <is>
          <t>kilogram</t>
        </is>
      </c>
      <c r="E1612" t="inlineStr">
        <is>
          <t>air::urban air close to ground</t>
        </is>
      </c>
      <c r="F1612" t="inlineStr">
        <is>
          <t>biosphere</t>
        </is>
      </c>
      <c r="I1612">
        <v>0</v>
      </c>
    </row>
    <row r="1613">
      <c r="A1613" t="inlineStr">
        <is>
          <t>Toluene</t>
        </is>
      </c>
      <c r="B1613">
        <v>2.4283404912413937e-10</v>
      </c>
      <c r="D1613" t="inlineStr">
        <is>
          <t>kilogram</t>
        </is>
      </c>
      <c r="E1613" t="inlineStr">
        <is>
          <t>air::urban air close to ground</t>
        </is>
      </c>
      <c r="F1613" t="inlineStr">
        <is>
          <t>biosphere</t>
        </is>
      </c>
      <c r="I1613">
        <v>0</v>
      </c>
    </row>
    <row r="1614">
      <c r="A1614" t="inlineStr">
        <is>
          <t>m-Xylene</t>
        </is>
      </c>
      <c r="B1614">
        <v>2.379773681416566e-08</v>
      </c>
      <c r="D1614" t="inlineStr">
        <is>
          <t>kilogram</t>
        </is>
      </c>
      <c r="E1614" t="inlineStr">
        <is>
          <t>air::urban air close to ground</t>
        </is>
      </c>
      <c r="F1614" t="inlineStr">
        <is>
          <t>biosphere</t>
        </is>
      </c>
      <c r="I1614">
        <v>0</v>
      </c>
    </row>
    <row r="1615">
      <c r="A1615" t="inlineStr">
        <is>
          <t>o-Xylene</t>
        </is>
      </c>
      <c r="B1615">
        <v>9.713361964965576e-09</v>
      </c>
      <c r="D1615" t="inlineStr">
        <is>
          <t>kilogram</t>
        </is>
      </c>
      <c r="E1615" t="inlineStr">
        <is>
          <t>air::urban air close to ground</t>
        </is>
      </c>
      <c r="F1615" t="inlineStr">
        <is>
          <t>biosphere</t>
        </is>
      </c>
      <c r="I1615">
        <v>0</v>
      </c>
    </row>
    <row r="1616">
      <c r="A1616" t="inlineStr">
        <is>
          <t>fuel tank assembly, compressed natural gas, 200 bar</t>
        </is>
      </c>
      <c r="B1616">
        <v>1.6089533395676763e-05</v>
      </c>
      <c r="C1616" t="inlineStr">
        <is>
          <t>RER</t>
        </is>
      </c>
      <c r="D1616" t="inlineStr">
        <is>
          <t>kilogram</t>
        </is>
      </c>
      <c r="F1616" t="inlineStr">
        <is>
          <t>technosphere</t>
        </is>
      </c>
      <c r="G1616" t="inlineStr">
        <is>
          <t>fuel tank, compressed natural gas, 200 bar</t>
        </is>
      </c>
      <c r="H1616" t="inlineStr">
        <is>
          <t> Energy-use allocation: 154.66264 * 1.428571428571429e-07 / 1.3732320455657014 MJ per person kilometer.</t>
        </is>
      </c>
      <c r="I1616">
        <v>0</v>
      </c>
    </row>
    <row r="1617">
      <c r="A1617" t="inlineStr">
        <is>
          <t>exhaust system, for lorry</t>
        </is>
      </c>
      <c r="B1617">
        <v>1.019492666604115e-05</v>
      </c>
      <c r="C1617" t="inlineStr">
        <is>
          <t>RER</t>
        </is>
      </c>
      <c r="D1617" t="inlineStr">
        <is>
          <t>kilogram</t>
        </is>
      </c>
      <c r="F1617" t="inlineStr">
        <is>
          <t>technosphere</t>
        </is>
      </c>
      <c r="G1617" t="inlineStr">
        <is>
          <t>exhaust system, for lorry</t>
        </is>
      </c>
      <c r="H1617" t="inlineStr">
        <is>
          <t> Energy-use allocation: 98 * 1.428571428571429e-07 / 1.3732320455657014 MJ per person kilometer.</t>
        </is>
      </c>
      <c r="I1617">
        <v>0</v>
      </c>
    </row>
    <row r="1618">
      <c r="A1618" t="inlineStr">
        <is>
          <t>gearbox, for lorry</t>
        </is>
      </c>
      <c r="B1618">
        <v>1.639593866000859e-05</v>
      </c>
      <c r="C1618" t="inlineStr">
        <is>
          <t>RER</t>
        </is>
      </c>
      <c r="D1618" t="inlineStr">
        <is>
          <t>kilogram</t>
        </is>
      </c>
      <c r="F1618" t="inlineStr">
        <is>
          <t>technosphere</t>
        </is>
      </c>
      <c r="G1618" t="inlineStr">
        <is>
          <t>gearbox, for lorry</t>
        </is>
      </c>
      <c r="H1618" t="inlineStr">
        <is>
          <t> Energy-use allocation: 157.6079986953735 * 1.428571428571429e-07 / 1.3732320455657014 MJ per person kilometer.</t>
        </is>
      </c>
      <c r="I1618">
        <v>0</v>
      </c>
    </row>
    <row r="1619">
      <c r="A1619" t="inlineStr">
        <is>
          <t>internal combustion engine, for lorry</t>
        </is>
      </c>
      <c r="B1619">
        <v>7.877413170343471e-05</v>
      </c>
      <c r="C1619" t="inlineStr">
        <is>
          <t>RER</t>
        </is>
      </c>
      <c r="D1619" t="inlineStr">
        <is>
          <t>kilogram</t>
        </is>
      </c>
      <c r="F1619" t="inlineStr">
        <is>
          <t>technosphere</t>
        </is>
      </c>
      <c r="G1619" t="inlineStr">
        <is>
          <t>internal combustion engine, for lorry</t>
        </is>
      </c>
      <c r="H1619" t="inlineStr">
        <is>
          <t> Energy-use allocation: 757.2261341173871 * 1.428571428571429e-07 / 1.3732320455657014 MJ per person kilometer.</t>
        </is>
      </c>
      <c r="I1619">
        <v>0</v>
      </c>
    </row>
    <row r="1620">
      <c r="A1620" t="inlineStr">
        <is>
          <t>power electronics, for lorry</t>
        </is>
      </c>
      <c r="B1620">
        <v>1.903746510087276e-05</v>
      </c>
      <c r="C1620" t="inlineStr">
        <is>
          <t>RER</t>
        </is>
      </c>
      <c r="D1620" t="inlineStr">
        <is>
          <t>kilogram</t>
        </is>
      </c>
      <c r="F1620" t="inlineStr">
        <is>
          <t>technosphere</t>
        </is>
      </c>
      <c r="G1620" t="inlineStr">
        <is>
          <t>power electronics, for lorry</t>
        </is>
      </c>
      <c r="H1620" t="inlineStr">
        <is>
          <t> Energy-use allocation: 183 * 1.428571428571429e-07 / 1.3732320455657014 MJ per person kilometer.</t>
        </is>
      </c>
      <c r="I1620">
        <v>0</v>
      </c>
    </row>
    <row r="1621">
      <c r="A1621" t="inlineStr">
        <is>
          <t>retarder, for lorry</t>
        </is>
      </c>
      <c r="B1621">
        <v>5.465312886669532e-06</v>
      </c>
      <c r="C1621" t="inlineStr">
        <is>
          <t>RER</t>
        </is>
      </c>
      <c r="D1621" t="inlineStr">
        <is>
          <t>kilogram</t>
        </is>
      </c>
      <c r="F1621" t="inlineStr">
        <is>
          <t>technosphere</t>
        </is>
      </c>
      <c r="G1621" t="inlineStr">
        <is>
          <t>retarder, for lorry</t>
        </is>
      </c>
      <c r="H1621" t="inlineStr">
        <is>
          <t> Energy-use allocation: 52.53599956512451 * 1.428571428571429e-07 / 1.3732320455657014 MJ per person kilometer.</t>
        </is>
      </c>
      <c r="I1621">
        <v>0</v>
      </c>
    </row>
    <row r="1622">
      <c r="A1622" t="inlineStr">
        <is>
          <t>transmission, for lorry</t>
        </is>
      </c>
      <c r="B1622">
        <v>2.3683022508901298e-05</v>
      </c>
      <c r="C1622" t="inlineStr">
        <is>
          <t>RER</t>
        </is>
      </c>
      <c r="D1622" t="inlineStr">
        <is>
          <t>kilogram</t>
        </is>
      </c>
      <c r="F1622" t="inlineStr">
        <is>
          <t>technosphere</t>
        </is>
      </c>
      <c r="G1622" t="inlineStr">
        <is>
          <t>transmission, for lorry</t>
        </is>
      </c>
      <c r="H1622" t="inlineStr">
        <is>
          <t> Energy-use allocation: 227.6559981155395 * 1.428571428571429e-07 / 1.3732320455657014 MJ per person kilometer.</t>
        </is>
      </c>
      <c r="I1622">
        <v>0</v>
      </c>
    </row>
    <row r="1623">
      <c r="A1623" t="inlineStr">
        <is>
          <t>market for refrigerant R134a</t>
        </is>
      </c>
      <c r="B1623">
        <v>2.4447018025710913e-06</v>
      </c>
      <c r="C1623" t="inlineStr">
        <is>
          <t>GLO</t>
        </is>
      </c>
      <c r="D1623" t="inlineStr">
        <is>
          <t>kilogram</t>
        </is>
      </c>
      <c r="F1623" t="inlineStr">
        <is>
          <t>technosphere</t>
        </is>
      </c>
      <c r="G1623" t="inlineStr">
        <is>
          <t>refrigerant R134a</t>
        </is>
      </c>
      <c r="I1623">
        <v>0</v>
      </c>
    </row>
    <row r="1624">
      <c r="A1624" t="inlineStr">
        <is>
          <t>treatment of brake wear emissions, lorry</t>
        </is>
      </c>
      <c r="B1624">
        <v>-6.869912841974368e-06</v>
      </c>
      <c r="C1624" t="inlineStr">
        <is>
          <t>RER</t>
        </is>
      </c>
      <c r="D1624" t="inlineStr">
        <is>
          <t>kilogram</t>
        </is>
      </c>
      <c r="F1624" t="inlineStr">
        <is>
          <t>technosphere</t>
        </is>
      </c>
      <c r="G1624" t="inlineStr">
        <is>
          <t>brake wear emissions, lorry</t>
        </is>
      </c>
      <c r="I1624">
        <v>0</v>
      </c>
    </row>
    <row r="1625">
      <c r="A1625" t="inlineStr">
        <is>
          <t>treatment of road wear emissions, lorry</t>
        </is>
      </c>
      <c r="B1625">
        <v>-5.779482396303892e-06</v>
      </c>
      <c r="C1625" t="inlineStr">
        <is>
          <t>RER</t>
        </is>
      </c>
      <c r="D1625" t="inlineStr">
        <is>
          <t>kilogram</t>
        </is>
      </c>
      <c r="F1625" t="inlineStr">
        <is>
          <t>technosphere</t>
        </is>
      </c>
      <c r="G1625" t="inlineStr">
        <is>
          <t>road wear emissions, lorry</t>
        </is>
      </c>
      <c r="I1625">
        <v>0</v>
      </c>
    </row>
    <row r="1626">
      <c r="A1626" t="inlineStr">
        <is>
          <t>treatment of tyre wear emissions, lorry</t>
        </is>
      </c>
      <c r="B1626">
        <v>-5.699427716395153e-06</v>
      </c>
      <c r="C1626" t="inlineStr">
        <is>
          <t>RER</t>
        </is>
      </c>
      <c r="D1626" t="inlineStr">
        <is>
          <t>kilogram</t>
        </is>
      </c>
      <c r="F1626" t="inlineStr">
        <is>
          <t>technosphere</t>
        </is>
      </c>
      <c r="G1626" t="inlineStr">
        <is>
          <t>tyre wear emissions, lorry</t>
        </is>
      </c>
      <c r="I1626">
        <v>0</v>
      </c>
    </row>
    <row r="1627">
      <c r="A1627" t="inlineStr">
        <is>
          <t>Carbon dioxide, non-fossil</t>
        </is>
      </c>
      <c r="B1627">
        <v>0.06</v>
      </c>
      <c r="D1627" t="inlineStr">
        <is>
          <t>kilogram</t>
        </is>
      </c>
      <c r="E1627" t="inlineStr">
        <is>
          <t>air::urban air close to ground</t>
        </is>
      </c>
      <c r="F1627" t="inlineStr">
        <is>
          <t>biosphere</t>
        </is>
      </c>
      <c r="H1627" t="inlineStr">
        <is>
          <t>2.74 kgCO2/kg CH4</t>
        </is>
      </c>
      <c r="I1627">
        <v>0</v>
      </c>
    </row>
    <row r="1628"/>
    <row r="1629">
      <c r="A1629" t="inlineStr">
        <is>
          <t>Activity</t>
        </is>
      </c>
      <c r="B1629" t="inlineStr">
        <is>
          <t>biomethane, burned in single deck coach or urban bus</t>
        </is>
      </c>
    </row>
    <row r="1630">
      <c r="A1630" t="inlineStr">
        <is>
          <t>comment</t>
        </is>
      </c>
      <c r="B1630"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631">
      <c r="A1631" t="inlineStr">
        <is>
          <t>description</t>
        </is>
      </c>
      <c r="B16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632">
      <c r="A1632" t="inlineStr">
        <is>
          <t>location</t>
        </is>
      </c>
      <c r="B1632" t="inlineStr">
        <is>
          <t>RER</t>
        </is>
      </c>
    </row>
    <row r="1633">
      <c r="A1633" t="inlineStr">
        <is>
          <t>production amount</t>
        </is>
      </c>
      <c r="B1633">
        <v>1</v>
      </c>
    </row>
    <row r="1634">
      <c r="A1634" t="inlineStr">
        <is>
          <t>reference product</t>
        </is>
      </c>
      <c r="B1634" t="inlineStr">
        <is>
          <t>heat</t>
        </is>
      </c>
    </row>
    <row r="1635">
      <c r="A1635" t="inlineStr">
        <is>
          <t>source</t>
        </is>
      </c>
      <c r="B1635" t="inlineStr">
        <is>
          <t>Sacchi, R., Bauer, C., and Cox, B. Does size matter? The influence of size, load factor, range autonomy and application type on the Life Cycle Assessment of current and future trucks. 2021. Environmental Science and Technology.</t>
        </is>
      </c>
    </row>
    <row r="1636">
      <c r="A1636" t="inlineStr">
        <is>
          <t>type</t>
        </is>
      </c>
      <c r="B1636" t="inlineStr">
        <is>
          <t>process</t>
        </is>
      </c>
    </row>
    <row r="1637">
      <c r="A1637" t="inlineStr">
        <is>
          <t>unit</t>
        </is>
      </c>
      <c r="B1637" t="inlineStr">
        <is>
          <t>megajoule</t>
        </is>
      </c>
    </row>
    <row r="1638">
      <c r="A1638" t="inlineStr">
        <is>
          <t>Power, mean</t>
        </is>
      </c>
      <c r="B1638">
        <v>242</v>
      </c>
    </row>
    <row r="1639">
      <c r="A1639" t="inlineStr">
        <is>
          <t>Power, min</t>
        </is>
      </c>
      <c r="B1639">
        <v>128</v>
      </c>
    </row>
    <row r="1640">
      <c r="A1640" t="inlineStr">
        <is>
          <t>Power, max</t>
        </is>
      </c>
      <c r="B1640">
        <v>328</v>
      </c>
    </row>
    <row r="1641">
      <c r="A1641" t="inlineStr">
        <is>
          <t>Lifetime, mean</t>
        </is>
      </c>
      <c r="B1641">
        <v>700000</v>
      </c>
    </row>
    <row r="1642">
      <c r="A1642" t="inlineStr">
        <is>
          <t>Lifetime, min</t>
        </is>
      </c>
      <c r="B1642">
        <v>500000</v>
      </c>
    </row>
    <row r="1643">
      <c r="A1643" t="inlineStr">
        <is>
          <t>Lifetime, max</t>
        </is>
      </c>
      <c r="B1643">
        <v>1000000</v>
      </c>
    </row>
    <row r="1644">
      <c r="A1644" t="inlineStr">
        <is>
          <t>Energy use, mean</t>
        </is>
      </c>
      <c r="B1644">
        <v>8650</v>
      </c>
    </row>
    <row r="1645">
      <c r="A1645" t="inlineStr">
        <is>
          <t>Energy use, min</t>
        </is>
      </c>
      <c r="B1645">
        <v>5600</v>
      </c>
    </row>
    <row r="1646">
      <c r="A1646" t="inlineStr">
        <is>
          <t>Energy use, max</t>
        </is>
      </c>
      <c r="B1646">
        <v>11410</v>
      </c>
    </row>
    <row r="1647">
      <c r="A1647" t="inlineStr">
        <is>
          <t>Electric motor, mean</t>
        </is>
      </c>
      <c r="B1647">
        <v>0</v>
      </c>
    </row>
    <row r="1648">
      <c r="A1648" t="inlineStr">
        <is>
          <t>Electric motor, min</t>
        </is>
      </c>
      <c r="B1648">
        <v>0</v>
      </c>
    </row>
    <row r="1649">
      <c r="A1649" t="inlineStr">
        <is>
          <t>Electric motor, max</t>
        </is>
      </c>
      <c r="B1649">
        <v>0</v>
      </c>
    </row>
    <row r="1650">
      <c r="A1650" t="inlineStr">
        <is>
          <t>Combustion engine, mean</t>
        </is>
      </c>
      <c r="B1650">
        <v>872</v>
      </c>
    </row>
    <row r="1651">
      <c r="A1651" t="inlineStr">
        <is>
          <t>Combustion engine, min</t>
        </is>
      </c>
      <c r="B1651">
        <v>540</v>
      </c>
    </row>
    <row r="1652">
      <c r="A1652" t="inlineStr">
        <is>
          <t>Combustion engine, max</t>
        </is>
      </c>
      <c r="B1652">
        <v>1120</v>
      </c>
    </row>
    <row r="1653">
      <c r="A1653" t="inlineStr">
        <is>
          <t>Fuel tank, mean</t>
        </is>
      </c>
      <c r="B1653">
        <v>142</v>
      </c>
    </row>
    <row r="1654">
      <c r="A1654" t="inlineStr">
        <is>
          <t>Fuel tank, min</t>
        </is>
      </c>
      <c r="B1654">
        <v>77</v>
      </c>
    </row>
    <row r="1655">
      <c r="A1655" t="inlineStr">
        <is>
          <t>Fuel tank, max</t>
        </is>
      </c>
      <c r="B1655">
        <v>154</v>
      </c>
    </row>
    <row r="1656">
      <c r="A1656" t="inlineStr">
        <is>
          <t>Battery capacity, mean</t>
        </is>
      </c>
      <c r="B1656">
        <v>0</v>
      </c>
    </row>
    <row r="1657">
      <c r="A1657" t="inlineStr">
        <is>
          <t>Battery capacity, min</t>
        </is>
      </c>
      <c r="B1657">
        <v>0</v>
      </c>
    </row>
    <row r="1658">
      <c r="A1658" t="inlineStr">
        <is>
          <t>Battery capacity, max</t>
        </is>
      </c>
      <c r="B1658">
        <v>0</v>
      </c>
    </row>
    <row r="1659">
      <c r="A1659" t="inlineStr">
        <is>
          <t>Battery replacement, mean</t>
        </is>
      </c>
      <c r="B1659">
        <v>0</v>
      </c>
    </row>
    <row r="1660">
      <c r="A1660" t="inlineStr">
        <is>
          <t>Battery replacement, min</t>
        </is>
      </c>
      <c r="B1660">
        <v>0</v>
      </c>
    </row>
    <row r="1661">
      <c r="A1661" t="inlineStr">
        <is>
          <t>Battery replacement, max</t>
        </is>
      </c>
      <c r="B1661">
        <v>0</v>
      </c>
    </row>
    <row r="1662">
      <c r="A1662" t="inlineStr">
        <is>
          <t>Fuel cell system, mean</t>
        </is>
      </c>
      <c r="B1662">
        <v>0</v>
      </c>
    </row>
    <row r="1663">
      <c r="A1663" t="inlineStr">
        <is>
          <t>Fuel cell system, min</t>
        </is>
      </c>
      <c r="B1663">
        <v>0</v>
      </c>
    </row>
    <row r="1664">
      <c r="A1664" t="inlineStr">
        <is>
          <t>Fuel cell system, max</t>
        </is>
      </c>
      <c r="B1664">
        <v>0</v>
      </c>
    </row>
    <row r="1665">
      <c r="A1665" t="inlineStr">
        <is>
          <t>Fuel cell stack replacement, mean</t>
        </is>
      </c>
      <c r="B1665">
        <v>0</v>
      </c>
    </row>
    <row r="1666">
      <c r="A1666" t="inlineStr">
        <is>
          <t>Fuel cell replacement, min</t>
        </is>
      </c>
      <c r="B1666">
        <v>0</v>
      </c>
    </row>
    <row r="1667">
      <c r="A1667" t="inlineStr">
        <is>
          <t>Fuel cell replacement, max</t>
        </is>
      </c>
      <c r="B1667">
        <v>0</v>
      </c>
    </row>
    <row r="1668">
      <c r="A1668" t="inlineStr">
        <is>
          <t>Onboard charger mass</t>
        </is>
      </c>
      <c r="B1668">
        <v>0</v>
      </c>
    </row>
    <row r="1669">
      <c r="A1669" t="inlineStr">
        <is>
          <t>Controller mass</t>
        </is>
      </c>
      <c r="B1669">
        <v>0</v>
      </c>
    </row>
    <row r="1670">
      <c r="A1670" t="inlineStr">
        <is>
          <t>Converter mass</t>
        </is>
      </c>
      <c r="B1670">
        <v>0</v>
      </c>
    </row>
    <row r="1671">
      <c r="A1671" t="inlineStr">
        <is>
          <t>Electrical powertrain mass</t>
        </is>
      </c>
      <c r="B1671">
        <v>0</v>
      </c>
    </row>
    <row r="1672">
      <c r="A1672" t="inlineStr">
        <is>
          <t>Inverter mass</t>
        </is>
      </c>
      <c r="B1672">
        <v>0</v>
      </c>
    </row>
    <row r="1673">
      <c r="A1673" t="inlineStr">
        <is>
          <t>NOx</t>
        </is>
      </c>
      <c r="B1673">
        <v>0.030144677</v>
      </c>
    </row>
    <row r="1674">
      <c r="A1674" t="inlineStr">
        <is>
          <t>PM 2.5</t>
        </is>
      </c>
      <c r="B1674">
        <v>0.005563615</v>
      </c>
    </row>
    <row r="1675">
      <c r="A1675" t="inlineStr">
        <is>
          <t>energy use source</t>
        </is>
      </c>
      <c r="B1675"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676">
      <c r="A1676" t="inlineStr">
        <is>
          <t>Exchanges</t>
        </is>
      </c>
    </row>
    <row r="1677">
      <c r="A1677" t="inlineStr">
        <is>
          <t>name</t>
        </is>
      </c>
      <c r="B1677" t="inlineStr">
        <is>
          <t>amount</t>
        </is>
      </c>
      <c r="C1677" t="inlineStr">
        <is>
          <t>location</t>
        </is>
      </c>
      <c r="D1677" t="inlineStr">
        <is>
          <t>unit</t>
        </is>
      </c>
      <c r="E1677" t="inlineStr">
        <is>
          <t>categories</t>
        </is>
      </c>
      <c r="F1677" t="inlineStr">
        <is>
          <t>type</t>
        </is>
      </c>
      <c r="G1677" t="inlineStr">
        <is>
          <t>reference product</t>
        </is>
      </c>
      <c r="H1677" t="inlineStr">
        <is>
          <t>comment</t>
        </is>
      </c>
      <c r="I1677" t="inlineStr">
        <is>
          <t>uncertainty type</t>
        </is>
      </c>
    </row>
    <row r="1678">
      <c r="A1678" t="inlineStr">
        <is>
          <t>biomethane, burned in single deck coach or urban bus</t>
        </is>
      </c>
      <c r="B1678">
        <v>1.0</v>
      </c>
      <c r="C1678" t="inlineStr">
        <is>
          <t>RER</t>
        </is>
      </c>
      <c r="D1678" t="inlineStr">
        <is>
          <t>megajoule</t>
        </is>
      </c>
      <c r="F1678" t="inlineStr">
        <is>
          <t>production</t>
        </is>
      </c>
      <c r="G1678" t="inlineStr">
        <is>
          <t>heat</t>
        </is>
      </c>
      <c r="I1678">
        <v>0</v>
      </c>
    </row>
    <row r="1679">
      <c r="A1679" t="inlineStr">
        <is>
          <t>biomethane, gaseous, 5 bar, from sewage sludge fermentation, at fuelling station</t>
        </is>
      </c>
      <c r="B1679">
        <v>0.021052631578947368</v>
      </c>
      <c r="C1679" t="inlineStr">
        <is>
          <t>RER</t>
        </is>
      </c>
      <c r="D1679" t="inlineStr">
        <is>
          <t>kilogram</t>
        </is>
      </c>
      <c r="F1679" t="inlineStr">
        <is>
          <t>technosphere</t>
        </is>
      </c>
      <c r="G1679" t="inlineStr">
        <is>
          <t>biomethane, high pressure</t>
        </is>
      </c>
      <c r="I1679">
        <v>0</v>
      </c>
    </row>
    <row r="1680">
      <c r="A1680" t="inlineStr">
        <is>
          <t>Acetaldehyde</t>
        </is>
      </c>
      <c r="B1680">
        <v>1.109751604497317e-07</v>
      </c>
      <c r="D1680" t="inlineStr">
        <is>
          <t>kilogram</t>
        </is>
      </c>
      <c r="E1680" t="inlineStr">
        <is>
          <t>air::urban air close to ground</t>
        </is>
      </c>
      <c r="F1680" t="inlineStr">
        <is>
          <t>biosphere</t>
        </is>
      </c>
      <c r="I1680">
        <v>0</v>
      </c>
    </row>
    <row r="1681">
      <c r="A1681" t="inlineStr">
        <is>
          <t>Acrolein</t>
        </is>
      </c>
      <c r="B1681">
        <v>4.298162669497268e-08</v>
      </c>
      <c r="D1681" t="inlineStr">
        <is>
          <t>kilogram</t>
        </is>
      </c>
      <c r="E1681" t="inlineStr">
        <is>
          <t>air::urban air close to ground</t>
        </is>
      </c>
      <c r="F1681" t="inlineStr">
        <is>
          <t>biosphere</t>
        </is>
      </c>
      <c r="I1681">
        <v>0</v>
      </c>
    </row>
    <row r="1682">
      <c r="A1682" t="inlineStr">
        <is>
          <t>Ammonia</t>
        </is>
      </c>
      <c r="B1682">
        <v>1.0745660405694292e-06</v>
      </c>
      <c r="D1682" t="inlineStr">
        <is>
          <t>kilogram</t>
        </is>
      </c>
      <c r="E1682" t="inlineStr">
        <is>
          <t>air::urban air close to ground</t>
        </is>
      </c>
      <c r="F1682" t="inlineStr">
        <is>
          <t>biosphere</t>
        </is>
      </c>
      <c r="I1682">
        <v>0</v>
      </c>
    </row>
    <row r="1683">
      <c r="A1683" t="inlineStr">
        <is>
          <t>Benzaldehyde</t>
        </is>
      </c>
      <c r="B1683">
        <v>3.32682647300071e-08</v>
      </c>
      <c r="D1683" t="inlineStr">
        <is>
          <t>kilogram</t>
        </is>
      </c>
      <c r="E1683" t="inlineStr">
        <is>
          <t>air::urban air close to ground</t>
        </is>
      </c>
      <c r="F1683" t="inlineStr">
        <is>
          <t>biosphere</t>
        </is>
      </c>
      <c r="I1683">
        <v>0</v>
      </c>
    </row>
    <row r="1684">
      <c r="A1684" t="inlineStr">
        <is>
          <t>Butane</t>
        </is>
      </c>
      <c r="B1684">
        <v>3.6425107368620904e-09</v>
      </c>
      <c r="D1684" t="inlineStr">
        <is>
          <t>kilogram</t>
        </is>
      </c>
      <c r="E1684" t="inlineStr">
        <is>
          <t>air::urban air close to ground</t>
        </is>
      </c>
      <c r="F1684" t="inlineStr">
        <is>
          <t>biosphere</t>
        </is>
      </c>
      <c r="I1684">
        <v>0</v>
      </c>
    </row>
    <row r="1685">
      <c r="A1685" t="inlineStr">
        <is>
          <t>Carbon monoxide, fossil</t>
        </is>
      </c>
      <c r="B1685">
        <v>5.139999781097948e-05</v>
      </c>
      <c r="D1685" t="inlineStr">
        <is>
          <t>kilogram</t>
        </is>
      </c>
      <c r="E1685" t="inlineStr">
        <is>
          <t>air::urban air close to ground</t>
        </is>
      </c>
      <c r="F1685" t="inlineStr">
        <is>
          <t>biosphere</t>
        </is>
      </c>
      <c r="I1685">
        <v>0</v>
      </c>
    </row>
    <row r="1686">
      <c r="A1686" t="inlineStr">
        <is>
          <t>Dinitrogen monoxide</t>
        </is>
      </c>
      <c r="B1686">
        <v>2.4283404912413948e-06</v>
      </c>
      <c r="D1686" t="inlineStr">
        <is>
          <t>kilogram</t>
        </is>
      </c>
      <c r="E1686" t="inlineStr">
        <is>
          <t>air::urban air close to ground</t>
        </is>
      </c>
      <c r="F1686" t="inlineStr">
        <is>
          <t>biosphere</t>
        </is>
      </c>
      <c r="I1686">
        <v>0</v>
      </c>
    </row>
    <row r="1687">
      <c r="A1687" t="inlineStr">
        <is>
          <t>Ethane</t>
        </is>
      </c>
      <c r="B1687">
        <v>7.285021473724182e-10</v>
      </c>
      <c r="D1687" t="inlineStr">
        <is>
          <t>kilogram</t>
        </is>
      </c>
      <c r="E1687" t="inlineStr">
        <is>
          <t>air::urban air close to ground</t>
        </is>
      </c>
      <c r="F1687" t="inlineStr">
        <is>
          <t>biosphere</t>
        </is>
      </c>
      <c r="I1687">
        <v>0</v>
      </c>
    </row>
    <row r="1688">
      <c r="A1688" t="inlineStr">
        <is>
          <t>1,1,1,2-Tetrafluoroethane</t>
        </is>
      </c>
      <c r="B1688">
        <v>1.664477823027126e-06</v>
      </c>
      <c r="D1688" t="inlineStr">
        <is>
          <t>kilogram</t>
        </is>
      </c>
      <c r="E1688" t="inlineStr">
        <is>
          <t>air::unspecified</t>
        </is>
      </c>
      <c r="F1688" t="inlineStr">
        <is>
          <t>biosphere</t>
        </is>
      </c>
      <c r="I1688">
        <v>0</v>
      </c>
    </row>
    <row r="1689">
      <c r="A1689" t="inlineStr">
        <is>
          <t>Formaldehyde</t>
        </is>
      </c>
      <c r="B1689">
        <v>2.0398060126427713e-07</v>
      </c>
      <c r="D1689" t="inlineStr">
        <is>
          <t>kilogram</t>
        </is>
      </c>
      <c r="E1689" t="inlineStr">
        <is>
          <t>air::urban air close to ground</t>
        </is>
      </c>
      <c r="F1689" t="inlineStr">
        <is>
          <t>biosphere</t>
        </is>
      </c>
      <c r="I1689">
        <v>0</v>
      </c>
    </row>
    <row r="1690">
      <c r="A1690" t="inlineStr">
        <is>
          <t>Heptane</t>
        </is>
      </c>
      <c r="B1690">
        <v>7.285021473724182e-09</v>
      </c>
      <c r="D1690" t="inlineStr">
        <is>
          <t>kilogram</t>
        </is>
      </c>
      <c r="E1690" t="inlineStr">
        <is>
          <t>air::urban air close to ground</t>
        </is>
      </c>
      <c r="F1690" t="inlineStr">
        <is>
          <t>biosphere</t>
        </is>
      </c>
      <c r="I1690">
        <v>0</v>
      </c>
    </row>
    <row r="1691">
      <c r="A1691" t="inlineStr">
        <is>
          <t>Hydrocarbons, chlorinated</t>
        </is>
      </c>
      <c r="B1691">
        <v>2.425180577139861e-05</v>
      </c>
      <c r="D1691" t="inlineStr">
        <is>
          <t>kilogram</t>
        </is>
      </c>
      <c r="E1691" t="inlineStr">
        <is>
          <t>air::urban air close to ground</t>
        </is>
      </c>
      <c r="F1691" t="inlineStr">
        <is>
          <t>biosphere</t>
        </is>
      </c>
      <c r="I1691">
        <v>0</v>
      </c>
    </row>
    <row r="1692">
      <c r="A1692" t="inlineStr">
        <is>
          <t>Methane, fossil</t>
        </is>
      </c>
      <c r="B1692">
        <v>2.2311661663762063e-05</v>
      </c>
      <c r="D1692" t="inlineStr">
        <is>
          <t>kilogram</t>
        </is>
      </c>
      <c r="E1692" t="inlineStr">
        <is>
          <t>air::urban air close to ground</t>
        </is>
      </c>
      <c r="F1692" t="inlineStr">
        <is>
          <t>biosphere</t>
        </is>
      </c>
      <c r="I1692">
        <v>0</v>
      </c>
    </row>
    <row r="1693">
      <c r="A1693" t="inlineStr">
        <is>
          <t>Methane, fossil</t>
        </is>
      </c>
      <c r="B1693">
        <v>8.567879426879306e-05</v>
      </c>
      <c r="D1693" t="inlineStr">
        <is>
          <t>kilogram</t>
        </is>
      </c>
      <c r="E1693" t="inlineStr">
        <is>
          <t>air::unspecified</t>
        </is>
      </c>
      <c r="F1693" t="inlineStr">
        <is>
          <t>biosphere</t>
        </is>
      </c>
      <c r="I1693">
        <v>0</v>
      </c>
    </row>
    <row r="1694">
      <c r="A1694" t="inlineStr">
        <is>
          <t>NMVOC, non-methane volatile organic compounds</t>
        </is>
      </c>
      <c r="B1694">
        <v>1.5773374046907533e-06</v>
      </c>
      <c r="D1694" t="inlineStr">
        <is>
          <t>kilogram</t>
        </is>
      </c>
      <c r="E1694" t="inlineStr">
        <is>
          <t>air::urban air close to ground</t>
        </is>
      </c>
      <c r="F1694" t="inlineStr">
        <is>
          <t>biosphere</t>
        </is>
      </c>
      <c r="I1694">
        <v>0</v>
      </c>
    </row>
    <row r="1695">
      <c r="A1695" t="inlineStr">
        <is>
          <t>Nitrogen oxides</t>
        </is>
      </c>
      <c r="B1695">
        <v>9.347478057632093e-05</v>
      </c>
      <c r="D1695" t="inlineStr">
        <is>
          <t>kilogram</t>
        </is>
      </c>
      <c r="E1695" t="inlineStr">
        <is>
          <t>air::urban air close to ground</t>
        </is>
      </c>
      <c r="F1695" t="inlineStr">
        <is>
          <t>biosphere</t>
        </is>
      </c>
      <c r="I1695">
        <v>0</v>
      </c>
    </row>
    <row r="1696">
      <c r="A1696" t="inlineStr">
        <is>
          <t>Particulate Matter, &lt; 2.5 um</t>
        </is>
      </c>
      <c r="B1696">
        <v>4.0106032285058246e-07</v>
      </c>
      <c r="D1696" t="inlineStr">
        <is>
          <t>kilogram</t>
        </is>
      </c>
      <c r="E1696" t="inlineStr">
        <is>
          <t>air::urban air close to ground</t>
        </is>
      </c>
      <c r="F1696" t="inlineStr">
        <is>
          <t>biosphere</t>
        </is>
      </c>
      <c r="I1696">
        <v>0</v>
      </c>
    </row>
    <row r="1697">
      <c r="A1697" t="inlineStr">
        <is>
          <t>Pentane</t>
        </is>
      </c>
      <c r="B1697">
        <v>1.4570042947448357e-09</v>
      </c>
      <c r="D1697" t="inlineStr">
        <is>
          <t>kilogram</t>
        </is>
      </c>
      <c r="E1697" t="inlineStr">
        <is>
          <t>air::urban air close to ground</t>
        </is>
      </c>
      <c r="F1697" t="inlineStr">
        <is>
          <t>biosphere</t>
        </is>
      </c>
      <c r="I1697">
        <v>0</v>
      </c>
    </row>
    <row r="1698">
      <c r="A1698" t="inlineStr">
        <is>
          <t>Propane</t>
        </is>
      </c>
      <c r="B1698">
        <v>2.428340491241394e-09</v>
      </c>
      <c r="D1698" t="inlineStr">
        <is>
          <t>kilogram</t>
        </is>
      </c>
      <c r="E1698" t="inlineStr">
        <is>
          <t>air::urban air close to ground</t>
        </is>
      </c>
      <c r="F1698" t="inlineStr">
        <is>
          <t>biosphere</t>
        </is>
      </c>
      <c r="I1698">
        <v>0</v>
      </c>
    </row>
    <row r="1699">
      <c r="A1699" t="inlineStr">
        <is>
          <t>Styrene</t>
        </is>
      </c>
      <c r="B1699">
        <v>1.3598706750951805e-08</v>
      </c>
      <c r="D1699" t="inlineStr">
        <is>
          <t>kilogram</t>
        </is>
      </c>
      <c r="E1699" t="inlineStr">
        <is>
          <t>air::urban air close to ground</t>
        </is>
      </c>
      <c r="F1699" t="inlineStr">
        <is>
          <t>biosphere</t>
        </is>
      </c>
      <c r="I1699">
        <v>0</v>
      </c>
    </row>
    <row r="1700">
      <c r="A1700" t="inlineStr">
        <is>
          <t>Toluene</t>
        </is>
      </c>
      <c r="B1700">
        <v>2.4283404912413937e-10</v>
      </c>
      <c r="D1700" t="inlineStr">
        <is>
          <t>kilogram</t>
        </is>
      </c>
      <c r="E1700" t="inlineStr">
        <is>
          <t>air::urban air close to ground</t>
        </is>
      </c>
      <c r="F1700" t="inlineStr">
        <is>
          <t>biosphere</t>
        </is>
      </c>
      <c r="I1700">
        <v>0</v>
      </c>
    </row>
    <row r="1701">
      <c r="A1701" t="inlineStr">
        <is>
          <t>m-Xylene</t>
        </is>
      </c>
      <c r="B1701">
        <v>2.379773681416566e-08</v>
      </c>
      <c r="D1701" t="inlineStr">
        <is>
          <t>kilogram</t>
        </is>
      </c>
      <c r="E1701" t="inlineStr">
        <is>
          <t>air::urban air close to ground</t>
        </is>
      </c>
      <c r="F1701" t="inlineStr">
        <is>
          <t>biosphere</t>
        </is>
      </c>
      <c r="I1701">
        <v>0</v>
      </c>
    </row>
    <row r="1702">
      <c r="A1702" t="inlineStr">
        <is>
          <t>o-Xylene</t>
        </is>
      </c>
      <c r="B1702">
        <v>9.713361964965576e-09</v>
      </c>
      <c r="D1702" t="inlineStr">
        <is>
          <t>kilogram</t>
        </is>
      </c>
      <c r="E1702" t="inlineStr">
        <is>
          <t>air::urban air close to ground</t>
        </is>
      </c>
      <c r="F1702" t="inlineStr">
        <is>
          <t>biosphere</t>
        </is>
      </c>
      <c r="I1702">
        <v>0</v>
      </c>
    </row>
    <row r="1703">
      <c r="A1703" t="inlineStr">
        <is>
          <t>fuel tank assembly, compressed natural gas, 200 bar</t>
        </is>
      </c>
      <c r="B1703">
        <v>1.6089533395676763e-05</v>
      </c>
      <c r="C1703" t="inlineStr">
        <is>
          <t>RER</t>
        </is>
      </c>
      <c r="D1703" t="inlineStr">
        <is>
          <t>kilogram</t>
        </is>
      </c>
      <c r="F1703" t="inlineStr">
        <is>
          <t>technosphere</t>
        </is>
      </c>
      <c r="G1703" t="inlineStr">
        <is>
          <t>fuel tank, compressed natural gas, 200 bar</t>
        </is>
      </c>
      <c r="H1703" t="inlineStr">
        <is>
          <t> Energy-use allocation: 154.66264 * 1.428571428571429e-07 / 1.3732320455657014 MJ per person kilometer.</t>
        </is>
      </c>
      <c r="I1703">
        <v>0</v>
      </c>
    </row>
    <row r="1704">
      <c r="A1704" t="inlineStr">
        <is>
          <t>exhaust system, for lorry</t>
        </is>
      </c>
      <c r="B1704">
        <v>1.019492666604115e-05</v>
      </c>
      <c r="C1704" t="inlineStr">
        <is>
          <t>RER</t>
        </is>
      </c>
      <c r="D1704" t="inlineStr">
        <is>
          <t>kilogram</t>
        </is>
      </c>
      <c r="F1704" t="inlineStr">
        <is>
          <t>technosphere</t>
        </is>
      </c>
      <c r="G1704" t="inlineStr">
        <is>
          <t>exhaust system, for lorry</t>
        </is>
      </c>
      <c r="H1704" t="inlineStr">
        <is>
          <t> Energy-use allocation: 98 * 1.428571428571429e-07 / 1.3732320455657014 MJ per person kilometer.</t>
        </is>
      </c>
      <c r="I1704">
        <v>0</v>
      </c>
    </row>
    <row r="1705">
      <c r="A1705" t="inlineStr">
        <is>
          <t>gearbox, for lorry</t>
        </is>
      </c>
      <c r="B1705">
        <v>1.639593866000859e-05</v>
      </c>
      <c r="C1705" t="inlineStr">
        <is>
          <t>RER</t>
        </is>
      </c>
      <c r="D1705" t="inlineStr">
        <is>
          <t>kilogram</t>
        </is>
      </c>
      <c r="F1705" t="inlineStr">
        <is>
          <t>technosphere</t>
        </is>
      </c>
      <c r="G1705" t="inlineStr">
        <is>
          <t>gearbox, for lorry</t>
        </is>
      </c>
      <c r="H1705" t="inlineStr">
        <is>
          <t> Energy-use allocation: 157.6079986953735 * 1.428571428571429e-07 / 1.3732320455657014 MJ per person kilometer.</t>
        </is>
      </c>
      <c r="I1705">
        <v>0</v>
      </c>
    </row>
    <row r="1706">
      <c r="A1706" t="inlineStr">
        <is>
          <t>internal combustion engine, for lorry</t>
        </is>
      </c>
      <c r="B1706">
        <v>7.877413170343471e-05</v>
      </c>
      <c r="C1706" t="inlineStr">
        <is>
          <t>RER</t>
        </is>
      </c>
      <c r="D1706" t="inlineStr">
        <is>
          <t>kilogram</t>
        </is>
      </c>
      <c r="F1706" t="inlineStr">
        <is>
          <t>technosphere</t>
        </is>
      </c>
      <c r="G1706" t="inlineStr">
        <is>
          <t>internal combustion engine, for lorry</t>
        </is>
      </c>
      <c r="H1706" t="inlineStr">
        <is>
          <t> Energy-use allocation: 757.2261341173871 * 1.428571428571429e-07 / 1.3732320455657014 MJ per person kilometer.</t>
        </is>
      </c>
      <c r="I1706">
        <v>0</v>
      </c>
    </row>
    <row r="1707">
      <c r="A1707" t="inlineStr">
        <is>
          <t>power electronics, for lorry</t>
        </is>
      </c>
      <c r="B1707">
        <v>1.903746510087276e-05</v>
      </c>
      <c r="C1707" t="inlineStr">
        <is>
          <t>RER</t>
        </is>
      </c>
      <c r="D1707" t="inlineStr">
        <is>
          <t>kilogram</t>
        </is>
      </c>
      <c r="F1707" t="inlineStr">
        <is>
          <t>technosphere</t>
        </is>
      </c>
      <c r="G1707" t="inlineStr">
        <is>
          <t>power electronics, for lorry</t>
        </is>
      </c>
      <c r="H1707" t="inlineStr">
        <is>
          <t> Energy-use allocation: 183 * 1.428571428571429e-07 / 1.3732320455657014 MJ per person kilometer.</t>
        </is>
      </c>
      <c r="I1707">
        <v>0</v>
      </c>
    </row>
    <row r="1708">
      <c r="A1708" t="inlineStr">
        <is>
          <t>retarder, for lorry</t>
        </is>
      </c>
      <c r="B1708">
        <v>5.465312886669532e-06</v>
      </c>
      <c r="C1708" t="inlineStr">
        <is>
          <t>RER</t>
        </is>
      </c>
      <c r="D1708" t="inlineStr">
        <is>
          <t>kilogram</t>
        </is>
      </c>
      <c r="F1708" t="inlineStr">
        <is>
          <t>technosphere</t>
        </is>
      </c>
      <c r="G1708" t="inlineStr">
        <is>
          <t>retarder, for lorry</t>
        </is>
      </c>
      <c r="H1708" t="inlineStr">
        <is>
          <t> Energy-use allocation: 52.53599956512451 * 1.428571428571429e-07 / 1.3732320455657014 MJ per person kilometer.</t>
        </is>
      </c>
      <c r="I1708">
        <v>0</v>
      </c>
    </row>
    <row r="1709">
      <c r="A1709" t="inlineStr">
        <is>
          <t>transmission, for lorry</t>
        </is>
      </c>
      <c r="B1709">
        <v>2.3683022508901298e-05</v>
      </c>
      <c r="C1709" t="inlineStr">
        <is>
          <t>RER</t>
        </is>
      </c>
      <c r="D1709" t="inlineStr">
        <is>
          <t>kilogram</t>
        </is>
      </c>
      <c r="F1709" t="inlineStr">
        <is>
          <t>technosphere</t>
        </is>
      </c>
      <c r="G1709" t="inlineStr">
        <is>
          <t>transmission, for lorry</t>
        </is>
      </c>
      <c r="H1709" t="inlineStr">
        <is>
          <t> Energy-use allocation: 227.6559981155395 * 1.428571428571429e-07 / 1.3732320455657014 MJ per person kilometer.</t>
        </is>
      </c>
      <c r="I1709">
        <v>0</v>
      </c>
    </row>
    <row r="1710">
      <c r="A1710" t="inlineStr">
        <is>
          <t>market for refrigerant R134a</t>
        </is>
      </c>
      <c r="B1710">
        <v>2.4447018025710913e-06</v>
      </c>
      <c r="C1710" t="inlineStr">
        <is>
          <t>GLO</t>
        </is>
      </c>
      <c r="D1710" t="inlineStr">
        <is>
          <t>kilogram</t>
        </is>
      </c>
      <c r="F1710" t="inlineStr">
        <is>
          <t>technosphere</t>
        </is>
      </c>
      <c r="G1710" t="inlineStr">
        <is>
          <t>refrigerant R134a</t>
        </is>
      </c>
      <c r="I1710">
        <v>0</v>
      </c>
    </row>
    <row r="1711">
      <c r="A1711" t="inlineStr">
        <is>
          <t>treatment of brake wear emissions, lorry</t>
        </is>
      </c>
      <c r="B1711">
        <v>-6.869912841974368e-06</v>
      </c>
      <c r="C1711" t="inlineStr">
        <is>
          <t>RER</t>
        </is>
      </c>
      <c r="D1711" t="inlineStr">
        <is>
          <t>kilogram</t>
        </is>
      </c>
      <c r="F1711" t="inlineStr">
        <is>
          <t>technosphere</t>
        </is>
      </c>
      <c r="G1711" t="inlineStr">
        <is>
          <t>brake wear emissions, lorry</t>
        </is>
      </c>
      <c r="I1711">
        <v>0</v>
      </c>
    </row>
    <row r="1712">
      <c r="A1712" t="inlineStr">
        <is>
          <t>treatment of road wear emissions, lorry</t>
        </is>
      </c>
      <c r="B1712">
        <v>-5.779482396303892e-06</v>
      </c>
      <c r="C1712" t="inlineStr">
        <is>
          <t>RER</t>
        </is>
      </c>
      <c r="D1712" t="inlineStr">
        <is>
          <t>kilogram</t>
        </is>
      </c>
      <c r="F1712" t="inlineStr">
        <is>
          <t>technosphere</t>
        </is>
      </c>
      <c r="G1712" t="inlineStr">
        <is>
          <t>road wear emissions, lorry</t>
        </is>
      </c>
      <c r="I1712">
        <v>0</v>
      </c>
    </row>
    <row r="1713">
      <c r="A1713" t="inlineStr">
        <is>
          <t>treatment of tyre wear emissions, lorry</t>
        </is>
      </c>
      <c r="B1713">
        <v>-5.699427716395153e-06</v>
      </c>
      <c r="C1713" t="inlineStr">
        <is>
          <t>RER</t>
        </is>
      </c>
      <c r="D1713" t="inlineStr">
        <is>
          <t>kilogram</t>
        </is>
      </c>
      <c r="F1713" t="inlineStr">
        <is>
          <t>technosphere</t>
        </is>
      </c>
      <c r="G1713" t="inlineStr">
        <is>
          <t>tyre wear emissions, lorry</t>
        </is>
      </c>
      <c r="I1713">
        <v>0</v>
      </c>
    </row>
    <row r="1714">
      <c r="A1714" t="inlineStr">
        <is>
          <t>Carbon dioxide, non-fossil</t>
        </is>
      </c>
      <c r="B1714">
        <v>0.06</v>
      </c>
      <c r="D1714" t="inlineStr">
        <is>
          <t>kilogram</t>
        </is>
      </c>
      <c r="E1714" t="inlineStr">
        <is>
          <t>air::urban air close to ground</t>
        </is>
      </c>
      <c r="F1714" t="inlineStr">
        <is>
          <t>biosphere</t>
        </is>
      </c>
      <c r="H1714" t="inlineStr">
        <is>
          <t>2.74 kgCO2/kg CH4</t>
        </is>
      </c>
      <c r="I1714">
        <v>0</v>
      </c>
    </row>
    <row r="1715"/>
    <row r="1716">
      <c r="A1716" t="inlineStr">
        <is>
          <t>Activity</t>
        </is>
      </c>
      <c r="B1716" t="inlineStr">
        <is>
          <t>electricity, used in single deck coach or urban bus</t>
        </is>
      </c>
    </row>
    <row r="1717">
      <c r="A1717" t="inlineStr">
        <is>
          <t>comment</t>
        </is>
      </c>
      <c r="B1717" t="inlineStr">
        <is>
          <t>Produces consumption of 1 MJ of purchased energy. Representative powertrain carrier: electricity. energy-specific equipment; excludes chassis, body, roads and whole-vehicle maintenance. Source transport, passenger bus, battery electric - overnight charging, 13m single deck urban bus [RER]; 0.759466084532691 purchased MJ per person kilometer. All retained exchanges divided by this energy; lifetime, occupancy/payload and replacement allocation are carried by source production links. Baseline source specifications: 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is>
      </c>
    </row>
    <row r="1718">
      <c r="A1718" t="inlineStr">
        <is>
          <t>description</t>
        </is>
      </c>
      <c r="B1718"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19">
      <c r="A1719" t="inlineStr">
        <is>
          <t>location</t>
        </is>
      </c>
      <c r="B1719" t="inlineStr">
        <is>
          <t>RER</t>
        </is>
      </c>
    </row>
    <row r="1720">
      <c r="A1720" t="inlineStr">
        <is>
          <t>production amount</t>
        </is>
      </c>
      <c r="B1720">
        <v>1</v>
      </c>
    </row>
    <row r="1721">
      <c r="A1721" t="inlineStr">
        <is>
          <t>reference product</t>
        </is>
      </c>
      <c r="B1721" t="inlineStr">
        <is>
          <t>electricity, low voltage</t>
        </is>
      </c>
    </row>
    <row r="1722">
      <c r="A1722" t="inlineStr">
        <is>
          <t>source</t>
        </is>
      </c>
      <c r="B1722" t="inlineStr">
        <is>
          <t>Sacchi, R., Bauer, C., and Cox, B. Does size matter? The influence of size, load factor, range autonomy and application type on the Life Cycle Assessment of current and future trucks. 2021. Environmental Science and Technology.</t>
        </is>
      </c>
    </row>
    <row r="1723">
      <c r="A1723" t="inlineStr">
        <is>
          <t>type</t>
        </is>
      </c>
      <c r="B1723" t="inlineStr">
        <is>
          <t>process</t>
        </is>
      </c>
    </row>
    <row r="1724">
      <c r="A1724" t="inlineStr">
        <is>
          <t>unit</t>
        </is>
      </c>
      <c r="B1724" t="inlineStr">
        <is>
          <t>megajoule</t>
        </is>
      </c>
    </row>
    <row r="1725">
      <c r="A1725" t="inlineStr">
        <is>
          <t>Power, mean</t>
        </is>
      </c>
      <c r="B1725">
        <v>196</v>
      </c>
    </row>
    <row r="1726">
      <c r="A1726" t="inlineStr">
        <is>
          <t>Power, min</t>
        </is>
      </c>
      <c r="B1726">
        <v>125</v>
      </c>
    </row>
    <row r="1727">
      <c r="A1727" t="inlineStr">
        <is>
          <t>Power, max</t>
        </is>
      </c>
      <c r="B1727">
        <v>272</v>
      </c>
    </row>
    <row r="1728">
      <c r="A1728" t="inlineStr">
        <is>
          <t>Lifetime, mean</t>
        </is>
      </c>
      <c r="B1728">
        <v>700000</v>
      </c>
    </row>
    <row r="1729">
      <c r="A1729" t="inlineStr">
        <is>
          <t>Lifetime, min</t>
        </is>
      </c>
      <c r="B1729">
        <v>500000</v>
      </c>
    </row>
    <row r="1730">
      <c r="A1730" t="inlineStr">
        <is>
          <t>Lifetime, max</t>
        </is>
      </c>
      <c r="B1730">
        <v>1000000</v>
      </c>
    </row>
    <row r="1731">
      <c r="A1731" t="inlineStr">
        <is>
          <t>Energy use, mean</t>
        </is>
      </c>
      <c r="B1731">
        <v>3720</v>
      </c>
    </row>
    <row r="1732">
      <c r="A1732" t="inlineStr">
        <is>
          <t>Energy use, min</t>
        </is>
      </c>
      <c r="B1732">
        <v>2370</v>
      </c>
    </row>
    <row r="1733">
      <c r="A1733" t="inlineStr">
        <is>
          <t>Energy use, max</t>
        </is>
      </c>
      <c r="B1733">
        <v>4680</v>
      </c>
    </row>
    <row r="1734">
      <c r="A1734" t="inlineStr">
        <is>
          <t>Electric motor, mean</t>
        </is>
      </c>
      <c r="B1734">
        <v>125</v>
      </c>
    </row>
    <row r="1735">
      <c r="A1735" t="inlineStr">
        <is>
          <t>Electric motor, min</t>
        </is>
      </c>
      <c r="B1735">
        <v>64</v>
      </c>
    </row>
    <row r="1736">
      <c r="A1736" t="inlineStr">
        <is>
          <t>Electric motor, max</t>
        </is>
      </c>
      <c r="B1736">
        <v>205</v>
      </c>
    </row>
    <row r="1737">
      <c r="A1737" t="inlineStr">
        <is>
          <t>Combustion engine, mean</t>
        </is>
      </c>
      <c r="B1737">
        <v>0</v>
      </c>
    </row>
    <row r="1738">
      <c r="A1738" t="inlineStr">
        <is>
          <t>Combustion engine, min</t>
        </is>
      </c>
      <c r="B1738">
        <v>0</v>
      </c>
    </row>
    <row r="1739">
      <c r="A1739" t="inlineStr">
        <is>
          <t>Combustion engine, max</t>
        </is>
      </c>
      <c r="B1739">
        <v>0</v>
      </c>
    </row>
    <row r="1740">
      <c r="A1740" t="inlineStr">
        <is>
          <t>Fuel tank, mean</t>
        </is>
      </c>
      <c r="B1740">
        <v>0</v>
      </c>
    </row>
    <row r="1741">
      <c r="A1741" t="inlineStr">
        <is>
          <t>Fuel tank, min</t>
        </is>
      </c>
      <c r="B1741">
        <v>0</v>
      </c>
    </row>
    <row r="1742">
      <c r="A1742" t="inlineStr">
        <is>
          <t>Fuel tank, max</t>
        </is>
      </c>
      <c r="B1742">
        <v>0</v>
      </c>
    </row>
    <row r="1743">
      <c r="A1743" t="inlineStr">
        <is>
          <t>Battery capacity, mean</t>
        </is>
      </c>
      <c r="B1743">
        <v>420</v>
      </c>
    </row>
    <row r="1744">
      <c r="A1744" t="inlineStr">
        <is>
          <t>Battery capacity, min</t>
        </is>
      </c>
      <c r="B1744">
        <v>156</v>
      </c>
    </row>
    <row r="1745">
      <c r="A1745" t="inlineStr">
        <is>
          <t>Battery capacity, max</t>
        </is>
      </c>
      <c r="B1745">
        <v>815</v>
      </c>
    </row>
    <row r="1746">
      <c r="A1746" t="inlineStr">
        <is>
          <t>Battery replacement, mean</t>
        </is>
      </c>
      <c r="B1746">
        <v>1</v>
      </c>
    </row>
    <row r="1747">
      <c r="A1747" t="inlineStr">
        <is>
          <t>Battery replacement, min</t>
        </is>
      </c>
      <c r="B1747">
        <v>0</v>
      </c>
    </row>
    <row r="1748">
      <c r="A1748" t="inlineStr">
        <is>
          <t>Battery replacement, max</t>
        </is>
      </c>
      <c r="B1748">
        <v>3</v>
      </c>
    </row>
    <row r="1749">
      <c r="A1749" t="inlineStr">
        <is>
          <t>Fuel cell system, mean</t>
        </is>
      </c>
      <c r="B1749">
        <v>0</v>
      </c>
    </row>
    <row r="1750">
      <c r="A1750" t="inlineStr">
        <is>
          <t>Fuel cell system, min</t>
        </is>
      </c>
      <c r="B1750">
        <v>0</v>
      </c>
    </row>
    <row r="1751">
      <c r="A1751" t="inlineStr">
        <is>
          <t>Fuel cell system, max</t>
        </is>
      </c>
      <c r="B1751">
        <v>0</v>
      </c>
    </row>
    <row r="1752">
      <c r="A1752" t="inlineStr">
        <is>
          <t>Fuel cell stack replacement, mean</t>
        </is>
      </c>
      <c r="B1752">
        <v>0</v>
      </c>
    </row>
    <row r="1753">
      <c r="A1753" t="inlineStr">
        <is>
          <t>Fuel cell replacement, min</t>
        </is>
      </c>
      <c r="B1753">
        <v>0</v>
      </c>
    </row>
    <row r="1754">
      <c r="A1754" t="inlineStr">
        <is>
          <t>Fuel cell replacement, max</t>
        </is>
      </c>
      <c r="B1754">
        <v>0</v>
      </c>
    </row>
    <row r="1755">
      <c r="A1755" t="inlineStr">
        <is>
          <t>Onboard charger mass</t>
        </is>
      </c>
      <c r="B1755">
        <v>36</v>
      </c>
    </row>
    <row r="1756">
      <c r="A1756" t="inlineStr">
        <is>
          <t>Controller mass</t>
        </is>
      </c>
      <c r="B1756">
        <v>36</v>
      </c>
    </row>
    <row r="1757">
      <c r="A1757" t="inlineStr">
        <is>
          <t>Converter mass</t>
        </is>
      </c>
      <c r="B1757">
        <v>25</v>
      </c>
    </row>
    <row r="1758">
      <c r="A1758" t="inlineStr">
        <is>
          <t>Electrical powertrain mass</t>
        </is>
      </c>
      <c r="B1758">
        <v>215</v>
      </c>
    </row>
    <row r="1759">
      <c r="A1759" t="inlineStr">
        <is>
          <t>Inverter mass</t>
        </is>
      </c>
      <c r="B1759">
        <v>15</v>
      </c>
    </row>
    <row r="1760">
      <c r="A1760" t="inlineStr">
        <is>
          <t>NOx</t>
        </is>
      </c>
      <c r="B1760">
        <v>0</v>
      </c>
    </row>
    <row r="1761">
      <c r="A1761" t="inlineStr">
        <is>
          <t>PM 2.5</t>
        </is>
      </c>
      <c r="B1761">
        <v>0</v>
      </c>
    </row>
    <row r="1762">
      <c r="A1762" t="inlineStr">
        <is>
          <t>energy use source</t>
        </is>
      </c>
      <c r="B1762" t="inlineStr">
        <is>
          <t>{"source": ["transport, passenger bus, battery electric - overnight charging, 13m single deck urban bus", "transport, passenger bus", "RER", "person kilometer"], "source unit": "person kilometer", "purchased MJ per source service": 0.7594660845326908, "boundary": "energy-specific equipment; excludes chassis, body, roads and whole-vehicle maintenance", "retained equipment": [{"supplier": ["market for battery capacity (MIX scenario)", "electricity storage capacity", "GLO", "kilowatt hour"], "amount per vehicle": 399.0, "vehicle per source service": 1.428571428571429e-07, "replacement correction factor": 1.0, "amount per MJ": 7.505272606751472e-05}, {"supplier": ["gearbox, for lorry", "gearbox, for lorry", "RER", "kilogram"], "amount per vehicle": 157.6079986953735, "vehicle per source service": 1.428571428571429e-07, "replacement correction factor": 1.0, "amount per MJ": 2.9646390857476403e-05}, {"supplier": ["market for converter, for electric passenger car", "converter, for electric passenger car", "GLO", "kilogram"], "amount per vehicle": 25.0, "vehicle per source service": 1.428571428571429e-07, "replacement correction factor": 1.0, "amount per MJ": 4.70255175861621e-06}, {"supplier": ["market for electric motor, electric passenger car", "electric motor, electric passenger car", "GLO", "kilogram"], "amount per vehicle": 86.76616122628923, "vehicle per source service": 1.428571428571429e-07, "replacement correction factor": 1.0, "amount per MJ": 1.632089456252256e-05}, {"supplier": ["market for inverter, for electric passenger car", "inverter, for electric passenger car", "GLO", "kilogram"], "amount per vehicle": 12.67579115233257, "vehicle per source service": 1.428571428571429e-07, "replacement correction factor": 1.0, "amount per MJ": 2.3843425590101327e-06}, {"supplier": ["market for power distribution unit, for electric passenger car", "power distribution unit, for electric passenger car", "GLO", "kilogram"], "amount per vehicle": 36.0, "vehicle per source service": 1.428571428571429e-07, "replacement correction factor": 1.0, "amount per MJ": 6.771674532407343e-06}, {"supplier": ["power electronics, for lorry", "power electronics, for lorry", "RER", "kilogram"], "amount per vehicle": 183.0, "vehicle per source service": 1.428571428571429e-07, "replacement correction factor": 1.0, "amount per MJ": 3.442267887307066e-05}, {"supplier": ["retarder, for lorry", "retarder, for lorry", "RER", "kilogram"], "amount per vehicle": 52.53599956512451, "vehicle per source service": 1.428571428571429e-07, "replacement correction factor": 1.0, "amount per MJ": 9.88213028582547e-06}, {"supplier": ["transmission, for lorry", "transmission, for lorry", "RER", "kilogram"], "amount per vehicle": 227.6559981155395, "vehicle per source service": 1.428571428571429e-07, "replacement correction factor": 1.0, "amount per MJ": 4.282256457191035e-05}], "excluded": [{"supplier": ["Glider lightweighting", "Glider lightweighting", "GLO", "kilogram"], "amount per vehicle": 145.999997958279, "vehicle per source service": 1.428571428571429e-07}, {"supplier": ["assembly operation, for lorry", "assembly operation, for lorry", "RER", "kilogram"], "amount per vehicle": 14070.0,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15977.71082016838, "vehicle per source service": 1.428571428571429e-07}, {"supplier": ["other components, for electric lorry", "other components, for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0.0008049741319762514}, {"supplier": "market for road maintenance", "amount per source service": 0.000129}], "alternative fuel recipe retained": false}</t>
        </is>
      </c>
    </row>
    <row r="1763">
      <c r="A1763" t="inlineStr">
        <is>
          <t>Exchanges</t>
        </is>
      </c>
    </row>
    <row r="1764">
      <c r="A1764" t="inlineStr">
        <is>
          <t>name</t>
        </is>
      </c>
      <c r="B1764" t="inlineStr">
        <is>
          <t>amount</t>
        </is>
      </c>
      <c r="C1764" t="inlineStr">
        <is>
          <t>location</t>
        </is>
      </c>
      <c r="D1764" t="inlineStr">
        <is>
          <t>unit</t>
        </is>
      </c>
      <c r="E1764" t="inlineStr">
        <is>
          <t>categories</t>
        </is>
      </c>
      <c r="F1764" t="inlineStr">
        <is>
          <t>type</t>
        </is>
      </c>
      <c r="G1764" t="inlineStr">
        <is>
          <t>reference product</t>
        </is>
      </c>
      <c r="H1764" t="inlineStr">
        <is>
          <t>comment</t>
        </is>
      </c>
      <c r="I1764" t="inlineStr">
        <is>
          <t>uncertainty type</t>
        </is>
      </c>
    </row>
    <row r="1765">
      <c r="A1765" t="inlineStr">
        <is>
          <t>electricity, used in single deck coach or urban bus</t>
        </is>
      </c>
      <c r="B1765">
        <v>1.0</v>
      </c>
      <c r="C1765" t="inlineStr">
        <is>
          <t>RER</t>
        </is>
      </c>
      <c r="D1765" t="inlineStr">
        <is>
          <t>megajoule</t>
        </is>
      </c>
      <c r="F1765" t="inlineStr">
        <is>
          <t>production</t>
        </is>
      </c>
      <c r="G1765" t="inlineStr">
        <is>
          <t>electricity, low voltage</t>
        </is>
      </c>
      <c r="I1765">
        <v>0</v>
      </c>
    </row>
    <row r="1766">
      <c r="A1766" t="inlineStr">
        <is>
          <t>market group for electricity, low voltage</t>
        </is>
      </c>
      <c r="B1766">
        <v>0.2777777777777778</v>
      </c>
      <c r="C1766" t="inlineStr">
        <is>
          <t>RER</t>
        </is>
      </c>
      <c r="D1766" t="inlineStr">
        <is>
          <t>kilowatt hour</t>
        </is>
      </c>
      <c r="F1766" t="inlineStr">
        <is>
          <t>technosphere</t>
        </is>
      </c>
      <c r="G1766" t="inlineStr">
        <is>
          <t>electricity, low voltage</t>
        </is>
      </c>
      <c r="I1766">
        <v>0</v>
      </c>
    </row>
    <row r="1767">
      <c r="A1767" t="inlineStr">
        <is>
          <t>1,1,1,2-Tetrafluoroethane</t>
        </is>
      </c>
      <c r="B1767">
        <v>3.009633125514374e-06</v>
      </c>
      <c r="D1767" t="inlineStr">
        <is>
          <t>kilogram</t>
        </is>
      </c>
      <c r="E1767" t="inlineStr">
        <is>
          <t>air::unspecified</t>
        </is>
      </c>
      <c r="F1767" t="inlineStr">
        <is>
          <t>biosphere</t>
        </is>
      </c>
      <c r="I1767">
        <v>0</v>
      </c>
    </row>
    <row r="1768">
      <c r="A1768" t="inlineStr">
        <is>
          <t>EV charger, level 3, plugin, 200 kW</t>
        </is>
      </c>
      <c r="B1768">
        <v>5.486310385052244e-08</v>
      </c>
      <c r="C1768" t="inlineStr">
        <is>
          <t>RER</t>
        </is>
      </c>
      <c r="D1768" t="inlineStr">
        <is>
          <t>unit</t>
        </is>
      </c>
      <c r="F1768" t="inlineStr">
        <is>
          <t>technosphere</t>
        </is>
      </c>
      <c r="G1768" t="inlineStr">
        <is>
          <t>EV charger, level 3, plugin, 200 kW</t>
        </is>
      </c>
      <c r="I1768">
        <v>0</v>
      </c>
    </row>
    <row r="1769">
      <c r="A1769" t="inlineStr">
        <is>
          <t>market for battery capacity (MIX scenario)</t>
        </is>
      </c>
      <c r="B1769">
        <v>7.505272606751472e-05</v>
      </c>
      <c r="C1769" t="inlineStr">
        <is>
          <t>GLO</t>
        </is>
      </c>
      <c r="D1769" t="inlineStr">
        <is>
          <t>kilowatt hour</t>
        </is>
      </c>
      <c r="F1769" t="inlineStr">
        <is>
          <t>technosphere</t>
        </is>
      </c>
      <c r="G1769" t="inlineStr">
        <is>
          <t>electricity storage capacity</t>
        </is>
      </c>
      <c r="H1769" t="inlineStr">
        <is>
          <t> Energy-use allocation: 399 * 1.428571428571429e-07 / 0.7594660845326908 MJ per person kilometer.</t>
        </is>
      </c>
      <c r="I1769">
        <v>0</v>
      </c>
    </row>
    <row r="1770">
      <c r="A1770" t="inlineStr">
        <is>
          <t>gearbox, for lorry</t>
        </is>
      </c>
      <c r="B1770">
        <v>2.9646390857476403e-05</v>
      </c>
      <c r="C1770" t="inlineStr">
        <is>
          <t>RER</t>
        </is>
      </c>
      <c r="D1770" t="inlineStr">
        <is>
          <t>kilogram</t>
        </is>
      </c>
      <c r="F1770" t="inlineStr">
        <is>
          <t>technosphere</t>
        </is>
      </c>
      <c r="G1770" t="inlineStr">
        <is>
          <t>gearbox, for lorry</t>
        </is>
      </c>
      <c r="H1770" t="inlineStr">
        <is>
          <t> Energy-use allocation: 157.6079986953735 * 1.428571428571429e-07 / 0.7594660845326908 MJ per person kilometer.</t>
        </is>
      </c>
      <c r="I1770">
        <v>0</v>
      </c>
    </row>
    <row r="1771">
      <c r="A1771" t="inlineStr">
        <is>
          <t>market for converter, for electric passenger car</t>
        </is>
      </c>
      <c r="B1771">
        <v>4.70255175861621e-06</v>
      </c>
      <c r="C1771" t="inlineStr">
        <is>
          <t>GLO</t>
        </is>
      </c>
      <c r="D1771" t="inlineStr">
        <is>
          <t>kilogram</t>
        </is>
      </c>
      <c r="F1771" t="inlineStr">
        <is>
          <t>technosphere</t>
        </is>
      </c>
      <c r="G1771" t="inlineStr">
        <is>
          <t>converter, for electric passenger car</t>
        </is>
      </c>
      <c r="H1771" t="inlineStr">
        <is>
          <t> Energy-use allocation: 25 * 1.428571428571429e-07 / 0.7594660845326908 MJ per person kilometer.</t>
        </is>
      </c>
      <c r="I1771">
        <v>0</v>
      </c>
    </row>
    <row r="1772">
      <c r="A1772" t="inlineStr">
        <is>
          <t>market for electric motor, electric passenger car</t>
        </is>
      </c>
      <c r="B1772">
        <v>1.632089456252256e-05</v>
      </c>
      <c r="C1772" t="inlineStr">
        <is>
          <t>GLO</t>
        </is>
      </c>
      <c r="D1772" t="inlineStr">
        <is>
          <t>kilogram</t>
        </is>
      </c>
      <c r="F1772" t="inlineStr">
        <is>
          <t>technosphere</t>
        </is>
      </c>
      <c r="G1772" t="inlineStr">
        <is>
          <t>electric motor, electric passenger car</t>
        </is>
      </c>
      <c r="H1772" t="inlineStr">
        <is>
          <t> Energy-use allocation: 86.76616122628923 * 1.428571428571429e-07 / 0.7594660845326908 MJ per person kilometer.</t>
        </is>
      </c>
      <c r="I1772">
        <v>0</v>
      </c>
    </row>
    <row r="1773">
      <c r="A1773" t="inlineStr">
        <is>
          <t>market for inverter, for electric passenger car</t>
        </is>
      </c>
      <c r="B1773">
        <v>2.3843425590101327e-06</v>
      </c>
      <c r="C1773" t="inlineStr">
        <is>
          <t>GLO</t>
        </is>
      </c>
      <c r="D1773" t="inlineStr">
        <is>
          <t>kilogram</t>
        </is>
      </c>
      <c r="F1773" t="inlineStr">
        <is>
          <t>technosphere</t>
        </is>
      </c>
      <c r="G1773" t="inlineStr">
        <is>
          <t>inverter, for electric passenger car</t>
        </is>
      </c>
      <c r="H1773" t="inlineStr">
        <is>
          <t> Energy-use allocation: 12.67579115233257 * 1.428571428571429e-07 / 0.7594660845326908 MJ per person kilometer.</t>
        </is>
      </c>
      <c r="I1773">
        <v>0</v>
      </c>
    </row>
    <row r="1774">
      <c r="A1774" t="inlineStr">
        <is>
          <t>market for power distribution unit, for electric passenger car</t>
        </is>
      </c>
      <c r="B1774">
        <v>6.771674532407343e-06</v>
      </c>
      <c r="C1774" t="inlineStr">
        <is>
          <t>GLO</t>
        </is>
      </c>
      <c r="D1774" t="inlineStr">
        <is>
          <t>kilogram</t>
        </is>
      </c>
      <c r="F1774" t="inlineStr">
        <is>
          <t>technosphere</t>
        </is>
      </c>
      <c r="G1774" t="inlineStr">
        <is>
          <t>power distribution unit, for electric passenger car</t>
        </is>
      </c>
      <c r="H1774" t="inlineStr">
        <is>
          <t> Energy-use allocation: 36 * 1.428571428571429e-07 / 0.7594660845326908 MJ per person kilometer.</t>
        </is>
      </c>
      <c r="I1774">
        <v>0</v>
      </c>
    </row>
    <row r="1775">
      <c r="A1775" t="inlineStr">
        <is>
          <t>power electronics, for lorry</t>
        </is>
      </c>
      <c r="B1775">
        <v>3.442267887307066e-05</v>
      </c>
      <c r="C1775" t="inlineStr">
        <is>
          <t>RER</t>
        </is>
      </c>
      <c r="D1775" t="inlineStr">
        <is>
          <t>kilogram</t>
        </is>
      </c>
      <c r="F1775" t="inlineStr">
        <is>
          <t>technosphere</t>
        </is>
      </c>
      <c r="G1775" t="inlineStr">
        <is>
          <t>power electronics, for lorry</t>
        </is>
      </c>
      <c r="H1775" t="inlineStr">
        <is>
          <t> Energy-use allocation: 183 * 1.428571428571429e-07 / 0.7594660845326908 MJ per person kilometer.</t>
        </is>
      </c>
      <c r="I1775">
        <v>0</v>
      </c>
    </row>
    <row r="1776">
      <c r="A1776" t="inlineStr">
        <is>
          <t>retarder, for lorry</t>
        </is>
      </c>
      <c r="B1776">
        <v>9.88213028582547e-06</v>
      </c>
      <c r="C1776" t="inlineStr">
        <is>
          <t>RER</t>
        </is>
      </c>
      <c r="D1776" t="inlineStr">
        <is>
          <t>kilogram</t>
        </is>
      </c>
      <c r="F1776" t="inlineStr">
        <is>
          <t>technosphere</t>
        </is>
      </c>
      <c r="G1776" t="inlineStr">
        <is>
          <t>retarder, for lorry</t>
        </is>
      </c>
      <c r="H1776" t="inlineStr">
        <is>
          <t> Energy-use allocation: 52.53599956512451 * 1.428571428571429e-07 / 0.7594660845326908 MJ per person kilometer.</t>
        </is>
      </c>
      <c r="I1776">
        <v>0</v>
      </c>
    </row>
    <row r="1777">
      <c r="A1777" t="inlineStr">
        <is>
          <t>transmission, for lorry</t>
        </is>
      </c>
      <c r="B1777">
        <v>4.282256457191035e-05</v>
      </c>
      <c r="C1777" t="inlineStr">
        <is>
          <t>RER</t>
        </is>
      </c>
      <c r="D1777" t="inlineStr">
        <is>
          <t>kilogram</t>
        </is>
      </c>
      <c r="F1777" t="inlineStr">
        <is>
          <t>technosphere</t>
        </is>
      </c>
      <c r="G1777" t="inlineStr">
        <is>
          <t>transmission, for lorry</t>
        </is>
      </c>
      <c r="H1777" t="inlineStr">
        <is>
          <t> Energy-use allocation: 227.6559981155395 * 1.428571428571429e-07 / 0.7594660845326908 MJ per person kilometer.</t>
        </is>
      </c>
      <c r="I1777">
        <v>0</v>
      </c>
    </row>
    <row r="1778">
      <c r="A1778" t="inlineStr">
        <is>
          <t>market for refrigerant R134a</t>
        </is>
      </c>
      <c r="B1778">
        <v>4.420398653099236e-06</v>
      </c>
      <c r="C1778" t="inlineStr">
        <is>
          <t>GLO</t>
        </is>
      </c>
      <c r="D1778" t="inlineStr">
        <is>
          <t>kilogram</t>
        </is>
      </c>
      <c r="F1778" t="inlineStr">
        <is>
          <t>technosphere</t>
        </is>
      </c>
      <c r="G1778" t="inlineStr">
        <is>
          <t>refrigerant R134a</t>
        </is>
      </c>
      <c r="I1778">
        <v>0</v>
      </c>
    </row>
    <row r="1779">
      <c r="A1779" t="inlineStr">
        <is>
          <t>treatment of brake wear emissions, lorry</t>
        </is>
      </c>
      <c r="B1779">
        <v>-6.472006126812549e-06</v>
      </c>
      <c r="C1779" t="inlineStr">
        <is>
          <t>RER</t>
        </is>
      </c>
      <c r="D1779" t="inlineStr">
        <is>
          <t>kilogram</t>
        </is>
      </c>
      <c r="F1779" t="inlineStr">
        <is>
          <t>technosphere</t>
        </is>
      </c>
      <c r="G1779" t="inlineStr">
        <is>
          <t>brake wear emissions, lorry</t>
        </is>
      </c>
      <c r="I1779">
        <v>0</v>
      </c>
    </row>
    <row r="1780">
      <c r="A1780" t="inlineStr">
        <is>
          <t>treatment of road wear emissions, lorry</t>
        </is>
      </c>
      <c r="B1780">
        <v>-1.1565437032804032e-05</v>
      </c>
      <c r="C1780" t="inlineStr">
        <is>
          <t>RER</t>
        </is>
      </c>
      <c r="D1780" t="inlineStr">
        <is>
          <t>kilogram</t>
        </is>
      </c>
      <c r="F1780" t="inlineStr">
        <is>
          <t>technosphere</t>
        </is>
      </c>
      <c r="G1780" t="inlineStr">
        <is>
          <t>road wear emissions, lorry</t>
        </is>
      </c>
      <c r="I1780">
        <v>0</v>
      </c>
    </row>
    <row r="1781">
      <c r="A1781" t="inlineStr">
        <is>
          <t>treatment of tyre wear emissions, lorry</t>
        </is>
      </c>
      <c r="B1781">
        <v>-1.1223374086581164e-05</v>
      </c>
      <c r="C1781" t="inlineStr">
        <is>
          <t>RER</t>
        </is>
      </c>
      <c r="D1781" t="inlineStr">
        <is>
          <t>kilogram</t>
        </is>
      </c>
      <c r="F1781" t="inlineStr">
        <is>
          <t>technosphere</t>
        </is>
      </c>
      <c r="G1781" t="inlineStr">
        <is>
          <t>tyre wear emissions, lorry</t>
        </is>
      </c>
      <c r="I1781">
        <v>0</v>
      </c>
    </row>
    <row r="1782"/>
    <row r="1783">
      <c r="A1783" t="inlineStr">
        <is>
          <t>Activity</t>
        </is>
      </c>
      <c r="B1783" t="inlineStr">
        <is>
          <t>hydrogen, used in a fuel cell in a single deck coach or urban bus</t>
        </is>
      </c>
    </row>
    <row r="1784">
      <c r="A1784" t="inlineStr">
        <is>
          <t>comment</t>
        </is>
      </c>
      <c r="B1784" t="inlineStr">
        <is>
          <t>Produces consumption of 1 MJ of purchased energy. Representative powertrain carrier: hydrogen. energy-specific equipment; excludes chassis, body, roads and whole-vehicle maintenance. Source transport, passenger bus, fuel cell electric, 13m single deck urban bus [RER]; 1.04729438689497 purchased MJ per person kilometer. All retained exchanges divided by this energy; lifetime, occupancy/payload and replacement allocation are carried by source production links. Baseline source specifications: Electric motor power: 180 [kW]. Km over lifetime: 700000 [km]. Yearly mileage: 50000 [km/year]. Daily distance driven: 312 [km]. Daily operating time: 12 [hours]. Tank-to-wheel efficiency: 39 [%]. Tank-to-wheel energy consumption: 10472 [kj/km]. Fuel cell system efficiency: 47 [%]. Battery capacity: 81 [kWh]. Fuel tank capacity: 909 [kWh]. Mass of battery: 818 [kg]. Maximum passenger capacity: 64 [unit]. Number of passengers onboard: 10 [unit]. Curb mass (excl. driver and cargo): 12475 [kg]. Driving mass (incl. driver and cargo): 13395 [kg].</t>
        </is>
      </c>
    </row>
    <row r="1785">
      <c r="A1785" t="inlineStr">
        <is>
          <t>description</t>
        </is>
      </c>
      <c r="B178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86">
      <c r="A1786" t="inlineStr">
        <is>
          <t>location</t>
        </is>
      </c>
      <c r="B1786" t="inlineStr">
        <is>
          <t>RER</t>
        </is>
      </c>
    </row>
    <row r="1787">
      <c r="A1787" t="inlineStr">
        <is>
          <t>production amount</t>
        </is>
      </c>
      <c r="B1787">
        <v>1</v>
      </c>
    </row>
    <row r="1788">
      <c r="A1788" t="inlineStr">
        <is>
          <t>reference product</t>
        </is>
      </c>
      <c r="B1788" t="inlineStr">
        <is>
          <t>heat</t>
        </is>
      </c>
    </row>
    <row r="1789">
      <c r="A1789" t="inlineStr">
        <is>
          <t>source</t>
        </is>
      </c>
      <c r="B1789" t="inlineStr">
        <is>
          <t>Sacchi, R., Bauer, C., and Cox, B. Does size matter? The influence of size, load factor, range autonomy and application type on the Life Cycle Assessment of current and future trucks. 2021. Environmental Science and Technology.</t>
        </is>
      </c>
    </row>
    <row r="1790">
      <c r="A1790" t="inlineStr">
        <is>
          <t>type</t>
        </is>
      </c>
      <c r="B1790" t="inlineStr">
        <is>
          <t>process</t>
        </is>
      </c>
    </row>
    <row r="1791">
      <c r="A1791" t="inlineStr">
        <is>
          <t>unit</t>
        </is>
      </c>
      <c r="B1791" t="inlineStr">
        <is>
          <t>megajoule</t>
        </is>
      </c>
    </row>
    <row r="1792">
      <c r="A1792" t="inlineStr">
        <is>
          <t>Power, mean</t>
        </is>
      </c>
      <c r="B1792">
        <v>185</v>
      </c>
    </row>
    <row r="1793">
      <c r="A1793" t="inlineStr">
        <is>
          <t>Power, min</t>
        </is>
      </c>
      <c r="B1793">
        <v>117</v>
      </c>
    </row>
    <row r="1794">
      <c r="A1794" t="inlineStr">
        <is>
          <t>Power, max</t>
        </is>
      </c>
      <c r="B1794">
        <v>228</v>
      </c>
    </row>
    <row r="1795">
      <c r="A1795" t="inlineStr">
        <is>
          <t>Lifetime, mean</t>
        </is>
      </c>
      <c r="B1795">
        <v>700000</v>
      </c>
    </row>
    <row r="1796">
      <c r="A1796" t="inlineStr">
        <is>
          <t>Lifetime, min</t>
        </is>
      </c>
      <c r="B1796">
        <v>500000</v>
      </c>
    </row>
    <row r="1797">
      <c r="A1797" t="inlineStr">
        <is>
          <t>Lifetime, max</t>
        </is>
      </c>
      <c r="B1797">
        <v>1000000</v>
      </c>
    </row>
    <row r="1798">
      <c r="A1798" t="inlineStr">
        <is>
          <t>Energy use, mean</t>
        </is>
      </c>
      <c r="B1798">
        <v>4580</v>
      </c>
    </row>
    <row r="1799">
      <c r="A1799" t="inlineStr">
        <is>
          <t>Energy use, min</t>
        </is>
      </c>
      <c r="B1799">
        <v>2930</v>
      </c>
    </row>
    <row r="1800">
      <c r="A1800" t="inlineStr">
        <is>
          <t>Energy use, max</t>
        </is>
      </c>
      <c r="B1800">
        <v>5170</v>
      </c>
    </row>
    <row r="1801">
      <c r="A1801" t="inlineStr">
        <is>
          <t>Electric motor, mean</t>
        </is>
      </c>
      <c r="B1801">
        <v>107</v>
      </c>
    </row>
    <row r="1802">
      <c r="A1802" t="inlineStr">
        <is>
          <t>Electric motor, min</t>
        </is>
      </c>
      <c r="B1802">
        <v>61</v>
      </c>
    </row>
    <row r="1803">
      <c r="A1803" t="inlineStr">
        <is>
          <t>Electric motor, max</t>
        </is>
      </c>
      <c r="B1803">
        <v>146</v>
      </c>
    </row>
    <row r="1804">
      <c r="A1804" t="inlineStr">
        <is>
          <t>Combustion engine, mean</t>
        </is>
      </c>
      <c r="B1804">
        <v>0</v>
      </c>
    </row>
    <row r="1805">
      <c r="A1805" t="inlineStr">
        <is>
          <t>Combustion engine, min</t>
        </is>
      </c>
      <c r="B1805">
        <v>0</v>
      </c>
    </row>
    <row r="1806">
      <c r="A1806" t="inlineStr">
        <is>
          <t>Combustion engine, max</t>
        </is>
      </c>
      <c r="B1806">
        <v>0</v>
      </c>
    </row>
    <row r="1807">
      <c r="A1807" t="inlineStr">
        <is>
          <t>Fuel tank, mean</t>
        </is>
      </c>
      <c r="B1807">
        <v>242</v>
      </c>
    </row>
    <row r="1808">
      <c r="A1808" t="inlineStr">
        <is>
          <t>Fuel tank, min</t>
        </is>
      </c>
      <c r="B1808">
        <v>181</v>
      </c>
    </row>
    <row r="1809">
      <c r="A1809" t="inlineStr">
        <is>
          <t>Fuel tank, max</t>
        </is>
      </c>
      <c r="B1809">
        <v>362</v>
      </c>
    </row>
    <row r="1810">
      <c r="A1810" t="inlineStr">
        <is>
          <t>Battery capacity, mean</t>
        </is>
      </c>
      <c r="B1810">
        <v>49</v>
      </c>
    </row>
    <row r="1811">
      <c r="A1811" t="inlineStr">
        <is>
          <t>Battery capacity, min</t>
        </is>
      </c>
      <c r="B1811">
        <v>35</v>
      </c>
    </row>
    <row r="1812">
      <c r="A1812" t="inlineStr">
        <is>
          <t>Battery capacity, max</t>
        </is>
      </c>
      <c r="B1812">
        <v>65</v>
      </c>
    </row>
    <row r="1813">
      <c r="A1813" t="inlineStr">
        <is>
          <t>Battery replacement, mean</t>
        </is>
      </c>
      <c r="B1813">
        <v>0</v>
      </c>
    </row>
    <row r="1814">
      <c r="A1814" t="inlineStr">
        <is>
          <t>Battery replacement, min</t>
        </is>
      </c>
      <c r="B1814">
        <v>0</v>
      </c>
    </row>
    <row r="1815">
      <c r="A1815" t="inlineStr">
        <is>
          <t>Battery replacement, max</t>
        </is>
      </c>
      <c r="B1815">
        <v>0</v>
      </c>
    </row>
    <row r="1816">
      <c r="A1816" t="inlineStr">
        <is>
          <t>Fuel cell system, mean</t>
        </is>
      </c>
      <c r="B1816">
        <v>53</v>
      </c>
    </row>
    <row r="1817">
      <c r="A1817" t="inlineStr">
        <is>
          <t>Fuel cell system, min</t>
        </is>
      </c>
      <c r="B1817">
        <v>33</v>
      </c>
    </row>
    <row r="1818">
      <c r="A1818" t="inlineStr">
        <is>
          <t>Fuel cell system, max</t>
        </is>
      </c>
      <c r="B1818">
        <v>66</v>
      </c>
    </row>
    <row r="1819">
      <c r="A1819" t="inlineStr">
        <is>
          <t>Fuel cell stack replacement, mean</t>
        </is>
      </c>
      <c r="B1819">
        <v>1</v>
      </c>
    </row>
    <row r="1820">
      <c r="A1820" t="inlineStr">
        <is>
          <t>Fuel cell replacement, min</t>
        </is>
      </c>
      <c r="B1820">
        <v>0</v>
      </c>
    </row>
    <row r="1821">
      <c r="A1821" t="inlineStr">
        <is>
          <t>Fuel cell replacement, max</t>
        </is>
      </c>
      <c r="B1821">
        <v>1</v>
      </c>
    </row>
    <row r="1822">
      <c r="A1822" t="inlineStr">
        <is>
          <t>Onboard charger mass</t>
        </is>
      </c>
      <c r="B1822">
        <v>0</v>
      </c>
    </row>
    <row r="1823">
      <c r="A1823" t="inlineStr">
        <is>
          <t>Controller mass</t>
        </is>
      </c>
      <c r="B1823">
        <v>36</v>
      </c>
    </row>
    <row r="1824">
      <c r="A1824" t="inlineStr">
        <is>
          <t>Converter mass</t>
        </is>
      </c>
      <c r="B1824">
        <v>25</v>
      </c>
    </row>
    <row r="1825">
      <c r="A1825" t="inlineStr">
        <is>
          <t>Electrical powertrain mass</t>
        </is>
      </c>
      <c r="B1825">
        <v>216</v>
      </c>
    </row>
    <row r="1826">
      <c r="A1826" t="inlineStr">
        <is>
          <t>Inverter mass</t>
        </is>
      </c>
      <c r="B1826">
        <v>14</v>
      </c>
    </row>
    <row r="1827">
      <c r="A1827" t="inlineStr">
        <is>
          <t>NOx</t>
        </is>
      </c>
      <c r="B1827">
        <v>0</v>
      </c>
    </row>
    <row r="1828">
      <c r="A1828" t="inlineStr">
        <is>
          <t>PM 2.5</t>
        </is>
      </c>
      <c r="B1828">
        <v>0</v>
      </c>
    </row>
    <row r="1829">
      <c r="A1829" t="inlineStr">
        <is>
          <t>energy use source</t>
        </is>
      </c>
      <c r="B1829" t="inlineStr">
        <is>
          <t>{"source": ["transport, passenger bus, fuel cell electric, 13m single deck urban bus", "transport, passenger bus", "RER", "person kilometer"], "source unit": "person kilometer", "purchased MJ per source service": 1.0472943868949744, "boundary": "energy-specific equipment; excludes chassis, body, roads and whole-vehicle maintenance", "retained equipment": [{"supplier": ["market for battery capacity (MIX scenario)", "electricity storage capacity", "GLO", "kilowatt hour"], "amount per vehicle": 81.0, "vehicle per source service": 1.428571428571429e-07, "coefficient limitation": "Native nominal-kWh MIX market is a manufacturing proxy; it does not reproduce the heavier high-power physical battery pack mass.", "replacement correction factor": 1.0, "amount per MJ": 1.1048878630712064e-05}, {"supplier": ["fuel tank, compressed hydrogen gas, 700bar, with HDPE liner", "hydrogen tank", "RER", "kilogram"], "amount per vehicle": 266.1455199530711, "vehicle per source service": 1.428571428571429e-07, "replacement correction factor": 1.0, "amount per MJ": 3.630382158110171e-05}, {"supplier": ["fuel cell system assembly, 1 kWe, proton exchange membrane (PEM)", "fuel cell system, 1 kWe, proton exchange membrane (PEM)", "GLO", "unit"], "amount per vehicle": 184.9088487677395, "vehicle per source service": 1.428571428571429e-07, "replacement correction factor": 1.0, "amount per MJ": 2.522265960221538e-05}, {"supplier": ["gearbox, for lorry", "gearbox, for lorry", "RER", "kilogram"], "amount per vehicle": 157.6079986953735, "vehicle per source service": 1.428571428571429e-07, "replacement correction factor": 1.0, "amount per MJ": 2.1498662331044536e-05}, {"supplier": ["market for converter, for electric passenger car", "converter, for electric passenger car", "GLO", "kilogram"], "amount per vehicle": 25.0, "vehicle per source service": 1.428571428571429e-07, "replacement correction factor": 1.0, "amount per MJ": 3.4101477255284147e-06}, {"supplier": ["market for electric motor, electric passenger car", "electric motor, electric passenger car", "GLO", "kilogram"], "amount per vehicle": 100.6907606002792, "vehicle per source service": 1.428571428571429e-07, "replacement correction factor": 1.0, "amount per MJ": 1.373481472971073e-05}, {"supplier": ["market for inverter, for electric passenger car", "inverter, for electric passenger car", "GLO", "kilogram"], "amount per vehicle": 13.68712182303315, "vehicle per source service": 1.428571428571429e-07, "replacement correction factor": 1.0, "amount per MJ": 1.867004294153873e-06}, {"supplier": ["market for power distribution unit, for electric passenger car", "power distribution unit, for electric passenger car", "GLO", "kilogram"], "amount per vehicle": 36.0, "vehicle per source service": 1.428571428571429e-07, "replacement correction factor": 1.0, "amount per MJ": 4.910612724760918e-06}, {"supplier": ["power electronics, for lorry", "power electronics, for lorry", "RER", "kilogram"], "amount per vehicle": 183.0, "vehicle per source service": 1.428571428571429e-07, "replacement correction factor": 1.0, "amount per MJ": 2.4962281350867997e-05}, {"supplier": ["retarder, for lorry", "retarder, for lorry", "RER", "kilogram"], "amount per vehicle": 52.53599956512451, "vehicle per source service": 1.428571428571429e-07, "replacement correction factor": 1.0, "amount per MJ": 7.166220777014846e-06}, {"supplier": ["transmission, for lorry", "transmission, for lorry", "RER", "kilogram"], "amount per vehicle": 227.6559981155395, "vehicle per source service": 1.428571428571429e-07, "replacement correction factor": 1.0, "amount per MJ": 3.105362336706432e-05}], "excluded": [{"supplier": ["Glider lightweighting", "Glider lightweighting", "GLO", "kilogram"], "amount per vehicle": 145.999997958279, "vehicle per source service": 1.428571428571429e-07}, {"supplier": ["assembly operation, for lorry", "assembly operation, for lorry", "RER", "kilogram"], "amount per vehicle": 12475.0,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1637.131886174976, "vehicle per source service": 1.428571428571429e-07}, {"supplier": ["other components, for electric lorry", "other components, for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0.0007193174067631049}, {"supplier": "market for road maintenance", "amount per source service": 0.000129}], "alternative fuel recipe retained": false}</t>
        </is>
      </c>
    </row>
    <row r="1830">
      <c r="A1830" t="inlineStr">
        <is>
          <t>Exchanges</t>
        </is>
      </c>
    </row>
    <row r="1831">
      <c r="A1831" t="inlineStr">
        <is>
          <t>name</t>
        </is>
      </c>
      <c r="B1831" t="inlineStr">
        <is>
          <t>amount</t>
        </is>
      </c>
      <c r="C1831" t="inlineStr">
        <is>
          <t>location</t>
        </is>
      </c>
      <c r="D1831" t="inlineStr">
        <is>
          <t>unit</t>
        </is>
      </c>
      <c r="E1831" t="inlineStr">
        <is>
          <t>categories</t>
        </is>
      </c>
      <c r="F1831" t="inlineStr">
        <is>
          <t>type</t>
        </is>
      </c>
      <c r="G1831" t="inlineStr">
        <is>
          <t>reference product</t>
        </is>
      </c>
      <c r="H1831" t="inlineStr">
        <is>
          <t>comment</t>
        </is>
      </c>
      <c r="I1831" t="inlineStr">
        <is>
          <t>uncertainty type</t>
        </is>
      </c>
    </row>
    <row r="1832">
      <c r="A1832" t="inlineStr">
        <is>
          <t>hydrogen, used in a fuel cell in a single deck coach or urban bus</t>
        </is>
      </c>
      <c r="B1832">
        <v>1.0</v>
      </c>
      <c r="C1832" t="inlineStr">
        <is>
          <t>RER</t>
        </is>
      </c>
      <c r="D1832" t="inlineStr">
        <is>
          <t>megajoule</t>
        </is>
      </c>
      <c r="F1832" t="inlineStr">
        <is>
          <t>production</t>
        </is>
      </c>
      <c r="G1832" t="inlineStr">
        <is>
          <t>heat</t>
        </is>
      </c>
      <c r="I1832">
        <v>0</v>
      </c>
    </row>
    <row r="1833">
      <c r="A1833" t="inlineStr">
        <is>
          <t>market for hydrogen, gaseous, low pressure</t>
        </is>
      </c>
      <c r="B1833">
        <v>0.0012945987175919265</v>
      </c>
      <c r="C1833" t="inlineStr">
        <is>
          <t>CN</t>
        </is>
      </c>
      <c r="D1833" t="inlineStr">
        <is>
          <t>kilogram</t>
        </is>
      </c>
      <c r="F1833" t="inlineStr">
        <is>
          <t>technosphere</t>
        </is>
      </c>
      <c r="G1833" t="inlineStr">
        <is>
          <t>hydrogen, gaseous, low pressure</t>
        </is>
      </c>
      <c r="I1833">
        <v>0</v>
      </c>
    </row>
    <row r="1834">
      <c r="A1834" t="inlineStr">
        <is>
          <t>market for hydrogen, gaseous, low pressure</t>
        </is>
      </c>
      <c r="B1834">
        <v>0.005469534948887208</v>
      </c>
      <c r="C1834" t="inlineStr">
        <is>
          <t>RoW</t>
        </is>
      </c>
      <c r="D1834" t="inlineStr">
        <is>
          <t>kilogram</t>
        </is>
      </c>
      <c r="F1834" t="inlineStr">
        <is>
          <t>technosphere</t>
        </is>
      </c>
      <c r="G1834" t="inlineStr">
        <is>
          <t>hydrogen, gaseous, low pressure</t>
        </is>
      </c>
      <c r="I1834">
        <v>0</v>
      </c>
    </row>
    <row r="1835">
      <c r="A1835" t="inlineStr">
        <is>
          <t>market for hydrogen, gaseous, low pressure</t>
        </is>
      </c>
      <c r="B1835">
        <v>0.0007686670431839546</v>
      </c>
      <c r="C1835" t="inlineStr">
        <is>
          <t>RER</t>
        </is>
      </c>
      <c r="D1835" t="inlineStr">
        <is>
          <t>kilogram</t>
        </is>
      </c>
      <c r="F1835" t="inlineStr">
        <is>
          <t>technosphere</t>
        </is>
      </c>
      <c r="G1835" t="inlineStr">
        <is>
          <t>hydrogen, gaseous, low pressure</t>
        </is>
      </c>
      <c r="I1835">
        <v>0</v>
      </c>
    </row>
    <row r="1836">
      <c r="A1836" t="inlineStr">
        <is>
          <t>market for hydrogen, gaseous, low pressure</t>
        </is>
      </c>
      <c r="B1836">
        <v>0.000800532623670244</v>
      </c>
      <c r="C1836" t="inlineStr">
        <is>
          <t>US</t>
        </is>
      </c>
      <c r="D1836" t="inlineStr">
        <is>
          <t>kilogram</t>
        </is>
      </c>
      <c r="F1836" t="inlineStr">
        <is>
          <t>technosphere</t>
        </is>
      </c>
      <c r="G1836" t="inlineStr">
        <is>
          <t>hydrogen, gaseous, low pressure</t>
        </is>
      </c>
      <c r="I1836">
        <v>0</v>
      </c>
    </row>
    <row r="1837">
      <c r="A1837" t="inlineStr">
        <is>
          <t>1,1,1,2-Tetrafluoroethane</t>
        </is>
      </c>
      <c r="B1837">
        <v>2.1824945443381847e-06</v>
      </c>
      <c r="D1837" t="inlineStr">
        <is>
          <t>kilogram</t>
        </is>
      </c>
      <c r="E1837" t="inlineStr">
        <is>
          <t>air::unspecified</t>
        </is>
      </c>
      <c r="F1837" t="inlineStr">
        <is>
          <t>biosphere</t>
        </is>
      </c>
      <c r="I1837">
        <v>0</v>
      </c>
    </row>
    <row r="1838">
      <c r="A1838" t="inlineStr">
        <is>
          <t>market for battery capacity (MIX scenario)</t>
        </is>
      </c>
      <c r="B1838">
        <v>1.1048878630712064e-05</v>
      </c>
      <c r="C1838" t="inlineStr">
        <is>
          <t>GLO</t>
        </is>
      </c>
      <c r="D1838" t="inlineStr">
        <is>
          <t>kilowatt hour</t>
        </is>
      </c>
      <c r="F1838" t="inlineStr">
        <is>
          <t>technosphere</t>
        </is>
      </c>
      <c r="G1838" t="inlineStr">
        <is>
          <t>electricity storage capacity</t>
        </is>
      </c>
      <c r="H1838" t="inlineStr">
        <is>
          <t> Energy-use allocation: 81 * 1.428571428571429e-07 / 1.0472943868949744 MJ per person kilometer.</t>
        </is>
      </c>
      <c r="I1838">
        <v>0</v>
      </c>
    </row>
    <row r="1839">
      <c r="A1839" t="inlineStr">
        <is>
          <t>fuel tank, compressed hydrogen gas, 700bar, with HDPE liner</t>
        </is>
      </c>
      <c r="B1839">
        <v>3.630382158110171e-05</v>
      </c>
      <c r="C1839" t="inlineStr">
        <is>
          <t>RER</t>
        </is>
      </c>
      <c r="D1839" t="inlineStr">
        <is>
          <t>kilogram</t>
        </is>
      </c>
      <c r="F1839" t="inlineStr">
        <is>
          <t>technosphere</t>
        </is>
      </c>
      <c r="G1839" t="inlineStr">
        <is>
          <t>hydrogen tank</t>
        </is>
      </c>
      <c r="H1839" t="inlineStr">
        <is>
          <t> Energy-use allocation: 266.1455199530711 * 1.428571428571429e-07 / 1.0472943868949744 MJ per person kilometer.</t>
        </is>
      </c>
      <c r="I1839">
        <v>0</v>
      </c>
    </row>
    <row r="1840">
      <c r="A1840" t="inlineStr">
        <is>
          <t>fuel cell system assembly, 1 kWe, proton exchange membrane (PEM)</t>
        </is>
      </c>
      <c r="B1840">
        <v>2.522265960221538e-05</v>
      </c>
      <c r="C1840" t="inlineStr">
        <is>
          <t>GLO</t>
        </is>
      </c>
      <c r="D1840" t="inlineStr">
        <is>
          <t>unit</t>
        </is>
      </c>
      <c r="F1840" t="inlineStr">
        <is>
          <t>technosphere</t>
        </is>
      </c>
      <c r="G1840" t="inlineStr">
        <is>
          <t>fuel cell system, 1 kWe, proton exchange membrane (PEM)</t>
        </is>
      </c>
      <c r="H1840" t="inlineStr">
        <is>
          <t> Energy-use allocation: 184.9088487677395 * 1.428571428571429e-07 / 1.0472943868949744 MJ per person kilometer.</t>
        </is>
      </c>
      <c r="I1840">
        <v>0</v>
      </c>
    </row>
    <row r="1841">
      <c r="A1841" t="inlineStr">
        <is>
          <t>gearbox, for lorry</t>
        </is>
      </c>
      <c r="B1841">
        <v>2.1498662331044536e-05</v>
      </c>
      <c r="C1841" t="inlineStr">
        <is>
          <t>RER</t>
        </is>
      </c>
      <c r="D1841" t="inlineStr">
        <is>
          <t>kilogram</t>
        </is>
      </c>
      <c r="F1841" t="inlineStr">
        <is>
          <t>technosphere</t>
        </is>
      </c>
      <c r="G1841" t="inlineStr">
        <is>
          <t>gearbox, for lorry</t>
        </is>
      </c>
      <c r="H1841" t="inlineStr">
        <is>
          <t> Energy-use allocation: 157.6079986953735 * 1.428571428571429e-07 / 1.0472943868949744 MJ per person kilometer.</t>
        </is>
      </c>
      <c r="I1841">
        <v>0</v>
      </c>
    </row>
    <row r="1842">
      <c r="A1842" t="inlineStr">
        <is>
          <t>market for converter, for electric passenger car</t>
        </is>
      </c>
      <c r="B1842">
        <v>3.4101477255284147e-06</v>
      </c>
      <c r="C1842" t="inlineStr">
        <is>
          <t>GLO</t>
        </is>
      </c>
      <c r="D1842" t="inlineStr">
        <is>
          <t>kilogram</t>
        </is>
      </c>
      <c r="F1842" t="inlineStr">
        <is>
          <t>technosphere</t>
        </is>
      </c>
      <c r="G1842" t="inlineStr">
        <is>
          <t>converter, for electric passenger car</t>
        </is>
      </c>
      <c r="H1842" t="inlineStr">
        <is>
          <t> Energy-use allocation: 25 * 1.428571428571429e-07 / 1.0472943868949744 MJ per person kilometer.</t>
        </is>
      </c>
      <c r="I1842">
        <v>0</v>
      </c>
    </row>
    <row r="1843">
      <c r="A1843" t="inlineStr">
        <is>
          <t>market for electric motor, electric passenger car</t>
        </is>
      </c>
      <c r="B1843">
        <v>1.373481472971073e-05</v>
      </c>
      <c r="C1843" t="inlineStr">
        <is>
          <t>GLO</t>
        </is>
      </c>
      <c r="D1843" t="inlineStr">
        <is>
          <t>kilogram</t>
        </is>
      </c>
      <c r="F1843" t="inlineStr">
        <is>
          <t>technosphere</t>
        </is>
      </c>
      <c r="G1843" t="inlineStr">
        <is>
          <t>electric motor, electric passenger car</t>
        </is>
      </c>
      <c r="H1843" t="inlineStr">
        <is>
          <t> Energy-use allocation: 100.6907606002792 * 1.428571428571429e-07 / 1.0472943868949744 MJ per person kilometer.</t>
        </is>
      </c>
      <c r="I1843">
        <v>0</v>
      </c>
    </row>
    <row r="1844">
      <c r="A1844" t="inlineStr">
        <is>
          <t>market for inverter, for electric passenger car</t>
        </is>
      </c>
      <c r="B1844">
        <v>1.867004294153873e-06</v>
      </c>
      <c r="C1844" t="inlineStr">
        <is>
          <t>GLO</t>
        </is>
      </c>
      <c r="D1844" t="inlineStr">
        <is>
          <t>kilogram</t>
        </is>
      </c>
      <c r="F1844" t="inlineStr">
        <is>
          <t>technosphere</t>
        </is>
      </c>
      <c r="G1844" t="inlineStr">
        <is>
          <t>inverter, for electric passenger car</t>
        </is>
      </c>
      <c r="H1844" t="inlineStr">
        <is>
          <t> Energy-use allocation: 13.68712182303315 * 1.428571428571429e-07 / 1.0472943868949744 MJ per person kilometer.</t>
        </is>
      </c>
      <c r="I1844">
        <v>0</v>
      </c>
    </row>
    <row r="1845">
      <c r="A1845" t="inlineStr">
        <is>
          <t>market for power distribution unit, for electric passenger car</t>
        </is>
      </c>
      <c r="B1845">
        <v>4.910612724760918e-06</v>
      </c>
      <c r="C1845" t="inlineStr">
        <is>
          <t>GLO</t>
        </is>
      </c>
      <c r="D1845" t="inlineStr">
        <is>
          <t>kilogram</t>
        </is>
      </c>
      <c r="F1845" t="inlineStr">
        <is>
          <t>technosphere</t>
        </is>
      </c>
      <c r="G1845" t="inlineStr">
        <is>
          <t>power distribution unit, for electric passenger car</t>
        </is>
      </c>
      <c r="H1845" t="inlineStr">
        <is>
          <t> Energy-use allocation: 36 * 1.428571428571429e-07 / 1.0472943868949744 MJ per person kilometer.</t>
        </is>
      </c>
      <c r="I1845">
        <v>0</v>
      </c>
    </row>
    <row r="1846">
      <c r="A1846" t="inlineStr">
        <is>
          <t>power electronics, for lorry</t>
        </is>
      </c>
      <c r="B1846">
        <v>2.4962281350867997e-05</v>
      </c>
      <c r="C1846" t="inlineStr">
        <is>
          <t>RER</t>
        </is>
      </c>
      <c r="D1846" t="inlineStr">
        <is>
          <t>kilogram</t>
        </is>
      </c>
      <c r="F1846" t="inlineStr">
        <is>
          <t>technosphere</t>
        </is>
      </c>
      <c r="G1846" t="inlineStr">
        <is>
          <t>power electronics, for lorry</t>
        </is>
      </c>
      <c r="H1846" t="inlineStr">
        <is>
          <t> Energy-use allocation: 183 * 1.428571428571429e-07 / 1.0472943868949744 MJ per person kilometer.</t>
        </is>
      </c>
      <c r="I1846">
        <v>0</v>
      </c>
    </row>
    <row r="1847">
      <c r="A1847" t="inlineStr">
        <is>
          <t>retarder, for lorry</t>
        </is>
      </c>
      <c r="B1847">
        <v>7.166220777014846e-06</v>
      </c>
      <c r="C1847" t="inlineStr">
        <is>
          <t>RER</t>
        </is>
      </c>
      <c r="D1847" t="inlineStr">
        <is>
          <t>kilogram</t>
        </is>
      </c>
      <c r="F1847" t="inlineStr">
        <is>
          <t>technosphere</t>
        </is>
      </c>
      <c r="G1847" t="inlineStr">
        <is>
          <t>retarder, for lorry</t>
        </is>
      </c>
      <c r="H1847" t="inlineStr">
        <is>
          <t> Energy-use allocation: 52.53599956512451 * 1.428571428571429e-07 / 1.0472943868949744 MJ per person kilometer.</t>
        </is>
      </c>
      <c r="I1847">
        <v>0</v>
      </c>
    </row>
    <row r="1848">
      <c r="A1848" t="inlineStr">
        <is>
          <t>transmission, for lorry</t>
        </is>
      </c>
      <c r="B1848">
        <v>3.105362336706432e-05</v>
      </c>
      <c r="C1848" t="inlineStr">
        <is>
          <t>RER</t>
        </is>
      </c>
      <c r="D1848" t="inlineStr">
        <is>
          <t>kilogram</t>
        </is>
      </c>
      <c r="F1848" t="inlineStr">
        <is>
          <t>technosphere</t>
        </is>
      </c>
      <c r="G1848" t="inlineStr">
        <is>
          <t>transmission, for lorry</t>
        </is>
      </c>
      <c r="H1848" t="inlineStr">
        <is>
          <t> Energy-use allocation: 227.6559981155395 * 1.428571428571429e-07 / 1.0472943868949744 MJ per person kilometer.</t>
        </is>
      </c>
      <c r="I1848">
        <v>0</v>
      </c>
    </row>
    <row r="1849">
      <c r="A1849" t="inlineStr">
        <is>
          <t>market for refrigerant R134a</t>
        </is>
      </c>
      <c r="B1849">
        <v>3.2055388619967086e-06</v>
      </c>
      <c r="C1849" t="inlineStr">
        <is>
          <t>GLO</t>
        </is>
      </c>
      <c r="D1849" t="inlineStr">
        <is>
          <t>kilogram</t>
        </is>
      </c>
      <c r="F1849" t="inlineStr">
        <is>
          <t>technosphere</t>
        </is>
      </c>
      <c r="G1849" t="inlineStr">
        <is>
          <t>refrigerant R134a</t>
        </is>
      </c>
      <c r="I1849">
        <v>0</v>
      </c>
    </row>
    <row r="1850">
      <c r="A1850" t="inlineStr">
        <is>
          <t>treatment of brake wear emissions, lorry</t>
        </is>
      </c>
      <c r="B1850">
        <v>-4.30601059459193e-06</v>
      </c>
      <c r="C1850" t="inlineStr">
        <is>
          <t>RER</t>
        </is>
      </c>
      <c r="D1850" t="inlineStr">
        <is>
          <t>kilogram</t>
        </is>
      </c>
      <c r="F1850" t="inlineStr">
        <is>
          <t>technosphere</t>
        </is>
      </c>
      <c r="G1850" t="inlineStr">
        <is>
          <t>brake wear emissions, lorry</t>
        </is>
      </c>
      <c r="I1850">
        <v>0</v>
      </c>
    </row>
    <row r="1851">
      <c r="A1851" t="inlineStr">
        <is>
          <t>treatment of road wear emissions, lorry</t>
        </is>
      </c>
      <c r="B1851">
        <v>-7.685978760462684e-06</v>
      </c>
      <c r="C1851" t="inlineStr">
        <is>
          <t>RER</t>
        </is>
      </c>
      <c r="D1851" t="inlineStr">
        <is>
          <t>kilogram</t>
        </is>
      </c>
      <c r="F1851" t="inlineStr">
        <is>
          <t>technosphere</t>
        </is>
      </c>
      <c r="G1851" t="inlineStr">
        <is>
          <t>road wear emissions, lorry</t>
        </is>
      </c>
      <c r="I1851">
        <v>0</v>
      </c>
    </row>
    <row r="1852">
      <c r="A1852" t="inlineStr">
        <is>
          <t>treatment of tyre wear emissions, lorry</t>
        </is>
      </c>
      <c r="B1852">
        <v>-7.562223665570384e-06</v>
      </c>
      <c r="C1852" t="inlineStr">
        <is>
          <t>RER</t>
        </is>
      </c>
      <c r="D1852" t="inlineStr">
        <is>
          <t>kilogram</t>
        </is>
      </c>
      <c r="F1852" t="inlineStr">
        <is>
          <t>technosphere</t>
        </is>
      </c>
      <c r="G1852" t="inlineStr">
        <is>
          <t>tyre wear emissions, lorry</t>
        </is>
      </c>
      <c r="I1852">
        <v>0</v>
      </c>
    </row>
    <row r="1853"/>
    <row r="1854">
      <c r="A1854" t="inlineStr">
        <is>
          <t>Activity</t>
        </is>
      </c>
      <c r="B1854" t="inlineStr">
        <is>
          <t>electricity, used in single deck trolleybus</t>
        </is>
      </c>
    </row>
    <row r="1855">
      <c r="A1855" t="inlineStr">
        <is>
          <t>comment</t>
        </is>
      </c>
      <c r="B1855" t="inlineStr">
        <is>
          <t>Produces consumption of 1 MJ of purchased energy. Representative powertrain carrier: electricity. energy-specific equipment; excludes chassis, body, roads and whole-vehicle maintenance. Source transport, passenger bus, battery electric - battery-equipped trolleybus, LTO battery, 13m single deck urban bus [RER]; 0.577033103222752 purchased MJ per person kilometer. All retained exchanges divided by this energy; lifetime, occupancy/payload and replacement allocation are carried by source production links. Baseline source specifications: Electric motor power: 148 [kW]. Km over lifetime: 1000000 [km]. Yearly mileage: 50000 [km/year]. Daily distance driven: 312 [km]. Daily operating time: 12 [hours]. Tank-to-wheel efficiency: 73 [%]. Tank-to-wheel energy consumption: 5481 [kj/km]. Fuel tank capacity: 13 [kWh]. Maximum passenger capacity: 64 [unit]. Number of passengers onboard: 10 [unit]. Curb mass (excl. driver and cargo): 11442 [kg]. Driving mass (incl. driver and cargo): 12362 [kg].</t>
        </is>
      </c>
    </row>
    <row r="1856">
      <c r="A1856" t="inlineStr">
        <is>
          <t>description</t>
        </is>
      </c>
      <c r="B185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857">
      <c r="A1857" t="inlineStr">
        <is>
          <t>location</t>
        </is>
      </c>
      <c r="B1857" t="inlineStr">
        <is>
          <t>RER</t>
        </is>
      </c>
    </row>
    <row r="1858">
      <c r="A1858" t="inlineStr">
        <is>
          <t>production amount</t>
        </is>
      </c>
      <c r="B1858">
        <v>1</v>
      </c>
    </row>
    <row r="1859">
      <c r="A1859" t="inlineStr">
        <is>
          <t>reference product</t>
        </is>
      </c>
      <c r="B1859" t="inlineStr">
        <is>
          <t>electricity, low voltage</t>
        </is>
      </c>
    </row>
    <row r="1860">
      <c r="A1860" t="inlineStr">
        <is>
          <t>source</t>
        </is>
      </c>
      <c r="B1860" t="inlineStr">
        <is>
          <t>Sacchi, R., Bauer, C., and Cox, B. Does size matter? The influence of size, load factor, range autonomy and application type on the Life Cycle Assessment of current and future trucks. 2021. Environmental Science and Technology.</t>
        </is>
      </c>
    </row>
    <row r="1861">
      <c r="A1861" t="inlineStr">
        <is>
          <t>type</t>
        </is>
      </c>
      <c r="B1861" t="inlineStr">
        <is>
          <t>process</t>
        </is>
      </c>
    </row>
    <row r="1862">
      <c r="A1862" t="inlineStr">
        <is>
          <t>unit</t>
        </is>
      </c>
      <c r="B1862" t="inlineStr">
        <is>
          <t>megajoule</t>
        </is>
      </c>
    </row>
    <row r="1863">
      <c r="A1863" t="inlineStr">
        <is>
          <t>Power, mean</t>
        </is>
      </c>
      <c r="B1863">
        <v>261</v>
      </c>
    </row>
    <row r="1864">
      <c r="A1864" t="inlineStr">
        <is>
          <t>Power, min</t>
        </is>
      </c>
      <c r="B1864">
        <v>114</v>
      </c>
    </row>
    <row r="1865">
      <c r="A1865" t="inlineStr">
        <is>
          <t>Power, max</t>
        </is>
      </c>
      <c r="B1865">
        <v>513</v>
      </c>
    </row>
    <row r="1866">
      <c r="A1866" t="inlineStr">
        <is>
          <t>Lifetime, mean</t>
        </is>
      </c>
      <c r="B1866">
        <v>700000</v>
      </c>
    </row>
    <row r="1867">
      <c r="A1867" t="inlineStr">
        <is>
          <t>Lifetime, min</t>
        </is>
      </c>
      <c r="B1867">
        <v>500000</v>
      </c>
    </row>
    <row r="1868">
      <c r="A1868" t="inlineStr">
        <is>
          <t>Lifetime, max</t>
        </is>
      </c>
      <c r="B1868">
        <v>1000000</v>
      </c>
    </row>
    <row r="1869">
      <c r="A1869" t="inlineStr">
        <is>
          <t>Energy use, mean</t>
        </is>
      </c>
      <c r="B1869">
        <v>1715</v>
      </c>
    </row>
    <row r="1870">
      <c r="A1870" t="inlineStr">
        <is>
          <t>Energy use, min</t>
        </is>
      </c>
      <c r="B1870">
        <v>1500</v>
      </c>
    </row>
    <row r="1871">
      <c r="A1871" t="inlineStr">
        <is>
          <t>Energy use, max</t>
        </is>
      </c>
      <c r="B1871">
        <v>4450</v>
      </c>
    </row>
    <row r="1872">
      <c r="A1872" t="inlineStr">
        <is>
          <t>Electric motor, mean</t>
        </is>
      </c>
      <c r="B1872">
        <v>247</v>
      </c>
    </row>
    <row r="1873">
      <c r="A1873" t="inlineStr">
        <is>
          <t>Electric motor, min</t>
        </is>
      </c>
      <c r="B1873">
        <v>60</v>
      </c>
    </row>
    <row r="1874">
      <c r="A1874" t="inlineStr">
        <is>
          <t>Electric motor, max</t>
        </is>
      </c>
      <c r="B1874">
        <v>600</v>
      </c>
    </row>
    <row r="1875">
      <c r="A1875" t="inlineStr">
        <is>
          <t>Combustion engine, mean</t>
        </is>
      </c>
      <c r="B1875">
        <v>0</v>
      </c>
    </row>
    <row r="1876">
      <c r="A1876" t="inlineStr">
        <is>
          <t>Combustion engine, min</t>
        </is>
      </c>
      <c r="B1876">
        <v>0</v>
      </c>
    </row>
    <row r="1877">
      <c r="A1877" t="inlineStr">
        <is>
          <t>Combustion engine, max</t>
        </is>
      </c>
      <c r="B1877">
        <v>0</v>
      </c>
    </row>
    <row r="1878">
      <c r="A1878" t="inlineStr">
        <is>
          <t>Fuel tank, mean</t>
        </is>
      </c>
      <c r="B1878">
        <v>0</v>
      </c>
    </row>
    <row r="1879">
      <c r="A1879" t="inlineStr">
        <is>
          <t>Fuel tank, min</t>
        </is>
      </c>
      <c r="B1879">
        <v>0</v>
      </c>
    </row>
    <row r="1880">
      <c r="A1880" t="inlineStr">
        <is>
          <t>Fuel tank, max</t>
        </is>
      </c>
      <c r="B1880">
        <v>0</v>
      </c>
    </row>
    <row r="1881">
      <c r="A1881" t="inlineStr">
        <is>
          <t>Battery capacity, mean</t>
        </is>
      </c>
      <c r="B1881">
        <v>15</v>
      </c>
    </row>
    <row r="1882">
      <c r="A1882" t="inlineStr">
        <is>
          <t>Battery capacity, min</t>
        </is>
      </c>
      <c r="B1882">
        <v>10</v>
      </c>
    </row>
    <row r="1883">
      <c r="A1883" t="inlineStr">
        <is>
          <t>Battery capacity, max</t>
        </is>
      </c>
      <c r="B1883">
        <v>30</v>
      </c>
    </row>
    <row r="1884">
      <c r="A1884" t="inlineStr">
        <is>
          <t>Battery replacement, mean</t>
        </is>
      </c>
      <c r="B1884">
        <v>1</v>
      </c>
    </row>
    <row r="1885">
      <c r="A1885" t="inlineStr">
        <is>
          <t>Battery replacement, min</t>
        </is>
      </c>
      <c r="B1885">
        <v>0</v>
      </c>
    </row>
    <row r="1886">
      <c r="A1886" t="inlineStr">
        <is>
          <t>Battery replacement, max</t>
        </is>
      </c>
      <c r="B1886">
        <v>2</v>
      </c>
    </row>
    <row r="1887">
      <c r="A1887" t="inlineStr">
        <is>
          <t>Fuel cell system, mean</t>
        </is>
      </c>
      <c r="B1887">
        <v>0</v>
      </c>
    </row>
    <row r="1888">
      <c r="A1888" t="inlineStr">
        <is>
          <t>Fuel cell system, min</t>
        </is>
      </c>
      <c r="B1888">
        <v>0</v>
      </c>
    </row>
    <row r="1889">
      <c r="A1889" t="inlineStr">
        <is>
          <t>Fuel cell system, max</t>
        </is>
      </c>
      <c r="B1889">
        <v>0</v>
      </c>
    </row>
    <row r="1890">
      <c r="A1890" t="inlineStr">
        <is>
          <t>Fuel cell stack replacement, mean</t>
        </is>
      </c>
      <c r="B1890">
        <v>0</v>
      </c>
    </row>
    <row r="1891">
      <c r="A1891" t="inlineStr">
        <is>
          <t>Fuel cell replacement, min</t>
        </is>
      </c>
      <c r="B1891">
        <v>0</v>
      </c>
    </row>
    <row r="1892">
      <c r="A1892" t="inlineStr">
        <is>
          <t>Fuel cell replacement, max</t>
        </is>
      </c>
      <c r="B1892">
        <v>0</v>
      </c>
    </row>
    <row r="1893">
      <c r="A1893" t="inlineStr">
        <is>
          <t>Onboard charger mass</t>
        </is>
      </c>
      <c r="B1893">
        <v>36</v>
      </c>
    </row>
    <row r="1894">
      <c r="A1894" t="inlineStr">
        <is>
          <t>Controller mass</t>
        </is>
      </c>
      <c r="B1894">
        <v>36</v>
      </c>
    </row>
    <row r="1895">
      <c r="A1895" t="inlineStr">
        <is>
          <t>Converter mass</t>
        </is>
      </c>
      <c r="B1895">
        <v>25</v>
      </c>
    </row>
    <row r="1896">
      <c r="A1896" t="inlineStr">
        <is>
          <t>Electrical powertrain mass</t>
        </is>
      </c>
      <c r="B1896">
        <v>216</v>
      </c>
    </row>
    <row r="1897">
      <c r="A1897" t="inlineStr">
        <is>
          <t>Inverter mass</t>
        </is>
      </c>
      <c r="B1897">
        <v>18</v>
      </c>
    </row>
    <row r="1898">
      <c r="A1898" t="inlineStr">
        <is>
          <t>NOx</t>
        </is>
      </c>
      <c r="B1898">
        <v>0</v>
      </c>
    </row>
    <row r="1899">
      <c r="A1899" t="inlineStr">
        <is>
          <t>PM 2.5</t>
        </is>
      </c>
      <c r="B1899">
        <v>0</v>
      </c>
    </row>
    <row r="1900">
      <c r="A1900" t="inlineStr">
        <is>
          <t>energy use source</t>
        </is>
      </c>
      <c r="B1900" t="inlineStr">
        <is>
          <t>{"source": ["transport, passenger bus, battery electric - battery-equipped trolleybus, LTO battery, 13m single deck urban bus", "transport, passenger bus", "RER", "person kilometer"], "source unit": "person kilometer", "purchased MJ per source service": 0.5770331032227517, "boundary": "energy-specific equipment; excludes chassis, body, roads and whole-vehicle maintenance", "retained equipment": [{"supplier": ["market for battery capacity, Li-ion, LTO", "electricity storage capacity", "GLO", "kilowatt hour"], "amount per vehicle": 13.0, "vehicle per source service": 1e-07, "replacement correction factor": 1.0, "amount per MJ": 2.25290367699782e-06}, {"supplier": ["gearbox, for lorry", "gearbox, for lorry", "RER", "kilogram"], "amount per vehicle": 157.6079986953735, "vehicle per source service": 1e-07, "replacement correction factor": 1.0, "amount per MJ": 2.7313510752698047e-05}, {"supplier": ["market for converter, for electric passenger car", "converter, for electric passenger car", "GLO", "kilogram"], "amount per vehicle": 25.0, "vehicle per source service": 1e-07, "replacement correction factor": 1.0, "amount per MJ": 4.332507071149654e-06}, {"supplier": ["market for electric motor, electric passenger car", "electric motor, electric passenger car", "GLO", "kilogram"], "amount per vehicle": 87.16847324955381, "vehicle per source service": 1e-07, "replacement correction factor": 1.0, "amount per MJ": 1.5106321069400454e-05}, {"supplier": ["market for inverter, for electric passenger car", "inverter, for electric passenger car", "GLO", "kilogram"], "amount per vehicle": 12.70722437977019, "vehicle per source service": 1e-07, "replacement correction factor": 1.0, "amount per MJ": 2.202165579201585e-06}, {"supplier": ["market for power distribution unit, for electric passenger car", "power distribution unit, for electric passenger car", "GLO", "kilogram"], "amount per vehicle": 36.0, "vehicle per source service": 1e-07, "replacement correction factor": 1.0, "amount per MJ": 6.2388101824555015e-06}, {"supplier": ["power electronics, for lorry", "power electronics, for lorry", "RER", "kilogram"], "amount per vehicle": 183.0, "vehicle per source service": 1e-07, "replacement correction factor": 1.0, "amount per MJ": 3.171395176081547e-05}, {"supplier": ["retarder, for lorry", "retarder, for lorry", "RER", "kilogram"], "amount per vehicle": 52.53599956512451, "vehicle per source service": 1e-07, "replacement correction factor": 1.0, "amount per MJ": 9.104503584232683e-06}, {"supplier": ["transmission, for lorry", "transmission, for lorry", "RER", "kilogram"], "amount per vehicle": 227.6559981155395, "vehicle per source service": 1e-07, "replacement correction factor": 1.0, "amount per MJ": 3.945284886500829e-05}], "excluded": [{"supplier": ["Glider lightweighting", "Glider lightweighting", "GLO", "kilogram"], "amount per vehicle": 145.999997958279, "vehicle per source service": 1e-07}, {"supplier": ["assembly operation, for lorry", "assembly operation, for lorry", "RER", "kilogram"], "amount per vehicle": 12492.0, "vehicle per source service": 1e-07}, {"supplier": ["frame, blanks and saddle, for lorry", "frame, blanks and saddle, for lorry", "RER", "kilogram"], "amount per vehicle": 7300.0, "vehicle per source service": 1e-07}, {"supplier": ["maintenance, bus", "maintenance, bus", "CH", "unit"], "amount per vehicle": 1.0, "vehicle per source service": 1e-07}, {"supplier": ["market group for electricity, low voltage", "electricity, low voltage", "CN", "kilowatt hour"], "amount per vehicle": 7139.162032649739, "vehicle per source service": 1e-07}, {"supplier": ["other components, for electric lorry", "other components, for electric lorry", "RER", "kilogram"], "amount per vehicle": 858.0, "vehicle per source service": 1e-07}, {"supplier": ["suspension, for lorry", "suspension, for lorry", "RER", "kilogram"], "amount per vehicle": 1762.0, "vehicle per source service": 1e-07}, {"supplier": ["tires and wheels, for lorry", "tires and wheels, for lorry", "RER", "kilogram"], "amount per vehicle": 576.0, "vehicle per source service": 1e-07}, {"supplier": ["treatment of used bus", "used bus", "CH", "unit"], "amount per vehicle": -1.0, "vehicle per source service": 1e-07}, {"supplier": "diesel, burned in diesel-electric generating set, 18.5kW", "amount per source service": 0.004350642283585299}, {"supplier": "market for road", "amount per source service": 0.0006638872711661586}, {"supplier": "market for road maintenance", "amount per source service": 0.000129}], "alternative fuel recipe retained": false}</t>
        </is>
      </c>
    </row>
    <row r="1901">
      <c r="A1901" t="inlineStr">
        <is>
          <t>Exchanges</t>
        </is>
      </c>
    </row>
    <row r="1902">
      <c r="A1902" t="inlineStr">
        <is>
          <t>name</t>
        </is>
      </c>
      <c r="B1902" t="inlineStr">
        <is>
          <t>amount</t>
        </is>
      </c>
      <c r="C1902" t="inlineStr">
        <is>
          <t>location</t>
        </is>
      </c>
      <c r="D1902" t="inlineStr">
        <is>
          <t>unit</t>
        </is>
      </c>
      <c r="E1902" t="inlineStr">
        <is>
          <t>categories</t>
        </is>
      </c>
      <c r="F1902" t="inlineStr">
        <is>
          <t>type</t>
        </is>
      </c>
      <c r="G1902" t="inlineStr">
        <is>
          <t>reference product</t>
        </is>
      </c>
      <c r="H1902" t="inlineStr">
        <is>
          <t>comment</t>
        </is>
      </c>
      <c r="I1902" t="inlineStr">
        <is>
          <t>uncertainty type</t>
        </is>
      </c>
    </row>
    <row r="1903">
      <c r="A1903" t="inlineStr">
        <is>
          <t>electricity, used in single deck trolleybus</t>
        </is>
      </c>
      <c r="B1903">
        <v>1.0</v>
      </c>
      <c r="C1903" t="inlineStr">
        <is>
          <t>RER</t>
        </is>
      </c>
      <c r="D1903" t="inlineStr">
        <is>
          <t>megajoule</t>
        </is>
      </c>
      <c r="F1903" t="inlineStr">
        <is>
          <t>production</t>
        </is>
      </c>
      <c r="G1903" t="inlineStr">
        <is>
          <t>electricity, low voltage</t>
        </is>
      </c>
      <c r="I1903">
        <v>0</v>
      </c>
    </row>
    <row r="1904">
      <c r="A1904" t="inlineStr">
        <is>
          <t>market group for electricity, low voltage</t>
        </is>
      </c>
      <c r="B1904">
        <v>0.2777777777777778</v>
      </c>
      <c r="C1904" t="inlineStr">
        <is>
          <t>RER</t>
        </is>
      </c>
      <c r="D1904" t="inlineStr">
        <is>
          <t>kilowatt hour</t>
        </is>
      </c>
      <c r="F1904" t="inlineStr">
        <is>
          <t>technosphere</t>
        </is>
      </c>
      <c r="G1904" t="inlineStr">
        <is>
          <t>electricity, low voltage</t>
        </is>
      </c>
      <c r="I1904">
        <v>0</v>
      </c>
    </row>
    <row r="1905">
      <c r="A1905" t="inlineStr">
        <is>
          <t>1,1,1,2-Tetrafluoroethane</t>
        </is>
      </c>
      <c r="B1905">
        <v>2.7728045255357786e-06</v>
      </c>
      <c r="D1905" t="inlineStr">
        <is>
          <t>kilogram</t>
        </is>
      </c>
      <c r="E1905" t="inlineStr">
        <is>
          <t>air::unspecified</t>
        </is>
      </c>
      <c r="F1905" t="inlineStr">
        <is>
          <t>biosphere</t>
        </is>
      </c>
      <c r="I1905">
        <v>0</v>
      </c>
    </row>
    <row r="1906">
      <c r="A1906" t="inlineStr">
        <is>
          <t>Catenary system</t>
        </is>
      </c>
      <c r="B1906">
        <v>1.443591356107065e-08</v>
      </c>
      <c r="C1906" t="inlineStr">
        <is>
          <t>RER</t>
        </is>
      </c>
      <c r="D1906" t="inlineStr">
        <is>
          <t>kilometer</t>
        </is>
      </c>
      <c r="F1906" t="inlineStr">
        <is>
          <t>technosphere</t>
        </is>
      </c>
      <c r="G1906" t="inlineStr">
        <is>
          <t>Catenary system</t>
        </is>
      </c>
      <c r="I1906">
        <v>0</v>
      </c>
    </row>
    <row r="1907">
      <c r="A1907" t="inlineStr">
        <is>
          <t>market for battery capacity, Li-ion, LTO</t>
        </is>
      </c>
      <c r="B1907">
        <v>2.25290367699782e-06</v>
      </c>
      <c r="C1907" t="inlineStr">
        <is>
          <t>GLO</t>
        </is>
      </c>
      <c r="D1907" t="inlineStr">
        <is>
          <t>kilowatt hour</t>
        </is>
      </c>
      <c r="F1907" t="inlineStr">
        <is>
          <t>technosphere</t>
        </is>
      </c>
      <c r="G1907" t="inlineStr">
        <is>
          <t>electricity storage capacity</t>
        </is>
      </c>
      <c r="H1907" t="inlineStr">
        <is>
          <t> Energy-use allocation: 13 * 1e-07 / 0.5770331032227517 MJ per person kilometer.</t>
        </is>
      </c>
      <c r="I1907">
        <v>0</v>
      </c>
    </row>
    <row r="1908">
      <c r="A1908" t="inlineStr">
        <is>
          <t>gearbox, for lorry</t>
        </is>
      </c>
      <c r="B1908">
        <v>2.7313510752698047e-05</v>
      </c>
      <c r="C1908" t="inlineStr">
        <is>
          <t>RER</t>
        </is>
      </c>
      <c r="D1908" t="inlineStr">
        <is>
          <t>kilogram</t>
        </is>
      </c>
      <c r="F1908" t="inlineStr">
        <is>
          <t>technosphere</t>
        </is>
      </c>
      <c r="G1908" t="inlineStr">
        <is>
          <t>gearbox, for lorry</t>
        </is>
      </c>
      <c r="H1908" t="inlineStr">
        <is>
          <t> Energy-use allocation: 157.6079986953735 * 1e-07 / 0.5770331032227517 MJ per person kilometer.</t>
        </is>
      </c>
      <c r="I1908">
        <v>0</v>
      </c>
    </row>
    <row r="1909">
      <c r="A1909" t="inlineStr">
        <is>
          <t>market for converter, for electric passenger car</t>
        </is>
      </c>
      <c r="B1909">
        <v>4.332507071149654e-06</v>
      </c>
      <c r="C1909" t="inlineStr">
        <is>
          <t>GLO</t>
        </is>
      </c>
      <c r="D1909" t="inlineStr">
        <is>
          <t>kilogram</t>
        </is>
      </c>
      <c r="F1909" t="inlineStr">
        <is>
          <t>technosphere</t>
        </is>
      </c>
      <c r="G1909" t="inlineStr">
        <is>
          <t>converter, for electric passenger car</t>
        </is>
      </c>
      <c r="H1909" t="inlineStr">
        <is>
          <t> Energy-use allocation: 25 * 1e-07 / 0.5770331032227517 MJ per person kilometer.</t>
        </is>
      </c>
      <c r="I1909">
        <v>0</v>
      </c>
    </row>
    <row r="1910">
      <c r="A1910" t="inlineStr">
        <is>
          <t>market for electric motor, electric passenger car</t>
        </is>
      </c>
      <c r="B1910">
        <v>1.5106321069400454e-05</v>
      </c>
      <c r="C1910" t="inlineStr">
        <is>
          <t>GLO</t>
        </is>
      </c>
      <c r="D1910" t="inlineStr">
        <is>
          <t>kilogram</t>
        </is>
      </c>
      <c r="F1910" t="inlineStr">
        <is>
          <t>technosphere</t>
        </is>
      </c>
      <c r="G1910" t="inlineStr">
        <is>
          <t>electric motor, electric passenger car</t>
        </is>
      </c>
      <c r="H1910" t="inlineStr">
        <is>
          <t> Energy-use allocation: 87.16847324955381 * 1e-07 / 0.5770331032227517 MJ per person kilometer.</t>
        </is>
      </c>
      <c r="I1910">
        <v>0</v>
      </c>
    </row>
    <row r="1911">
      <c r="A1911" t="inlineStr">
        <is>
          <t>market for inverter, for electric passenger car</t>
        </is>
      </c>
      <c r="B1911">
        <v>2.202165579201585e-06</v>
      </c>
      <c r="C1911" t="inlineStr">
        <is>
          <t>GLO</t>
        </is>
      </c>
      <c r="D1911" t="inlineStr">
        <is>
          <t>kilogram</t>
        </is>
      </c>
      <c r="F1911" t="inlineStr">
        <is>
          <t>technosphere</t>
        </is>
      </c>
      <c r="G1911" t="inlineStr">
        <is>
          <t>inverter, for electric passenger car</t>
        </is>
      </c>
      <c r="H1911" t="inlineStr">
        <is>
          <t> Energy-use allocation: 12.70722437977019 * 1e-07 / 0.5770331032227517 MJ per person kilometer.</t>
        </is>
      </c>
      <c r="I1911">
        <v>0</v>
      </c>
    </row>
    <row r="1912">
      <c r="A1912" t="inlineStr">
        <is>
          <t>market for power distribution unit, for electric passenger car</t>
        </is>
      </c>
      <c r="B1912">
        <v>6.2388101824555015e-06</v>
      </c>
      <c r="C1912" t="inlineStr">
        <is>
          <t>GLO</t>
        </is>
      </c>
      <c r="D1912" t="inlineStr">
        <is>
          <t>kilogram</t>
        </is>
      </c>
      <c r="F1912" t="inlineStr">
        <is>
          <t>technosphere</t>
        </is>
      </c>
      <c r="G1912" t="inlineStr">
        <is>
          <t>power distribution unit, for electric passenger car</t>
        </is>
      </c>
      <c r="H1912" t="inlineStr">
        <is>
          <t> Energy-use allocation: 36 * 1e-07 / 0.5770331032227517 MJ per person kilometer.</t>
        </is>
      </c>
      <c r="I1912">
        <v>0</v>
      </c>
    </row>
    <row r="1913">
      <c r="A1913" t="inlineStr">
        <is>
          <t>power electronics, for lorry</t>
        </is>
      </c>
      <c r="B1913">
        <v>3.171395176081547e-05</v>
      </c>
      <c r="C1913" t="inlineStr">
        <is>
          <t>RER</t>
        </is>
      </c>
      <c r="D1913" t="inlineStr">
        <is>
          <t>kilogram</t>
        </is>
      </c>
      <c r="F1913" t="inlineStr">
        <is>
          <t>technosphere</t>
        </is>
      </c>
      <c r="G1913" t="inlineStr">
        <is>
          <t>power electronics, for lorry</t>
        </is>
      </c>
      <c r="H1913" t="inlineStr">
        <is>
          <t> Energy-use allocation: 183 * 1e-07 / 0.5770331032227517 MJ per person kilometer.</t>
        </is>
      </c>
      <c r="I1913">
        <v>0</v>
      </c>
    </row>
    <row r="1914">
      <c r="A1914" t="inlineStr">
        <is>
          <t>retarder, for lorry</t>
        </is>
      </c>
      <c r="B1914">
        <v>9.104503584232683e-06</v>
      </c>
      <c r="C1914" t="inlineStr">
        <is>
          <t>RER</t>
        </is>
      </c>
      <c r="D1914" t="inlineStr">
        <is>
          <t>kilogram</t>
        </is>
      </c>
      <c r="F1914" t="inlineStr">
        <is>
          <t>technosphere</t>
        </is>
      </c>
      <c r="G1914" t="inlineStr">
        <is>
          <t>retarder, for lorry</t>
        </is>
      </c>
      <c r="H1914" t="inlineStr">
        <is>
          <t> Energy-use allocation: 52.53599956512451 * 1e-07 / 0.5770331032227517 MJ per person kilometer.</t>
        </is>
      </c>
      <c r="I1914">
        <v>0</v>
      </c>
    </row>
    <row r="1915">
      <c r="A1915" t="inlineStr">
        <is>
          <t>transmission, for lorry</t>
        </is>
      </c>
      <c r="B1915">
        <v>3.945284886500829e-05</v>
      </c>
      <c r="C1915" t="inlineStr">
        <is>
          <t>RER</t>
        </is>
      </c>
      <c r="D1915" t="inlineStr">
        <is>
          <t>kilogram</t>
        </is>
      </c>
      <c r="F1915" t="inlineStr">
        <is>
          <t>technosphere</t>
        </is>
      </c>
      <c r="G1915" t="inlineStr">
        <is>
          <t>transmission, for lorry</t>
        </is>
      </c>
      <c r="H1915" t="inlineStr">
        <is>
          <t> Energy-use allocation: 227.6559981155395 * 1e-07 / 0.5770331032227517 MJ per person kilometer.</t>
        </is>
      </c>
      <c r="I1915">
        <v>0</v>
      </c>
    </row>
    <row r="1916">
      <c r="A1916" t="inlineStr">
        <is>
          <t>market for refrigerant R134a</t>
        </is>
      </c>
      <c r="B1916">
        <v>4.072556646880675e-06</v>
      </c>
      <c r="C1916" t="inlineStr">
        <is>
          <t>GLO</t>
        </is>
      </c>
      <c r="D1916" t="inlineStr">
        <is>
          <t>kilogram</t>
        </is>
      </c>
      <c r="F1916" t="inlineStr">
        <is>
          <t>technosphere</t>
        </is>
      </c>
      <c r="G1916" t="inlineStr">
        <is>
          <t>refrigerant R134a</t>
        </is>
      </c>
      <c r="I1916">
        <v>0</v>
      </c>
    </row>
    <row r="1917">
      <c r="A1917" t="inlineStr">
        <is>
          <t>treatment of brake wear emissions, lorry</t>
        </is>
      </c>
      <c r="B1917">
        <v>-7.430982091970633e-06</v>
      </c>
      <c r="C1917" t="inlineStr">
        <is>
          <t>RER</t>
        </is>
      </c>
      <c r="D1917" t="inlineStr">
        <is>
          <t>kilogram</t>
        </is>
      </c>
      <c r="F1917" t="inlineStr">
        <is>
          <t>technosphere</t>
        </is>
      </c>
      <c r="G1917" t="inlineStr">
        <is>
          <t>brake wear emissions, lorry</t>
        </is>
      </c>
      <c r="I1917">
        <v>0</v>
      </c>
    </row>
    <row r="1918">
      <c r="A1918" t="inlineStr">
        <is>
          <t>treatment of road wear emissions, lorry</t>
        </is>
      </c>
      <c r="B1918">
        <v>-1.3109941475499826e-05</v>
      </c>
      <c r="C1918" t="inlineStr">
        <is>
          <t>RER</t>
        </is>
      </c>
      <c r="D1918" t="inlineStr">
        <is>
          <t>kilogram</t>
        </is>
      </c>
      <c r="F1918" t="inlineStr">
        <is>
          <t>technosphere</t>
        </is>
      </c>
      <c r="G1918" t="inlineStr">
        <is>
          <t>road wear emissions, lorry</t>
        </is>
      </c>
      <c r="I1918">
        <v>0</v>
      </c>
    </row>
    <row r="1919">
      <c r="A1919" t="inlineStr">
        <is>
          <t>treatment of tyre wear emissions, lorry</t>
        </is>
      </c>
      <c r="B1919">
        <v>-1.3030412942614006e-05</v>
      </c>
      <c r="C1919" t="inlineStr">
        <is>
          <t>RER</t>
        </is>
      </c>
      <c r="D1919" t="inlineStr">
        <is>
          <t>kilogram</t>
        </is>
      </c>
      <c r="F1919" t="inlineStr">
        <is>
          <t>technosphere</t>
        </is>
      </c>
      <c r="G1919" t="inlineStr">
        <is>
          <t>tyre wear emissions, lorry</t>
        </is>
      </c>
      <c r="I1919">
        <v>0</v>
      </c>
    </row>
    <row r="1920"/>
    <row r="1921">
      <c r="A1921" t="inlineStr">
        <is>
          <t>Activity</t>
        </is>
      </c>
      <c r="B1921" t="inlineStr">
        <is>
          <t>electricity, used in tram</t>
        </is>
      </c>
    </row>
    <row r="1922">
      <c r="A1922" t="inlineStr">
        <is>
          <t>location</t>
        </is>
      </c>
      <c r="B1922" t="inlineStr">
        <is>
          <t>RER</t>
        </is>
      </c>
    </row>
    <row r="1923">
      <c r="A1923" t="inlineStr">
        <is>
          <t>reference product</t>
        </is>
      </c>
      <c r="B1923" t="inlineStr">
        <is>
          <t>electricity, low voltage</t>
        </is>
      </c>
    </row>
    <row r="1924">
      <c r="A1924" t="inlineStr">
        <is>
          <t>type</t>
        </is>
      </c>
      <c r="B1924" t="inlineStr">
        <is>
          <t>process</t>
        </is>
      </c>
    </row>
    <row r="1925">
      <c r="A1925" t="inlineStr">
        <is>
          <t>unit</t>
        </is>
      </c>
      <c r="B1925" t="inlineStr">
        <is>
          <t>megajoule</t>
        </is>
      </c>
    </row>
    <row r="1926">
      <c r="A1926" t="inlineStr">
        <is>
          <t>engineering energy reference</t>
        </is>
      </c>
      <c r="B1926" t="inlineStr">
        <is>
          <t>{"schema": 1, "reference": "600V DC tram, engineering reference", "policy": "static per-MJ reference; not reconstructed from freight train", "lifetime purchased MJ": 38880000.0, "installed motor kg": 415.14, "lifetime inverter kg": 370.970729976, "source": "VBZ/Bombardier2018 Zurich Flexity fact sheet https://www.stadt-zuerich.ch/content/dam/vbz/de/die-vbz/medien/medienmitteilungen/2018/Faktenblatt%20Flexity.pdf; Hsieh2026 IM2 SI; ABB Terra CE184 EPD2023 as industrial rectifier material proxy.", "assumptions and gaps": "APPROVED600V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t>
        </is>
      </c>
    </row>
    <row r="1927">
      <c r="A1927" t="inlineStr">
        <is>
          <t>comment</t>
        </is>
      </c>
      <c r="B1927" t="inlineStr">
        <is>
          <t xml:space="preserve">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1928">
      <c r="A1928" t="inlineStr">
        <is>
          <t>Exchanges</t>
        </is>
      </c>
    </row>
    <row r="1929">
      <c r="A1929" t="inlineStr">
        <is>
          <t>name</t>
        </is>
      </c>
      <c r="B1929" t="inlineStr">
        <is>
          <t>amount</t>
        </is>
      </c>
      <c r="C1929" t="inlineStr">
        <is>
          <t>location</t>
        </is>
      </c>
      <c r="D1929" t="inlineStr">
        <is>
          <t>unit</t>
        </is>
      </c>
      <c r="E1929" t="inlineStr">
        <is>
          <t>categories</t>
        </is>
      </c>
      <c r="F1929" t="inlineStr">
        <is>
          <t>type</t>
        </is>
      </c>
      <c r="G1929" t="inlineStr">
        <is>
          <t>reference product</t>
        </is>
      </c>
      <c r="H1929" t="inlineStr">
        <is>
          <t>comment</t>
        </is>
      </c>
      <c r="I1929" t="inlineStr">
        <is>
          <t>uncertainty type</t>
        </is>
      </c>
    </row>
    <row r="1930">
      <c r="A1930" t="inlineStr">
        <is>
          <t>electricity, used in tram</t>
        </is>
      </c>
      <c r="B1930">
        <v>1.0</v>
      </c>
      <c r="C1930" t="inlineStr">
        <is>
          <t>RER</t>
        </is>
      </c>
      <c r="D1930" t="inlineStr">
        <is>
          <t>megajoule</t>
        </is>
      </c>
      <c r="F1930" t="inlineStr">
        <is>
          <t>production</t>
        </is>
      </c>
      <c r="G1930" t="inlineStr">
        <is>
          <t>electricity, low voltage</t>
        </is>
      </c>
      <c r="I1930">
        <v>0</v>
      </c>
    </row>
    <row r="1931">
      <c r="A1931" t="inlineStr">
        <is>
          <t>market group for electricity, high voltage</t>
        </is>
      </c>
      <c r="B1931">
        <v>0.27777777777777773</v>
      </c>
      <c r="C1931" t="inlineStr">
        <is>
          <t>Europe without Switzerland</t>
        </is>
      </c>
      <c r="D1931" t="inlineStr">
        <is>
          <t>kilowatt hour</t>
        </is>
      </c>
      <c r="F1931" t="inlineStr">
        <is>
          <t>technosphere</t>
        </is>
      </c>
      <c r="G1931" t="inlineStr">
        <is>
          <t>electricity, high voltage</t>
        </is>
      </c>
      <c r="H1931"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1931">
        <v>0</v>
      </c>
    </row>
    <row r="1932">
      <c r="A1932" t="inlineStr">
        <is>
          <t>market for diesel</t>
        </is>
      </c>
      <c r="B1932">
        <v>0</v>
      </c>
      <c r="C1932" t="inlineStr">
        <is>
          <t>Europe without Switzerland</t>
        </is>
      </c>
      <c r="D1932" t="inlineStr">
        <is>
          <t>kilogram</t>
        </is>
      </c>
      <c r="F1932" t="inlineStr">
        <is>
          <t>technosphere</t>
        </is>
      </c>
      <c r="G1932" t="inlineStr">
        <is>
          <t>diesel</t>
        </is>
      </c>
      <c r="H1932"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energy consumption for shunting processes is added. The shunting process is assumed to be done by diesel shunting locomotives exclusivley. The specific diesel consumption for the shunting is taken from the regional ecoinvent datasets "transport, freight train, electric".</t>
        </is>
      </c>
      <c r="I1932">
        <v>0</v>
      </c>
    </row>
    <row r="1933">
      <c r="A1933" t="inlineStr">
        <is>
          <t>market for transformer, high voltage use</t>
        </is>
      </c>
      <c r="B1933">
        <v>5.94558599695586e-06</v>
      </c>
      <c r="C1933" t="inlineStr">
        <is>
          <t>GLO</t>
        </is>
      </c>
      <c r="D1933" t="inlineStr">
        <is>
          <t>kilogram</t>
        </is>
      </c>
      <c r="F1933" t="inlineStr">
        <is>
          <t>technosphere</t>
        </is>
      </c>
      <c r="G1933" t="inlineStr">
        <is>
          <t>transformer, high voltage use</t>
        </is>
      </c>
      <c r="H1933"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1933">
        <v>0</v>
      </c>
    </row>
    <row r="1934">
      <c r="A1934" t="inlineStr">
        <is>
          <t>electric motor, asynchronous traction, engineering reference</t>
        </is>
      </c>
      <c r="B1934">
        <v>1.0677469135802469e-05</v>
      </c>
      <c r="C1934" t="inlineStr">
        <is>
          <t>GLO</t>
        </is>
      </c>
      <c r="D1934" t="inlineStr">
        <is>
          <t>kilogram</t>
        </is>
      </c>
      <c r="F1934" t="inlineStr">
        <is>
          <t>technosphere</t>
        </is>
      </c>
      <c r="G1934" t="inlineStr">
        <is>
          <t>electric motor, asynchronous traction, engineering reference</t>
        </is>
      </c>
      <c r="H1934"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1934">
        <v>0</v>
      </c>
    </row>
    <row r="1935">
      <c r="A1935" t="inlineStr">
        <is>
          <t>market for inverter, for electric passenger car</t>
        </is>
      </c>
      <c r="B1935">
        <v>9.541428240123456e-06</v>
      </c>
      <c r="C1935" t="inlineStr">
        <is>
          <t>GLO</t>
        </is>
      </c>
      <c r="D1935" t="inlineStr">
        <is>
          <t>kilogram</t>
        </is>
      </c>
      <c r="F1935" t="inlineStr">
        <is>
          <t>technosphere</t>
        </is>
      </c>
      <c r="G1935" t="inlineStr">
        <is>
          <t>inverter, for electric passenger car</t>
        </is>
      </c>
      <c r="H1935"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1935">
        <v>0</v>
      </c>
    </row>
    <row r="1936">
      <c r="A1936" t="inlineStr">
        <is>
          <t>Ammonia</t>
        </is>
      </c>
      <c r="B1936">
        <v>6.377421684981479e-08</v>
      </c>
      <c r="D1936" t="inlineStr">
        <is>
          <t>kilogram</t>
        </is>
      </c>
      <c r="E1936" t="inlineStr">
        <is>
          <t>air</t>
        </is>
      </c>
      <c r="F1936" t="inlineStr">
        <is>
          <t>biosphere</t>
        </is>
      </c>
      <c r="H1936" t="inlineStr">
        <is>
          <t>2.0E-05 kg/kg fuel for diesel locomotives, according to Spielmann et al. (2007)
Spielmann, M., Bauer, C., Dones, R., Institut, P. S., &amp; Tuchschmid, M. (2007). Transport Services. Swiss Centre for Life Cycle Inventories, ecoinvent report No. 14.</t>
        </is>
      </c>
      <c r="I1936">
        <v>0</v>
      </c>
    </row>
    <row r="1937">
      <c r="A1937" t="inlineStr">
        <is>
          <t>Benzene</t>
        </is>
      </c>
      <c r="B1937">
        <v>3.1887108424907397e-07</v>
      </c>
      <c r="D1937" t="inlineStr">
        <is>
          <t>kilogram</t>
        </is>
      </c>
      <c r="E1937" t="inlineStr">
        <is>
          <t>air</t>
        </is>
      </c>
      <c r="F1937" t="inlineStr">
        <is>
          <t>biosphere</t>
        </is>
      </c>
      <c r="H1937" t="inlineStr">
        <is>
          <t>1.0E-04 kg/kg fuel for diesel locomotives, according to Spielmann et al. (2007)
Spielmann, M., Bauer, C., Dones, R., Institut, P. S., &amp; Tuchschmid, M. (2007). Transport Services. Swiss Centre for Life Cycle Inventories, ecoinvent report No. 14.</t>
        </is>
      </c>
      <c r="I1937">
        <v>0</v>
      </c>
    </row>
    <row r="1938">
      <c r="A1938" t="inlineStr">
        <is>
          <t>Cadmium II</t>
        </is>
      </c>
      <c r="B1938">
        <v>3.1887108424907394e-11</v>
      </c>
      <c r="D1938" t="inlineStr">
        <is>
          <t>kilogram</t>
        </is>
      </c>
      <c r="E1938" t="inlineStr">
        <is>
          <t>air</t>
        </is>
      </c>
      <c r="F1938" t="inlineStr">
        <is>
          <t>biosphere</t>
        </is>
      </c>
      <c r="H1938" t="inlineStr">
        <is>
          <t>1.0E-08 kg/kg fuel for diesel locomotives, according to Spielmann et al. (2007)
Spielmann, M., Bauer, C., Dones, R., Institut, P. S., &amp; Tuchschmid, M. (2007). Transport Services. Swiss Centre for Life Cycle Inventories, ecoinvent report No. 14.</t>
        </is>
      </c>
      <c r="I1938">
        <v>0</v>
      </c>
    </row>
    <row r="1939">
      <c r="A1939" t="inlineStr">
        <is>
          <t>Carbon dioxide, fossil</t>
        </is>
      </c>
      <c r="B1939">
        <v>0.010031684310475865</v>
      </c>
      <c r="D1939" t="inlineStr">
        <is>
          <t>kilogram</t>
        </is>
      </c>
      <c r="E1939" t="inlineStr">
        <is>
          <t>air</t>
        </is>
      </c>
      <c r="F1939" t="inlineStr">
        <is>
          <t>biosphere</t>
        </is>
      </c>
      <c r="H1939" t="inlineStr">
        <is>
          <t>3.146 kg/kg fuel for diesel locomotives, according to Spielmann et al. (2007)
Spielmann, M., Bauer, C., Dones, R., Institut, P. S., &amp; Tuchschmid, M. (2007). Transport Services. Swiss Centre for Life Cycle Inventories, ecoinvent report No. 14.</t>
        </is>
      </c>
      <c r="I1939">
        <v>0</v>
      </c>
    </row>
    <row r="1940">
      <c r="A1940" t="inlineStr">
        <is>
          <t>Carbon monoxide, fossil</t>
        </is>
      </c>
      <c r="B1940">
        <v>5.038163131135368e-05</v>
      </c>
      <c r="D1940" t="inlineStr">
        <is>
          <t>kilogram</t>
        </is>
      </c>
      <c r="E1940" t="inlineStr">
        <is>
          <t>air</t>
        </is>
      </c>
      <c r="F1940" t="inlineStr">
        <is>
          <t>biosphere</t>
        </is>
      </c>
      <c r="H1940" t="inlineStr">
        <is>
          <t>1.58E-02 kg/kg fuel for diesel locomotives, according to Spielmann et al. (2007)
Spielmann, M., Bauer, C., Dones, R., Institut, P. S., &amp; Tuchschmid, M. (2007). Transport Services. Swiss Centre for Life Cycle Inventories, ecoinvent report No. 14.</t>
        </is>
      </c>
      <c r="I1940">
        <v>0</v>
      </c>
    </row>
    <row r="1941">
      <c r="A1941" t="inlineStr">
        <is>
          <t>Chromium III</t>
        </is>
      </c>
      <c r="B1941">
        <v>1.5943554212453697e-10</v>
      </c>
      <c r="D1941" t="inlineStr">
        <is>
          <t>kilogram</t>
        </is>
      </c>
      <c r="E1941" t="inlineStr">
        <is>
          <t>air</t>
        </is>
      </c>
      <c r="F1941" t="inlineStr">
        <is>
          <t>biosphere</t>
        </is>
      </c>
      <c r="H1941" t="inlineStr">
        <is>
          <t>5.0E-08 kg/kg fuel for diesel locomotives, according to Spielmann et al. (2007)
Spielmann, M., Bauer, C., Dones, R., Institut, P. S., &amp; Tuchschmid, M. (2007). Transport Services. Swiss Centre for Life Cycle Inventories, ecoinvent report No. 14.</t>
        </is>
      </c>
      <c r="I1941">
        <v>0</v>
      </c>
    </row>
    <row r="1942">
      <c r="A1942" t="inlineStr">
        <is>
          <t>Copper ion</t>
        </is>
      </c>
      <c r="B1942">
        <v>5.420808432234257e-09</v>
      </c>
      <c r="D1942" t="inlineStr">
        <is>
          <t>kilogram</t>
        </is>
      </c>
      <c r="E1942" t="inlineStr">
        <is>
          <t>air</t>
        </is>
      </c>
      <c r="F1942" t="inlineStr">
        <is>
          <t>biosphere</t>
        </is>
      </c>
      <c r="H1942" t="inlineStr">
        <is>
          <t>1.7E-06 kg/kg fuel for diesel locomotives, according to Spielmann et al. (2007)
Spielmann, M., Bauer, C., Dones, R., Institut, P. S., &amp; Tuchschmid, M. (2007). Transport Services. Swiss Centre for Life Cycle Inventories, ecoinvent report No. 14.</t>
        </is>
      </c>
      <c r="I1942">
        <v>0</v>
      </c>
    </row>
    <row r="1943">
      <c r="A1943" t="inlineStr">
        <is>
          <t>Dinitrogen monoxide</t>
        </is>
      </c>
      <c r="B1943">
        <v>3.1887108424907397e-07</v>
      </c>
      <c r="D1943" t="inlineStr">
        <is>
          <t>kilogram</t>
        </is>
      </c>
      <c r="E1943" t="inlineStr">
        <is>
          <t>air</t>
        </is>
      </c>
      <c r="F1943" t="inlineStr">
        <is>
          <t>biosphere</t>
        </is>
      </c>
      <c r="H1943" t="inlineStr">
        <is>
          <t>1.0E-04 kg/kg fuel for diesel locomotives, according to Spielmann et al. (2007)
Spielmann, M., Bauer, C., Dones, R., Institut, P. S., &amp; Tuchschmid, M. (2007). Transport Services. Swiss Centre for Life Cycle Inventories, ecoinvent report No. 14.</t>
        </is>
      </c>
      <c r="I1943">
        <v>0</v>
      </c>
    </row>
    <row r="1944">
      <c r="A1944" t="inlineStr">
        <is>
          <t>Iron ion</t>
        </is>
      </c>
      <c r="B1944">
        <v>5.840474807516273e-05</v>
      </c>
      <c r="D1944" t="inlineStr">
        <is>
          <t>kilogram</t>
        </is>
      </c>
      <c r="E1944" t="inlineStr">
        <is>
          <t>soil</t>
        </is>
      </c>
      <c r="F1944" t="inlineStr">
        <is>
          <t>biosphere</t>
        </is>
      </c>
      <c r="H1944"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1944">
        <v>0</v>
      </c>
    </row>
    <row r="1945">
      <c r="A1945" t="inlineStr">
        <is>
          <t>Lead II</t>
        </is>
      </c>
      <c r="B1945">
        <v>3.5075819267398133e-13</v>
      </c>
      <c r="D1945" t="inlineStr">
        <is>
          <t>kilogram</t>
        </is>
      </c>
      <c r="E1945" t="inlineStr">
        <is>
          <t>air</t>
        </is>
      </c>
      <c r="F1945" t="inlineStr">
        <is>
          <t>biosphere</t>
        </is>
      </c>
      <c r="H1945" t="inlineStr">
        <is>
          <t>1.1E-10 kg/kg fuel for diesel locomotives, according to Spielmann et al. (2007)
Spielmann, M., Bauer, C., Dones, R., Institut, P. S., &amp; Tuchschmid, M. (2007). Transport Services. Swiss Centre for Life Cycle Inventories, ecoinvent report No. 14.</t>
        </is>
      </c>
      <c r="I1945">
        <v>0</v>
      </c>
    </row>
    <row r="1946">
      <c r="A1946" t="inlineStr">
        <is>
          <t>Mercury II</t>
        </is>
      </c>
      <c r="B1946">
        <v>6.377421684981477e-14</v>
      </c>
      <c r="D1946" t="inlineStr">
        <is>
          <t>kilogram</t>
        </is>
      </c>
      <c r="E1946" t="inlineStr">
        <is>
          <t>air</t>
        </is>
      </c>
      <c r="F1946" t="inlineStr">
        <is>
          <t>biosphere</t>
        </is>
      </c>
      <c r="H1946" t="inlineStr">
        <is>
          <t>2.0E-11 kg/kg fuel for diesel locomotives, according to Spielmann et al. (2007)
Spielmann, M., Bauer, C., Dones, R., Institut, P. S., &amp; Tuchschmid, M. (2007). Transport Services. Swiss Centre for Life Cycle Inventories, ecoinvent report No. 14.</t>
        </is>
      </c>
      <c r="I1946">
        <v>0</v>
      </c>
    </row>
    <row r="1947">
      <c r="A1947" t="inlineStr">
        <is>
          <t>Methane, fossil</t>
        </is>
      </c>
      <c r="B1947">
        <v>4.1453240952379607e-07</v>
      </c>
      <c r="D1947" t="inlineStr">
        <is>
          <t>kilogram</t>
        </is>
      </c>
      <c r="E1947" t="inlineStr">
        <is>
          <t>air</t>
        </is>
      </c>
      <c r="F1947" t="inlineStr">
        <is>
          <t>biosphere</t>
        </is>
      </c>
      <c r="H1947" t="inlineStr">
        <is>
          <t>1.3E-04 kg/kg fuel for diesel locomotives, according to Spielmann et al. (2007)
Spielmann, M., Bauer, C., Dones, R., Institut, P. S., &amp; Tuchschmid, M. (2007). Transport Services. Swiss Centre for Life Cycle Inventories, ecoinvent report No. 14.</t>
        </is>
      </c>
      <c r="I1947">
        <v>0</v>
      </c>
    </row>
    <row r="1948">
      <c r="A1948" t="inlineStr">
        <is>
          <t>NMVOC, non-methane volatile organic compounds</t>
        </is>
      </c>
      <c r="B1948">
        <v>1.6740731923076382e-05</v>
      </c>
      <c r="D1948" t="inlineStr">
        <is>
          <t>kilogram</t>
        </is>
      </c>
      <c r="E1948" t="inlineStr">
        <is>
          <t>air</t>
        </is>
      </c>
      <c r="F1948" t="inlineStr">
        <is>
          <t>biosphere</t>
        </is>
      </c>
      <c r="H1948" t="inlineStr">
        <is>
          <t>5.25E-03 kg/kg fuel for diesel locomotives, according to Spielmann et al. (2007)
Spielmann, M., Bauer, C., Dones, R., Institut, P. S., &amp; Tuchschmid, M. (2007). Transport Services. Swiss Centre for Life Cycle Inventories, ecoinvent report No. 14.</t>
        </is>
      </c>
      <c r="I1948">
        <v>0</v>
      </c>
    </row>
    <row r="1949">
      <c r="A1949" t="inlineStr">
        <is>
          <t>Nickel II</t>
        </is>
      </c>
      <c r="B1949">
        <v>2.2320975897435179e-10</v>
      </c>
      <c r="D1949" t="inlineStr">
        <is>
          <t>kilogram</t>
        </is>
      </c>
      <c r="E1949" t="inlineStr">
        <is>
          <t>air</t>
        </is>
      </c>
      <c r="F1949" t="inlineStr">
        <is>
          <t>biosphere</t>
        </is>
      </c>
      <c r="H1949" t="inlineStr">
        <is>
          <t>7.0E-08 kg/kg fuel for diesel locomotives, according to Spielmann et al. (2007)
Spielmann, M., Bauer, C., Dones, R., Institut, P. S., &amp; Tuchschmid, M. (2007). Transport Services. Swiss Centre for Life Cycle Inventories, ecoinvent report No. 14.</t>
        </is>
      </c>
      <c r="I1949">
        <v>0</v>
      </c>
    </row>
    <row r="1950">
      <c r="A1950" t="inlineStr">
        <is>
          <t>Nitrogen oxides</t>
        </is>
      </c>
      <c r="B1950">
        <v>0.00017537909633699066</v>
      </c>
      <c r="D1950" t="inlineStr">
        <is>
          <t>kilogram</t>
        </is>
      </c>
      <c r="E1950" t="inlineStr">
        <is>
          <t>air::unspecified</t>
        </is>
      </c>
      <c r="F1950" t="inlineStr">
        <is>
          <t>biosphere</t>
        </is>
      </c>
      <c r="H1950" t="inlineStr">
        <is>
          <t>5.5E-02 kg/kg fuel for diesel locomotives, according to Spielmann et al. (2007)
Spielmann, M., Bauer, C., Dones, R., Institut, P. S., &amp; Tuchschmid, M. (2007). Transport Services. Swiss Centre for Life Cycle Inventories, ecoinvent report No. 14.</t>
        </is>
      </c>
      <c r="I1950">
        <v>0</v>
      </c>
    </row>
    <row r="1951">
      <c r="A1951" t="inlineStr">
        <is>
          <t>Particulate Matter, &lt; 2.5 um</t>
        </is>
      </c>
      <c r="B1951">
        <v>3.922114336263609e-06</v>
      </c>
      <c r="D1951" t="inlineStr">
        <is>
          <t>kilogram</t>
        </is>
      </c>
      <c r="E1951" t="inlineStr">
        <is>
          <t>air</t>
        </is>
      </c>
      <c r="F1951" t="inlineStr">
        <is>
          <t>biosphere</t>
        </is>
      </c>
      <c r="H1951" t="inlineStr">
        <is>
          <t>1.28E-03 kg/kg fuel for diesel locomotives, according to Spielmann et al. (2007)
Spielmann, M., Bauer, C., Dones, R., Institut, P. S., &amp; Tuchschmid, M. (2007). Transport Services. Swiss Centre for Life Cycle Inventories, ecoinvent report No. 14.</t>
        </is>
      </c>
      <c r="I1951">
        <v>0</v>
      </c>
    </row>
    <row r="1952">
      <c r="A1952" t="inlineStr">
        <is>
          <t>Particulate Matter, &gt; 10 um</t>
        </is>
      </c>
      <c r="B1952">
        <v>8.35431280422189e-05</v>
      </c>
      <c r="D1952" t="inlineStr">
        <is>
          <t>kilogram</t>
        </is>
      </c>
      <c r="E1952" t="inlineStr">
        <is>
          <t>air</t>
        </is>
      </c>
      <c r="F1952" t="inlineStr">
        <is>
          <t>biosphere</t>
        </is>
      </c>
      <c r="H1952"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1952">
        <v>0</v>
      </c>
    </row>
    <row r="1953">
      <c r="A1953" t="inlineStr">
        <is>
          <t>Particulate Matter, &gt; 2.5 um and &lt; 10um</t>
        </is>
      </c>
      <c r="B1953">
        <v>7.711517541701365e-05</v>
      </c>
      <c r="D1953" t="inlineStr">
        <is>
          <t>kilogram</t>
        </is>
      </c>
      <c r="E1953" t="inlineStr">
        <is>
          <t>air</t>
        </is>
      </c>
      <c r="F1953" t="inlineStr">
        <is>
          <t>biosphere</t>
        </is>
      </c>
      <c r="H1953"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1953">
        <v>0</v>
      </c>
    </row>
    <row r="1954">
      <c r="A1954" t="inlineStr">
        <is>
          <t>Selenium IV</t>
        </is>
      </c>
      <c r="B1954">
        <v>3.1887108424907394e-11</v>
      </c>
      <c r="D1954" t="inlineStr">
        <is>
          <t>kilogram</t>
        </is>
      </c>
      <c r="E1954" t="inlineStr">
        <is>
          <t>air</t>
        </is>
      </c>
      <c r="F1954" t="inlineStr">
        <is>
          <t>biosphere</t>
        </is>
      </c>
      <c r="H1954" t="inlineStr">
        <is>
          <t>1.0E-08 kg/kg fuel for diesel locomotives, according to Spielmann et al. (2007)
Spielmann, M., Bauer, C., Dones, R., Institut, P. S., &amp; Tuchschmid, M. (2007). Transport Services. Swiss Centre for Life Cycle Inventories, ecoinvent report No. 14.</t>
        </is>
      </c>
      <c r="I1954">
        <v>0</v>
      </c>
    </row>
    <row r="1955">
      <c r="A1955" t="inlineStr">
        <is>
          <t>Sulfur dioxide</t>
        </is>
      </c>
      <c r="B1955">
        <v>1.9132265054944433e-06</v>
      </c>
      <c r="D1955" t="inlineStr">
        <is>
          <t>kilogram</t>
        </is>
      </c>
      <c r="E1955" t="inlineStr">
        <is>
          <t>air</t>
        </is>
      </c>
      <c r="F1955" t="inlineStr">
        <is>
          <t>biosphere</t>
        </is>
      </c>
      <c r="H1955" t="inlineStr">
        <is>
          <t>6.0E-04 kg/kg fuel for diesel locomotives, according to Spielmann et al. (2007)
Spielmann, M., Bauer, C., Dones, R., Institut, P. S., &amp; Tuchschmid, M. (2007). Transport Services. Swiss Centre for Life Cycle Inventories, ecoinvent report No. 14.</t>
        </is>
      </c>
      <c r="I1955">
        <v>0</v>
      </c>
    </row>
    <row r="1956">
      <c r="A1956" t="inlineStr">
        <is>
          <t>Sulfur hexafluoride</t>
        </is>
      </c>
      <c r="B1956">
        <v>1.4789589431936368e-08</v>
      </c>
      <c r="D1956" t="inlineStr">
        <is>
          <t>kilogram</t>
        </is>
      </c>
      <c r="E1956" t="inlineStr">
        <is>
          <t>air</t>
        </is>
      </c>
      <c r="F1956" t="inlineStr">
        <is>
          <t>biosphere</t>
        </is>
      </c>
      <c r="H1956"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1956">
        <v>0</v>
      </c>
    </row>
    <row r="1957">
      <c r="A1957" t="inlineStr">
        <is>
          <t>Toluene</t>
        </is>
      </c>
      <c r="B1957">
        <v>1.2754843369962958e-07</v>
      </c>
      <c r="D1957" t="inlineStr">
        <is>
          <t>kilogram</t>
        </is>
      </c>
      <c r="E1957" t="inlineStr">
        <is>
          <t>air</t>
        </is>
      </c>
      <c r="F1957" t="inlineStr">
        <is>
          <t>biosphere</t>
        </is>
      </c>
      <c r="H1957" t="inlineStr">
        <is>
          <t>4.0E-05 kg/kg fuel for diesel locomotives, according to Spielmann et al. (2007)
Spielmann, M., Bauer, C., Dones, R., Institut, P. S., &amp; Tuchschmid, M. (2007). Transport Services. Swiss Centre for Life Cycle Inventories, ecoinvent report No. 14.</t>
        </is>
      </c>
      <c r="I1957">
        <v>0</v>
      </c>
    </row>
    <row r="1958">
      <c r="A1958" t="inlineStr">
        <is>
          <t>Xylenes, unspecified</t>
        </is>
      </c>
      <c r="B1958">
        <v>1.2754843369962958e-07</v>
      </c>
      <c r="D1958" t="inlineStr">
        <is>
          <t>kilogram</t>
        </is>
      </c>
      <c r="E1958" t="inlineStr">
        <is>
          <t>air::unspecified</t>
        </is>
      </c>
      <c r="F1958" t="inlineStr">
        <is>
          <t>biosphere</t>
        </is>
      </c>
      <c r="H1958" t="inlineStr">
        <is>
          <t>4.0E-05 kg/kg fuel for diesel locomotives, according to Spielmann et al. (2007)
Spielmann, M., Bauer, C., Dones, R., Institut, P. S., &amp; Tuchschmid, M. (2007). Transport Services. Swiss Centre for Life Cycle Inventories, ecoinvent report No. 14.</t>
        </is>
      </c>
      <c r="I1958">
        <v>0</v>
      </c>
    </row>
    <row r="1959">
      <c r="A1959" t="inlineStr">
        <is>
          <t>Zinc II</t>
        </is>
      </c>
      <c r="B1959">
        <v>3.188710842490739e-09</v>
      </c>
      <c r="D1959" t="inlineStr">
        <is>
          <t>kilogram</t>
        </is>
      </c>
      <c r="E1959" t="inlineStr">
        <is>
          <t>air</t>
        </is>
      </c>
      <c r="F1959" t="inlineStr">
        <is>
          <t>biosphere</t>
        </is>
      </c>
      <c r="H1959" t="inlineStr">
        <is>
          <t>1.0E-06 kg/kg fuel for diesel locomotives, according to Spielmann et al. (2007)
Spielmann, M., Bauer, C., Dones, R., Institut, P. S., &amp; Tuchschmid, M. (2007). Transport Services. Swiss Centre for Life Cycle Inventories, ecoinvent report No. 14.</t>
        </is>
      </c>
      <c r="I1959">
        <v>0</v>
      </c>
    </row>
    <row r="1960">
      <c r="A1960" t="inlineStr">
        <is>
          <t>integrated DC charger, engineering reference, 200 kW</t>
        </is>
      </c>
      <c r="B1960">
        <v>7.927447995941147e-08</v>
      </c>
      <c r="C1960" t="inlineStr">
        <is>
          <t>RER</t>
        </is>
      </c>
      <c r="D1960" t="inlineStr">
        <is>
          <t>unit</t>
        </is>
      </c>
      <c r="F1960" t="inlineStr">
        <is>
          <t>technosphere</t>
        </is>
      </c>
      <c r="G1960" t="inlineStr">
        <is>
          <t>integrated DC charger, engineering reference, 200 kW</t>
        </is>
      </c>
      <c r="H1960" t="inlineStr">
        <is>
          <t>Shared grid-side rectifier material proxy; source/caveats in activity comment.</t>
        </is>
      </c>
    </row>
    <row r="1961">
      <c r="A1961" t="inlineStr">
        <is>
          <t>Activity</t>
        </is>
      </c>
      <c r="B1961" t="inlineStr">
        <is>
          <t>electricity, used in battery electric motorcycle</t>
        </is>
      </c>
    </row>
    <row r="1962">
      <c r="A1962" t="inlineStr">
        <is>
          <t>location</t>
        </is>
      </c>
      <c r="B1962" t="inlineStr">
        <is>
          <t>RER</t>
        </is>
      </c>
    </row>
    <row r="1963">
      <c r="A1963" t="inlineStr">
        <is>
          <t>reference product</t>
        </is>
      </c>
      <c r="B1963" t="inlineStr">
        <is>
          <t>electricity, low voltage</t>
        </is>
      </c>
    </row>
    <row r="1964">
      <c r="A1964" t="inlineStr">
        <is>
          <t>type</t>
        </is>
      </c>
      <c r="B1964" t="inlineStr">
        <is>
          <t>process</t>
        </is>
      </c>
    </row>
    <row r="1965">
      <c r="A1965" t="inlineStr">
        <is>
          <t>unit</t>
        </is>
      </c>
      <c r="B1965" t="inlineStr">
        <is>
          <t>megajoule</t>
        </is>
      </c>
    </row>
    <row r="1966">
      <c r="A1966" t="inlineStr">
        <is>
          <t>source</t>
        </is>
      </c>
      <c r="B1966" t="inlineStr">
        <is>
          <t>Sacchi R., Bauer C. Life cycle inventories for on-road vehicles. Paul Scherrer Institut, 2021.</t>
        </is>
      </c>
    </row>
    <row r="1967">
      <c r="A1967" t="inlineStr">
        <is>
          <t>comment</t>
        </is>
      </c>
      <c r="B1967" t="inlineStr">
        <is>
          <t>Produces consumption of 1 MJ of purchased energy. Representative powertrain carrier: electricity. energy-specific equipment; excludes chassis, body, roads and whole-vehicle maintenance. Source transport, Motorbike, battery electric, 11-35kW [CH]; 0.270991379051034 purchased MJ per kilometer. All retained exchanges divided by this energy; lifetime, occupancy/payload and replacement allocation are carried by source production links. Baseline source specifications: 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1968">
      <c r="A1968" t="inlineStr">
        <is>
          <t>Power, mean</t>
        </is>
      </c>
      <c r="B1968">
        <v>13</v>
      </c>
    </row>
    <row r="1969">
      <c r="A1969" t="inlineStr">
        <is>
          <t>Power, min</t>
        </is>
      </c>
      <c r="B1969">
        <v>5</v>
      </c>
    </row>
    <row r="1970">
      <c r="A1970" t="inlineStr">
        <is>
          <t>Power, max</t>
        </is>
      </c>
      <c r="B1970">
        <v>45</v>
      </c>
    </row>
    <row r="1971">
      <c r="A1971" t="inlineStr">
        <is>
          <t>Lifetime, mean</t>
        </is>
      </c>
      <c r="B1971">
        <v>100000</v>
      </c>
    </row>
    <row r="1972">
      <c r="A1972" t="inlineStr">
        <is>
          <t>Lifetime, min</t>
        </is>
      </c>
      <c r="B1972">
        <v>50000</v>
      </c>
    </row>
    <row r="1973">
      <c r="A1973" t="inlineStr">
        <is>
          <t>Lifetime, max</t>
        </is>
      </c>
      <c r="B1973">
        <v>200000</v>
      </c>
    </row>
    <row r="1974">
      <c r="A1974" t="inlineStr">
        <is>
          <t>Energy use, mean</t>
        </is>
      </c>
      <c r="B1974">
        <v>284</v>
      </c>
    </row>
    <row r="1975">
      <c r="A1975" t="inlineStr">
        <is>
          <t>Energy use, min</t>
        </is>
      </c>
      <c r="B1975">
        <v>156</v>
      </c>
    </row>
    <row r="1976">
      <c r="A1976" t="inlineStr">
        <is>
          <t>Energy use, max</t>
        </is>
      </c>
      <c r="B1976">
        <v>356</v>
      </c>
    </row>
    <row r="1977">
      <c r="A1977" t="inlineStr">
        <is>
          <t>Electric motor, mean</t>
        </is>
      </c>
      <c r="B1977">
        <v>6.4</v>
      </c>
    </row>
    <row r="1978">
      <c r="A1978" t="inlineStr">
        <is>
          <t>Electric motor, min</t>
        </is>
      </c>
      <c r="B1978">
        <v>2.3</v>
      </c>
    </row>
    <row r="1979">
      <c r="A1979" t="inlineStr">
        <is>
          <t>Electric motor, max</t>
        </is>
      </c>
      <c r="B1979">
        <v>22</v>
      </c>
    </row>
    <row r="1980">
      <c r="A1980" t="inlineStr">
        <is>
          <t>Combustion engine, mean</t>
        </is>
      </c>
      <c r="B1980">
        <v>0</v>
      </c>
    </row>
    <row r="1981">
      <c r="A1981" t="inlineStr">
        <is>
          <t>Combustion engine, min</t>
        </is>
      </c>
      <c r="B1981">
        <v>0</v>
      </c>
    </row>
    <row r="1982">
      <c r="A1982" t="inlineStr">
        <is>
          <t>Combustion engine, max</t>
        </is>
      </c>
      <c r="B1982">
        <v>0</v>
      </c>
    </row>
    <row r="1983">
      <c r="A1983" t="inlineStr">
        <is>
          <t>Fuel tank, mean</t>
        </is>
      </c>
      <c r="B1983">
        <v>0</v>
      </c>
    </row>
    <row r="1984">
      <c r="A1984" t="inlineStr">
        <is>
          <t>Fuel tank, min</t>
        </is>
      </c>
      <c r="B1984">
        <v>0</v>
      </c>
    </row>
    <row r="1985">
      <c r="A1985" t="inlineStr">
        <is>
          <t>Fuel tank, max</t>
        </is>
      </c>
      <c r="B1985">
        <v>0</v>
      </c>
    </row>
    <row r="1986">
      <c r="A1986" t="inlineStr">
        <is>
          <t>Battery capacity, mean</t>
        </is>
      </c>
      <c r="B1986">
        <v>6.7</v>
      </c>
    </row>
    <row r="1987">
      <c r="A1987" t="inlineStr">
        <is>
          <t>Battery capacity, min</t>
        </is>
      </c>
      <c r="B1987">
        <v>2.5</v>
      </c>
    </row>
    <row r="1988">
      <c r="A1988" t="inlineStr">
        <is>
          <t>Battery capacity, max</t>
        </is>
      </c>
      <c r="B1988">
        <v>14</v>
      </c>
    </row>
    <row r="1989">
      <c r="A1989" t="inlineStr">
        <is>
          <t>Battery replacement, mean</t>
        </is>
      </c>
      <c r="B1989">
        <v>0</v>
      </c>
    </row>
    <row r="1990">
      <c r="A1990" t="inlineStr">
        <is>
          <t>Battery replacement, min</t>
        </is>
      </c>
      <c r="B1990">
        <v>0</v>
      </c>
    </row>
    <row r="1991">
      <c r="A1991" t="inlineStr">
        <is>
          <t>Battery replacement, max</t>
        </is>
      </c>
      <c r="B1991">
        <v>0</v>
      </c>
    </row>
    <row r="1992">
      <c r="A1992" t="inlineStr">
        <is>
          <t>Fuel cell system, mean</t>
        </is>
      </c>
      <c r="B1992">
        <v>0</v>
      </c>
    </row>
    <row r="1993">
      <c r="A1993" t="inlineStr">
        <is>
          <t>Fuel cell system, min</t>
        </is>
      </c>
      <c r="B1993">
        <v>0</v>
      </c>
    </row>
    <row r="1994">
      <c r="A1994" t="inlineStr">
        <is>
          <t>Fuel cell system, max</t>
        </is>
      </c>
      <c r="B1994">
        <v>0</v>
      </c>
    </row>
    <row r="1995">
      <c r="A1995" t="inlineStr">
        <is>
          <t>Fuel cell stack replacement, mean</t>
        </is>
      </c>
      <c r="B1995">
        <v>0</v>
      </c>
    </row>
    <row r="1996">
      <c r="A1996" t="inlineStr">
        <is>
          <t>Fuel cell replacement, min</t>
        </is>
      </c>
      <c r="B1996">
        <v>0</v>
      </c>
    </row>
    <row r="1997">
      <c r="A1997" t="inlineStr">
        <is>
          <t>Fuel cell replacement, max</t>
        </is>
      </c>
      <c r="B1997">
        <v>0</v>
      </c>
    </row>
    <row r="1998">
      <c r="A1998" t="inlineStr">
        <is>
          <t>Onboard charger mass</t>
        </is>
      </c>
      <c r="B1998">
        <v>2.4</v>
      </c>
    </row>
    <row r="1999">
      <c r="A1999" t="inlineStr">
        <is>
          <t>Controller mass</t>
        </is>
      </c>
      <c r="B1999">
        <v>1.3</v>
      </c>
    </row>
    <row r="2000">
      <c r="A2000" t="inlineStr">
        <is>
          <t>Converter mass</t>
        </is>
      </c>
      <c r="B2000">
        <v>1.125</v>
      </c>
    </row>
    <row r="2001">
      <c r="A2001" t="inlineStr">
        <is>
          <t>Electrical powertrain mass</t>
        </is>
      </c>
      <c r="B2001">
        <v>5.2</v>
      </c>
    </row>
    <row r="2002">
      <c r="A2002" t="inlineStr">
        <is>
          <t>Inverter mass</t>
        </is>
      </c>
      <c r="B2002">
        <v>2.25</v>
      </c>
    </row>
    <row r="2003">
      <c r="A2003" t="inlineStr">
        <is>
          <t>NOx</t>
        </is>
      </c>
      <c r="B2003">
        <v>0</v>
      </c>
    </row>
    <row r="2004">
      <c r="A2004" t="inlineStr">
        <is>
          <t>PM 2.5</t>
        </is>
      </c>
      <c r="B2004">
        <v>0</v>
      </c>
    </row>
    <row r="2005">
      <c r="A2005" t="inlineStr">
        <is>
          <t>energy use source</t>
        </is>
      </c>
      <c r="B2005" t="inlineStr">
        <is>
          <t>{"source": ["transport, Motorbike, battery electric, 11-35kW", "transport, Motorbike, battery electric, 11-35kW", "CH", "kilometer"], "source unit": "kilometer", "purchased MJ per source service": 0.2709913790510339, "boundary": "energy-specific equipment; excludes chassis, body, roads and whole-vehicle maintenance", "retained equipment": [{"supplier": ["market for powertrain, for electric scooter", "powertrain, for electric scooter", "GLO", "kilogram"], "amount per vehicle": 19.0, "vehicle per source service": 2.5974025974025975e-05, "replacement correction factor": 1.0, "amount per MJ": 0.001821115104231987}, {"supplier": ["market for battery capacity (MIX scenario)", "electricity storage capacity", "GLO", "kilowatt hour"], "amount per vehicle": 8.1, "vehicle per source service": 2.5974025974025975e-05, "source correction": "Include documented replacement pack omitted from source production exchange", "replacement correction factor": 2.0, "amount per MJ": 0.0015527402467662207}, {"supplier": ["charging station, 3kW", "charging station, 3kW", "GLO", "unit"], "amount per vehicle": 1.0, "vehicle per source service": 2.5974025974025975e-05, "replacement correction factor": 1.0, "amount per MJ": 9.58481633806309e-05}], "excluded": [{"supplier": ["market for glider, for electric scooter", "glider, for electric scooter", "GLO", "kilogram"], "amount per vehicle": 81.0, "vehicle per source service": 2.5974025974025975e-05}, {"supplier": ["market for glider, for electric scooter", "glider, for electric scooter", "GLO", "kilogram"], "amount per vehicle": 13.0, "vehicle per source service": 2.5974025974025975e-05}, {"supplier": ["manual dismantling of used electric scooter", "manual dismantling of electric scooter", "GLO", "unit"], "amount per vehicle": 81.0, "vehicle per source service": 2.5974025974025975e-05}, {"supplier": ["manual dismantling of used electric scooter", "manual dismantling of electric scooter", "GLO", "unit"], "amount per vehicle": 32.0, "vehicle per source service": 2.5974025974025975e-05}, {"supplier": ["market for transport, freight, lorry, unspecified", "transport, freight, lorry, unspecified", "RER", "ton kilometer"], "amount per vehicle": 165.64999999999998, "vehicle per source service": 2.5974025974025975e-05}, {"supplier": ["transport, freight, sea, container ship", "transport, freight, sea, container ship", "GLO", "ton kilometer"], "amount per vehicle": 2633.8349999999996, "vehicle per source service": 2.5974025974025975e-05}, {"supplier": "road construction", "amount per source service": 0.00013647855}, {"supplier": "road maintenance", "amount per source service": 0.00129}, {"supplier": "market for maintenance, electric scooter, without battery", "amount per source service": 4e-05}], "alternative fuel recipe retained": false}</t>
        </is>
      </c>
    </row>
    <row r="2006">
      <c r="A2006" t="inlineStr">
        <is>
          <t>Exchanges</t>
        </is>
      </c>
    </row>
    <row r="2007">
      <c r="A2007" t="inlineStr">
        <is>
          <t>name</t>
        </is>
      </c>
      <c r="B2007" t="inlineStr">
        <is>
          <t>amount</t>
        </is>
      </c>
      <c r="C2007" t="inlineStr">
        <is>
          <t>location</t>
        </is>
      </c>
      <c r="D2007" t="inlineStr">
        <is>
          <t>unit</t>
        </is>
      </c>
      <c r="E2007" t="inlineStr">
        <is>
          <t>categories</t>
        </is>
      </c>
      <c r="F2007" t="inlineStr">
        <is>
          <t>type</t>
        </is>
      </c>
      <c r="G2007" t="inlineStr">
        <is>
          <t>reference product</t>
        </is>
      </c>
      <c r="H2007" t="inlineStr">
        <is>
          <t>comment</t>
        </is>
      </c>
      <c r="I2007" t="inlineStr">
        <is>
          <t>uncertainty type</t>
        </is>
      </c>
    </row>
    <row r="2008">
      <c r="A2008" t="inlineStr">
        <is>
          <t>electricity, used in battery electric motorcycle</t>
        </is>
      </c>
      <c r="B2008">
        <v>1.0</v>
      </c>
      <c r="C2008" t="inlineStr">
        <is>
          <t>RER</t>
        </is>
      </c>
      <c r="D2008" t="inlineStr">
        <is>
          <t>megajoule</t>
        </is>
      </c>
      <c r="F2008" t="inlineStr">
        <is>
          <t>production</t>
        </is>
      </c>
      <c r="G2008" t="inlineStr">
        <is>
          <t>electricity, low voltage</t>
        </is>
      </c>
      <c r="H2008" t="inlineStr">
        <is>
          <t/>
        </is>
      </c>
      <c r="I2008">
        <v>0</v>
      </c>
    </row>
    <row r="2009">
      <c r="A2009" t="inlineStr">
        <is>
          <t>market for electricity, low voltage</t>
        </is>
      </c>
      <c r="B2009">
        <v>0.27777777777777773</v>
      </c>
      <c r="C2009" t="inlineStr">
        <is>
          <t>CH</t>
        </is>
      </c>
      <c r="D2009" t="inlineStr">
        <is>
          <t>kilowatt hour</t>
        </is>
      </c>
      <c r="F2009" t="inlineStr">
        <is>
          <t>technosphere</t>
        </is>
      </c>
      <c r="G2009" t="inlineStr">
        <is>
          <t>electricity, low voltage</t>
        </is>
      </c>
      <c r="H2009" t="inlineStr">
        <is>
          <t>Electricity consumption [MJ/km]</t>
        </is>
      </c>
      <c r="I2009">
        <v>0</v>
      </c>
    </row>
    <row r="2010">
      <c r="A2010" t="inlineStr">
        <is>
          <t>market for powertrain, for electric scooter</t>
        </is>
      </c>
      <c r="B2010">
        <v>0.001821115104231987</v>
      </c>
      <c r="C2010" t="inlineStr">
        <is>
          <t>GLO</t>
        </is>
      </c>
      <c r="D2010" t="inlineStr">
        <is>
          <t>kilogram</t>
        </is>
      </c>
      <c r="F2010" t="inlineStr">
        <is>
          <t>technosphere</t>
        </is>
      </c>
      <c r="G2010" t="inlineStr">
        <is>
          <t>powertrain, for electric scooter</t>
        </is>
      </c>
      <c r="H2010" t="inlineStr">
        <is>
          <t>Electric powertrain mass [kg] Energy-use allocation: 19 * 2.5974025974025975e-05 / 0.2709913790510339 MJ per kilometer.</t>
        </is>
      </c>
      <c r="I2010">
        <v>0</v>
      </c>
    </row>
    <row r="2011">
      <c r="A2011" t="inlineStr">
        <is>
          <t>market for battery capacity (MIX scenario)</t>
        </is>
      </c>
      <c r="B2011">
        <v>0.0015527402467662207</v>
      </c>
      <c r="C2011" t="inlineStr">
        <is>
          <t>GLO</t>
        </is>
      </c>
      <c r="D2011" t="inlineStr">
        <is>
          <t>kilowatt hour</t>
        </is>
      </c>
      <c r="F2011" t="inlineStr">
        <is>
          <t>technosphere</t>
        </is>
      </c>
      <c r="G2011" t="inlineStr">
        <is>
          <t>electricity storage capacity</t>
        </is>
      </c>
      <c r="H2011" t="inlineStr">
        <is>
          <t> Energy-use allocation: 8.1 * 2.5974025974025975e-05 / 0.2709913790510339 MJ per kilometer.</t>
        </is>
      </c>
      <c r="I2011">
        <v>0</v>
      </c>
    </row>
    <row r="2012">
      <c r="A2012" t="inlineStr">
        <is>
          <t>charging station, 3kW</t>
        </is>
      </c>
      <c r="B2012">
        <v>9.58481633806309e-05</v>
      </c>
      <c r="C2012" t="inlineStr">
        <is>
          <t>GLO</t>
        </is>
      </c>
      <c r="D2012" t="inlineStr">
        <is>
          <t>unit</t>
        </is>
      </c>
      <c r="F2012" t="inlineStr">
        <is>
          <t>technosphere</t>
        </is>
      </c>
      <c r="G2012" t="inlineStr">
        <is>
          <t>charging station, 3kW</t>
        </is>
      </c>
      <c r="H2012" t="inlineStr">
        <is>
          <t>Charging station per vehicle [unit] Energy-use allocation: 1 * 2.5974025974025975e-05 / 0.2709913790510339 MJ per kilometer.</t>
        </is>
      </c>
      <c r="I2012">
        <v>0</v>
      </c>
    </row>
    <row r="2013">
      <c r="A2013" t="inlineStr">
        <is>
          <t>treatment of road wear emissions, passenger car</t>
        </is>
      </c>
      <c r="B2013">
        <v>-3.2522650169904065e-05</v>
      </c>
      <c r="C2013" t="inlineStr">
        <is>
          <t>RER</t>
        </is>
      </c>
      <c r="D2013" t="inlineStr">
        <is>
          <t>kilogram</t>
        </is>
      </c>
      <c r="F2013" t="inlineStr">
        <is>
          <t>technosphere</t>
        </is>
      </c>
      <c r="G2013" t="inlineStr">
        <is>
          <t>road wear emissions, passenger car</t>
        </is>
      </c>
      <c r="H2013" t="inlineStr">
        <is>
          <t>Road wear [kg/km]</t>
        </is>
      </c>
      <c r="I2013">
        <v>0</v>
      </c>
    </row>
    <row r="2014">
      <c r="A2014" t="inlineStr">
        <is>
          <t>treatment of tyre wear emissions, passenger car</t>
        </is>
      </c>
      <c r="B2014">
        <v>-2.1350377440557216e-05</v>
      </c>
      <c r="C2014" t="inlineStr">
        <is>
          <t>RER</t>
        </is>
      </c>
      <c r="D2014" t="inlineStr">
        <is>
          <t>kilogram</t>
        </is>
      </c>
      <c r="F2014" t="inlineStr">
        <is>
          <t>technosphere</t>
        </is>
      </c>
      <c r="G2014" t="inlineStr">
        <is>
          <t>tyre wear emissions, passenger car</t>
        </is>
      </c>
      <c r="H2014" t="inlineStr">
        <is>
          <t>Tire wear [kg/km]</t>
        </is>
      </c>
      <c r="I2014">
        <v>0</v>
      </c>
    </row>
    <row r="2015">
      <c r="A2015" t="inlineStr">
        <is>
          <t>treatment of brake wear emissions, passenger car</t>
        </is>
      </c>
      <c r="B2015">
        <v>-1.1905895030261116e-05</v>
      </c>
      <c r="C2015" t="inlineStr">
        <is>
          <t>RER</t>
        </is>
      </c>
      <c r="D2015" t="inlineStr">
        <is>
          <t>kilogram</t>
        </is>
      </c>
      <c r="F2015" t="inlineStr">
        <is>
          <t>technosphere</t>
        </is>
      </c>
      <c r="G2015" t="inlineStr">
        <is>
          <t>brake wear emissions, passenger car</t>
        </is>
      </c>
      <c r="H2015" t="inlineStr">
        <is>
          <t>Brake wear [kg/km]</t>
        </is>
      </c>
      <c r="I2015">
        <v>0</v>
      </c>
    </row>
    <row r="2016"/>
    <row r="2017">
      <c r="A2017" t="inlineStr">
        <is>
          <t>Activity</t>
        </is>
      </c>
      <c r="B2017" t="inlineStr">
        <is>
          <t>hydrogen, used in a fuel cell in a hydrogen motorcycle</t>
        </is>
      </c>
    </row>
    <row r="2018">
      <c r="A2018" t="inlineStr">
        <is>
          <t>location</t>
        </is>
      </c>
      <c r="B2018" t="inlineStr">
        <is>
          <t>RER</t>
        </is>
      </c>
    </row>
    <row r="2019">
      <c r="A2019" t="inlineStr">
        <is>
          <t>reference product</t>
        </is>
      </c>
      <c r="B2019" t="inlineStr">
        <is>
          <t>heat</t>
        </is>
      </c>
    </row>
    <row r="2020">
      <c r="A2020" t="inlineStr">
        <is>
          <t>type</t>
        </is>
      </c>
      <c r="B2020" t="inlineStr">
        <is>
          <t>process</t>
        </is>
      </c>
    </row>
    <row r="2021">
      <c r="A2021" t="inlineStr">
        <is>
          <t>unit</t>
        </is>
      </c>
      <c r="B2021" t="inlineStr">
        <is>
          <t>megajoule</t>
        </is>
      </c>
    </row>
    <row r="2022">
      <c r="A2022" t="inlineStr">
        <is>
          <t>source</t>
        </is>
      </c>
      <c r="B2022" t="inlineStr">
        <is>
          <t>Sacchi R., Bauer C. Life cycle inventories for on-road vehicles. Paul Scherrer Institut, 2021.</t>
        </is>
      </c>
    </row>
    <row r="2023">
      <c r="A2023" t="inlineStr">
        <is>
          <t>comment</t>
        </is>
      </c>
      <c r="B2023" t="inlineStr">
        <is>
          <t>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2024">
      <c r="A2024" t="inlineStr">
        <is>
          <t>Power, mean</t>
        </is>
      </c>
      <c r="B2024">
        <v>13</v>
      </c>
    </row>
    <row r="2025">
      <c r="A2025" t="inlineStr">
        <is>
          <t>Power, min</t>
        </is>
      </c>
      <c r="B2025">
        <v>5</v>
      </c>
    </row>
    <row r="2026">
      <c r="A2026" t="inlineStr">
        <is>
          <t>Power, max</t>
        </is>
      </c>
      <c r="B2026">
        <v>45</v>
      </c>
    </row>
    <row r="2027">
      <c r="A2027" t="inlineStr">
        <is>
          <t>Lifetime, mean</t>
        </is>
      </c>
      <c r="B2027">
        <v>100000</v>
      </c>
    </row>
    <row r="2028">
      <c r="A2028" t="inlineStr">
        <is>
          <t>Lifetime, min</t>
        </is>
      </c>
      <c r="B2028">
        <v>50000</v>
      </c>
    </row>
    <row r="2029">
      <c r="A2029" t="inlineStr">
        <is>
          <t>Lifetime, max</t>
        </is>
      </c>
      <c r="B2029">
        <v>200000</v>
      </c>
    </row>
    <row r="2030">
      <c r="A2030" t="inlineStr">
        <is>
          <t>Energy use, mean</t>
        </is>
      </c>
      <c r="B2030">
        <v>284</v>
      </c>
    </row>
    <row r="2031">
      <c r="A2031" t="inlineStr">
        <is>
          <t>Energy use, min</t>
        </is>
      </c>
      <c r="B2031">
        <v>156</v>
      </c>
    </row>
    <row r="2032">
      <c r="A2032" t="inlineStr">
        <is>
          <t>Energy use, max</t>
        </is>
      </c>
      <c r="B2032">
        <v>356</v>
      </c>
    </row>
    <row r="2033">
      <c r="A2033" t="inlineStr">
        <is>
          <t>Electric motor, mean</t>
        </is>
      </c>
      <c r="B2033">
        <v>6.4</v>
      </c>
    </row>
    <row r="2034">
      <c r="A2034" t="inlineStr">
        <is>
          <t>Electric motor, min</t>
        </is>
      </c>
      <c r="B2034">
        <v>2.3</v>
      </c>
    </row>
    <row r="2035">
      <c r="A2035" t="inlineStr">
        <is>
          <t>Electric motor, max</t>
        </is>
      </c>
      <c r="B2035">
        <v>22</v>
      </c>
    </row>
    <row r="2036">
      <c r="A2036" t="inlineStr">
        <is>
          <t>Combustion engine, mean</t>
        </is>
      </c>
      <c r="B2036">
        <v>0</v>
      </c>
    </row>
    <row r="2037">
      <c r="A2037" t="inlineStr">
        <is>
          <t>Combustion engine, min</t>
        </is>
      </c>
      <c r="B2037">
        <v>0</v>
      </c>
    </row>
    <row r="2038">
      <c r="A2038" t="inlineStr">
        <is>
          <t>Combustion engine, max</t>
        </is>
      </c>
      <c r="B2038">
        <v>0</v>
      </c>
    </row>
    <row r="2039">
      <c r="A2039" t="inlineStr">
        <is>
          <t>Fuel tank, mean</t>
        </is>
      </c>
      <c r="B2039">
        <v>0</v>
      </c>
    </row>
    <row r="2040">
      <c r="A2040" t="inlineStr">
        <is>
          <t>Fuel tank, min</t>
        </is>
      </c>
      <c r="B2040">
        <v>0</v>
      </c>
    </row>
    <row r="2041">
      <c r="A2041" t="inlineStr">
        <is>
          <t>Fuel tank, max</t>
        </is>
      </c>
      <c r="B2041">
        <v>0</v>
      </c>
    </row>
    <row r="2042">
      <c r="A2042" t="inlineStr">
        <is>
          <t>Battery capacity, mean</t>
        </is>
      </c>
      <c r="B2042">
        <v>2</v>
      </c>
    </row>
    <row r="2043">
      <c r="A2043" t="inlineStr">
        <is>
          <t>Battery capacity, min</t>
        </is>
      </c>
      <c r="B2043">
        <v>1</v>
      </c>
    </row>
    <row r="2044">
      <c r="A2044" t="inlineStr">
        <is>
          <t>Battery capacity, max</t>
        </is>
      </c>
      <c r="B2044">
        <v>5</v>
      </c>
    </row>
    <row r="2045">
      <c r="A2045" t="inlineStr">
        <is>
          <t>Battery replacement, mean</t>
        </is>
      </c>
      <c r="B2045">
        <v>0</v>
      </c>
    </row>
    <row r="2046">
      <c r="A2046" t="inlineStr">
        <is>
          <t>Battery replacement, min</t>
        </is>
      </c>
      <c r="B2046">
        <v>0</v>
      </c>
    </row>
    <row r="2047">
      <c r="A2047" t="inlineStr">
        <is>
          <t>Battery replacement, max</t>
        </is>
      </c>
      <c r="B2047">
        <v>0</v>
      </c>
    </row>
    <row r="2048">
      <c r="A2048" t="inlineStr">
        <is>
          <t>Fuel cell system, mean</t>
        </is>
      </c>
      <c r="B2048">
        <v>13</v>
      </c>
    </row>
    <row r="2049">
      <c r="A2049" t="inlineStr">
        <is>
          <t>Fuel cell system, min</t>
        </is>
      </c>
      <c r="B2049">
        <v>5</v>
      </c>
    </row>
    <row r="2050">
      <c r="A2050" t="inlineStr">
        <is>
          <t>Fuel cell system, max</t>
        </is>
      </c>
      <c r="B2050">
        <v>45</v>
      </c>
    </row>
    <row r="2051">
      <c r="A2051" t="inlineStr">
        <is>
          <t>Fuel cell stack replacement, mean</t>
        </is>
      </c>
      <c r="B2051">
        <v>0</v>
      </c>
    </row>
    <row r="2052">
      <c r="A2052" t="inlineStr">
        <is>
          <t>Fuel cell replacement, min</t>
        </is>
      </c>
      <c r="B2052">
        <v>0</v>
      </c>
    </row>
    <row r="2053">
      <c r="A2053" t="inlineStr">
        <is>
          <t>Fuel cell replacement, max</t>
        </is>
      </c>
      <c r="B2053">
        <v>0</v>
      </c>
    </row>
    <row r="2054">
      <c r="A2054" t="inlineStr">
        <is>
          <t>Onboard charger mass</t>
        </is>
      </c>
      <c r="B2054">
        <v>0</v>
      </c>
    </row>
    <row r="2055">
      <c r="A2055" t="inlineStr">
        <is>
          <t>Controller mass</t>
        </is>
      </c>
      <c r="B2055">
        <v>1.3</v>
      </c>
    </row>
    <row r="2056">
      <c r="A2056" t="inlineStr">
        <is>
          <t>Converter mass</t>
        </is>
      </c>
      <c r="B2056">
        <v>1.125</v>
      </c>
    </row>
    <row r="2057">
      <c r="A2057" t="inlineStr">
        <is>
          <t>Electrical powertrain mass</t>
        </is>
      </c>
      <c r="B2057">
        <v>5.2</v>
      </c>
    </row>
    <row r="2058">
      <c r="A2058" t="inlineStr">
        <is>
          <t>Inverter mass</t>
        </is>
      </c>
      <c r="B2058">
        <v>2.25</v>
      </c>
    </row>
    <row r="2059">
      <c r="A2059" t="inlineStr">
        <is>
          <t>NOx</t>
        </is>
      </c>
      <c r="B2059">
        <v>0</v>
      </c>
    </row>
    <row r="2060">
      <c r="A2060" t="inlineStr">
        <is>
          <t>PM 2.5</t>
        </is>
      </c>
      <c r="B2060">
        <v>0</v>
      </c>
    </row>
    <row r="2061">
      <c r="A2061" t="inlineStr">
        <is>
          <t>energy use source</t>
        </is>
      </c>
      <c r="B2061"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1 kWe, proton exchange membrane (PEM), carculator passenger car 2020", "fuel cell Balance of Plant, 1 kWe, proton exchange membrane (PEM)", "GLO", "unit"], "amount per vehicle": 28.43844795227051, "vehicle per source service": 4.999999873689376e-06, "replacement correction factor": 1.0, "amount per MJ": 0.00013256366446464648}, {"supplier": ["fuel cell stack production, 1 kWe, proton exchange membrane (PEM), carculator passenger car 2020", "fuel cell stack, 1 kWe, proton exchange membrane (PEM)", "GLO", "unit"], "amount per vehicle": 139.2566528320312, "vehicle per source service": 4.999999873689376e-06, "replacement correction factor": 1.0, "amount per MJ": 0.0006491343068889693}, {"supplier": ["fuel tank, compressed hydrogen gas, 700bar, with HDPE liner, carculator passenger car 2020", "hydrogen tank", "RER", "kilogram"], "amount per vehicle": 97.82608795166016, "vehicle per source service": 4.999999873689376e-06, "replacement correction factor": 1.0, "amount per MJ": 0.0004560088764646349}, {"supplier": ["market for converter, for electric passenger car", "converter, for electric passenger car", "GLO", "kilogram"], "amount per vehicle": 4.470652103424072, "vehicle per source service": 4.999999873689376e-06, "replacement correction factor": 1.0, "amount per MJ": 2.0839605113863403e-05}, {"supplier": ["market for electric motor, electric passenger car", "electric motor, electric passenger car", "GLO", "kilogram"], "amount per vehicle": 92.03699493408203, "vehicle per source service": 4.999999873689376e-06, "replacement correction factor": 1.0, "amount per MJ": 0.0004290234592004841}, {"supplier": ["market for internal combustion engine, passenger car", "internal combustion engine, passenger car", "GLO", "kilogram"], "amount per vehicle": 91.5510482788086, "vehicle per source service": 4.999999873689376e-06, "coefficient limitation": "Native carculator mechanical-powertrain mass uses combustion-engine manufacturing as a material proxy; this is not a combustion engine installed in the electric vehicle.", "replacement correction factor": 1.0, "amount per MJ": 0.0004267582557876431},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battery capacity (MIX scenario)", "electricity storage capacity", "GLO", "kilowatt hour"], "amount per vehicle": 1.597572207450867, "vehicle per source service": 4.999999873689376e-06, "coefficient limitation": "Native nominal-kWh MIX market is a manufacturing proxy; it does not reproduce the heavier high-power physical battery pack mass.",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2062">
      <c r="A2062" t="inlineStr">
        <is>
          <t>Exchanges</t>
        </is>
      </c>
    </row>
    <row r="2063">
      <c r="A2063" t="inlineStr">
        <is>
          <t>name</t>
        </is>
      </c>
      <c r="B2063" t="inlineStr">
        <is>
          <t>amount</t>
        </is>
      </c>
      <c r="C2063" t="inlineStr">
        <is>
          <t>location</t>
        </is>
      </c>
      <c r="D2063" t="inlineStr">
        <is>
          <t>unit</t>
        </is>
      </c>
      <c r="E2063" t="inlineStr">
        <is>
          <t>categories</t>
        </is>
      </c>
      <c r="F2063" t="inlineStr">
        <is>
          <t>type</t>
        </is>
      </c>
      <c r="G2063" t="inlineStr">
        <is>
          <t>reference product</t>
        </is>
      </c>
      <c r="H2063" t="inlineStr">
        <is>
          <t>comment</t>
        </is>
      </c>
      <c r="I2063" t="inlineStr">
        <is>
          <t>uncertainty type</t>
        </is>
      </c>
    </row>
    <row r="2064">
      <c r="A2064" t="inlineStr">
        <is>
          <t>hydrogen, used in a fuel cell in a hydrogen motorcycle</t>
        </is>
      </c>
      <c r="B2064">
        <v>1.0</v>
      </c>
      <c r="C2064" t="inlineStr">
        <is>
          <t>RER</t>
        </is>
      </c>
      <c r="D2064" t="inlineStr">
        <is>
          <t>megajoule</t>
        </is>
      </c>
      <c r="F2064" t="inlineStr">
        <is>
          <t>production</t>
        </is>
      </c>
      <c r="G2064" t="inlineStr">
        <is>
          <t>heat</t>
        </is>
      </c>
      <c r="H2064" t="inlineStr">
        <is>
          <t/>
        </is>
      </c>
      <c r="I2064">
        <v>0</v>
      </c>
    </row>
    <row r="2065">
      <c r="A2065" t="inlineStr">
        <is>
          <t>market for hydrogen, gaseous, low pressure</t>
        </is>
      </c>
      <c r="B2065">
        <v>0.008333333333333333</v>
      </c>
      <c r="C2065" t="inlineStr">
        <is>
          <t>RER</t>
        </is>
      </c>
      <c r="D2065" t="inlineStr">
        <is>
          <t>kilogram</t>
        </is>
      </c>
      <c r="F2065" t="inlineStr">
        <is>
          <t>technosphere</t>
        </is>
      </c>
      <c r="G2065" t="inlineStr">
        <is>
          <t>hydrogen, gaseous, low pressure</t>
        </is>
      </c>
      <c r="H2065" t="inlineStr">
        <is>
          <t>Default carculator fuel energy preserved (1.07263356625 MJ/vkm); premise reference LHV 120.0 MJ/kg. Regional scenario blend belongs to premise.</t>
        </is>
      </c>
      <c r="I2065">
        <v>0</v>
      </c>
    </row>
    <row r="2066">
      <c r="A2066" t="inlineStr">
        <is>
          <t>treatment of brake wear emissions, passenger car</t>
        </is>
      </c>
      <c r="B2066">
        <v>-7.811243251597881e-06</v>
      </c>
      <c r="C2066" t="inlineStr">
        <is>
          <t>RER</t>
        </is>
      </c>
      <c r="D2066" t="inlineStr">
        <is>
          <t>kilogram</t>
        </is>
      </c>
      <c r="F2066" t="inlineStr">
        <is>
          <t>technosphere</t>
        </is>
      </c>
      <c r="G2066" t="inlineStr">
        <is>
          <t>brake wear emissions, passenger car</t>
        </is>
      </c>
      <c r="I2066">
        <v>0</v>
      </c>
    </row>
    <row r="2067">
      <c r="A2067" t="inlineStr">
        <is>
          <t>treatment of road wear emissions, passenger car</t>
        </is>
      </c>
      <c r="B2067">
        <v>-1.7354722075946138e-05</v>
      </c>
      <c r="C2067" t="inlineStr">
        <is>
          <t>RER</t>
        </is>
      </c>
      <c r="D2067" t="inlineStr">
        <is>
          <t>kilogram</t>
        </is>
      </c>
      <c r="F2067" t="inlineStr">
        <is>
          <t>technosphere</t>
        </is>
      </c>
      <c r="G2067" t="inlineStr">
        <is>
          <t>road wear emissions, passenger car</t>
        </is>
      </c>
      <c r="I2067">
        <v>0</v>
      </c>
    </row>
    <row r="2068">
      <c r="A2068" t="inlineStr">
        <is>
          <t>treatment of tyre wear emissions, passenger car</t>
        </is>
      </c>
      <c r="B2068">
        <v>-1.9644274084031096e-05</v>
      </c>
      <c r="C2068" t="inlineStr">
        <is>
          <t>RER</t>
        </is>
      </c>
      <c r="D2068" t="inlineStr">
        <is>
          <t>kilogram</t>
        </is>
      </c>
      <c r="F2068" t="inlineStr">
        <is>
          <t>technosphere</t>
        </is>
      </c>
      <c r="G2068" t="inlineStr">
        <is>
          <t>tyre wear emissions, passenger car</t>
        </is>
      </c>
      <c r="I2068">
        <v>0</v>
      </c>
    </row>
    <row r="2069">
      <c r="A2069" t="inlineStr">
        <is>
          <t>market for tetrafluoroethane, R134a</t>
        </is>
      </c>
      <c r="B2069">
        <v>6.05985131483241e-06</v>
      </c>
      <c r="C2069" t="inlineStr">
        <is>
          <t>GLO</t>
        </is>
      </c>
      <c r="D2069" t="inlineStr">
        <is>
          <t>kilogram</t>
        </is>
      </c>
      <c r="F2069" t="inlineStr">
        <is>
          <t>technosphere</t>
        </is>
      </c>
      <c r="G2069" t="inlineStr">
        <is>
          <t>tetrafluoroethane, R134a</t>
        </is>
      </c>
      <c r="I2069">
        <v>0</v>
      </c>
    </row>
    <row r="2070">
      <c r="A2070" t="inlineStr">
        <is>
          <t>1,1,1,2-Tetrafluoroethane</t>
        </is>
      </c>
      <c r="B2070">
        <v>3.4960680173316915e-06</v>
      </c>
      <c r="D2070" t="inlineStr">
        <is>
          <t>kilogram</t>
        </is>
      </c>
      <c r="E2070" t="inlineStr">
        <is>
          <t>air</t>
        </is>
      </c>
      <c r="F2070" t="inlineStr">
        <is>
          <t>biosphere</t>
        </is>
      </c>
      <c r="I2070">
        <v>0</v>
      </c>
    </row>
    <row r="2071">
      <c r="A2071" t="inlineStr">
        <is>
          <t>market group for electricity, low voltage</t>
        </is>
      </c>
      <c r="B2071">
        <v>0.020421827056420445</v>
      </c>
      <c r="C2071" t="inlineStr">
        <is>
          <t>RER</t>
        </is>
      </c>
      <c r="D2071" t="inlineStr">
        <is>
          <t>kilowatt hour</t>
        </is>
      </c>
      <c r="F2071" t="inlineStr">
        <is>
          <t>technosphere</t>
        </is>
      </c>
      <c r="G2071" t="inlineStr">
        <is>
          <t>electricity, low voltage</t>
        </is>
      </c>
      <c r="H2071" t="inlineStr">
        <is>
          <t>Hydrogen tank compression, 30 to 700 bar: 2.45061924677 kWh/kg H2, using the model's default compressor assumptions and Premise's documented delivery pressure.</t>
        </is>
      </c>
      <c r="I2071">
        <v>0</v>
      </c>
    </row>
    <row r="2072">
      <c r="A2072" t="inlineStr">
        <is>
          <t xml:space="preserve">fuel cell Balance of Plant production, 1 kWe, proton exchange membrane (PEM)</t>
        </is>
      </c>
      <c r="B2072">
        <v>0.00013256366446464648</v>
      </c>
      <c r="C2072" t="inlineStr">
        <is>
          <t>GLO</t>
        </is>
      </c>
      <c r="D2072" t="inlineStr">
        <is>
          <t>unit</t>
        </is>
      </c>
      <c r="F2072" t="inlineStr">
        <is>
          <t>technosphere</t>
        </is>
      </c>
      <c r="G2072" t="inlineStr">
        <is>
          <t xml:space="preserve">fuel cell Balance of Plant, 1 kWe, proton exchange membrane (PEM)</t>
        </is>
      </c>
      <c r="H2072" t="inlineStr">
        <is>
          <t xml:space="preserve"> Energy-use allocation: 28.43844795227051 * 4.999999873689376e-06 / 1.0726335662454156 MJ per kilometer.
Shared component reuse (2026-10-16): original model supplier 'fuel cell Balance of Plant production, 1 kWe, proton exchange membrane (PEM), carculator passenger car 2020' uses the existing canonical recipe in lci-fuel_cell.xlsx; its quantities and uncertainty are retained.</t>
        </is>
      </c>
      <c r="I2072">
        <v>0</v>
      </c>
    </row>
    <row r="2073">
      <c r="A2073" t="inlineStr">
        <is>
          <t xml:space="preserve">fuel cell stack production, 1 kWe, proton exchange membrane (PEM)</t>
        </is>
      </c>
      <c r="B2073">
        <v>0.0006491343068889693</v>
      </c>
      <c r="C2073" t="inlineStr">
        <is>
          <t>GLO</t>
        </is>
      </c>
      <c r="D2073" t="inlineStr">
        <is>
          <t>unit</t>
        </is>
      </c>
      <c r="F2073" t="inlineStr">
        <is>
          <t>technosphere</t>
        </is>
      </c>
      <c r="G2073" t="inlineStr">
        <is>
          <t xml:space="preserve">fuel cell stack, 1 kWe, proton exchange membrane (PEM)</t>
        </is>
      </c>
      <c r="H2073" t="inlineStr">
        <is>
          <t xml:space="preserve"> Energy-use allocation: 139.2566528320312 * 4.999999873689376e-06 / 1.0726335662454156 MJ per kilometer.
Shared component reuse (2026-10-16): original model supplier 'fuel cell stack production, 1 kWe, proton exchange membrane (PEM), carculator passenger car 2020' uses the existing canonical recipe in lci-fuel_cell.xlsx; its quantities and uncertainty are retained.</t>
        </is>
      </c>
      <c r="I2073">
        <v>0</v>
      </c>
    </row>
    <row r="2074">
      <c r="A2074" t="inlineStr">
        <is>
          <t xml:space="preserve">fuel tank, compressed hydrogen gas, 700bar, with HDPE liner</t>
        </is>
      </c>
      <c r="B2074">
        <v>0.0004560088764646349</v>
      </c>
      <c r="C2074" t="inlineStr">
        <is>
          <t>RER</t>
        </is>
      </c>
      <c r="D2074" t="inlineStr">
        <is>
          <t>kilogram</t>
        </is>
      </c>
      <c r="F2074" t="inlineStr">
        <is>
          <t>technosphere</t>
        </is>
      </c>
      <c r="G2074" t="inlineStr">
        <is>
          <t xml:space="preserve">hydrogen tank</t>
        </is>
      </c>
      <c r="H2074" t="inlineStr">
        <is>
          <t xml:space="preserve"> Energy-use allocation: 97.82608795166016 * 4.999999873689376e-06 / 1.0726335662454156 MJ per kilometer.
Shared component reuse (2026-10-16): original model supplier 'fuel tank, compressed hydrogen gas, 700bar, with HDPE liner, carculator passenger car 2020' uses the existing canonical recipe in lci-trucks.xlsx; its quantities and uncertainty are retained.</t>
        </is>
      </c>
      <c r="I2074">
        <v>0</v>
      </c>
    </row>
    <row r="2075">
      <c r="A2075" t="inlineStr">
        <is>
          <t>market for converter, for electric passenger car</t>
        </is>
      </c>
      <c r="B2075">
        <v>2.0839605113863403e-05</v>
      </c>
      <c r="C2075" t="inlineStr">
        <is>
          <t>GLO</t>
        </is>
      </c>
      <c r="D2075" t="inlineStr">
        <is>
          <t>kilogram</t>
        </is>
      </c>
      <c r="F2075" t="inlineStr">
        <is>
          <t>technosphere</t>
        </is>
      </c>
      <c r="G2075" t="inlineStr">
        <is>
          <t>converter, for electric passenger car</t>
        </is>
      </c>
      <c r="H2075" t="inlineStr">
        <is>
          <t> Energy-use allocation: 4.470652103424072 * 4.999999873689376e-06 / 1.0726335662454156 MJ per kilometer.</t>
        </is>
      </c>
      <c r="I2075">
        <v>0</v>
      </c>
    </row>
    <row r="2076">
      <c r="A2076" t="inlineStr">
        <is>
          <t>market for electric motor, electric passenger car</t>
        </is>
      </c>
      <c r="B2076">
        <v>0.0004290234592004841</v>
      </c>
      <c r="C2076" t="inlineStr">
        <is>
          <t>GLO</t>
        </is>
      </c>
      <c r="D2076" t="inlineStr">
        <is>
          <t>kilogram</t>
        </is>
      </c>
      <c r="F2076" t="inlineStr">
        <is>
          <t>technosphere</t>
        </is>
      </c>
      <c r="G2076" t="inlineStr">
        <is>
          <t>electric motor, electric passenger car</t>
        </is>
      </c>
      <c r="H2076" t="inlineStr">
        <is>
          <t> Energy-use allocation: 92.03699493408203 * 4.999999873689376e-06 / 1.0726335662454156 MJ per kilometer.</t>
        </is>
      </c>
      <c r="I2076">
        <v>0</v>
      </c>
    </row>
    <row r="2077">
      <c r="A2077" t="inlineStr">
        <is>
          <t>market for internal combustion engine, passenger car</t>
        </is>
      </c>
      <c r="B2077">
        <v>0.0004267582557876431</v>
      </c>
      <c r="C2077" t="inlineStr">
        <is>
          <t>GLO</t>
        </is>
      </c>
      <c r="D2077" t="inlineStr">
        <is>
          <t>kilogram</t>
        </is>
      </c>
      <c r="F2077" t="inlineStr">
        <is>
          <t>technosphere</t>
        </is>
      </c>
      <c r="G2077" t="inlineStr">
        <is>
          <t>internal combustion engine, passenger car</t>
        </is>
      </c>
      <c r="H2077" t="inlineStr">
        <is>
          <t> Energy-use allocation: 91.5510482788086 * 4.999999873689376e-06 / 1.0726335662454156 MJ per kilometer.</t>
        </is>
      </c>
      <c r="I2077">
        <v>0</v>
      </c>
    </row>
    <row r="2078">
      <c r="A2078" t="inlineStr">
        <is>
          <t>market for inverter, for electric passenger car</t>
        </is>
      </c>
      <c r="B2078">
        <v>4.1679210227726807e-05</v>
      </c>
      <c r="C2078" t="inlineStr">
        <is>
          <t>GLO</t>
        </is>
      </c>
      <c r="D2078" t="inlineStr">
        <is>
          <t>kilogram</t>
        </is>
      </c>
      <c r="F2078" t="inlineStr">
        <is>
          <t>technosphere</t>
        </is>
      </c>
      <c r="G2078" t="inlineStr">
        <is>
          <t>inverter, for electric passenger car</t>
        </is>
      </c>
      <c r="H2078" t="inlineStr">
        <is>
          <t> Energy-use allocation: 8.941304206848145 * 4.999999873689376e-06 / 1.0726335662454156 MJ per kilometer.</t>
        </is>
      </c>
      <c r="I2078">
        <v>0</v>
      </c>
    </row>
    <row r="2079">
      <c r="A2079" t="inlineStr">
        <is>
          <t>market for power distribution unit, for electric passenger car</t>
        </is>
      </c>
      <c r="B2079">
        <v>1.852409331105968e-05</v>
      </c>
      <c r="C2079" t="inlineStr">
        <is>
          <t>GLO</t>
        </is>
      </c>
      <c r="D2079" t="inlineStr">
        <is>
          <t>kilogram</t>
        </is>
      </c>
      <c r="F2079" t="inlineStr">
        <is>
          <t>technosphere</t>
        </is>
      </c>
      <c r="G2079" t="inlineStr">
        <is>
          <t>power distribution unit, for electric passenger car</t>
        </is>
      </c>
      <c r="H2079" t="inlineStr">
        <is>
          <t> Energy-use allocation: 3.973912954330444 * 4.999999873689376e-06 / 1.0726335662454156 MJ per kilometer.</t>
        </is>
      </c>
      <c r="I2079">
        <v>0</v>
      </c>
    </row>
    <row r="2080">
      <c r="A2080" t="inlineStr">
        <is>
          <t>market for used powertrain from electric passenger car, manual dismantling</t>
        </is>
      </c>
      <c r="B2080">
        <v>-0.0016750567184222265</v>
      </c>
      <c r="C2080" t="inlineStr">
        <is>
          <t>GLO</t>
        </is>
      </c>
      <c r="D2080" t="inlineStr">
        <is>
          <t>kilogram</t>
        </is>
      </c>
      <c r="F2080" t="inlineStr">
        <is>
          <t>technosphere</t>
        </is>
      </c>
      <c r="G2080" t="inlineStr">
        <is>
          <t>used powertrain from electric passenger car, manual dismantling</t>
        </is>
      </c>
      <c r="H2080" t="inlineStr">
        <is>
          <t> Energy-use allocation: -359.3444213867188 * 4.999999873689376e-06 / 1.0726335662454156 MJ per kilometer.</t>
        </is>
      </c>
      <c r="I2080">
        <v>0</v>
      </c>
    </row>
    <row r="2081">
      <c r="A2081" t="inlineStr">
        <is>
          <t>market for waste plastic, industrial electronics</t>
        </is>
      </c>
      <c r="B2081">
        <v>-0.0004560088764646349</v>
      </c>
      <c r="C2081" t="inlineStr">
        <is>
          <t>CH</t>
        </is>
      </c>
      <c r="D2081" t="inlineStr">
        <is>
          <t>kilogram</t>
        </is>
      </c>
      <c r="F2081" t="inlineStr">
        <is>
          <t>technosphere</t>
        </is>
      </c>
      <c r="G2081" t="inlineStr">
        <is>
          <t>waste plastic, industrial electronics</t>
        </is>
      </c>
      <c r="H2081" t="inlineStr">
        <is>
          <t> Energy-use allocation: -97.82608795166016 * 4.999999873689376e-06 / 1.0726335662454156 MJ per kilometer.</t>
        </is>
      </c>
      <c r="I2081">
        <v>0</v>
      </c>
    </row>
    <row r="2082">
      <c r="A2082" t="inlineStr">
        <is>
          <t>market for battery capacity (MIX scenario)</t>
        </is>
      </c>
      <c r="B2082">
        <v>7.446961466462621e-06</v>
      </c>
      <c r="C2082" t="inlineStr">
        <is>
          <t>GLO</t>
        </is>
      </c>
      <c r="D2082" t="inlineStr">
        <is>
          <t>kilowatt hour</t>
        </is>
      </c>
      <c r="F2082" t="inlineStr">
        <is>
          <t>technosphere</t>
        </is>
      </c>
      <c r="G2082" t="inlineStr">
        <is>
          <t>electricity storage capacity</t>
        </is>
      </c>
      <c r="H2082" t="inlineStr">
        <is>
          <t>1.59757220745 kWh nominal * (1 + 0 lifetime replacements). Capacity market includes battery manufacture AND end of life; original kg pack and disposal removed. Energy-use allocation: 1.597572207450867 * 4.999999873689376e-06 / 1.0726335662454156 MJ per kilometer.</t>
        </is>
      </c>
      <c r="I2082">
        <v>0</v>
      </c>
    </row>
    <row r="2083"/>
    <row r="2084">
      <c r="A2084" t="inlineStr">
        <is>
          <t>Activity</t>
        </is>
      </c>
      <c r="B2084" t="inlineStr">
        <is>
          <t>petrol, burned in motorcycle</t>
        </is>
      </c>
    </row>
    <row r="2085">
      <c r="A2085" t="inlineStr">
        <is>
          <t>location</t>
        </is>
      </c>
      <c r="B2085" t="inlineStr">
        <is>
          <t>RER</t>
        </is>
      </c>
    </row>
    <row r="2086">
      <c r="A2086" t="inlineStr">
        <is>
          <t>production amount</t>
        </is>
      </c>
      <c r="B2086">
        <v>1</v>
      </c>
    </row>
    <row r="2087">
      <c r="A2087" t="inlineStr">
        <is>
          <t>reference product</t>
        </is>
      </c>
      <c r="B2087" t="inlineStr">
        <is>
          <t>heat</t>
        </is>
      </c>
    </row>
    <row r="2088">
      <c r="A2088" t="inlineStr">
        <is>
          <t>type</t>
        </is>
      </c>
      <c r="B2088" t="inlineStr">
        <is>
          <t>process</t>
        </is>
      </c>
    </row>
    <row r="2089">
      <c r="A2089" t="inlineStr">
        <is>
          <t>unit</t>
        </is>
      </c>
      <c r="B2089" t="inlineStr">
        <is>
          <t>megajoule</t>
        </is>
      </c>
    </row>
    <row r="2090">
      <c r="A2090" t="inlineStr">
        <is>
          <t>Power, mean</t>
        </is>
      </c>
      <c r="B2090">
        <v>20</v>
      </c>
    </row>
    <row r="2091">
      <c r="A2091" t="inlineStr">
        <is>
          <t>Power, min</t>
        </is>
      </c>
      <c r="B2091">
        <v>9</v>
      </c>
    </row>
    <row r="2092">
      <c r="A2092" t="inlineStr">
        <is>
          <t>Power, max</t>
        </is>
      </c>
      <c r="B2092">
        <v>92</v>
      </c>
    </row>
    <row r="2093">
      <c r="A2093" t="inlineStr">
        <is>
          <t>Lifetime, mean</t>
        </is>
      </c>
      <c r="B2093">
        <v>100000</v>
      </c>
    </row>
    <row r="2094">
      <c r="A2094" t="inlineStr">
        <is>
          <t>Lifetime, min</t>
        </is>
      </c>
      <c r="B2094">
        <v>50000</v>
      </c>
    </row>
    <row r="2095">
      <c r="A2095" t="inlineStr">
        <is>
          <t>Lifetime, max</t>
        </is>
      </c>
      <c r="B2095">
        <v>200000</v>
      </c>
    </row>
    <row r="2096">
      <c r="A2096" t="inlineStr">
        <is>
          <t>Energy use, mean</t>
        </is>
      </c>
      <c r="B2096">
        <v>1300</v>
      </c>
    </row>
    <row r="2097">
      <c r="A2097" t="inlineStr">
        <is>
          <t>Energy use, min</t>
        </is>
      </c>
      <c r="B2097">
        <v>800</v>
      </c>
    </row>
    <row r="2098">
      <c r="A2098" t="inlineStr">
        <is>
          <t>Energy use, max</t>
        </is>
      </c>
      <c r="B2098">
        <v>1530</v>
      </c>
    </row>
    <row r="2099">
      <c r="A2099" t="inlineStr">
        <is>
          <t>Combustion engine, mean</t>
        </is>
      </c>
      <c r="B2099">
        <v>14</v>
      </c>
    </row>
    <row r="2100">
      <c r="A2100" t="inlineStr">
        <is>
          <t>Combustion engine, min</t>
        </is>
      </c>
      <c r="B2100">
        <v>6</v>
      </c>
    </row>
    <row r="2101">
      <c r="A2101" t="inlineStr">
        <is>
          <t>Combustion engine, max</t>
        </is>
      </c>
      <c r="B2101">
        <v>65</v>
      </c>
    </row>
    <row r="2102">
      <c r="A2102" t="inlineStr">
        <is>
          <t>Fuel tank, mean</t>
        </is>
      </c>
      <c r="B2102">
        <v>10</v>
      </c>
    </row>
    <row r="2103">
      <c r="A2103" t="inlineStr">
        <is>
          <t>Fuel tank, min</t>
        </is>
      </c>
      <c r="B2103">
        <v>6</v>
      </c>
    </row>
    <row r="2104">
      <c r="A2104" t="inlineStr">
        <is>
          <t>Fuel tank, max</t>
        </is>
      </c>
      <c r="B2104">
        <v>12</v>
      </c>
    </row>
    <row r="2105">
      <c r="A2105" t="inlineStr">
        <is>
          <t>NOx</t>
        </is>
      </c>
      <c r="B2105">
        <v>0.007581145</v>
      </c>
    </row>
    <row r="2106">
      <c r="A2106" t="inlineStr">
        <is>
          <t>PM 2.5</t>
        </is>
      </c>
      <c r="B2106">
        <v>0.000565099</v>
      </c>
    </row>
    <row r="2107">
      <c r="A2107" t="inlineStr">
        <is>
          <t>energy use source</t>
        </is>
      </c>
      <c r="B21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false}</t>
        </is>
      </c>
    </row>
    <row r="2108">
      <c r="A2108" t="inlineStr">
        <is>
          <t>comment</t>
        </is>
      </c>
      <c r="B2108"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109">
      <c r="A2109" t="inlineStr">
        <is>
          <t>Exchanges</t>
        </is>
      </c>
    </row>
    <row r="2110">
      <c r="A2110" t="inlineStr">
        <is>
          <t>name</t>
        </is>
      </c>
      <c r="B2110" t="inlineStr">
        <is>
          <t>amount</t>
        </is>
      </c>
      <c r="C2110" t="inlineStr">
        <is>
          <t>location</t>
        </is>
      </c>
      <c r="D2110" t="inlineStr">
        <is>
          <t>unit</t>
        </is>
      </c>
      <c r="E2110" t="inlineStr">
        <is>
          <t>categories</t>
        </is>
      </c>
      <c r="F2110" t="inlineStr">
        <is>
          <t>type</t>
        </is>
      </c>
      <c r="G2110" t="inlineStr">
        <is>
          <t>reference product</t>
        </is>
      </c>
      <c r="H2110" t="inlineStr">
        <is>
          <t>comment</t>
        </is>
      </c>
      <c r="I2110" t="inlineStr">
        <is>
          <t>uncertainty type</t>
        </is>
      </c>
    </row>
    <row r="2111">
      <c r="A2111" t="inlineStr">
        <is>
          <t>petrol, burned in motorcycle</t>
        </is>
      </c>
      <c r="B2111">
        <v>1.0</v>
      </c>
      <c r="C2111" t="inlineStr">
        <is>
          <t>RER</t>
        </is>
      </c>
      <c r="D2111" t="inlineStr">
        <is>
          <t>megajoule</t>
        </is>
      </c>
      <c r="F2111" t="inlineStr">
        <is>
          <t>production</t>
        </is>
      </c>
      <c r="G2111" t="inlineStr">
        <is>
          <t>heat</t>
        </is>
      </c>
      <c r="I2111">
        <v>0</v>
      </c>
    </row>
    <row r="2112">
      <c r="A2112" t="inlineStr">
        <is>
          <t>fuel supply for gasoline vehicles</t>
        </is>
      </c>
      <c r="B2112">
        <v>0.02347417840375587</v>
      </c>
      <c r="C2112" t="inlineStr">
        <is>
          <t>CH</t>
        </is>
      </c>
      <c r="D2112" t="inlineStr">
        <is>
          <t>kilogram</t>
        </is>
      </c>
      <c r="F2112" t="inlineStr">
        <is>
          <t>technosphere</t>
        </is>
      </c>
      <c r="G2112" t="inlineStr">
        <is>
          <t>gasoline blend</t>
        </is>
      </c>
      <c r="H2112" t="inlineStr">
        <is>
          <t>Gasoline consumption [MJ/km]</t>
        </is>
      </c>
      <c r="I2112">
        <v>0</v>
      </c>
    </row>
    <row r="2113">
      <c r="A2113" t="inlineStr">
        <is>
          <t>polyethylene production, high density, granulate</t>
        </is>
      </c>
      <c r="B2113">
        <v>3.004649931974593e-05</v>
      </c>
      <c r="C2113" t="inlineStr">
        <is>
          <t>RER</t>
        </is>
      </c>
      <c r="D2113" t="inlineStr">
        <is>
          <t>kilogram</t>
        </is>
      </c>
      <c r="F2113" t="inlineStr">
        <is>
          <t>technosphere</t>
        </is>
      </c>
      <c r="G2113" t="inlineStr">
        <is>
          <t>polyethylene, high density, granulate</t>
        </is>
      </c>
      <c r="H2113" t="inlineStr">
        <is>
          <t>Fuel tank mass [kg] Energy-use allocation: 1.6875 * 2.5974025974025975e-05 / 1.4587778883899432 MJ per kilometer.</t>
        </is>
      </c>
      <c r="I2113">
        <v>0</v>
      </c>
    </row>
    <row r="2114">
      <c r="A2114" t="inlineStr">
        <is>
          <t>Carbon dioxide, fossil</t>
        </is>
      </c>
      <c r="B2114">
        <v>0.0728244131455399</v>
      </c>
      <c r="D2114" t="inlineStr">
        <is>
          <t>kilogram</t>
        </is>
      </c>
      <c r="E2114" t="inlineStr">
        <is>
          <t>air::urban air close to ground</t>
        </is>
      </c>
      <c r="F2114" t="inlineStr">
        <is>
          <t>biosphere</t>
        </is>
      </c>
      <c r="H2114" t="inlineStr">
        <is>
          <t>CO2</t>
        </is>
      </c>
      <c r="I2114">
        <v>0</v>
      </c>
    </row>
    <row r="2115">
      <c r="A2115" t="inlineStr">
        <is>
          <t>Carbon dioxide, from soil or biomass stock</t>
        </is>
      </c>
      <c r="B2115">
        <v>0.0008845070422535212</v>
      </c>
      <c r="D2115" t="inlineStr">
        <is>
          <t>kilogram</t>
        </is>
      </c>
      <c r="E2115" t="inlineStr">
        <is>
          <t>air::urban air close to ground</t>
        </is>
      </c>
      <c r="F2115" t="inlineStr">
        <is>
          <t>biosphere</t>
        </is>
      </c>
      <c r="H2115" t="inlineStr">
        <is>
          <t>CO2, bio</t>
        </is>
      </c>
      <c r="I2115">
        <v>0</v>
      </c>
    </row>
    <row r="2116">
      <c r="A2116" t="inlineStr">
        <is>
          <t>Sulfur dioxide</t>
        </is>
      </c>
      <c r="B2116">
        <v>3.755868544600939e-07</v>
      </c>
      <c r="D2116" t="inlineStr">
        <is>
          <t>kilogram</t>
        </is>
      </c>
      <c r="E2116" t="inlineStr">
        <is>
          <t>air::urban air close to ground</t>
        </is>
      </c>
      <c r="F2116" t="inlineStr">
        <is>
          <t>biosphere</t>
        </is>
      </c>
      <c r="H2116" t="inlineStr">
        <is>
          <t>SO2</t>
        </is>
      </c>
      <c r="I2116">
        <v>0</v>
      </c>
    </row>
    <row r="2117">
      <c r="A2117" t="inlineStr">
        <is>
          <t>Benzene</t>
        </is>
      </c>
      <c r="B2117">
        <v>7.62340991328562e-07</v>
      </c>
      <c r="D2117" t="inlineStr">
        <is>
          <t>kilogram</t>
        </is>
      </c>
      <c r="E2117" t="inlineStr">
        <is>
          <t>air::urban air close to ground</t>
        </is>
      </c>
      <c r="F2117" t="inlineStr">
        <is>
          <t>biosphere</t>
        </is>
      </c>
      <c r="H2117" t="inlineStr">
        <is>
          <t>Benzene</t>
        </is>
      </c>
      <c r="I2117">
        <v>0</v>
      </c>
    </row>
    <row r="2118">
      <c r="A2118" t="inlineStr">
        <is>
          <t>Methane, fossil</t>
        </is>
      </c>
      <c r="B2118">
        <v>1.8797075715851682e-05</v>
      </c>
      <c r="D2118" t="inlineStr">
        <is>
          <t>kilogram</t>
        </is>
      </c>
      <c r="E2118" t="inlineStr">
        <is>
          <t>air::urban air close to ground</t>
        </is>
      </c>
      <c r="F2118" t="inlineStr">
        <is>
          <t>biosphere</t>
        </is>
      </c>
      <c r="H2118" t="inlineStr">
        <is>
          <t>CH4</t>
        </is>
      </c>
      <c r="I2118">
        <v>0</v>
      </c>
    </row>
    <row r="2119">
      <c r="A2119" t="inlineStr">
        <is>
          <t>Carbon monoxide, fossil</t>
        </is>
      </c>
      <c r="B2119">
        <v>8.345515188546348e-05</v>
      </c>
      <c r="D2119" t="inlineStr">
        <is>
          <t>kilogram</t>
        </is>
      </c>
      <c r="E2119" t="inlineStr">
        <is>
          <t>air::urban air close to ground</t>
        </is>
      </c>
      <c r="F2119" t="inlineStr">
        <is>
          <t>biosphere</t>
        </is>
      </c>
      <c r="H2119" t="inlineStr">
        <is>
          <t>CO</t>
        </is>
      </c>
      <c r="I2119">
        <v>0</v>
      </c>
    </row>
    <row r="2120">
      <c r="A2120" t="inlineStr">
        <is>
          <t>Dinitrogen monoxide</t>
        </is>
      </c>
      <c r="B2120">
        <v>5.653255854391483e-07</v>
      </c>
      <c r="D2120" t="inlineStr">
        <is>
          <t>kilogram</t>
        </is>
      </c>
      <c r="E2120" t="inlineStr">
        <is>
          <t>air::urban air close to ground</t>
        </is>
      </c>
      <c r="F2120" t="inlineStr">
        <is>
          <t>biosphere</t>
        </is>
      </c>
      <c r="H2120" t="inlineStr">
        <is>
          <t>N2O</t>
        </is>
      </c>
      <c r="I2120">
        <v>0</v>
      </c>
    </row>
    <row r="2121">
      <c r="A2121" t="inlineStr">
        <is>
          <t>Ammonia</t>
        </is>
      </c>
      <c r="B2121">
        <v>5.653255854391483e-07</v>
      </c>
      <c r="D2121" t="inlineStr">
        <is>
          <t>kilogram</t>
        </is>
      </c>
      <c r="E2121" t="inlineStr">
        <is>
          <t>air::urban air close to ground</t>
        </is>
      </c>
      <c r="F2121" t="inlineStr">
        <is>
          <t>biosphere</t>
        </is>
      </c>
      <c r="H2121" t="inlineStr">
        <is>
          <t>NH3</t>
        </is>
      </c>
      <c r="I2121">
        <v>0</v>
      </c>
    </row>
    <row r="2122">
      <c r="A2122" t="inlineStr">
        <is>
          <t>Nitrogen oxides</t>
        </is>
      </c>
      <c r="B2122">
        <v>6.162014101297245e-06</v>
      </c>
      <c r="D2122" t="inlineStr">
        <is>
          <t>kilogram</t>
        </is>
      </c>
      <c r="E2122" t="inlineStr">
        <is>
          <t>air::urban air close to ground</t>
        </is>
      </c>
      <c r="F2122" t="inlineStr">
        <is>
          <t>biosphere</t>
        </is>
      </c>
      <c r="H2122" t="inlineStr">
        <is>
          <t>NOx</t>
        </is>
      </c>
      <c r="I2122">
        <v>0</v>
      </c>
    </row>
    <row r="2123">
      <c r="A2123" t="inlineStr">
        <is>
          <t>Particulate Matter, &lt; 2.5 um</t>
        </is>
      </c>
      <c r="B2123">
        <v>1.4133139635978708e-06</v>
      </c>
      <c r="D2123" t="inlineStr">
        <is>
          <t>kilogram</t>
        </is>
      </c>
      <c r="E2123" t="inlineStr">
        <is>
          <t>air::urban air close to ground</t>
        </is>
      </c>
      <c r="F2123" t="inlineStr">
        <is>
          <t>biosphere</t>
        </is>
      </c>
      <c r="H2123" t="inlineStr">
        <is>
          <t>PM2.5</t>
        </is>
      </c>
      <c r="I2123">
        <v>0</v>
      </c>
    </row>
    <row r="2124">
      <c r="A2124" t="inlineStr">
        <is>
          <t>NMVOC, non-methane volatile organic compounds</t>
        </is>
      </c>
      <c r="B2124">
        <v>6.1476482081469075e-06</v>
      </c>
      <c r="D2124" t="inlineStr">
        <is>
          <t>kilogram</t>
        </is>
      </c>
      <c r="E2124" t="inlineStr">
        <is>
          <t>air::urban air close to ground</t>
        </is>
      </c>
      <c r="F2124" t="inlineStr">
        <is>
          <t>biosphere</t>
        </is>
      </c>
      <c r="H2124" t="inlineStr">
        <is>
          <t>NMVOC</t>
        </is>
      </c>
      <c r="I2124">
        <v>0</v>
      </c>
    </row>
    <row r="2125">
      <c r="A2125" t="inlineStr">
        <is>
          <t>Ethane</t>
        </is>
      </c>
      <c r="B2125">
        <v>4.3348801467702544e-07</v>
      </c>
      <c r="D2125" t="inlineStr">
        <is>
          <t>kilogram</t>
        </is>
      </c>
      <c r="E2125" t="inlineStr">
        <is>
          <t>air::urban air close to ground</t>
        </is>
      </c>
      <c r="F2125" t="inlineStr">
        <is>
          <t>biosphere</t>
        </is>
      </c>
      <c r="H2125" t="inlineStr">
        <is>
          <t>Ethane</t>
        </is>
      </c>
      <c r="I2125">
        <v>0</v>
      </c>
    </row>
    <row r="2126">
      <c r="A2126" t="inlineStr">
        <is>
          <t>Propane</t>
        </is>
      </c>
      <c r="B2126">
        <v>8.832827885268543e-08</v>
      </c>
      <c r="D2126" t="inlineStr">
        <is>
          <t>kilogram</t>
        </is>
      </c>
      <c r="E2126" t="inlineStr">
        <is>
          <t>air::urban air close to ground</t>
        </is>
      </c>
      <c r="F2126" t="inlineStr">
        <is>
          <t>biosphere</t>
        </is>
      </c>
      <c r="H2126" t="inlineStr">
        <is>
          <t>Propane</t>
        </is>
      </c>
      <c r="I2126">
        <v>0</v>
      </c>
    </row>
    <row r="2127">
      <c r="A2127" t="inlineStr">
        <is>
          <t>Butane</t>
        </is>
      </c>
      <c r="B2127">
        <v>7.120618172124179e-07</v>
      </c>
      <c r="D2127" t="inlineStr">
        <is>
          <t>kilogram</t>
        </is>
      </c>
      <c r="E2127" t="inlineStr">
        <is>
          <t>air::urban air close to ground</t>
        </is>
      </c>
      <c r="F2127" t="inlineStr">
        <is>
          <t>biosphere</t>
        </is>
      </c>
      <c r="H2127" t="inlineStr">
        <is>
          <t>Butane</t>
        </is>
      </c>
      <c r="I2127">
        <v>0</v>
      </c>
    </row>
    <row r="2128">
      <c r="A2128" t="inlineStr">
        <is>
          <t>Pentane</t>
        </is>
      </c>
      <c r="B2128">
        <v>2.9216276851272876e-07</v>
      </c>
      <c r="D2128" t="inlineStr">
        <is>
          <t>kilogram</t>
        </is>
      </c>
      <c r="E2128" t="inlineStr">
        <is>
          <t>air::urban air close to ground</t>
        </is>
      </c>
      <c r="F2128" t="inlineStr">
        <is>
          <t>biosphere</t>
        </is>
      </c>
      <c r="H2128" t="inlineStr">
        <is>
          <t>Pentane</t>
        </is>
      </c>
      <c r="I2128">
        <v>0</v>
      </c>
    </row>
    <row r="2129">
      <c r="A2129" t="inlineStr">
        <is>
          <t>Hexane</t>
        </is>
      </c>
      <c r="B2129">
        <v>2.1878235223511317e-07</v>
      </c>
      <c r="D2129" t="inlineStr">
        <is>
          <t>kilogram</t>
        </is>
      </c>
      <c r="E2129" t="inlineStr">
        <is>
          <t>air::urban air close to ground</t>
        </is>
      </c>
      <c r="F2129" t="inlineStr">
        <is>
          <t>biosphere</t>
        </is>
      </c>
      <c r="H2129" t="inlineStr">
        <is>
          <t>Hexane</t>
        </is>
      </c>
      <c r="I2129">
        <v>0</v>
      </c>
    </row>
    <row r="2130">
      <c r="A2130" t="inlineStr">
        <is>
          <t>Cyclohexane</t>
        </is>
      </c>
      <c r="B2130">
        <v>1.5491421214163292e-07</v>
      </c>
      <c r="D2130" t="inlineStr">
        <is>
          <t>kilogram</t>
        </is>
      </c>
      <c r="E2130" t="inlineStr">
        <is>
          <t>air::urban air close to ground</t>
        </is>
      </c>
      <c r="F2130" t="inlineStr">
        <is>
          <t>biosphere</t>
        </is>
      </c>
      <c r="H2130" t="inlineStr">
        <is>
          <t>Cyclohexane</t>
        </is>
      </c>
      <c r="I2130">
        <v>0</v>
      </c>
    </row>
    <row r="2131">
      <c r="A2131" t="inlineStr">
        <is>
          <t>Heptane</t>
        </is>
      </c>
      <c r="B2131">
        <v>1.0055834823228804e-07</v>
      </c>
      <c r="D2131" t="inlineStr">
        <is>
          <t>kilogram</t>
        </is>
      </c>
      <c r="E2131" t="inlineStr">
        <is>
          <t>air::urban air close to ground</t>
        </is>
      </c>
      <c r="F2131" t="inlineStr">
        <is>
          <t>biosphere</t>
        </is>
      </c>
      <c r="H2131" t="inlineStr">
        <is>
          <t>Heptane</t>
        </is>
      </c>
      <c r="I2131">
        <v>0</v>
      </c>
    </row>
    <row r="2132">
      <c r="A2132" t="inlineStr">
        <is>
          <t>Ethylene</t>
        </is>
      </c>
      <c r="B2132">
        <v>9.919945163455441e-07</v>
      </c>
      <c r="D2132" t="inlineStr">
        <is>
          <t>kilogram</t>
        </is>
      </c>
      <c r="E2132" t="inlineStr">
        <is>
          <t>air::urban air close to ground</t>
        </is>
      </c>
      <c r="F2132" t="inlineStr">
        <is>
          <t>biosphere</t>
        </is>
      </c>
      <c r="H2132" t="inlineStr">
        <is>
          <t>Ethene</t>
        </is>
      </c>
      <c r="I2132">
        <v>0</v>
      </c>
    </row>
    <row r="2133">
      <c r="A2133" t="inlineStr">
        <is>
          <t>Propylene</t>
        </is>
      </c>
      <c r="B2133">
        <v>5.190985003342436e-07</v>
      </c>
      <c r="D2133" t="inlineStr">
        <is>
          <t>kilogram</t>
        </is>
      </c>
      <c r="E2133" t="inlineStr">
        <is>
          <t>air::urban air close to ground</t>
        </is>
      </c>
      <c r="F2133" t="inlineStr">
        <is>
          <t>biosphere</t>
        </is>
      </c>
      <c r="H2133" t="inlineStr">
        <is>
          <t>Propene</t>
        </is>
      </c>
      <c r="I2133">
        <v>0</v>
      </c>
    </row>
    <row r="2134">
      <c r="A2134" t="inlineStr">
        <is>
          <t>1-Pentene</t>
        </is>
      </c>
      <c r="B2134">
        <v>1.4947862575069847e-08</v>
      </c>
      <c r="D2134" t="inlineStr">
        <is>
          <t>kilogram</t>
        </is>
      </c>
      <c r="E2134" t="inlineStr">
        <is>
          <t>air::urban air close to ground</t>
        </is>
      </c>
      <c r="F2134" t="inlineStr">
        <is>
          <t>biosphere</t>
        </is>
      </c>
      <c r="H2134" t="inlineStr">
        <is>
          <t>1-Pentene</t>
        </is>
      </c>
      <c r="I2134">
        <v>0</v>
      </c>
    </row>
    <row r="2135">
      <c r="A2135" t="inlineStr">
        <is>
          <t>Toluene</t>
        </is>
      </c>
      <c r="B2135">
        <v>1.4920684643115172e-06</v>
      </c>
      <c r="D2135" t="inlineStr">
        <is>
          <t>kilogram</t>
        </is>
      </c>
      <c r="E2135" t="inlineStr">
        <is>
          <t>air::urban air close to ground</t>
        </is>
      </c>
      <c r="F2135" t="inlineStr">
        <is>
          <t>biosphere</t>
        </is>
      </c>
      <c r="H2135" t="inlineStr">
        <is>
          <t>Toluene</t>
        </is>
      </c>
      <c r="I2135">
        <v>0</v>
      </c>
    </row>
    <row r="2136">
      <c r="A2136" t="inlineStr">
        <is>
          <t>m-Xylene</t>
        </is>
      </c>
      <c r="B2136">
        <v>7.37880852569357e-07</v>
      </c>
      <c r="D2136" t="inlineStr">
        <is>
          <t>kilogram</t>
        </is>
      </c>
      <c r="E2136" t="inlineStr">
        <is>
          <t>air::urban air close to ground</t>
        </is>
      </c>
      <c r="F2136" t="inlineStr">
        <is>
          <t>biosphere</t>
        </is>
      </c>
      <c r="H2136" t="inlineStr">
        <is>
          <t>m-Xylene</t>
        </is>
      </c>
      <c r="I2136">
        <v>0</v>
      </c>
    </row>
    <row r="2137">
      <c r="A2137" t="inlineStr">
        <is>
          <t>o-Xylene</t>
        </is>
      </c>
      <c r="B2137">
        <v>3.071106310877986e-07</v>
      </c>
      <c r="D2137" t="inlineStr">
        <is>
          <t>kilogram</t>
        </is>
      </c>
      <c r="E2137" t="inlineStr">
        <is>
          <t>air::urban air close to ground</t>
        </is>
      </c>
      <c r="F2137" t="inlineStr">
        <is>
          <t>biosphere</t>
        </is>
      </c>
      <c r="H2137" t="inlineStr">
        <is>
          <t>o-Xylene</t>
        </is>
      </c>
      <c r="I2137">
        <v>0</v>
      </c>
    </row>
    <row r="2138">
      <c r="A2138" t="inlineStr">
        <is>
          <t>Formaldehyde</t>
        </is>
      </c>
      <c r="B2138">
        <v>2.310124216147158e-07</v>
      </c>
      <c r="D2138" t="inlineStr">
        <is>
          <t>kilogram</t>
        </is>
      </c>
      <c r="E2138" t="inlineStr">
        <is>
          <t>air::urban air close to ground</t>
        </is>
      </c>
      <c r="F2138" t="inlineStr">
        <is>
          <t>biosphere</t>
        </is>
      </c>
      <c r="H2138" t="inlineStr">
        <is>
          <t>Formaldehyde</t>
        </is>
      </c>
      <c r="I2138">
        <v>0</v>
      </c>
    </row>
    <row r="2139">
      <c r="A2139" t="inlineStr">
        <is>
          <t>Acetaldehyde</t>
        </is>
      </c>
      <c r="B2139">
        <v>1.0191724483002165e-07</v>
      </c>
      <c r="D2139" t="inlineStr">
        <is>
          <t>kilogram</t>
        </is>
      </c>
      <c r="E2139" t="inlineStr">
        <is>
          <t>air::urban air close to ground</t>
        </is>
      </c>
      <c r="F2139" t="inlineStr">
        <is>
          <t>biosphere</t>
        </is>
      </c>
      <c r="H2139" t="inlineStr">
        <is>
          <t>Acetaldehyde</t>
        </is>
      </c>
      <c r="I2139">
        <v>0</v>
      </c>
    </row>
    <row r="2140">
      <c r="A2140" t="inlineStr">
        <is>
          <t>Benzaldehyde</t>
        </is>
      </c>
      <c r="B2140">
        <v>2.9895725150139694e-08</v>
      </c>
      <c r="D2140" t="inlineStr">
        <is>
          <t>kilogram</t>
        </is>
      </c>
      <c r="E2140" t="inlineStr">
        <is>
          <t>air::urban air close to ground</t>
        </is>
      </c>
      <c r="F2140" t="inlineStr">
        <is>
          <t>biosphere</t>
        </is>
      </c>
      <c r="H2140" t="inlineStr">
        <is>
          <t>Benzaldehyde</t>
        </is>
      </c>
      <c r="I2140">
        <v>0</v>
      </c>
    </row>
    <row r="2141">
      <c r="A2141" t="inlineStr">
        <is>
          <t>Acetone</t>
        </is>
      </c>
      <c r="B2141">
        <v>8.289269246175097e-08</v>
      </c>
      <c r="D2141" t="inlineStr">
        <is>
          <t>kilogram</t>
        </is>
      </c>
      <c r="E2141" t="inlineStr">
        <is>
          <t>air::urban air close to ground</t>
        </is>
      </c>
      <c r="F2141" t="inlineStr">
        <is>
          <t>biosphere</t>
        </is>
      </c>
      <c r="H2141" t="inlineStr">
        <is>
          <t>Acetone</t>
        </is>
      </c>
      <c r="I2141">
        <v>0</v>
      </c>
    </row>
    <row r="2142">
      <c r="A2142" t="inlineStr">
        <is>
          <t>Methyl ethyl ketone</t>
        </is>
      </c>
      <c r="B2142">
        <v>0.0</v>
      </c>
      <c r="D2142" t="inlineStr">
        <is>
          <t>kilogram</t>
        </is>
      </c>
      <c r="E2142" t="inlineStr">
        <is>
          <t>air::urban air close to ground</t>
        </is>
      </c>
      <c r="F2142" t="inlineStr">
        <is>
          <t>biosphere</t>
        </is>
      </c>
      <c r="H2142" t="inlineStr">
        <is>
          <t>Methyl ethyl ketone</t>
        </is>
      </c>
      <c r="I2142">
        <v>0</v>
      </c>
    </row>
    <row r="2143">
      <c r="A2143" t="inlineStr">
        <is>
          <t>Acrolein</t>
        </is>
      </c>
      <c r="B2143">
        <v>2.581903535693882e-08</v>
      </c>
      <c r="D2143" t="inlineStr">
        <is>
          <t>kilogram</t>
        </is>
      </c>
      <c r="E2143" t="inlineStr">
        <is>
          <t>air::urban air close to ground</t>
        </is>
      </c>
      <c r="F2143" t="inlineStr">
        <is>
          <t>biosphere</t>
        </is>
      </c>
      <c r="H2143" t="inlineStr">
        <is>
          <t>Acrolein</t>
        </is>
      </c>
      <c r="I2143">
        <v>0</v>
      </c>
    </row>
    <row r="2144">
      <c r="A2144" t="inlineStr">
        <is>
          <t>Styrene</t>
        </is>
      </c>
      <c r="B2144">
        <v>1.3724855637109585e-07</v>
      </c>
      <c r="D2144" t="inlineStr">
        <is>
          <t>kilogram</t>
        </is>
      </c>
      <c r="E2144" t="inlineStr">
        <is>
          <t>air::urban air close to ground</t>
        </is>
      </c>
      <c r="F2144" t="inlineStr">
        <is>
          <t>biosphere</t>
        </is>
      </c>
      <c r="H2144" t="inlineStr">
        <is>
          <t>Styrene</t>
        </is>
      </c>
      <c r="I2144">
        <v>0</v>
      </c>
    </row>
    <row r="2145">
      <c r="A2145" t="inlineStr">
        <is>
          <t>PAH, polycyclic aromatic hydrocarbons</t>
        </is>
      </c>
      <c r="B2145">
        <v>8.188235294117648e-10</v>
      </c>
      <c r="D2145" t="inlineStr">
        <is>
          <t>kilogram</t>
        </is>
      </c>
      <c r="E2145" t="inlineStr">
        <is>
          <t>air::urban air close to ground</t>
        </is>
      </c>
      <c r="F2145" t="inlineStr">
        <is>
          <t>biosphere</t>
        </is>
      </c>
      <c r="H2145" t="inlineStr">
        <is>
          <t>PAHs</t>
        </is>
      </c>
      <c r="I2145">
        <v>0</v>
      </c>
    </row>
    <row r="2146">
      <c r="A2146" t="inlineStr">
        <is>
          <t>Arsenic ion</t>
        </is>
      </c>
      <c r="B2146">
        <v>7.058823529411766e-12</v>
      </c>
      <c r="D2146" t="inlineStr">
        <is>
          <t>kilogram</t>
        </is>
      </c>
      <c r="E2146" t="inlineStr">
        <is>
          <t>air::urban air close to ground</t>
        </is>
      </c>
      <c r="F2146" t="inlineStr">
        <is>
          <t>biosphere</t>
        </is>
      </c>
      <c r="H2146" t="inlineStr">
        <is>
          <t>Arsenic</t>
        </is>
      </c>
      <c r="I2146">
        <v>0</v>
      </c>
    </row>
    <row r="2147">
      <c r="A2147" t="inlineStr">
        <is>
          <t>Selenium IV</t>
        </is>
      </c>
      <c r="B2147">
        <v>4.705882352941177e-12</v>
      </c>
      <c r="D2147" t="inlineStr">
        <is>
          <t>kilogram</t>
        </is>
      </c>
      <c r="E2147" t="inlineStr">
        <is>
          <t>air::urban air close to ground</t>
        </is>
      </c>
      <c r="F2147" t="inlineStr">
        <is>
          <t>biosphere</t>
        </is>
      </c>
      <c r="H2147" t="inlineStr">
        <is>
          <t>Selenium</t>
        </is>
      </c>
      <c r="I2147">
        <v>0</v>
      </c>
    </row>
    <row r="2148">
      <c r="A2148" t="inlineStr">
        <is>
          <t>Zinc II</t>
        </is>
      </c>
      <c r="B2148">
        <v>5.082352941176471e-08</v>
      </c>
      <c r="D2148" t="inlineStr">
        <is>
          <t>kilogram</t>
        </is>
      </c>
      <c r="E2148" t="inlineStr">
        <is>
          <t>air::urban air close to ground</t>
        </is>
      </c>
      <c r="F2148" t="inlineStr">
        <is>
          <t>biosphere</t>
        </is>
      </c>
      <c r="H2148" t="inlineStr">
        <is>
          <t>Zinc</t>
        </is>
      </c>
      <c r="I2148">
        <v>0</v>
      </c>
    </row>
    <row r="2149">
      <c r="A2149" t="inlineStr">
        <is>
          <t>Copper ion</t>
        </is>
      </c>
      <c r="B2149">
        <v>9.88235294117647e-10</v>
      </c>
      <c r="D2149" t="inlineStr">
        <is>
          <t>kilogram</t>
        </is>
      </c>
      <c r="E2149" t="inlineStr">
        <is>
          <t>air::urban air close to ground</t>
        </is>
      </c>
      <c r="F2149" t="inlineStr">
        <is>
          <t>biosphere</t>
        </is>
      </c>
      <c r="H2149" t="inlineStr">
        <is>
          <t>Copper</t>
        </is>
      </c>
      <c r="I2149">
        <v>0</v>
      </c>
    </row>
    <row r="2150">
      <c r="A2150" t="inlineStr">
        <is>
          <t>Nickel II</t>
        </is>
      </c>
      <c r="B2150">
        <v>3.058823529411765e-10</v>
      </c>
      <c r="D2150" t="inlineStr">
        <is>
          <t>kilogram</t>
        </is>
      </c>
      <c r="E2150" t="inlineStr">
        <is>
          <t>air::urban air close to ground</t>
        </is>
      </c>
      <c r="F2150" t="inlineStr">
        <is>
          <t>biosphere</t>
        </is>
      </c>
      <c r="H2150" t="inlineStr">
        <is>
          <t>Nickel</t>
        </is>
      </c>
      <c r="I2150">
        <v>0</v>
      </c>
    </row>
    <row r="2151">
      <c r="A2151" t="inlineStr">
        <is>
          <t>Chromium III</t>
        </is>
      </c>
      <c r="B2151">
        <v>3.7647058823529416e-10</v>
      </c>
      <c r="D2151" t="inlineStr">
        <is>
          <t>kilogram</t>
        </is>
      </c>
      <c r="E2151" t="inlineStr">
        <is>
          <t>air::urban air close to ground</t>
        </is>
      </c>
      <c r="F2151" t="inlineStr">
        <is>
          <t>biosphere</t>
        </is>
      </c>
      <c r="H2151" t="inlineStr">
        <is>
          <t>Chromium</t>
        </is>
      </c>
      <c r="I2151">
        <v>0</v>
      </c>
    </row>
    <row r="2152">
      <c r="A2152" t="inlineStr">
        <is>
          <t>Chromium VI</t>
        </is>
      </c>
      <c r="B2152">
        <v>7.529411764705882e-13</v>
      </c>
      <c r="D2152" t="inlineStr">
        <is>
          <t>kilogram</t>
        </is>
      </c>
      <c r="E2152" t="inlineStr">
        <is>
          <t>air::urban air close to ground</t>
        </is>
      </c>
      <c r="F2152" t="inlineStr">
        <is>
          <t>biosphere</t>
        </is>
      </c>
      <c r="H2152" t="inlineStr">
        <is>
          <t>Chromium VI</t>
        </is>
      </c>
      <c r="I2152">
        <v>0</v>
      </c>
    </row>
    <row r="2153">
      <c r="A2153" t="inlineStr">
        <is>
          <t>Mercury II</t>
        </is>
      </c>
      <c r="B2153">
        <v>2.047058823529412e-10</v>
      </c>
      <c r="D2153" t="inlineStr">
        <is>
          <t>kilogram</t>
        </is>
      </c>
      <c r="E2153" t="inlineStr">
        <is>
          <t>air::urban air close to ground</t>
        </is>
      </c>
      <c r="F2153" t="inlineStr">
        <is>
          <t>biosphere</t>
        </is>
      </c>
      <c r="H2153" t="inlineStr">
        <is>
          <t>Mercury</t>
        </is>
      </c>
      <c r="I2153">
        <v>0</v>
      </c>
    </row>
    <row r="2154">
      <c r="A2154" t="inlineStr">
        <is>
          <t>Cadmium II</t>
        </is>
      </c>
      <c r="B2154">
        <v>2.541176470588236e-10</v>
      </c>
      <c r="D2154" t="inlineStr">
        <is>
          <t>kilogram</t>
        </is>
      </c>
      <c r="E2154" t="inlineStr">
        <is>
          <t>air::urban air close to ground</t>
        </is>
      </c>
      <c r="F2154" t="inlineStr">
        <is>
          <t>biosphere</t>
        </is>
      </c>
      <c r="H2154" t="inlineStr">
        <is>
          <t>Cadmium</t>
        </is>
      </c>
      <c r="I2154">
        <v>0</v>
      </c>
    </row>
    <row r="2155">
      <c r="A2155" t="inlineStr">
        <is>
          <t>treatment of road wear emissions, passenger car</t>
        </is>
      </c>
      <c r="B2155">
        <v>-5.857039126012582e-06</v>
      </c>
      <c r="C2155" t="inlineStr">
        <is>
          <t>RER</t>
        </is>
      </c>
      <c r="D2155" t="inlineStr">
        <is>
          <t>kilogram</t>
        </is>
      </c>
      <c r="F2155" t="inlineStr">
        <is>
          <t>technosphere</t>
        </is>
      </c>
      <c r="G2155" t="inlineStr">
        <is>
          <t>road wear emissions, passenger car</t>
        </is>
      </c>
      <c r="H2155" t="inlineStr">
        <is>
          <t>Road wear [kg/km]</t>
        </is>
      </c>
      <c r="I2155">
        <v>0</v>
      </c>
    </row>
    <row r="2156">
      <c r="A2156" t="inlineStr">
        <is>
          <t>treatment of tyre wear emissions, passenger car</t>
        </is>
      </c>
      <c r="B2156">
        <v>-3.886222117725553e-06</v>
      </c>
      <c r="C2156" t="inlineStr">
        <is>
          <t>RER</t>
        </is>
      </c>
      <c r="D2156" t="inlineStr">
        <is>
          <t>kilogram</t>
        </is>
      </c>
      <c r="F2156" t="inlineStr">
        <is>
          <t>technosphere</t>
        </is>
      </c>
      <c r="G2156" t="inlineStr">
        <is>
          <t>tyre wear emissions, passenger car</t>
        </is>
      </c>
      <c r="H2156" t="inlineStr">
        <is>
          <t>Tire wear [kg/km]</t>
        </is>
      </c>
      <c r="I2156">
        <v>0</v>
      </c>
    </row>
    <row r="2157">
      <c r="A2157" t="inlineStr">
        <is>
          <t>treatment of brake wear emissions, passenger car</t>
        </is>
      </c>
      <c r="B2157">
        <v>-2.1569214522274334e-06</v>
      </c>
      <c r="C2157" t="inlineStr">
        <is>
          <t>RER</t>
        </is>
      </c>
      <c r="D2157" t="inlineStr">
        <is>
          <t>kilogram</t>
        </is>
      </c>
      <c r="F2157" t="inlineStr">
        <is>
          <t>technosphere</t>
        </is>
      </c>
      <c r="G2157" t="inlineStr">
        <is>
          <t>brake wear emissions, passenger car</t>
        </is>
      </c>
      <c r="H2157" t="inlineStr">
        <is>
          <t>Brake wear [kg/km]</t>
        </is>
      </c>
      <c r="I2157">
        <v>0</v>
      </c>
    </row>
    <row r="2158"/>
    <row r="2159">
      <c r="A2159" t="inlineStr">
        <is>
          <t>Activity</t>
        </is>
      </c>
      <c r="B2159" t="inlineStr">
        <is>
          <t>bioethanol, burned in motorcycle</t>
        </is>
      </c>
    </row>
    <row r="2160">
      <c r="A2160" t="inlineStr">
        <is>
          <t>location</t>
        </is>
      </c>
      <c r="B2160" t="inlineStr">
        <is>
          <t>RER</t>
        </is>
      </c>
    </row>
    <row r="2161">
      <c r="A2161" t="inlineStr">
        <is>
          <t>production amount</t>
        </is>
      </c>
      <c r="B2161">
        <v>1</v>
      </c>
    </row>
    <row r="2162">
      <c r="A2162" t="inlineStr">
        <is>
          <t>reference product</t>
        </is>
      </c>
      <c r="B2162" t="inlineStr">
        <is>
          <t>heat</t>
        </is>
      </c>
    </row>
    <row r="2163">
      <c r="A2163" t="inlineStr">
        <is>
          <t>type</t>
        </is>
      </c>
      <c r="B2163" t="inlineStr">
        <is>
          <t>process</t>
        </is>
      </c>
    </row>
    <row r="2164">
      <c r="A2164" t="inlineStr">
        <is>
          <t>unit</t>
        </is>
      </c>
      <c r="B2164" t="inlineStr">
        <is>
          <t>megajoule</t>
        </is>
      </c>
    </row>
    <row r="2165">
      <c r="A2165" t="inlineStr">
        <is>
          <t>Power, mean</t>
        </is>
      </c>
      <c r="B2165">
        <v>20</v>
      </c>
    </row>
    <row r="2166">
      <c r="A2166" t="inlineStr">
        <is>
          <t>Power, min</t>
        </is>
      </c>
      <c r="B2166">
        <v>9</v>
      </c>
    </row>
    <row r="2167">
      <c r="A2167" t="inlineStr">
        <is>
          <t>Power, max</t>
        </is>
      </c>
      <c r="B2167">
        <v>92</v>
      </c>
    </row>
    <row r="2168">
      <c r="A2168" t="inlineStr">
        <is>
          <t>Lifetime, mean</t>
        </is>
      </c>
      <c r="B2168">
        <v>100000</v>
      </c>
    </row>
    <row r="2169">
      <c r="A2169" t="inlineStr">
        <is>
          <t>Lifetime, min</t>
        </is>
      </c>
      <c r="B2169">
        <v>50000</v>
      </c>
    </row>
    <row r="2170">
      <c r="A2170" t="inlineStr">
        <is>
          <t>Lifetime, max</t>
        </is>
      </c>
      <c r="B2170">
        <v>200000</v>
      </c>
    </row>
    <row r="2171">
      <c r="A2171" t="inlineStr">
        <is>
          <t>Energy use, mean</t>
        </is>
      </c>
      <c r="B2171">
        <v>1300</v>
      </c>
    </row>
    <row r="2172">
      <c r="A2172" t="inlineStr">
        <is>
          <t>Energy use, min</t>
        </is>
      </c>
      <c r="B2172">
        <v>800</v>
      </c>
    </row>
    <row r="2173">
      <c r="A2173" t="inlineStr">
        <is>
          <t>Energy use, max</t>
        </is>
      </c>
      <c r="B2173">
        <v>1530</v>
      </c>
    </row>
    <row r="2174">
      <c r="A2174" t="inlineStr">
        <is>
          <t>Combustion engine, mean</t>
        </is>
      </c>
      <c r="B2174">
        <v>14</v>
      </c>
    </row>
    <row r="2175">
      <c r="A2175" t="inlineStr">
        <is>
          <t>Combustion engine, min</t>
        </is>
      </c>
      <c r="B2175">
        <v>6</v>
      </c>
    </row>
    <row r="2176">
      <c r="A2176" t="inlineStr">
        <is>
          <t>Combustion engine, max</t>
        </is>
      </c>
      <c r="B2176">
        <v>65</v>
      </c>
    </row>
    <row r="2177">
      <c r="A2177" t="inlineStr">
        <is>
          <t>Fuel tank, mean</t>
        </is>
      </c>
      <c r="B2177">
        <v>10</v>
      </c>
    </row>
    <row r="2178">
      <c r="A2178" t="inlineStr">
        <is>
          <t>Fuel tank, min</t>
        </is>
      </c>
      <c r="B2178">
        <v>6</v>
      </c>
    </row>
    <row r="2179">
      <c r="A2179" t="inlineStr">
        <is>
          <t>Fuel tank, max</t>
        </is>
      </c>
      <c r="B2179">
        <v>12</v>
      </c>
    </row>
    <row r="2180">
      <c r="A2180" t="inlineStr">
        <is>
          <t>NOx</t>
        </is>
      </c>
      <c r="B2180">
        <v>0.007581145</v>
      </c>
    </row>
    <row r="2181">
      <c r="A2181" t="inlineStr">
        <is>
          <t>PM 2.5</t>
        </is>
      </c>
      <c r="B2181">
        <v>0.000565099</v>
      </c>
    </row>
    <row r="2182">
      <c r="A2182" t="inlineStr">
        <is>
          <t>energy use source</t>
        </is>
      </c>
      <c r="B21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183">
      <c r="A2183" t="inlineStr">
        <is>
          <t>comment</t>
        </is>
      </c>
      <c r="B2183"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184">
      <c r="A2184" t="inlineStr">
        <is>
          <t>Exchanges</t>
        </is>
      </c>
    </row>
    <row r="2185">
      <c r="A2185" t="inlineStr">
        <is>
          <t>name</t>
        </is>
      </c>
      <c r="B2185" t="inlineStr">
        <is>
          <t>amount</t>
        </is>
      </c>
      <c r="C2185" t="inlineStr">
        <is>
          <t>location</t>
        </is>
      </c>
      <c r="D2185" t="inlineStr">
        <is>
          <t>unit</t>
        </is>
      </c>
      <c r="E2185" t="inlineStr">
        <is>
          <t>categories</t>
        </is>
      </c>
      <c r="F2185" t="inlineStr">
        <is>
          <t>type</t>
        </is>
      </c>
      <c r="G2185" t="inlineStr">
        <is>
          <t>reference product</t>
        </is>
      </c>
      <c r="H2185" t="inlineStr">
        <is>
          <t>comment</t>
        </is>
      </c>
      <c r="I2185" t="inlineStr">
        <is>
          <t>uncertainty type</t>
        </is>
      </c>
    </row>
    <row r="2186">
      <c r="A2186" t="inlineStr">
        <is>
          <t>bioethanol, burned in motorcycle</t>
        </is>
      </c>
      <c r="B2186">
        <v>1.0</v>
      </c>
      <c r="C2186" t="inlineStr">
        <is>
          <t>RER</t>
        </is>
      </c>
      <c r="D2186" t="inlineStr">
        <is>
          <t>megajoule</t>
        </is>
      </c>
      <c r="F2186" t="inlineStr">
        <is>
          <t>production</t>
        </is>
      </c>
      <c r="G2186" t="inlineStr">
        <is>
          <t>heat</t>
        </is>
      </c>
      <c r="I2186">
        <v>0</v>
      </c>
    </row>
    <row r="2187">
      <c r="A2187" t="inlineStr">
        <is>
          <t>market for ethanol, without water, in 99.7% solution state, from fermentation, vehicle grade</t>
        </is>
      </c>
      <c r="B2187">
        <v>0.03773584905660377</v>
      </c>
      <c r="C2187" t="inlineStr">
        <is>
          <t>CH</t>
        </is>
      </c>
      <c r="D2187" t="inlineStr">
        <is>
          <t>kilogram</t>
        </is>
      </c>
      <c r="F2187" t="inlineStr">
        <is>
          <t>technosphere</t>
        </is>
      </c>
      <c r="G2187" t="inlineStr">
        <is>
          <t>ethanol, without water, in 99.7% solution state, from fermentation, vehicle grade</t>
        </is>
      </c>
      <c r="I2187">
        <v>0</v>
      </c>
    </row>
    <row r="2188">
      <c r="A2188" t="inlineStr">
        <is>
          <t>polyethylene production, high density, granulate</t>
        </is>
      </c>
      <c r="B2188">
        <v>3.004649931974593e-05</v>
      </c>
      <c r="C2188" t="inlineStr">
        <is>
          <t>RER</t>
        </is>
      </c>
      <c r="D2188" t="inlineStr">
        <is>
          <t>kilogram</t>
        </is>
      </c>
      <c r="F2188" t="inlineStr">
        <is>
          <t>technosphere</t>
        </is>
      </c>
      <c r="G2188" t="inlineStr">
        <is>
          <t>polyethylene, high density, granulate</t>
        </is>
      </c>
      <c r="H2188" t="inlineStr">
        <is>
          <t>Fuel tank mass [kg] Energy-use allocation: 1.6875 * 2.5974025974025975e-05 / 1.4587778883899432 MJ per kilometer.</t>
        </is>
      </c>
      <c r="I2188">
        <v>0</v>
      </c>
    </row>
    <row r="2189">
      <c r="A2189" t="inlineStr">
        <is>
          <t>Sulfur dioxide</t>
        </is>
      </c>
      <c r="B2189">
        <v>3.755868544600939e-07</v>
      </c>
      <c r="D2189" t="inlineStr">
        <is>
          <t>kilogram</t>
        </is>
      </c>
      <c r="E2189" t="inlineStr">
        <is>
          <t>air::urban air close to ground</t>
        </is>
      </c>
      <c r="F2189" t="inlineStr">
        <is>
          <t>biosphere</t>
        </is>
      </c>
      <c r="H2189" t="inlineStr">
        <is>
          <t>SO2</t>
        </is>
      </c>
      <c r="I2189">
        <v>0</v>
      </c>
    </row>
    <row r="2190">
      <c r="A2190" t="inlineStr">
        <is>
          <t>Benzene</t>
        </is>
      </c>
      <c r="B2190">
        <v>7.62340991328562e-07</v>
      </c>
      <c r="D2190" t="inlineStr">
        <is>
          <t>kilogram</t>
        </is>
      </c>
      <c r="E2190" t="inlineStr">
        <is>
          <t>air::urban air close to ground</t>
        </is>
      </c>
      <c r="F2190" t="inlineStr">
        <is>
          <t>biosphere</t>
        </is>
      </c>
      <c r="H2190" t="inlineStr">
        <is>
          <t>Benzene</t>
        </is>
      </c>
      <c r="I2190">
        <v>0</v>
      </c>
    </row>
    <row r="2191">
      <c r="A2191" t="inlineStr">
        <is>
          <t>Methane, fossil</t>
        </is>
      </c>
      <c r="B2191">
        <v>1.8797075715851682e-05</v>
      </c>
      <c r="D2191" t="inlineStr">
        <is>
          <t>kilogram</t>
        </is>
      </c>
      <c r="E2191" t="inlineStr">
        <is>
          <t>air::urban air close to ground</t>
        </is>
      </c>
      <c r="F2191" t="inlineStr">
        <is>
          <t>biosphere</t>
        </is>
      </c>
      <c r="H2191" t="inlineStr">
        <is>
          <t>CH4</t>
        </is>
      </c>
      <c r="I2191">
        <v>0</v>
      </c>
    </row>
    <row r="2192">
      <c r="A2192" t="inlineStr">
        <is>
          <t>Carbon monoxide, fossil</t>
        </is>
      </c>
      <c r="B2192">
        <v>8.345515188546348e-05</v>
      </c>
      <c r="D2192" t="inlineStr">
        <is>
          <t>kilogram</t>
        </is>
      </c>
      <c r="E2192" t="inlineStr">
        <is>
          <t>air::urban air close to ground</t>
        </is>
      </c>
      <c r="F2192" t="inlineStr">
        <is>
          <t>biosphere</t>
        </is>
      </c>
      <c r="H2192" t="inlineStr">
        <is>
          <t>CO</t>
        </is>
      </c>
      <c r="I2192">
        <v>0</v>
      </c>
    </row>
    <row r="2193">
      <c r="A2193" t="inlineStr">
        <is>
          <t>Dinitrogen monoxide</t>
        </is>
      </c>
      <c r="B2193">
        <v>5.653255854391483e-07</v>
      </c>
      <c r="D2193" t="inlineStr">
        <is>
          <t>kilogram</t>
        </is>
      </c>
      <c r="E2193" t="inlineStr">
        <is>
          <t>air::urban air close to ground</t>
        </is>
      </c>
      <c r="F2193" t="inlineStr">
        <is>
          <t>biosphere</t>
        </is>
      </c>
      <c r="H2193" t="inlineStr">
        <is>
          <t>N2O</t>
        </is>
      </c>
      <c r="I2193">
        <v>0</v>
      </c>
    </row>
    <row r="2194">
      <c r="A2194" t="inlineStr">
        <is>
          <t>Ammonia</t>
        </is>
      </c>
      <c r="B2194">
        <v>5.653255854391483e-07</v>
      </c>
      <c r="D2194" t="inlineStr">
        <is>
          <t>kilogram</t>
        </is>
      </c>
      <c r="E2194" t="inlineStr">
        <is>
          <t>air::urban air close to ground</t>
        </is>
      </c>
      <c r="F2194" t="inlineStr">
        <is>
          <t>biosphere</t>
        </is>
      </c>
      <c r="H2194" t="inlineStr">
        <is>
          <t>NH3</t>
        </is>
      </c>
      <c r="I2194">
        <v>0</v>
      </c>
    </row>
    <row r="2195">
      <c r="A2195" t="inlineStr">
        <is>
          <t>Nitrogen oxides</t>
        </is>
      </c>
      <c r="B2195">
        <v>6.162014101297245e-06</v>
      </c>
      <c r="D2195" t="inlineStr">
        <is>
          <t>kilogram</t>
        </is>
      </c>
      <c r="E2195" t="inlineStr">
        <is>
          <t>air::urban air close to ground</t>
        </is>
      </c>
      <c r="F2195" t="inlineStr">
        <is>
          <t>biosphere</t>
        </is>
      </c>
      <c r="H2195" t="inlineStr">
        <is>
          <t>NOx</t>
        </is>
      </c>
      <c r="I2195">
        <v>0</v>
      </c>
    </row>
    <row r="2196">
      <c r="A2196" t="inlineStr">
        <is>
          <t>Particulate Matter, &lt; 2.5 um</t>
        </is>
      </c>
      <c r="B2196">
        <v>1.4133139635978708e-06</v>
      </c>
      <c r="D2196" t="inlineStr">
        <is>
          <t>kilogram</t>
        </is>
      </c>
      <c r="E2196" t="inlineStr">
        <is>
          <t>air::urban air close to ground</t>
        </is>
      </c>
      <c r="F2196" t="inlineStr">
        <is>
          <t>biosphere</t>
        </is>
      </c>
      <c r="H2196" t="inlineStr">
        <is>
          <t>PM2.5</t>
        </is>
      </c>
      <c r="I2196">
        <v>0</v>
      </c>
    </row>
    <row r="2197">
      <c r="A2197" t="inlineStr">
        <is>
          <t>NMVOC, non-methane volatile organic compounds</t>
        </is>
      </c>
      <c r="B2197">
        <v>6.1476482081469075e-06</v>
      </c>
      <c r="D2197" t="inlineStr">
        <is>
          <t>kilogram</t>
        </is>
      </c>
      <c r="E2197" t="inlineStr">
        <is>
          <t>air::urban air close to ground</t>
        </is>
      </c>
      <c r="F2197" t="inlineStr">
        <is>
          <t>biosphere</t>
        </is>
      </c>
      <c r="H2197" t="inlineStr">
        <is>
          <t>NMVOC</t>
        </is>
      </c>
      <c r="I2197">
        <v>0</v>
      </c>
    </row>
    <row r="2198">
      <c r="A2198" t="inlineStr">
        <is>
          <t>Ethane</t>
        </is>
      </c>
      <c r="B2198">
        <v>4.3348801467702544e-07</v>
      </c>
      <c r="D2198" t="inlineStr">
        <is>
          <t>kilogram</t>
        </is>
      </c>
      <c r="E2198" t="inlineStr">
        <is>
          <t>air::urban air close to ground</t>
        </is>
      </c>
      <c r="F2198" t="inlineStr">
        <is>
          <t>biosphere</t>
        </is>
      </c>
      <c r="H2198" t="inlineStr">
        <is>
          <t>Ethane</t>
        </is>
      </c>
      <c r="I2198">
        <v>0</v>
      </c>
    </row>
    <row r="2199">
      <c r="A2199" t="inlineStr">
        <is>
          <t>Propane</t>
        </is>
      </c>
      <c r="B2199">
        <v>8.832827885268543e-08</v>
      </c>
      <c r="D2199" t="inlineStr">
        <is>
          <t>kilogram</t>
        </is>
      </c>
      <c r="E2199" t="inlineStr">
        <is>
          <t>air::urban air close to ground</t>
        </is>
      </c>
      <c r="F2199" t="inlineStr">
        <is>
          <t>biosphere</t>
        </is>
      </c>
      <c r="H2199" t="inlineStr">
        <is>
          <t>Propane</t>
        </is>
      </c>
      <c r="I2199">
        <v>0</v>
      </c>
    </row>
    <row r="2200">
      <c r="A2200" t="inlineStr">
        <is>
          <t>Butane</t>
        </is>
      </c>
      <c r="B2200">
        <v>7.120618172124179e-07</v>
      </c>
      <c r="D2200" t="inlineStr">
        <is>
          <t>kilogram</t>
        </is>
      </c>
      <c r="E2200" t="inlineStr">
        <is>
          <t>air::urban air close to ground</t>
        </is>
      </c>
      <c r="F2200" t="inlineStr">
        <is>
          <t>biosphere</t>
        </is>
      </c>
      <c r="H2200" t="inlineStr">
        <is>
          <t>Butane</t>
        </is>
      </c>
      <c r="I2200">
        <v>0</v>
      </c>
    </row>
    <row r="2201">
      <c r="A2201" t="inlineStr">
        <is>
          <t>Pentane</t>
        </is>
      </c>
      <c r="B2201">
        <v>2.9216276851272876e-07</v>
      </c>
      <c r="D2201" t="inlineStr">
        <is>
          <t>kilogram</t>
        </is>
      </c>
      <c r="E2201" t="inlineStr">
        <is>
          <t>air::urban air close to ground</t>
        </is>
      </c>
      <c r="F2201" t="inlineStr">
        <is>
          <t>biosphere</t>
        </is>
      </c>
      <c r="H2201" t="inlineStr">
        <is>
          <t>Pentane</t>
        </is>
      </c>
      <c r="I2201">
        <v>0</v>
      </c>
    </row>
    <row r="2202">
      <c r="A2202" t="inlineStr">
        <is>
          <t>Hexane</t>
        </is>
      </c>
      <c r="B2202">
        <v>2.1878235223511317e-07</v>
      </c>
      <c r="D2202" t="inlineStr">
        <is>
          <t>kilogram</t>
        </is>
      </c>
      <c r="E2202" t="inlineStr">
        <is>
          <t>air::urban air close to ground</t>
        </is>
      </c>
      <c r="F2202" t="inlineStr">
        <is>
          <t>biosphere</t>
        </is>
      </c>
      <c r="H2202" t="inlineStr">
        <is>
          <t>Hexane</t>
        </is>
      </c>
      <c r="I2202">
        <v>0</v>
      </c>
    </row>
    <row r="2203">
      <c r="A2203" t="inlineStr">
        <is>
          <t>Cyclohexane</t>
        </is>
      </c>
      <c r="B2203">
        <v>1.5491421214163292e-07</v>
      </c>
      <c r="D2203" t="inlineStr">
        <is>
          <t>kilogram</t>
        </is>
      </c>
      <c r="E2203" t="inlineStr">
        <is>
          <t>air::urban air close to ground</t>
        </is>
      </c>
      <c r="F2203" t="inlineStr">
        <is>
          <t>biosphere</t>
        </is>
      </c>
      <c r="H2203" t="inlineStr">
        <is>
          <t>Cyclohexane</t>
        </is>
      </c>
      <c r="I2203">
        <v>0</v>
      </c>
    </row>
    <row r="2204">
      <c r="A2204" t="inlineStr">
        <is>
          <t>Heptane</t>
        </is>
      </c>
      <c r="B2204">
        <v>1.0055834823228804e-07</v>
      </c>
      <c r="D2204" t="inlineStr">
        <is>
          <t>kilogram</t>
        </is>
      </c>
      <c r="E2204" t="inlineStr">
        <is>
          <t>air::urban air close to ground</t>
        </is>
      </c>
      <c r="F2204" t="inlineStr">
        <is>
          <t>biosphere</t>
        </is>
      </c>
      <c r="H2204" t="inlineStr">
        <is>
          <t>Heptane</t>
        </is>
      </c>
      <c r="I2204">
        <v>0</v>
      </c>
    </row>
    <row r="2205">
      <c r="A2205" t="inlineStr">
        <is>
          <t>Ethylene</t>
        </is>
      </c>
      <c r="B2205">
        <v>9.919945163455441e-07</v>
      </c>
      <c r="D2205" t="inlineStr">
        <is>
          <t>kilogram</t>
        </is>
      </c>
      <c r="E2205" t="inlineStr">
        <is>
          <t>air::urban air close to ground</t>
        </is>
      </c>
      <c r="F2205" t="inlineStr">
        <is>
          <t>biosphere</t>
        </is>
      </c>
      <c r="H2205" t="inlineStr">
        <is>
          <t>Ethene</t>
        </is>
      </c>
      <c r="I2205">
        <v>0</v>
      </c>
    </row>
    <row r="2206">
      <c r="A2206" t="inlineStr">
        <is>
          <t>Propylene</t>
        </is>
      </c>
      <c r="B2206">
        <v>5.190985003342436e-07</v>
      </c>
      <c r="D2206" t="inlineStr">
        <is>
          <t>kilogram</t>
        </is>
      </c>
      <c r="E2206" t="inlineStr">
        <is>
          <t>air::urban air close to ground</t>
        </is>
      </c>
      <c r="F2206" t="inlineStr">
        <is>
          <t>biosphere</t>
        </is>
      </c>
      <c r="H2206" t="inlineStr">
        <is>
          <t>Propene</t>
        </is>
      </c>
      <c r="I2206">
        <v>0</v>
      </c>
    </row>
    <row r="2207">
      <c r="A2207" t="inlineStr">
        <is>
          <t>1-Pentene</t>
        </is>
      </c>
      <c r="B2207">
        <v>1.4947862575069847e-08</v>
      </c>
      <c r="D2207" t="inlineStr">
        <is>
          <t>kilogram</t>
        </is>
      </c>
      <c r="E2207" t="inlineStr">
        <is>
          <t>air::urban air close to ground</t>
        </is>
      </c>
      <c r="F2207" t="inlineStr">
        <is>
          <t>biosphere</t>
        </is>
      </c>
      <c r="H2207" t="inlineStr">
        <is>
          <t>1-Pentene</t>
        </is>
      </c>
      <c r="I2207">
        <v>0</v>
      </c>
    </row>
    <row r="2208">
      <c r="A2208" t="inlineStr">
        <is>
          <t>Toluene</t>
        </is>
      </c>
      <c r="B2208">
        <v>1.4920684643115172e-06</v>
      </c>
      <c r="D2208" t="inlineStr">
        <is>
          <t>kilogram</t>
        </is>
      </c>
      <c r="E2208" t="inlineStr">
        <is>
          <t>air::urban air close to ground</t>
        </is>
      </c>
      <c r="F2208" t="inlineStr">
        <is>
          <t>biosphere</t>
        </is>
      </c>
      <c r="H2208" t="inlineStr">
        <is>
          <t>Toluene</t>
        </is>
      </c>
      <c r="I2208">
        <v>0</v>
      </c>
    </row>
    <row r="2209">
      <c r="A2209" t="inlineStr">
        <is>
          <t>m-Xylene</t>
        </is>
      </c>
      <c r="B2209">
        <v>7.37880852569357e-07</v>
      </c>
      <c r="D2209" t="inlineStr">
        <is>
          <t>kilogram</t>
        </is>
      </c>
      <c r="E2209" t="inlineStr">
        <is>
          <t>air::urban air close to ground</t>
        </is>
      </c>
      <c r="F2209" t="inlineStr">
        <is>
          <t>biosphere</t>
        </is>
      </c>
      <c r="H2209" t="inlineStr">
        <is>
          <t>m-Xylene</t>
        </is>
      </c>
      <c r="I2209">
        <v>0</v>
      </c>
    </row>
    <row r="2210">
      <c r="A2210" t="inlineStr">
        <is>
          <t>o-Xylene</t>
        </is>
      </c>
      <c r="B2210">
        <v>3.071106310877986e-07</v>
      </c>
      <c r="D2210" t="inlineStr">
        <is>
          <t>kilogram</t>
        </is>
      </c>
      <c r="E2210" t="inlineStr">
        <is>
          <t>air::urban air close to ground</t>
        </is>
      </c>
      <c r="F2210" t="inlineStr">
        <is>
          <t>biosphere</t>
        </is>
      </c>
      <c r="H2210" t="inlineStr">
        <is>
          <t>o-Xylene</t>
        </is>
      </c>
      <c r="I2210">
        <v>0</v>
      </c>
    </row>
    <row r="2211">
      <c r="A2211" t="inlineStr">
        <is>
          <t>Formaldehyde</t>
        </is>
      </c>
      <c r="B2211">
        <v>2.310124216147158e-07</v>
      </c>
      <c r="D2211" t="inlineStr">
        <is>
          <t>kilogram</t>
        </is>
      </c>
      <c r="E2211" t="inlineStr">
        <is>
          <t>air::urban air close to ground</t>
        </is>
      </c>
      <c r="F2211" t="inlineStr">
        <is>
          <t>biosphere</t>
        </is>
      </c>
      <c r="H2211" t="inlineStr">
        <is>
          <t>Formaldehyde</t>
        </is>
      </c>
      <c r="I2211">
        <v>0</v>
      </c>
    </row>
    <row r="2212">
      <c r="A2212" t="inlineStr">
        <is>
          <t>Acetaldehyde</t>
        </is>
      </c>
      <c r="B2212">
        <v>1.0191724483002165e-07</v>
      </c>
      <c r="D2212" t="inlineStr">
        <is>
          <t>kilogram</t>
        </is>
      </c>
      <c r="E2212" t="inlineStr">
        <is>
          <t>air::urban air close to ground</t>
        </is>
      </c>
      <c r="F2212" t="inlineStr">
        <is>
          <t>biosphere</t>
        </is>
      </c>
      <c r="H2212" t="inlineStr">
        <is>
          <t>Acetaldehyde</t>
        </is>
      </c>
      <c r="I2212">
        <v>0</v>
      </c>
    </row>
    <row r="2213">
      <c r="A2213" t="inlineStr">
        <is>
          <t>Benzaldehyde</t>
        </is>
      </c>
      <c r="B2213">
        <v>2.9895725150139694e-08</v>
      </c>
      <c r="D2213" t="inlineStr">
        <is>
          <t>kilogram</t>
        </is>
      </c>
      <c r="E2213" t="inlineStr">
        <is>
          <t>air::urban air close to ground</t>
        </is>
      </c>
      <c r="F2213" t="inlineStr">
        <is>
          <t>biosphere</t>
        </is>
      </c>
      <c r="H2213" t="inlineStr">
        <is>
          <t>Benzaldehyde</t>
        </is>
      </c>
      <c r="I2213">
        <v>0</v>
      </c>
    </row>
    <row r="2214">
      <c r="A2214" t="inlineStr">
        <is>
          <t>Acetone</t>
        </is>
      </c>
      <c r="B2214">
        <v>8.289269246175097e-08</v>
      </c>
      <c r="D2214" t="inlineStr">
        <is>
          <t>kilogram</t>
        </is>
      </c>
      <c r="E2214" t="inlineStr">
        <is>
          <t>air::urban air close to ground</t>
        </is>
      </c>
      <c r="F2214" t="inlineStr">
        <is>
          <t>biosphere</t>
        </is>
      </c>
      <c r="H2214" t="inlineStr">
        <is>
          <t>Acetone</t>
        </is>
      </c>
      <c r="I2214">
        <v>0</v>
      </c>
    </row>
    <row r="2215">
      <c r="A2215" t="inlineStr">
        <is>
          <t>Methyl ethyl ketone</t>
        </is>
      </c>
      <c r="B2215">
        <v>0.0</v>
      </c>
      <c r="D2215" t="inlineStr">
        <is>
          <t>kilogram</t>
        </is>
      </c>
      <c r="E2215" t="inlineStr">
        <is>
          <t>air::urban air close to ground</t>
        </is>
      </c>
      <c r="F2215" t="inlineStr">
        <is>
          <t>biosphere</t>
        </is>
      </c>
      <c r="H2215" t="inlineStr">
        <is>
          <t>Methyl ethyl ketone</t>
        </is>
      </c>
      <c r="I2215">
        <v>0</v>
      </c>
    </row>
    <row r="2216">
      <c r="A2216" t="inlineStr">
        <is>
          <t>Acrolein</t>
        </is>
      </c>
      <c r="B2216">
        <v>2.581903535693882e-08</v>
      </c>
      <c r="D2216" t="inlineStr">
        <is>
          <t>kilogram</t>
        </is>
      </c>
      <c r="E2216" t="inlineStr">
        <is>
          <t>air::urban air close to ground</t>
        </is>
      </c>
      <c r="F2216" t="inlineStr">
        <is>
          <t>biosphere</t>
        </is>
      </c>
      <c r="H2216" t="inlineStr">
        <is>
          <t>Acrolein</t>
        </is>
      </c>
      <c r="I2216">
        <v>0</v>
      </c>
    </row>
    <row r="2217">
      <c r="A2217" t="inlineStr">
        <is>
          <t>Styrene</t>
        </is>
      </c>
      <c r="B2217">
        <v>1.3724855637109585e-07</v>
      </c>
      <c r="D2217" t="inlineStr">
        <is>
          <t>kilogram</t>
        </is>
      </c>
      <c r="E2217" t="inlineStr">
        <is>
          <t>air::urban air close to ground</t>
        </is>
      </c>
      <c r="F2217" t="inlineStr">
        <is>
          <t>biosphere</t>
        </is>
      </c>
      <c r="H2217" t="inlineStr">
        <is>
          <t>Styrene</t>
        </is>
      </c>
      <c r="I2217">
        <v>0</v>
      </c>
    </row>
    <row r="2218">
      <c r="A2218" t="inlineStr">
        <is>
          <t>PAH, polycyclic aromatic hydrocarbons</t>
        </is>
      </c>
      <c r="B2218">
        <v>8.188235294117648e-10</v>
      </c>
      <c r="D2218" t="inlineStr">
        <is>
          <t>kilogram</t>
        </is>
      </c>
      <c r="E2218" t="inlineStr">
        <is>
          <t>air::urban air close to ground</t>
        </is>
      </c>
      <c r="F2218" t="inlineStr">
        <is>
          <t>biosphere</t>
        </is>
      </c>
      <c r="H2218" t="inlineStr">
        <is>
          <t>PAHs</t>
        </is>
      </c>
      <c r="I2218">
        <v>0</v>
      </c>
    </row>
    <row r="2219">
      <c r="A2219" t="inlineStr">
        <is>
          <t>Arsenic ion</t>
        </is>
      </c>
      <c r="B2219">
        <v>7.058823529411766e-12</v>
      </c>
      <c r="D2219" t="inlineStr">
        <is>
          <t>kilogram</t>
        </is>
      </c>
      <c r="E2219" t="inlineStr">
        <is>
          <t>air::urban air close to ground</t>
        </is>
      </c>
      <c r="F2219" t="inlineStr">
        <is>
          <t>biosphere</t>
        </is>
      </c>
      <c r="H2219" t="inlineStr">
        <is>
          <t>Arsenic</t>
        </is>
      </c>
      <c r="I2219">
        <v>0</v>
      </c>
    </row>
    <row r="2220">
      <c r="A2220" t="inlineStr">
        <is>
          <t>Selenium IV</t>
        </is>
      </c>
      <c r="B2220">
        <v>4.705882352941177e-12</v>
      </c>
      <c r="D2220" t="inlineStr">
        <is>
          <t>kilogram</t>
        </is>
      </c>
      <c r="E2220" t="inlineStr">
        <is>
          <t>air::urban air close to ground</t>
        </is>
      </c>
      <c r="F2220" t="inlineStr">
        <is>
          <t>biosphere</t>
        </is>
      </c>
      <c r="H2220" t="inlineStr">
        <is>
          <t>Selenium</t>
        </is>
      </c>
      <c r="I2220">
        <v>0</v>
      </c>
    </row>
    <row r="2221">
      <c r="A2221" t="inlineStr">
        <is>
          <t>Zinc II</t>
        </is>
      </c>
      <c r="B2221">
        <v>5.082352941176471e-08</v>
      </c>
      <c r="D2221" t="inlineStr">
        <is>
          <t>kilogram</t>
        </is>
      </c>
      <c r="E2221" t="inlineStr">
        <is>
          <t>air::urban air close to ground</t>
        </is>
      </c>
      <c r="F2221" t="inlineStr">
        <is>
          <t>biosphere</t>
        </is>
      </c>
      <c r="H2221" t="inlineStr">
        <is>
          <t>Zinc</t>
        </is>
      </c>
      <c r="I2221">
        <v>0</v>
      </c>
    </row>
    <row r="2222">
      <c r="A2222" t="inlineStr">
        <is>
          <t>Copper ion</t>
        </is>
      </c>
      <c r="B2222">
        <v>9.88235294117647e-10</v>
      </c>
      <c r="D2222" t="inlineStr">
        <is>
          <t>kilogram</t>
        </is>
      </c>
      <c r="E2222" t="inlineStr">
        <is>
          <t>air::urban air close to ground</t>
        </is>
      </c>
      <c r="F2222" t="inlineStr">
        <is>
          <t>biosphere</t>
        </is>
      </c>
      <c r="H2222" t="inlineStr">
        <is>
          <t>Copper</t>
        </is>
      </c>
      <c r="I2222">
        <v>0</v>
      </c>
    </row>
    <row r="2223">
      <c r="A2223" t="inlineStr">
        <is>
          <t>Nickel II</t>
        </is>
      </c>
      <c r="B2223">
        <v>3.058823529411765e-10</v>
      </c>
      <c r="D2223" t="inlineStr">
        <is>
          <t>kilogram</t>
        </is>
      </c>
      <c r="E2223" t="inlineStr">
        <is>
          <t>air::urban air close to ground</t>
        </is>
      </c>
      <c r="F2223" t="inlineStr">
        <is>
          <t>biosphere</t>
        </is>
      </c>
      <c r="H2223" t="inlineStr">
        <is>
          <t>Nickel</t>
        </is>
      </c>
      <c r="I2223">
        <v>0</v>
      </c>
    </row>
    <row r="2224">
      <c r="A2224" t="inlineStr">
        <is>
          <t>Chromium III</t>
        </is>
      </c>
      <c r="B2224">
        <v>3.7647058823529416e-10</v>
      </c>
      <c r="D2224" t="inlineStr">
        <is>
          <t>kilogram</t>
        </is>
      </c>
      <c r="E2224" t="inlineStr">
        <is>
          <t>air::urban air close to ground</t>
        </is>
      </c>
      <c r="F2224" t="inlineStr">
        <is>
          <t>biosphere</t>
        </is>
      </c>
      <c r="H2224" t="inlineStr">
        <is>
          <t>Chromium</t>
        </is>
      </c>
      <c r="I2224">
        <v>0</v>
      </c>
    </row>
    <row r="2225">
      <c r="A2225" t="inlineStr">
        <is>
          <t>Chromium VI</t>
        </is>
      </c>
      <c r="B2225">
        <v>7.529411764705882e-13</v>
      </c>
      <c r="D2225" t="inlineStr">
        <is>
          <t>kilogram</t>
        </is>
      </c>
      <c r="E2225" t="inlineStr">
        <is>
          <t>air::urban air close to ground</t>
        </is>
      </c>
      <c r="F2225" t="inlineStr">
        <is>
          <t>biosphere</t>
        </is>
      </c>
      <c r="H2225" t="inlineStr">
        <is>
          <t>Chromium VI</t>
        </is>
      </c>
      <c r="I2225">
        <v>0</v>
      </c>
    </row>
    <row r="2226">
      <c r="A2226" t="inlineStr">
        <is>
          <t>Mercury II</t>
        </is>
      </c>
      <c r="B2226">
        <v>2.047058823529412e-10</v>
      </c>
      <c r="D2226" t="inlineStr">
        <is>
          <t>kilogram</t>
        </is>
      </c>
      <c r="E2226" t="inlineStr">
        <is>
          <t>air::urban air close to ground</t>
        </is>
      </c>
      <c r="F2226" t="inlineStr">
        <is>
          <t>biosphere</t>
        </is>
      </c>
      <c r="H2226" t="inlineStr">
        <is>
          <t>Mercury</t>
        </is>
      </c>
      <c r="I2226">
        <v>0</v>
      </c>
    </row>
    <row r="2227">
      <c r="A2227" t="inlineStr">
        <is>
          <t>Cadmium II</t>
        </is>
      </c>
      <c r="B2227">
        <v>2.541176470588236e-10</v>
      </c>
      <c r="D2227" t="inlineStr">
        <is>
          <t>kilogram</t>
        </is>
      </c>
      <c r="E2227" t="inlineStr">
        <is>
          <t>air::urban air close to ground</t>
        </is>
      </c>
      <c r="F2227" t="inlineStr">
        <is>
          <t>biosphere</t>
        </is>
      </c>
      <c r="H2227" t="inlineStr">
        <is>
          <t>Cadmium</t>
        </is>
      </c>
      <c r="I2227">
        <v>0</v>
      </c>
    </row>
    <row r="2228">
      <c r="A2228" t="inlineStr">
        <is>
          <t>treatment of road wear emissions, passenger car</t>
        </is>
      </c>
      <c r="B2228">
        <v>-5.857039126012582e-06</v>
      </c>
      <c r="C2228" t="inlineStr">
        <is>
          <t>RER</t>
        </is>
      </c>
      <c r="D2228" t="inlineStr">
        <is>
          <t>kilogram</t>
        </is>
      </c>
      <c r="F2228" t="inlineStr">
        <is>
          <t>technosphere</t>
        </is>
      </c>
      <c r="G2228" t="inlineStr">
        <is>
          <t>road wear emissions, passenger car</t>
        </is>
      </c>
      <c r="H2228" t="inlineStr">
        <is>
          <t>Road wear [kg/km]</t>
        </is>
      </c>
      <c r="I2228">
        <v>0</v>
      </c>
    </row>
    <row r="2229">
      <c r="A2229" t="inlineStr">
        <is>
          <t>treatment of tyre wear emissions, passenger car</t>
        </is>
      </c>
      <c r="B2229">
        <v>-3.886222117725553e-06</v>
      </c>
      <c r="C2229" t="inlineStr">
        <is>
          <t>RER</t>
        </is>
      </c>
      <c r="D2229" t="inlineStr">
        <is>
          <t>kilogram</t>
        </is>
      </c>
      <c r="F2229" t="inlineStr">
        <is>
          <t>technosphere</t>
        </is>
      </c>
      <c r="G2229" t="inlineStr">
        <is>
          <t>tyre wear emissions, passenger car</t>
        </is>
      </c>
      <c r="H2229" t="inlineStr">
        <is>
          <t>Tire wear [kg/km]</t>
        </is>
      </c>
      <c r="I2229">
        <v>0</v>
      </c>
    </row>
    <row r="2230">
      <c r="A2230" t="inlineStr">
        <is>
          <t>treatment of brake wear emissions, passenger car</t>
        </is>
      </c>
      <c r="B2230">
        <v>-2.1569214522274334e-06</v>
      </c>
      <c r="C2230" t="inlineStr">
        <is>
          <t>RER</t>
        </is>
      </c>
      <c r="D2230" t="inlineStr">
        <is>
          <t>kilogram</t>
        </is>
      </c>
      <c r="F2230" t="inlineStr">
        <is>
          <t>technosphere</t>
        </is>
      </c>
      <c r="G2230" t="inlineStr">
        <is>
          <t>brake wear emissions, passenger car</t>
        </is>
      </c>
      <c r="H2230" t="inlineStr">
        <is>
          <t>Brake wear [kg/km]</t>
        </is>
      </c>
      <c r="I2230">
        <v>0</v>
      </c>
    </row>
    <row r="2231">
      <c r="A2231" t="inlineStr">
        <is>
          <t>Carbon dioxide, non-fossil</t>
        </is>
      </c>
      <c r="B2231">
        <v>0.07351181066138031</v>
      </c>
      <c r="D2231" t="inlineStr">
        <is>
          <t>kilogram</t>
        </is>
      </c>
      <c r="E2231" t="inlineStr">
        <is>
          <t>air::urban air close to ground</t>
        </is>
      </c>
      <c r="F2231" t="inlineStr">
        <is>
          <t>biosphere</t>
        </is>
      </c>
      <c r="H2231" t="inlineStr">
        <is>
          <t>1.91 kgCO2/kg ethanol combusted.</t>
        </is>
      </c>
      <c r="I2231">
        <v>0</v>
      </c>
    </row>
    <row r="2232">
      <c r="A2232" t="inlineStr">
        <is>
          <t>Carbon dioxide, from soil or biomass stock</t>
        </is>
      </c>
      <c r="B2232">
        <v>0.0003881893386196917</v>
      </c>
      <c r="D2232" t="inlineStr">
        <is>
          <t>kilogram</t>
        </is>
      </c>
      <c r="E2232" t="inlineStr">
        <is>
          <t>air::urban air close to ground</t>
        </is>
      </c>
      <c r="F2232" t="inlineStr">
        <is>
          <t>biosphere</t>
        </is>
      </c>
      <c r="I2232">
        <v>0</v>
      </c>
    </row>
    <row r="2233"/>
    <row r="2234">
      <c r="A2234" t="inlineStr">
        <is>
          <t>Activity</t>
        </is>
      </c>
      <c r="B2234" t="inlineStr">
        <is>
          <t>bioethanol, from eucalyptus, burned in motorcycle</t>
        </is>
      </c>
    </row>
    <row r="2235">
      <c r="A2235" t="inlineStr">
        <is>
          <t>location</t>
        </is>
      </c>
      <c r="B2235" t="inlineStr">
        <is>
          <t>RER</t>
        </is>
      </c>
    </row>
    <row r="2236">
      <c r="A2236" t="inlineStr">
        <is>
          <t>production amount</t>
        </is>
      </c>
      <c r="B2236">
        <v>1</v>
      </c>
    </row>
    <row r="2237">
      <c r="A2237" t="inlineStr">
        <is>
          <t>reference product</t>
        </is>
      </c>
      <c r="B2237" t="inlineStr">
        <is>
          <t>heat</t>
        </is>
      </c>
    </row>
    <row r="2238">
      <c r="A2238" t="inlineStr">
        <is>
          <t>type</t>
        </is>
      </c>
      <c r="B2238" t="inlineStr">
        <is>
          <t>process</t>
        </is>
      </c>
    </row>
    <row r="2239">
      <c r="A2239" t="inlineStr">
        <is>
          <t>unit</t>
        </is>
      </c>
      <c r="B2239" t="inlineStr">
        <is>
          <t>megajoule</t>
        </is>
      </c>
    </row>
    <row r="2240">
      <c r="A2240" t="inlineStr">
        <is>
          <t>Power, mean</t>
        </is>
      </c>
      <c r="B2240">
        <v>20</v>
      </c>
    </row>
    <row r="2241">
      <c r="A2241" t="inlineStr">
        <is>
          <t>Power, min</t>
        </is>
      </c>
      <c r="B2241">
        <v>9</v>
      </c>
    </row>
    <row r="2242">
      <c r="A2242" t="inlineStr">
        <is>
          <t>Power, max</t>
        </is>
      </c>
      <c r="B2242">
        <v>92</v>
      </c>
    </row>
    <row r="2243">
      <c r="A2243" t="inlineStr">
        <is>
          <t>Lifetime, mean</t>
        </is>
      </c>
      <c r="B2243">
        <v>100000</v>
      </c>
    </row>
    <row r="2244">
      <c r="A2244" t="inlineStr">
        <is>
          <t>Lifetime, min</t>
        </is>
      </c>
      <c r="B2244">
        <v>50000</v>
      </c>
    </row>
    <row r="2245">
      <c r="A2245" t="inlineStr">
        <is>
          <t>Lifetime, max</t>
        </is>
      </c>
      <c r="B2245">
        <v>200000</v>
      </c>
    </row>
    <row r="2246">
      <c r="A2246" t="inlineStr">
        <is>
          <t>Energy use, mean</t>
        </is>
      </c>
      <c r="B2246">
        <v>1300</v>
      </c>
    </row>
    <row r="2247">
      <c r="A2247" t="inlineStr">
        <is>
          <t>Energy use, min</t>
        </is>
      </c>
      <c r="B2247">
        <v>800</v>
      </c>
    </row>
    <row r="2248">
      <c r="A2248" t="inlineStr">
        <is>
          <t>Energy use, max</t>
        </is>
      </c>
      <c r="B2248">
        <v>1530</v>
      </c>
    </row>
    <row r="2249">
      <c r="A2249" t="inlineStr">
        <is>
          <t>Combustion engine, mean</t>
        </is>
      </c>
      <c r="B2249">
        <v>14</v>
      </c>
    </row>
    <row r="2250">
      <c r="A2250" t="inlineStr">
        <is>
          <t>Combustion engine, min</t>
        </is>
      </c>
      <c r="B2250">
        <v>6</v>
      </c>
    </row>
    <row r="2251">
      <c r="A2251" t="inlineStr">
        <is>
          <t>Combustion engine, max</t>
        </is>
      </c>
      <c r="B2251">
        <v>65</v>
      </c>
    </row>
    <row r="2252">
      <c r="A2252" t="inlineStr">
        <is>
          <t>Fuel tank, mean</t>
        </is>
      </c>
      <c r="B2252">
        <v>10</v>
      </c>
    </row>
    <row r="2253">
      <c r="A2253" t="inlineStr">
        <is>
          <t>Fuel tank, min</t>
        </is>
      </c>
      <c r="B2253">
        <v>6</v>
      </c>
    </row>
    <row r="2254">
      <c r="A2254" t="inlineStr">
        <is>
          <t>Fuel tank, max</t>
        </is>
      </c>
      <c r="B2254">
        <v>12</v>
      </c>
    </row>
    <row r="2255">
      <c r="A2255" t="inlineStr">
        <is>
          <t>NOx</t>
        </is>
      </c>
      <c r="B2255">
        <v>0.007581145</v>
      </c>
    </row>
    <row r="2256">
      <c r="A2256" t="inlineStr">
        <is>
          <t>PM 2.5</t>
        </is>
      </c>
      <c r="B2256">
        <v>0.000565099</v>
      </c>
    </row>
    <row r="2257">
      <c r="A2257" t="inlineStr">
        <is>
          <t>energy use source</t>
        </is>
      </c>
      <c r="B225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258">
      <c r="A2258" t="inlineStr">
        <is>
          <t>comment</t>
        </is>
      </c>
      <c r="B2258"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259">
      <c r="A2259" t="inlineStr">
        <is>
          <t>Exchanges</t>
        </is>
      </c>
    </row>
    <row r="2260">
      <c r="A2260" t="inlineStr">
        <is>
          <t>name</t>
        </is>
      </c>
      <c r="B2260" t="inlineStr">
        <is>
          <t>amount</t>
        </is>
      </c>
      <c r="C2260" t="inlineStr">
        <is>
          <t>location</t>
        </is>
      </c>
      <c r="D2260" t="inlineStr">
        <is>
          <t>unit</t>
        </is>
      </c>
      <c r="E2260" t="inlineStr">
        <is>
          <t>categories</t>
        </is>
      </c>
      <c r="F2260" t="inlineStr">
        <is>
          <t>type</t>
        </is>
      </c>
      <c r="G2260" t="inlineStr">
        <is>
          <t>reference product</t>
        </is>
      </c>
      <c r="H2260" t="inlineStr">
        <is>
          <t>comment</t>
        </is>
      </c>
      <c r="I2260" t="inlineStr">
        <is>
          <t>uncertainty type</t>
        </is>
      </c>
    </row>
    <row r="2261">
      <c r="A2261" t="inlineStr">
        <is>
          <t>bioethanol, from eucalyptus, burned in motorcycle</t>
        </is>
      </c>
      <c r="B2261">
        <v>1.0</v>
      </c>
      <c r="C2261" t="inlineStr">
        <is>
          <t>RER</t>
        </is>
      </c>
      <c r="D2261" t="inlineStr">
        <is>
          <t>megajoule</t>
        </is>
      </c>
      <c r="F2261" t="inlineStr">
        <is>
          <t>production</t>
        </is>
      </c>
      <c r="G2261" t="inlineStr">
        <is>
          <t>heat</t>
        </is>
      </c>
      <c r="I2261">
        <v>0</v>
      </c>
    </row>
    <row r="2262">
      <c r="A2262" t="inlineStr">
        <is>
          <t>ethanol production, via fermentation, from eucalyptus</t>
        </is>
      </c>
      <c r="B2262">
        <v>0.03773584905660377</v>
      </c>
      <c r="C2262" t="inlineStr">
        <is>
          <t>ES</t>
        </is>
      </c>
      <c r="D2262" t="inlineStr">
        <is>
          <t>kilogram</t>
        </is>
      </c>
      <c r="F2262" t="inlineStr">
        <is>
          <t>technosphere</t>
        </is>
      </c>
      <c r="G2262" t="inlineStr">
        <is>
          <t>ethanol, from eucalyptus</t>
        </is>
      </c>
      <c r="I2262">
        <v>0</v>
      </c>
    </row>
    <row r="2263">
      <c r="A2263" t="inlineStr">
        <is>
          <t>polyethylene production, high density, granulate</t>
        </is>
      </c>
      <c r="B2263">
        <v>3.004649931974593e-05</v>
      </c>
      <c r="C2263" t="inlineStr">
        <is>
          <t>RER</t>
        </is>
      </c>
      <c r="D2263" t="inlineStr">
        <is>
          <t>kilogram</t>
        </is>
      </c>
      <c r="F2263" t="inlineStr">
        <is>
          <t>technosphere</t>
        </is>
      </c>
      <c r="G2263" t="inlineStr">
        <is>
          <t>polyethylene, high density, granulate</t>
        </is>
      </c>
      <c r="H2263" t="inlineStr">
        <is>
          <t>Fuel tank mass [kg] Energy-use allocation: 1.6875 * 2.5974025974025975e-05 / 1.4587778883899432 MJ per kilometer.</t>
        </is>
      </c>
      <c r="I2263">
        <v>0</v>
      </c>
    </row>
    <row r="2264">
      <c r="A2264" t="inlineStr">
        <is>
          <t>Sulfur dioxide</t>
        </is>
      </c>
      <c r="B2264">
        <v>3.755868544600939e-07</v>
      </c>
      <c r="D2264" t="inlineStr">
        <is>
          <t>kilogram</t>
        </is>
      </c>
      <c r="E2264" t="inlineStr">
        <is>
          <t>air::urban air close to ground</t>
        </is>
      </c>
      <c r="F2264" t="inlineStr">
        <is>
          <t>biosphere</t>
        </is>
      </c>
      <c r="H2264" t="inlineStr">
        <is>
          <t>SO2</t>
        </is>
      </c>
      <c r="I2264">
        <v>0</v>
      </c>
    </row>
    <row r="2265">
      <c r="A2265" t="inlineStr">
        <is>
          <t>Benzene</t>
        </is>
      </c>
      <c r="B2265">
        <v>7.62340991328562e-07</v>
      </c>
      <c r="D2265" t="inlineStr">
        <is>
          <t>kilogram</t>
        </is>
      </c>
      <c r="E2265" t="inlineStr">
        <is>
          <t>air::urban air close to ground</t>
        </is>
      </c>
      <c r="F2265" t="inlineStr">
        <is>
          <t>biosphere</t>
        </is>
      </c>
      <c r="H2265" t="inlineStr">
        <is>
          <t>Benzene</t>
        </is>
      </c>
      <c r="I2265">
        <v>0</v>
      </c>
    </row>
    <row r="2266">
      <c r="A2266" t="inlineStr">
        <is>
          <t>Methane, fossil</t>
        </is>
      </c>
      <c r="B2266">
        <v>1.8797075715851682e-05</v>
      </c>
      <c r="D2266" t="inlineStr">
        <is>
          <t>kilogram</t>
        </is>
      </c>
      <c r="E2266" t="inlineStr">
        <is>
          <t>air::urban air close to ground</t>
        </is>
      </c>
      <c r="F2266" t="inlineStr">
        <is>
          <t>biosphere</t>
        </is>
      </c>
      <c r="H2266" t="inlineStr">
        <is>
          <t>CH4</t>
        </is>
      </c>
      <c r="I2266">
        <v>0</v>
      </c>
    </row>
    <row r="2267">
      <c r="A2267" t="inlineStr">
        <is>
          <t>Carbon monoxide, fossil</t>
        </is>
      </c>
      <c r="B2267">
        <v>8.345515188546348e-05</v>
      </c>
      <c r="D2267" t="inlineStr">
        <is>
          <t>kilogram</t>
        </is>
      </c>
      <c r="E2267" t="inlineStr">
        <is>
          <t>air::urban air close to ground</t>
        </is>
      </c>
      <c r="F2267" t="inlineStr">
        <is>
          <t>biosphere</t>
        </is>
      </c>
      <c r="H2267" t="inlineStr">
        <is>
          <t>CO</t>
        </is>
      </c>
      <c r="I2267">
        <v>0</v>
      </c>
    </row>
    <row r="2268">
      <c r="A2268" t="inlineStr">
        <is>
          <t>Dinitrogen monoxide</t>
        </is>
      </c>
      <c r="B2268">
        <v>5.653255854391483e-07</v>
      </c>
      <c r="D2268" t="inlineStr">
        <is>
          <t>kilogram</t>
        </is>
      </c>
      <c r="E2268" t="inlineStr">
        <is>
          <t>air::urban air close to ground</t>
        </is>
      </c>
      <c r="F2268" t="inlineStr">
        <is>
          <t>biosphere</t>
        </is>
      </c>
      <c r="H2268" t="inlineStr">
        <is>
          <t>N2O</t>
        </is>
      </c>
      <c r="I2268">
        <v>0</v>
      </c>
    </row>
    <row r="2269">
      <c r="A2269" t="inlineStr">
        <is>
          <t>Ammonia</t>
        </is>
      </c>
      <c r="B2269">
        <v>5.653255854391483e-07</v>
      </c>
      <c r="D2269" t="inlineStr">
        <is>
          <t>kilogram</t>
        </is>
      </c>
      <c r="E2269" t="inlineStr">
        <is>
          <t>air::urban air close to ground</t>
        </is>
      </c>
      <c r="F2269" t="inlineStr">
        <is>
          <t>biosphere</t>
        </is>
      </c>
      <c r="H2269" t="inlineStr">
        <is>
          <t>NH3</t>
        </is>
      </c>
      <c r="I2269">
        <v>0</v>
      </c>
    </row>
    <row r="2270">
      <c r="A2270" t="inlineStr">
        <is>
          <t>Nitrogen oxides</t>
        </is>
      </c>
      <c r="B2270">
        <v>6.162014101297245e-06</v>
      </c>
      <c r="D2270" t="inlineStr">
        <is>
          <t>kilogram</t>
        </is>
      </c>
      <c r="E2270" t="inlineStr">
        <is>
          <t>air::urban air close to ground</t>
        </is>
      </c>
      <c r="F2270" t="inlineStr">
        <is>
          <t>biosphere</t>
        </is>
      </c>
      <c r="H2270" t="inlineStr">
        <is>
          <t>NOx</t>
        </is>
      </c>
      <c r="I2270">
        <v>0</v>
      </c>
    </row>
    <row r="2271">
      <c r="A2271" t="inlineStr">
        <is>
          <t>Particulate Matter, &lt; 2.5 um</t>
        </is>
      </c>
      <c r="B2271">
        <v>1.4133139635978708e-06</v>
      </c>
      <c r="D2271" t="inlineStr">
        <is>
          <t>kilogram</t>
        </is>
      </c>
      <c r="E2271" t="inlineStr">
        <is>
          <t>air::urban air close to ground</t>
        </is>
      </c>
      <c r="F2271" t="inlineStr">
        <is>
          <t>biosphere</t>
        </is>
      </c>
      <c r="H2271" t="inlineStr">
        <is>
          <t>PM2.5</t>
        </is>
      </c>
      <c r="I2271">
        <v>0</v>
      </c>
    </row>
    <row r="2272">
      <c r="A2272" t="inlineStr">
        <is>
          <t>NMVOC, non-methane volatile organic compounds</t>
        </is>
      </c>
      <c r="B2272">
        <v>6.1476482081469075e-06</v>
      </c>
      <c r="D2272" t="inlineStr">
        <is>
          <t>kilogram</t>
        </is>
      </c>
      <c r="E2272" t="inlineStr">
        <is>
          <t>air::urban air close to ground</t>
        </is>
      </c>
      <c r="F2272" t="inlineStr">
        <is>
          <t>biosphere</t>
        </is>
      </c>
      <c r="H2272" t="inlineStr">
        <is>
          <t>NMVOC</t>
        </is>
      </c>
      <c r="I2272">
        <v>0</v>
      </c>
    </row>
    <row r="2273">
      <c r="A2273" t="inlineStr">
        <is>
          <t>Ethane</t>
        </is>
      </c>
      <c r="B2273">
        <v>4.3348801467702544e-07</v>
      </c>
      <c r="D2273" t="inlineStr">
        <is>
          <t>kilogram</t>
        </is>
      </c>
      <c r="E2273" t="inlineStr">
        <is>
          <t>air::urban air close to ground</t>
        </is>
      </c>
      <c r="F2273" t="inlineStr">
        <is>
          <t>biosphere</t>
        </is>
      </c>
      <c r="H2273" t="inlineStr">
        <is>
          <t>Ethane</t>
        </is>
      </c>
      <c r="I2273">
        <v>0</v>
      </c>
    </row>
    <row r="2274">
      <c r="A2274" t="inlineStr">
        <is>
          <t>Propane</t>
        </is>
      </c>
      <c r="B2274">
        <v>8.832827885268543e-08</v>
      </c>
      <c r="D2274" t="inlineStr">
        <is>
          <t>kilogram</t>
        </is>
      </c>
      <c r="E2274" t="inlineStr">
        <is>
          <t>air::urban air close to ground</t>
        </is>
      </c>
      <c r="F2274" t="inlineStr">
        <is>
          <t>biosphere</t>
        </is>
      </c>
      <c r="H2274" t="inlineStr">
        <is>
          <t>Propane</t>
        </is>
      </c>
      <c r="I2274">
        <v>0</v>
      </c>
    </row>
    <row r="2275">
      <c r="A2275" t="inlineStr">
        <is>
          <t>Butane</t>
        </is>
      </c>
      <c r="B2275">
        <v>7.120618172124179e-07</v>
      </c>
      <c r="D2275" t="inlineStr">
        <is>
          <t>kilogram</t>
        </is>
      </c>
      <c r="E2275" t="inlineStr">
        <is>
          <t>air::urban air close to ground</t>
        </is>
      </c>
      <c r="F2275" t="inlineStr">
        <is>
          <t>biosphere</t>
        </is>
      </c>
      <c r="H2275" t="inlineStr">
        <is>
          <t>Butane</t>
        </is>
      </c>
      <c r="I2275">
        <v>0</v>
      </c>
    </row>
    <row r="2276">
      <c r="A2276" t="inlineStr">
        <is>
          <t>Pentane</t>
        </is>
      </c>
      <c r="B2276">
        <v>2.9216276851272876e-07</v>
      </c>
      <c r="D2276" t="inlineStr">
        <is>
          <t>kilogram</t>
        </is>
      </c>
      <c r="E2276" t="inlineStr">
        <is>
          <t>air::urban air close to ground</t>
        </is>
      </c>
      <c r="F2276" t="inlineStr">
        <is>
          <t>biosphere</t>
        </is>
      </c>
      <c r="H2276" t="inlineStr">
        <is>
          <t>Pentane</t>
        </is>
      </c>
      <c r="I2276">
        <v>0</v>
      </c>
    </row>
    <row r="2277">
      <c r="A2277" t="inlineStr">
        <is>
          <t>Hexane</t>
        </is>
      </c>
      <c r="B2277">
        <v>2.1878235223511317e-07</v>
      </c>
      <c r="D2277" t="inlineStr">
        <is>
          <t>kilogram</t>
        </is>
      </c>
      <c r="E2277" t="inlineStr">
        <is>
          <t>air::urban air close to ground</t>
        </is>
      </c>
      <c r="F2277" t="inlineStr">
        <is>
          <t>biosphere</t>
        </is>
      </c>
      <c r="H2277" t="inlineStr">
        <is>
          <t>Hexane</t>
        </is>
      </c>
      <c r="I2277">
        <v>0</v>
      </c>
    </row>
    <row r="2278">
      <c r="A2278" t="inlineStr">
        <is>
          <t>Cyclohexane</t>
        </is>
      </c>
      <c r="B2278">
        <v>1.5491421214163292e-07</v>
      </c>
      <c r="D2278" t="inlineStr">
        <is>
          <t>kilogram</t>
        </is>
      </c>
      <c r="E2278" t="inlineStr">
        <is>
          <t>air::urban air close to ground</t>
        </is>
      </c>
      <c r="F2278" t="inlineStr">
        <is>
          <t>biosphere</t>
        </is>
      </c>
      <c r="H2278" t="inlineStr">
        <is>
          <t>Cyclohexane</t>
        </is>
      </c>
      <c r="I2278">
        <v>0</v>
      </c>
    </row>
    <row r="2279">
      <c r="A2279" t="inlineStr">
        <is>
          <t>Heptane</t>
        </is>
      </c>
      <c r="B2279">
        <v>1.0055834823228804e-07</v>
      </c>
      <c r="D2279" t="inlineStr">
        <is>
          <t>kilogram</t>
        </is>
      </c>
      <c r="E2279" t="inlineStr">
        <is>
          <t>air::urban air close to ground</t>
        </is>
      </c>
      <c r="F2279" t="inlineStr">
        <is>
          <t>biosphere</t>
        </is>
      </c>
      <c r="H2279" t="inlineStr">
        <is>
          <t>Heptane</t>
        </is>
      </c>
      <c r="I2279">
        <v>0</v>
      </c>
    </row>
    <row r="2280">
      <c r="A2280" t="inlineStr">
        <is>
          <t>Ethylene</t>
        </is>
      </c>
      <c r="B2280">
        <v>9.919945163455441e-07</v>
      </c>
      <c r="D2280" t="inlineStr">
        <is>
          <t>kilogram</t>
        </is>
      </c>
      <c r="E2280" t="inlineStr">
        <is>
          <t>air::urban air close to ground</t>
        </is>
      </c>
      <c r="F2280" t="inlineStr">
        <is>
          <t>biosphere</t>
        </is>
      </c>
      <c r="H2280" t="inlineStr">
        <is>
          <t>Ethene</t>
        </is>
      </c>
      <c r="I2280">
        <v>0</v>
      </c>
    </row>
    <row r="2281">
      <c r="A2281" t="inlineStr">
        <is>
          <t>Propylene</t>
        </is>
      </c>
      <c r="B2281">
        <v>5.190985003342436e-07</v>
      </c>
      <c r="D2281" t="inlineStr">
        <is>
          <t>kilogram</t>
        </is>
      </c>
      <c r="E2281" t="inlineStr">
        <is>
          <t>air::urban air close to ground</t>
        </is>
      </c>
      <c r="F2281" t="inlineStr">
        <is>
          <t>biosphere</t>
        </is>
      </c>
      <c r="H2281" t="inlineStr">
        <is>
          <t>Propene</t>
        </is>
      </c>
      <c r="I2281">
        <v>0</v>
      </c>
    </row>
    <row r="2282">
      <c r="A2282" t="inlineStr">
        <is>
          <t>1-Pentene</t>
        </is>
      </c>
      <c r="B2282">
        <v>1.4947862575069847e-08</v>
      </c>
      <c r="D2282" t="inlineStr">
        <is>
          <t>kilogram</t>
        </is>
      </c>
      <c r="E2282" t="inlineStr">
        <is>
          <t>air::urban air close to ground</t>
        </is>
      </c>
      <c r="F2282" t="inlineStr">
        <is>
          <t>biosphere</t>
        </is>
      </c>
      <c r="H2282" t="inlineStr">
        <is>
          <t>1-Pentene</t>
        </is>
      </c>
      <c r="I2282">
        <v>0</v>
      </c>
    </row>
    <row r="2283">
      <c r="A2283" t="inlineStr">
        <is>
          <t>Toluene</t>
        </is>
      </c>
      <c r="B2283">
        <v>1.4920684643115172e-06</v>
      </c>
      <c r="D2283" t="inlineStr">
        <is>
          <t>kilogram</t>
        </is>
      </c>
      <c r="E2283" t="inlineStr">
        <is>
          <t>air::urban air close to ground</t>
        </is>
      </c>
      <c r="F2283" t="inlineStr">
        <is>
          <t>biosphere</t>
        </is>
      </c>
      <c r="H2283" t="inlineStr">
        <is>
          <t>Toluene</t>
        </is>
      </c>
      <c r="I2283">
        <v>0</v>
      </c>
    </row>
    <row r="2284">
      <c r="A2284" t="inlineStr">
        <is>
          <t>m-Xylene</t>
        </is>
      </c>
      <c r="B2284">
        <v>7.37880852569357e-07</v>
      </c>
      <c r="D2284" t="inlineStr">
        <is>
          <t>kilogram</t>
        </is>
      </c>
      <c r="E2284" t="inlineStr">
        <is>
          <t>air::urban air close to ground</t>
        </is>
      </c>
      <c r="F2284" t="inlineStr">
        <is>
          <t>biosphere</t>
        </is>
      </c>
      <c r="H2284" t="inlineStr">
        <is>
          <t>m-Xylene</t>
        </is>
      </c>
      <c r="I2284">
        <v>0</v>
      </c>
    </row>
    <row r="2285">
      <c r="A2285" t="inlineStr">
        <is>
          <t>o-Xylene</t>
        </is>
      </c>
      <c r="B2285">
        <v>3.071106310877986e-07</v>
      </c>
      <c r="D2285" t="inlineStr">
        <is>
          <t>kilogram</t>
        </is>
      </c>
      <c r="E2285" t="inlineStr">
        <is>
          <t>air::urban air close to ground</t>
        </is>
      </c>
      <c r="F2285" t="inlineStr">
        <is>
          <t>biosphere</t>
        </is>
      </c>
      <c r="H2285" t="inlineStr">
        <is>
          <t>o-Xylene</t>
        </is>
      </c>
      <c r="I2285">
        <v>0</v>
      </c>
    </row>
    <row r="2286">
      <c r="A2286" t="inlineStr">
        <is>
          <t>Formaldehyde</t>
        </is>
      </c>
      <c r="B2286">
        <v>2.310124216147158e-07</v>
      </c>
      <c r="D2286" t="inlineStr">
        <is>
          <t>kilogram</t>
        </is>
      </c>
      <c r="E2286" t="inlineStr">
        <is>
          <t>air::urban air close to ground</t>
        </is>
      </c>
      <c r="F2286" t="inlineStr">
        <is>
          <t>biosphere</t>
        </is>
      </c>
      <c r="H2286" t="inlineStr">
        <is>
          <t>Formaldehyde</t>
        </is>
      </c>
      <c r="I2286">
        <v>0</v>
      </c>
    </row>
    <row r="2287">
      <c r="A2287" t="inlineStr">
        <is>
          <t>Acetaldehyde</t>
        </is>
      </c>
      <c r="B2287">
        <v>1.0191724483002165e-07</v>
      </c>
      <c r="D2287" t="inlineStr">
        <is>
          <t>kilogram</t>
        </is>
      </c>
      <c r="E2287" t="inlineStr">
        <is>
          <t>air::urban air close to ground</t>
        </is>
      </c>
      <c r="F2287" t="inlineStr">
        <is>
          <t>biosphere</t>
        </is>
      </c>
      <c r="H2287" t="inlineStr">
        <is>
          <t>Acetaldehyde</t>
        </is>
      </c>
      <c r="I2287">
        <v>0</v>
      </c>
    </row>
    <row r="2288">
      <c r="A2288" t="inlineStr">
        <is>
          <t>Benzaldehyde</t>
        </is>
      </c>
      <c r="B2288">
        <v>2.9895725150139694e-08</v>
      </c>
      <c r="D2288" t="inlineStr">
        <is>
          <t>kilogram</t>
        </is>
      </c>
      <c r="E2288" t="inlineStr">
        <is>
          <t>air::urban air close to ground</t>
        </is>
      </c>
      <c r="F2288" t="inlineStr">
        <is>
          <t>biosphere</t>
        </is>
      </c>
      <c r="H2288" t="inlineStr">
        <is>
          <t>Benzaldehyde</t>
        </is>
      </c>
      <c r="I2288">
        <v>0</v>
      </c>
    </row>
    <row r="2289">
      <c r="A2289" t="inlineStr">
        <is>
          <t>Acetone</t>
        </is>
      </c>
      <c r="B2289">
        <v>8.289269246175097e-08</v>
      </c>
      <c r="D2289" t="inlineStr">
        <is>
          <t>kilogram</t>
        </is>
      </c>
      <c r="E2289" t="inlineStr">
        <is>
          <t>air::urban air close to ground</t>
        </is>
      </c>
      <c r="F2289" t="inlineStr">
        <is>
          <t>biosphere</t>
        </is>
      </c>
      <c r="H2289" t="inlineStr">
        <is>
          <t>Acetone</t>
        </is>
      </c>
      <c r="I2289">
        <v>0</v>
      </c>
    </row>
    <row r="2290">
      <c r="A2290" t="inlineStr">
        <is>
          <t>Methyl ethyl ketone</t>
        </is>
      </c>
      <c r="B2290">
        <v>0.0</v>
      </c>
      <c r="D2290" t="inlineStr">
        <is>
          <t>kilogram</t>
        </is>
      </c>
      <c r="E2290" t="inlineStr">
        <is>
          <t>air::urban air close to ground</t>
        </is>
      </c>
      <c r="F2290" t="inlineStr">
        <is>
          <t>biosphere</t>
        </is>
      </c>
      <c r="H2290" t="inlineStr">
        <is>
          <t>Methyl ethyl ketone</t>
        </is>
      </c>
      <c r="I2290">
        <v>0</v>
      </c>
    </row>
    <row r="2291">
      <c r="A2291" t="inlineStr">
        <is>
          <t>Acrolein</t>
        </is>
      </c>
      <c r="B2291">
        <v>2.581903535693882e-08</v>
      </c>
      <c r="D2291" t="inlineStr">
        <is>
          <t>kilogram</t>
        </is>
      </c>
      <c r="E2291" t="inlineStr">
        <is>
          <t>air::urban air close to ground</t>
        </is>
      </c>
      <c r="F2291" t="inlineStr">
        <is>
          <t>biosphere</t>
        </is>
      </c>
      <c r="H2291" t="inlineStr">
        <is>
          <t>Acrolein</t>
        </is>
      </c>
      <c r="I2291">
        <v>0</v>
      </c>
    </row>
    <row r="2292">
      <c r="A2292" t="inlineStr">
        <is>
          <t>Styrene</t>
        </is>
      </c>
      <c r="B2292">
        <v>1.3724855637109585e-07</v>
      </c>
      <c r="D2292" t="inlineStr">
        <is>
          <t>kilogram</t>
        </is>
      </c>
      <c r="E2292" t="inlineStr">
        <is>
          <t>air::urban air close to ground</t>
        </is>
      </c>
      <c r="F2292" t="inlineStr">
        <is>
          <t>biosphere</t>
        </is>
      </c>
      <c r="H2292" t="inlineStr">
        <is>
          <t>Styrene</t>
        </is>
      </c>
      <c r="I2292">
        <v>0</v>
      </c>
    </row>
    <row r="2293">
      <c r="A2293" t="inlineStr">
        <is>
          <t>PAH, polycyclic aromatic hydrocarbons</t>
        </is>
      </c>
      <c r="B2293">
        <v>8.188235294117648e-10</v>
      </c>
      <c r="D2293" t="inlineStr">
        <is>
          <t>kilogram</t>
        </is>
      </c>
      <c r="E2293" t="inlineStr">
        <is>
          <t>air::urban air close to ground</t>
        </is>
      </c>
      <c r="F2293" t="inlineStr">
        <is>
          <t>biosphere</t>
        </is>
      </c>
      <c r="H2293" t="inlineStr">
        <is>
          <t>PAHs</t>
        </is>
      </c>
      <c r="I2293">
        <v>0</v>
      </c>
    </row>
    <row r="2294">
      <c r="A2294" t="inlineStr">
        <is>
          <t>Arsenic ion</t>
        </is>
      </c>
      <c r="B2294">
        <v>7.058823529411766e-12</v>
      </c>
      <c r="D2294" t="inlineStr">
        <is>
          <t>kilogram</t>
        </is>
      </c>
      <c r="E2294" t="inlineStr">
        <is>
          <t>air::urban air close to ground</t>
        </is>
      </c>
      <c r="F2294" t="inlineStr">
        <is>
          <t>biosphere</t>
        </is>
      </c>
      <c r="H2294" t="inlineStr">
        <is>
          <t>Arsenic</t>
        </is>
      </c>
      <c r="I2294">
        <v>0</v>
      </c>
    </row>
    <row r="2295">
      <c r="A2295" t="inlineStr">
        <is>
          <t>Selenium IV</t>
        </is>
      </c>
      <c r="B2295">
        <v>4.705882352941177e-12</v>
      </c>
      <c r="D2295" t="inlineStr">
        <is>
          <t>kilogram</t>
        </is>
      </c>
      <c r="E2295" t="inlineStr">
        <is>
          <t>air::urban air close to ground</t>
        </is>
      </c>
      <c r="F2295" t="inlineStr">
        <is>
          <t>biosphere</t>
        </is>
      </c>
      <c r="H2295" t="inlineStr">
        <is>
          <t>Selenium</t>
        </is>
      </c>
      <c r="I2295">
        <v>0</v>
      </c>
    </row>
    <row r="2296">
      <c r="A2296" t="inlineStr">
        <is>
          <t>Zinc II</t>
        </is>
      </c>
      <c r="B2296">
        <v>5.082352941176471e-08</v>
      </c>
      <c r="D2296" t="inlineStr">
        <is>
          <t>kilogram</t>
        </is>
      </c>
      <c r="E2296" t="inlineStr">
        <is>
          <t>air::urban air close to ground</t>
        </is>
      </c>
      <c r="F2296" t="inlineStr">
        <is>
          <t>biosphere</t>
        </is>
      </c>
      <c r="H2296" t="inlineStr">
        <is>
          <t>Zinc</t>
        </is>
      </c>
      <c r="I2296">
        <v>0</v>
      </c>
    </row>
    <row r="2297">
      <c r="A2297" t="inlineStr">
        <is>
          <t>Copper ion</t>
        </is>
      </c>
      <c r="B2297">
        <v>9.88235294117647e-10</v>
      </c>
      <c r="D2297" t="inlineStr">
        <is>
          <t>kilogram</t>
        </is>
      </c>
      <c r="E2297" t="inlineStr">
        <is>
          <t>air::urban air close to ground</t>
        </is>
      </c>
      <c r="F2297" t="inlineStr">
        <is>
          <t>biosphere</t>
        </is>
      </c>
      <c r="H2297" t="inlineStr">
        <is>
          <t>Copper</t>
        </is>
      </c>
      <c r="I2297">
        <v>0</v>
      </c>
    </row>
    <row r="2298">
      <c r="A2298" t="inlineStr">
        <is>
          <t>Nickel II</t>
        </is>
      </c>
      <c r="B2298">
        <v>3.058823529411765e-10</v>
      </c>
      <c r="D2298" t="inlineStr">
        <is>
          <t>kilogram</t>
        </is>
      </c>
      <c r="E2298" t="inlineStr">
        <is>
          <t>air::urban air close to ground</t>
        </is>
      </c>
      <c r="F2298" t="inlineStr">
        <is>
          <t>biosphere</t>
        </is>
      </c>
      <c r="H2298" t="inlineStr">
        <is>
          <t>Nickel</t>
        </is>
      </c>
      <c r="I2298">
        <v>0</v>
      </c>
    </row>
    <row r="2299">
      <c r="A2299" t="inlineStr">
        <is>
          <t>Chromium III</t>
        </is>
      </c>
      <c r="B2299">
        <v>3.7647058823529416e-10</v>
      </c>
      <c r="D2299" t="inlineStr">
        <is>
          <t>kilogram</t>
        </is>
      </c>
      <c r="E2299" t="inlineStr">
        <is>
          <t>air::urban air close to ground</t>
        </is>
      </c>
      <c r="F2299" t="inlineStr">
        <is>
          <t>biosphere</t>
        </is>
      </c>
      <c r="H2299" t="inlineStr">
        <is>
          <t>Chromium</t>
        </is>
      </c>
      <c r="I2299">
        <v>0</v>
      </c>
    </row>
    <row r="2300">
      <c r="A2300" t="inlineStr">
        <is>
          <t>Chromium VI</t>
        </is>
      </c>
      <c r="B2300">
        <v>7.529411764705882e-13</v>
      </c>
      <c r="D2300" t="inlineStr">
        <is>
          <t>kilogram</t>
        </is>
      </c>
      <c r="E2300" t="inlineStr">
        <is>
          <t>air::urban air close to ground</t>
        </is>
      </c>
      <c r="F2300" t="inlineStr">
        <is>
          <t>biosphere</t>
        </is>
      </c>
      <c r="H2300" t="inlineStr">
        <is>
          <t>Chromium VI</t>
        </is>
      </c>
      <c r="I2300">
        <v>0</v>
      </c>
    </row>
    <row r="2301">
      <c r="A2301" t="inlineStr">
        <is>
          <t>Mercury II</t>
        </is>
      </c>
      <c r="B2301">
        <v>2.047058823529412e-10</v>
      </c>
      <c r="D2301" t="inlineStr">
        <is>
          <t>kilogram</t>
        </is>
      </c>
      <c r="E2301" t="inlineStr">
        <is>
          <t>air::urban air close to ground</t>
        </is>
      </c>
      <c r="F2301" t="inlineStr">
        <is>
          <t>biosphere</t>
        </is>
      </c>
      <c r="H2301" t="inlineStr">
        <is>
          <t>Mercury</t>
        </is>
      </c>
      <c r="I2301">
        <v>0</v>
      </c>
    </row>
    <row r="2302">
      <c r="A2302" t="inlineStr">
        <is>
          <t>Cadmium II</t>
        </is>
      </c>
      <c r="B2302">
        <v>2.541176470588236e-10</v>
      </c>
      <c r="D2302" t="inlineStr">
        <is>
          <t>kilogram</t>
        </is>
      </c>
      <c r="E2302" t="inlineStr">
        <is>
          <t>air::urban air close to ground</t>
        </is>
      </c>
      <c r="F2302" t="inlineStr">
        <is>
          <t>biosphere</t>
        </is>
      </c>
      <c r="H2302" t="inlineStr">
        <is>
          <t>Cadmium</t>
        </is>
      </c>
      <c r="I2302">
        <v>0</v>
      </c>
    </row>
    <row r="2303">
      <c r="A2303" t="inlineStr">
        <is>
          <t>treatment of road wear emissions, passenger car</t>
        </is>
      </c>
      <c r="B2303">
        <v>-5.857039126012582e-06</v>
      </c>
      <c r="C2303" t="inlineStr">
        <is>
          <t>RER</t>
        </is>
      </c>
      <c r="D2303" t="inlineStr">
        <is>
          <t>kilogram</t>
        </is>
      </c>
      <c r="F2303" t="inlineStr">
        <is>
          <t>technosphere</t>
        </is>
      </c>
      <c r="G2303" t="inlineStr">
        <is>
          <t>road wear emissions, passenger car</t>
        </is>
      </c>
      <c r="H2303" t="inlineStr">
        <is>
          <t>Road wear [kg/km]</t>
        </is>
      </c>
      <c r="I2303">
        <v>0</v>
      </c>
    </row>
    <row r="2304">
      <c r="A2304" t="inlineStr">
        <is>
          <t>treatment of tyre wear emissions, passenger car</t>
        </is>
      </c>
      <c r="B2304">
        <v>-3.886222117725553e-06</v>
      </c>
      <c r="C2304" t="inlineStr">
        <is>
          <t>RER</t>
        </is>
      </c>
      <c r="D2304" t="inlineStr">
        <is>
          <t>kilogram</t>
        </is>
      </c>
      <c r="F2304" t="inlineStr">
        <is>
          <t>technosphere</t>
        </is>
      </c>
      <c r="G2304" t="inlineStr">
        <is>
          <t>tyre wear emissions, passenger car</t>
        </is>
      </c>
      <c r="H2304" t="inlineStr">
        <is>
          <t>Tire wear [kg/km]</t>
        </is>
      </c>
      <c r="I2304">
        <v>0</v>
      </c>
    </row>
    <row r="2305">
      <c r="A2305" t="inlineStr">
        <is>
          <t>treatment of brake wear emissions, passenger car</t>
        </is>
      </c>
      <c r="B2305">
        <v>-2.1569214522274334e-06</v>
      </c>
      <c r="C2305" t="inlineStr">
        <is>
          <t>RER</t>
        </is>
      </c>
      <c r="D2305" t="inlineStr">
        <is>
          <t>kilogram</t>
        </is>
      </c>
      <c r="F2305" t="inlineStr">
        <is>
          <t>technosphere</t>
        </is>
      </c>
      <c r="G2305" t="inlineStr">
        <is>
          <t>brake wear emissions, passenger car</t>
        </is>
      </c>
      <c r="H2305" t="inlineStr">
        <is>
          <t>Brake wear [kg/km]</t>
        </is>
      </c>
      <c r="I2305">
        <v>0</v>
      </c>
    </row>
    <row r="2306">
      <c r="A2306" t="inlineStr">
        <is>
          <t>Carbon dioxide, non-fossil</t>
        </is>
      </c>
      <c r="B2306">
        <v>0.07351181066138031</v>
      </c>
      <c r="D2306" t="inlineStr">
        <is>
          <t>kilogram</t>
        </is>
      </c>
      <c r="E2306" t="inlineStr">
        <is>
          <t>air::urban air close to ground</t>
        </is>
      </c>
      <c r="F2306" t="inlineStr">
        <is>
          <t>biosphere</t>
        </is>
      </c>
      <c r="H2306" t="inlineStr">
        <is>
          <t>1.91 kgCO2/kg ethanol combusted.</t>
        </is>
      </c>
      <c r="I2306">
        <v>0</v>
      </c>
    </row>
    <row r="2307">
      <c r="A2307" t="inlineStr">
        <is>
          <t>Carbon dioxide, from soil or biomass stock</t>
        </is>
      </c>
      <c r="B2307">
        <v>0.0003881893386196917</v>
      </c>
      <c r="D2307" t="inlineStr">
        <is>
          <t>kilogram</t>
        </is>
      </c>
      <c r="E2307" t="inlineStr">
        <is>
          <t>air::urban air close to ground</t>
        </is>
      </c>
      <c r="F2307" t="inlineStr">
        <is>
          <t>biosphere</t>
        </is>
      </c>
      <c r="I2307">
        <v>0</v>
      </c>
    </row>
    <row r="2308"/>
    <row r="2309">
      <c r="A2309" t="inlineStr">
        <is>
          <t>Activity</t>
        </is>
      </c>
      <c r="B2309" t="inlineStr">
        <is>
          <t>bioethanol, from residues, burned in motorcycle</t>
        </is>
      </c>
    </row>
    <row r="2310">
      <c r="A2310" t="inlineStr">
        <is>
          <t>location</t>
        </is>
      </c>
      <c r="B2310" t="inlineStr">
        <is>
          <t>RER</t>
        </is>
      </c>
    </row>
    <row r="2311">
      <c r="A2311" t="inlineStr">
        <is>
          <t>production amount</t>
        </is>
      </c>
      <c r="B2311">
        <v>1</v>
      </c>
    </row>
    <row r="2312">
      <c r="A2312" t="inlineStr">
        <is>
          <t>reference product</t>
        </is>
      </c>
      <c r="B2312" t="inlineStr">
        <is>
          <t>heat</t>
        </is>
      </c>
    </row>
    <row r="2313">
      <c r="A2313" t="inlineStr">
        <is>
          <t>type</t>
        </is>
      </c>
      <c r="B2313" t="inlineStr">
        <is>
          <t>process</t>
        </is>
      </c>
    </row>
    <row r="2314">
      <c r="A2314" t="inlineStr">
        <is>
          <t>unit</t>
        </is>
      </c>
      <c r="B2314" t="inlineStr">
        <is>
          <t>megajoule</t>
        </is>
      </c>
    </row>
    <row r="2315">
      <c r="A2315" t="inlineStr">
        <is>
          <t>Power, mean</t>
        </is>
      </c>
      <c r="B2315">
        <v>20</v>
      </c>
    </row>
    <row r="2316">
      <c r="A2316" t="inlineStr">
        <is>
          <t>Power, min</t>
        </is>
      </c>
      <c r="B2316">
        <v>9</v>
      </c>
    </row>
    <row r="2317">
      <c r="A2317" t="inlineStr">
        <is>
          <t>Power, max</t>
        </is>
      </c>
      <c r="B2317">
        <v>92</v>
      </c>
    </row>
    <row r="2318">
      <c r="A2318" t="inlineStr">
        <is>
          <t>Lifetime, mean</t>
        </is>
      </c>
      <c r="B2318">
        <v>100000</v>
      </c>
    </row>
    <row r="2319">
      <c r="A2319" t="inlineStr">
        <is>
          <t>Lifetime, min</t>
        </is>
      </c>
      <c r="B2319">
        <v>50000</v>
      </c>
    </row>
    <row r="2320">
      <c r="A2320" t="inlineStr">
        <is>
          <t>Lifetime, max</t>
        </is>
      </c>
      <c r="B2320">
        <v>200000</v>
      </c>
    </row>
    <row r="2321">
      <c r="A2321" t="inlineStr">
        <is>
          <t>Energy use, mean</t>
        </is>
      </c>
      <c r="B2321">
        <v>1300</v>
      </c>
    </row>
    <row r="2322">
      <c r="A2322" t="inlineStr">
        <is>
          <t>Energy use, min</t>
        </is>
      </c>
      <c r="B2322">
        <v>800</v>
      </c>
    </row>
    <row r="2323">
      <c r="A2323" t="inlineStr">
        <is>
          <t>Energy use, max</t>
        </is>
      </c>
      <c r="B2323">
        <v>1530</v>
      </c>
    </row>
    <row r="2324">
      <c r="A2324" t="inlineStr">
        <is>
          <t>Combustion engine, mean</t>
        </is>
      </c>
      <c r="B2324">
        <v>14</v>
      </c>
    </row>
    <row r="2325">
      <c r="A2325" t="inlineStr">
        <is>
          <t>Combustion engine, min</t>
        </is>
      </c>
      <c r="B2325">
        <v>6</v>
      </c>
    </row>
    <row r="2326">
      <c r="A2326" t="inlineStr">
        <is>
          <t>Combustion engine, max</t>
        </is>
      </c>
      <c r="B2326">
        <v>65</v>
      </c>
    </row>
    <row r="2327">
      <c r="A2327" t="inlineStr">
        <is>
          <t>Fuel tank, mean</t>
        </is>
      </c>
      <c r="B2327">
        <v>10</v>
      </c>
    </row>
    <row r="2328">
      <c r="A2328" t="inlineStr">
        <is>
          <t>Fuel tank, min</t>
        </is>
      </c>
      <c r="B2328">
        <v>6</v>
      </c>
    </row>
    <row r="2329">
      <c r="A2329" t="inlineStr">
        <is>
          <t>Fuel tank, max</t>
        </is>
      </c>
      <c r="B2329">
        <v>12</v>
      </c>
    </row>
    <row r="2330">
      <c r="A2330" t="inlineStr">
        <is>
          <t>NOx</t>
        </is>
      </c>
      <c r="B2330">
        <v>0.007581145</v>
      </c>
    </row>
    <row r="2331">
      <c r="A2331" t="inlineStr">
        <is>
          <t>PM 2.5</t>
        </is>
      </c>
      <c r="B2331">
        <v>0.000565099</v>
      </c>
    </row>
    <row r="2332">
      <c r="A2332" t="inlineStr">
        <is>
          <t>energy use source</t>
        </is>
      </c>
      <c r="B233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333">
      <c r="A2333" t="inlineStr">
        <is>
          <t>comment</t>
        </is>
      </c>
      <c r="B2333"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334">
      <c r="A2334" t="inlineStr">
        <is>
          <t>Exchanges</t>
        </is>
      </c>
    </row>
    <row r="2335">
      <c r="A2335" t="inlineStr">
        <is>
          <t>name</t>
        </is>
      </c>
      <c r="B2335" t="inlineStr">
        <is>
          <t>amount</t>
        </is>
      </c>
      <c r="C2335" t="inlineStr">
        <is>
          <t>location</t>
        </is>
      </c>
      <c r="D2335" t="inlineStr">
        <is>
          <t>unit</t>
        </is>
      </c>
      <c r="E2335" t="inlineStr">
        <is>
          <t>categories</t>
        </is>
      </c>
      <c r="F2335" t="inlineStr">
        <is>
          <t>type</t>
        </is>
      </c>
      <c r="G2335" t="inlineStr">
        <is>
          <t>reference product</t>
        </is>
      </c>
      <c r="H2335" t="inlineStr">
        <is>
          <t>comment</t>
        </is>
      </c>
      <c r="I2335" t="inlineStr">
        <is>
          <t>uncertainty type</t>
        </is>
      </c>
    </row>
    <row r="2336">
      <c r="A2336" t="inlineStr">
        <is>
          <t>bioethanol, from residues, burned in motorcycle</t>
        </is>
      </c>
      <c r="B2336">
        <v>1.0</v>
      </c>
      <c r="C2336" t="inlineStr">
        <is>
          <t>RER</t>
        </is>
      </c>
      <c r="D2336" t="inlineStr">
        <is>
          <t>megajoule</t>
        </is>
      </c>
      <c r="F2336" t="inlineStr">
        <is>
          <t>production</t>
        </is>
      </c>
      <c r="G2336" t="inlineStr">
        <is>
          <t>heat</t>
        </is>
      </c>
      <c r="I2336">
        <v>0</v>
      </c>
    </row>
    <row r="2337">
      <c r="A2337" t="inlineStr">
        <is>
          <t>ethanol production, via fermentation, from forest residue, economic allocation</t>
        </is>
      </c>
      <c r="B2337">
        <v>0.03773584905660377</v>
      </c>
      <c r="C2337" t="inlineStr">
        <is>
          <t>US</t>
        </is>
      </c>
      <c r="D2337" t="inlineStr">
        <is>
          <t>kilogram</t>
        </is>
      </c>
      <c r="F2337" t="inlineStr">
        <is>
          <t>technosphere</t>
        </is>
      </c>
      <c r="G2337" t="inlineStr">
        <is>
          <t>ethanol, from forest residue</t>
        </is>
      </c>
      <c r="I2337">
        <v>0</v>
      </c>
    </row>
    <row r="2338">
      <c r="A2338" t="inlineStr">
        <is>
          <t>polyethylene production, high density, granulate</t>
        </is>
      </c>
      <c r="B2338">
        <v>3.004649931974593e-05</v>
      </c>
      <c r="C2338" t="inlineStr">
        <is>
          <t>RER</t>
        </is>
      </c>
      <c r="D2338" t="inlineStr">
        <is>
          <t>kilogram</t>
        </is>
      </c>
      <c r="F2338" t="inlineStr">
        <is>
          <t>technosphere</t>
        </is>
      </c>
      <c r="G2338" t="inlineStr">
        <is>
          <t>polyethylene, high density, granulate</t>
        </is>
      </c>
      <c r="H2338" t="inlineStr">
        <is>
          <t>Fuel tank mass [kg] Energy-use allocation: 1.6875 * 2.5974025974025975e-05 / 1.4587778883899432 MJ per kilometer.</t>
        </is>
      </c>
      <c r="I2338">
        <v>0</v>
      </c>
    </row>
    <row r="2339">
      <c r="A2339" t="inlineStr">
        <is>
          <t>Sulfur dioxide</t>
        </is>
      </c>
      <c r="B2339">
        <v>3.755868544600939e-07</v>
      </c>
      <c r="D2339" t="inlineStr">
        <is>
          <t>kilogram</t>
        </is>
      </c>
      <c r="E2339" t="inlineStr">
        <is>
          <t>air::urban air close to ground</t>
        </is>
      </c>
      <c r="F2339" t="inlineStr">
        <is>
          <t>biosphere</t>
        </is>
      </c>
      <c r="H2339" t="inlineStr">
        <is>
          <t>SO2</t>
        </is>
      </c>
      <c r="I2339">
        <v>0</v>
      </c>
    </row>
    <row r="2340">
      <c r="A2340" t="inlineStr">
        <is>
          <t>Benzene</t>
        </is>
      </c>
      <c r="B2340">
        <v>7.62340991328562e-07</v>
      </c>
      <c r="D2340" t="inlineStr">
        <is>
          <t>kilogram</t>
        </is>
      </c>
      <c r="E2340" t="inlineStr">
        <is>
          <t>air::urban air close to ground</t>
        </is>
      </c>
      <c r="F2340" t="inlineStr">
        <is>
          <t>biosphere</t>
        </is>
      </c>
      <c r="H2340" t="inlineStr">
        <is>
          <t>Benzene</t>
        </is>
      </c>
      <c r="I2340">
        <v>0</v>
      </c>
    </row>
    <row r="2341">
      <c r="A2341" t="inlineStr">
        <is>
          <t>Methane, fossil</t>
        </is>
      </c>
      <c r="B2341">
        <v>1.8797075715851682e-05</v>
      </c>
      <c r="D2341" t="inlineStr">
        <is>
          <t>kilogram</t>
        </is>
      </c>
      <c r="E2341" t="inlineStr">
        <is>
          <t>air::urban air close to ground</t>
        </is>
      </c>
      <c r="F2341" t="inlineStr">
        <is>
          <t>biosphere</t>
        </is>
      </c>
      <c r="H2341" t="inlineStr">
        <is>
          <t>CH4</t>
        </is>
      </c>
      <c r="I2341">
        <v>0</v>
      </c>
    </row>
    <row r="2342">
      <c r="A2342" t="inlineStr">
        <is>
          <t>Carbon monoxide, fossil</t>
        </is>
      </c>
      <c r="B2342">
        <v>8.345515188546348e-05</v>
      </c>
      <c r="D2342" t="inlineStr">
        <is>
          <t>kilogram</t>
        </is>
      </c>
      <c r="E2342" t="inlineStr">
        <is>
          <t>air::urban air close to ground</t>
        </is>
      </c>
      <c r="F2342" t="inlineStr">
        <is>
          <t>biosphere</t>
        </is>
      </c>
      <c r="H2342" t="inlineStr">
        <is>
          <t>CO</t>
        </is>
      </c>
      <c r="I2342">
        <v>0</v>
      </c>
    </row>
    <row r="2343">
      <c r="A2343" t="inlineStr">
        <is>
          <t>Dinitrogen monoxide</t>
        </is>
      </c>
      <c r="B2343">
        <v>5.653255854391483e-07</v>
      </c>
      <c r="D2343" t="inlineStr">
        <is>
          <t>kilogram</t>
        </is>
      </c>
      <c r="E2343" t="inlineStr">
        <is>
          <t>air::urban air close to ground</t>
        </is>
      </c>
      <c r="F2343" t="inlineStr">
        <is>
          <t>biosphere</t>
        </is>
      </c>
      <c r="H2343" t="inlineStr">
        <is>
          <t>N2O</t>
        </is>
      </c>
      <c r="I2343">
        <v>0</v>
      </c>
    </row>
    <row r="2344">
      <c r="A2344" t="inlineStr">
        <is>
          <t>Ammonia</t>
        </is>
      </c>
      <c r="B2344">
        <v>5.653255854391483e-07</v>
      </c>
      <c r="D2344" t="inlineStr">
        <is>
          <t>kilogram</t>
        </is>
      </c>
      <c r="E2344" t="inlineStr">
        <is>
          <t>air::urban air close to ground</t>
        </is>
      </c>
      <c r="F2344" t="inlineStr">
        <is>
          <t>biosphere</t>
        </is>
      </c>
      <c r="H2344" t="inlineStr">
        <is>
          <t>NH3</t>
        </is>
      </c>
      <c r="I2344">
        <v>0</v>
      </c>
    </row>
    <row r="2345">
      <c r="A2345" t="inlineStr">
        <is>
          <t>Nitrogen oxides</t>
        </is>
      </c>
      <c r="B2345">
        <v>6.162014101297245e-06</v>
      </c>
      <c r="D2345" t="inlineStr">
        <is>
          <t>kilogram</t>
        </is>
      </c>
      <c r="E2345" t="inlineStr">
        <is>
          <t>air::urban air close to ground</t>
        </is>
      </c>
      <c r="F2345" t="inlineStr">
        <is>
          <t>biosphere</t>
        </is>
      </c>
      <c r="H2345" t="inlineStr">
        <is>
          <t>NOx</t>
        </is>
      </c>
      <c r="I2345">
        <v>0</v>
      </c>
    </row>
    <row r="2346">
      <c r="A2346" t="inlineStr">
        <is>
          <t>Particulate Matter, &lt; 2.5 um</t>
        </is>
      </c>
      <c r="B2346">
        <v>1.4133139635978708e-06</v>
      </c>
      <c r="D2346" t="inlineStr">
        <is>
          <t>kilogram</t>
        </is>
      </c>
      <c r="E2346" t="inlineStr">
        <is>
          <t>air::urban air close to ground</t>
        </is>
      </c>
      <c r="F2346" t="inlineStr">
        <is>
          <t>biosphere</t>
        </is>
      </c>
      <c r="H2346" t="inlineStr">
        <is>
          <t>PM2.5</t>
        </is>
      </c>
      <c r="I2346">
        <v>0</v>
      </c>
    </row>
    <row r="2347">
      <c r="A2347" t="inlineStr">
        <is>
          <t>NMVOC, non-methane volatile organic compounds</t>
        </is>
      </c>
      <c r="B2347">
        <v>6.1476482081469075e-06</v>
      </c>
      <c r="D2347" t="inlineStr">
        <is>
          <t>kilogram</t>
        </is>
      </c>
      <c r="E2347" t="inlineStr">
        <is>
          <t>air::urban air close to ground</t>
        </is>
      </c>
      <c r="F2347" t="inlineStr">
        <is>
          <t>biosphere</t>
        </is>
      </c>
      <c r="H2347" t="inlineStr">
        <is>
          <t>NMVOC</t>
        </is>
      </c>
      <c r="I2347">
        <v>0</v>
      </c>
    </row>
    <row r="2348">
      <c r="A2348" t="inlineStr">
        <is>
          <t>Ethane</t>
        </is>
      </c>
      <c r="B2348">
        <v>4.3348801467702544e-07</v>
      </c>
      <c r="D2348" t="inlineStr">
        <is>
          <t>kilogram</t>
        </is>
      </c>
      <c r="E2348" t="inlineStr">
        <is>
          <t>air::urban air close to ground</t>
        </is>
      </c>
      <c r="F2348" t="inlineStr">
        <is>
          <t>biosphere</t>
        </is>
      </c>
      <c r="H2348" t="inlineStr">
        <is>
          <t>Ethane</t>
        </is>
      </c>
      <c r="I2348">
        <v>0</v>
      </c>
    </row>
    <row r="2349">
      <c r="A2349" t="inlineStr">
        <is>
          <t>Propane</t>
        </is>
      </c>
      <c r="B2349">
        <v>8.832827885268543e-08</v>
      </c>
      <c r="D2349" t="inlineStr">
        <is>
          <t>kilogram</t>
        </is>
      </c>
      <c r="E2349" t="inlineStr">
        <is>
          <t>air::urban air close to ground</t>
        </is>
      </c>
      <c r="F2349" t="inlineStr">
        <is>
          <t>biosphere</t>
        </is>
      </c>
      <c r="H2349" t="inlineStr">
        <is>
          <t>Propane</t>
        </is>
      </c>
      <c r="I2349">
        <v>0</v>
      </c>
    </row>
    <row r="2350">
      <c r="A2350" t="inlineStr">
        <is>
          <t>Butane</t>
        </is>
      </c>
      <c r="B2350">
        <v>7.120618172124179e-07</v>
      </c>
      <c r="D2350" t="inlineStr">
        <is>
          <t>kilogram</t>
        </is>
      </c>
      <c r="E2350" t="inlineStr">
        <is>
          <t>air::urban air close to ground</t>
        </is>
      </c>
      <c r="F2350" t="inlineStr">
        <is>
          <t>biosphere</t>
        </is>
      </c>
      <c r="H2350" t="inlineStr">
        <is>
          <t>Butane</t>
        </is>
      </c>
      <c r="I2350">
        <v>0</v>
      </c>
    </row>
    <row r="2351">
      <c r="A2351" t="inlineStr">
        <is>
          <t>Pentane</t>
        </is>
      </c>
      <c r="B2351">
        <v>2.9216276851272876e-07</v>
      </c>
      <c r="D2351" t="inlineStr">
        <is>
          <t>kilogram</t>
        </is>
      </c>
      <c r="E2351" t="inlineStr">
        <is>
          <t>air::urban air close to ground</t>
        </is>
      </c>
      <c r="F2351" t="inlineStr">
        <is>
          <t>biosphere</t>
        </is>
      </c>
      <c r="H2351" t="inlineStr">
        <is>
          <t>Pentane</t>
        </is>
      </c>
      <c r="I2351">
        <v>0</v>
      </c>
    </row>
    <row r="2352">
      <c r="A2352" t="inlineStr">
        <is>
          <t>Hexane</t>
        </is>
      </c>
      <c r="B2352">
        <v>2.1878235223511317e-07</v>
      </c>
      <c r="D2352" t="inlineStr">
        <is>
          <t>kilogram</t>
        </is>
      </c>
      <c r="E2352" t="inlineStr">
        <is>
          <t>air::urban air close to ground</t>
        </is>
      </c>
      <c r="F2352" t="inlineStr">
        <is>
          <t>biosphere</t>
        </is>
      </c>
      <c r="H2352" t="inlineStr">
        <is>
          <t>Hexane</t>
        </is>
      </c>
      <c r="I2352">
        <v>0</v>
      </c>
    </row>
    <row r="2353">
      <c r="A2353" t="inlineStr">
        <is>
          <t>Cyclohexane</t>
        </is>
      </c>
      <c r="B2353">
        <v>1.5491421214163292e-07</v>
      </c>
      <c r="D2353" t="inlineStr">
        <is>
          <t>kilogram</t>
        </is>
      </c>
      <c r="E2353" t="inlineStr">
        <is>
          <t>air::urban air close to ground</t>
        </is>
      </c>
      <c r="F2353" t="inlineStr">
        <is>
          <t>biosphere</t>
        </is>
      </c>
      <c r="H2353" t="inlineStr">
        <is>
          <t>Cyclohexane</t>
        </is>
      </c>
      <c r="I2353">
        <v>0</v>
      </c>
    </row>
    <row r="2354">
      <c r="A2354" t="inlineStr">
        <is>
          <t>Heptane</t>
        </is>
      </c>
      <c r="B2354">
        <v>1.0055834823228804e-07</v>
      </c>
      <c r="D2354" t="inlineStr">
        <is>
          <t>kilogram</t>
        </is>
      </c>
      <c r="E2354" t="inlineStr">
        <is>
          <t>air::urban air close to ground</t>
        </is>
      </c>
      <c r="F2354" t="inlineStr">
        <is>
          <t>biosphere</t>
        </is>
      </c>
      <c r="H2354" t="inlineStr">
        <is>
          <t>Heptane</t>
        </is>
      </c>
      <c r="I2354">
        <v>0</v>
      </c>
    </row>
    <row r="2355">
      <c r="A2355" t="inlineStr">
        <is>
          <t>Ethylene</t>
        </is>
      </c>
      <c r="B2355">
        <v>9.919945163455441e-07</v>
      </c>
      <c r="D2355" t="inlineStr">
        <is>
          <t>kilogram</t>
        </is>
      </c>
      <c r="E2355" t="inlineStr">
        <is>
          <t>air::urban air close to ground</t>
        </is>
      </c>
      <c r="F2355" t="inlineStr">
        <is>
          <t>biosphere</t>
        </is>
      </c>
      <c r="H2355" t="inlineStr">
        <is>
          <t>Ethene</t>
        </is>
      </c>
      <c r="I2355">
        <v>0</v>
      </c>
    </row>
    <row r="2356">
      <c r="A2356" t="inlineStr">
        <is>
          <t>Propylene</t>
        </is>
      </c>
      <c r="B2356">
        <v>5.190985003342436e-07</v>
      </c>
      <c r="D2356" t="inlineStr">
        <is>
          <t>kilogram</t>
        </is>
      </c>
      <c r="E2356" t="inlineStr">
        <is>
          <t>air::urban air close to ground</t>
        </is>
      </c>
      <c r="F2356" t="inlineStr">
        <is>
          <t>biosphere</t>
        </is>
      </c>
      <c r="H2356" t="inlineStr">
        <is>
          <t>Propene</t>
        </is>
      </c>
      <c r="I2356">
        <v>0</v>
      </c>
    </row>
    <row r="2357">
      <c r="A2357" t="inlineStr">
        <is>
          <t>1-Pentene</t>
        </is>
      </c>
      <c r="B2357">
        <v>1.4947862575069847e-08</v>
      </c>
      <c r="D2357" t="inlineStr">
        <is>
          <t>kilogram</t>
        </is>
      </c>
      <c r="E2357" t="inlineStr">
        <is>
          <t>air::urban air close to ground</t>
        </is>
      </c>
      <c r="F2357" t="inlineStr">
        <is>
          <t>biosphere</t>
        </is>
      </c>
      <c r="H2357" t="inlineStr">
        <is>
          <t>1-Pentene</t>
        </is>
      </c>
      <c r="I2357">
        <v>0</v>
      </c>
    </row>
    <row r="2358">
      <c r="A2358" t="inlineStr">
        <is>
          <t>Toluene</t>
        </is>
      </c>
      <c r="B2358">
        <v>1.4920684643115172e-06</v>
      </c>
      <c r="D2358" t="inlineStr">
        <is>
          <t>kilogram</t>
        </is>
      </c>
      <c r="E2358" t="inlineStr">
        <is>
          <t>air::urban air close to ground</t>
        </is>
      </c>
      <c r="F2358" t="inlineStr">
        <is>
          <t>biosphere</t>
        </is>
      </c>
      <c r="H2358" t="inlineStr">
        <is>
          <t>Toluene</t>
        </is>
      </c>
      <c r="I2358">
        <v>0</v>
      </c>
    </row>
    <row r="2359">
      <c r="A2359" t="inlineStr">
        <is>
          <t>m-Xylene</t>
        </is>
      </c>
      <c r="B2359">
        <v>7.37880852569357e-07</v>
      </c>
      <c r="D2359" t="inlineStr">
        <is>
          <t>kilogram</t>
        </is>
      </c>
      <c r="E2359" t="inlineStr">
        <is>
          <t>air::urban air close to ground</t>
        </is>
      </c>
      <c r="F2359" t="inlineStr">
        <is>
          <t>biosphere</t>
        </is>
      </c>
      <c r="H2359" t="inlineStr">
        <is>
          <t>m-Xylene</t>
        </is>
      </c>
      <c r="I2359">
        <v>0</v>
      </c>
    </row>
    <row r="2360">
      <c r="A2360" t="inlineStr">
        <is>
          <t>o-Xylene</t>
        </is>
      </c>
      <c r="B2360">
        <v>3.071106310877986e-07</v>
      </c>
      <c r="D2360" t="inlineStr">
        <is>
          <t>kilogram</t>
        </is>
      </c>
      <c r="E2360" t="inlineStr">
        <is>
          <t>air::urban air close to ground</t>
        </is>
      </c>
      <c r="F2360" t="inlineStr">
        <is>
          <t>biosphere</t>
        </is>
      </c>
      <c r="H2360" t="inlineStr">
        <is>
          <t>o-Xylene</t>
        </is>
      </c>
      <c r="I2360">
        <v>0</v>
      </c>
    </row>
    <row r="2361">
      <c r="A2361" t="inlineStr">
        <is>
          <t>Formaldehyde</t>
        </is>
      </c>
      <c r="B2361">
        <v>2.310124216147158e-07</v>
      </c>
      <c r="D2361" t="inlineStr">
        <is>
          <t>kilogram</t>
        </is>
      </c>
      <c r="E2361" t="inlineStr">
        <is>
          <t>air::urban air close to ground</t>
        </is>
      </c>
      <c r="F2361" t="inlineStr">
        <is>
          <t>biosphere</t>
        </is>
      </c>
      <c r="H2361" t="inlineStr">
        <is>
          <t>Formaldehyde</t>
        </is>
      </c>
      <c r="I2361">
        <v>0</v>
      </c>
    </row>
    <row r="2362">
      <c r="A2362" t="inlineStr">
        <is>
          <t>Acetaldehyde</t>
        </is>
      </c>
      <c r="B2362">
        <v>1.0191724483002165e-07</v>
      </c>
      <c r="D2362" t="inlineStr">
        <is>
          <t>kilogram</t>
        </is>
      </c>
      <c r="E2362" t="inlineStr">
        <is>
          <t>air::urban air close to ground</t>
        </is>
      </c>
      <c r="F2362" t="inlineStr">
        <is>
          <t>biosphere</t>
        </is>
      </c>
      <c r="H2362" t="inlineStr">
        <is>
          <t>Acetaldehyde</t>
        </is>
      </c>
      <c r="I2362">
        <v>0</v>
      </c>
    </row>
    <row r="2363">
      <c r="A2363" t="inlineStr">
        <is>
          <t>Benzaldehyde</t>
        </is>
      </c>
      <c r="B2363">
        <v>2.9895725150139694e-08</v>
      </c>
      <c r="D2363" t="inlineStr">
        <is>
          <t>kilogram</t>
        </is>
      </c>
      <c r="E2363" t="inlineStr">
        <is>
          <t>air::urban air close to ground</t>
        </is>
      </c>
      <c r="F2363" t="inlineStr">
        <is>
          <t>biosphere</t>
        </is>
      </c>
      <c r="H2363" t="inlineStr">
        <is>
          <t>Benzaldehyde</t>
        </is>
      </c>
      <c r="I2363">
        <v>0</v>
      </c>
    </row>
    <row r="2364">
      <c r="A2364" t="inlineStr">
        <is>
          <t>Acetone</t>
        </is>
      </c>
      <c r="B2364">
        <v>8.289269246175097e-08</v>
      </c>
      <c r="D2364" t="inlineStr">
        <is>
          <t>kilogram</t>
        </is>
      </c>
      <c r="E2364" t="inlineStr">
        <is>
          <t>air::urban air close to ground</t>
        </is>
      </c>
      <c r="F2364" t="inlineStr">
        <is>
          <t>biosphere</t>
        </is>
      </c>
      <c r="H2364" t="inlineStr">
        <is>
          <t>Acetone</t>
        </is>
      </c>
      <c r="I2364">
        <v>0</v>
      </c>
    </row>
    <row r="2365">
      <c r="A2365" t="inlineStr">
        <is>
          <t>Methyl ethyl ketone</t>
        </is>
      </c>
      <c r="B2365">
        <v>0.0</v>
      </c>
      <c r="D2365" t="inlineStr">
        <is>
          <t>kilogram</t>
        </is>
      </c>
      <c r="E2365" t="inlineStr">
        <is>
          <t>air::urban air close to ground</t>
        </is>
      </c>
      <c r="F2365" t="inlineStr">
        <is>
          <t>biosphere</t>
        </is>
      </c>
      <c r="H2365" t="inlineStr">
        <is>
          <t>Methyl ethyl ketone</t>
        </is>
      </c>
      <c r="I2365">
        <v>0</v>
      </c>
    </row>
    <row r="2366">
      <c r="A2366" t="inlineStr">
        <is>
          <t>Acrolein</t>
        </is>
      </c>
      <c r="B2366">
        <v>2.581903535693882e-08</v>
      </c>
      <c r="D2366" t="inlineStr">
        <is>
          <t>kilogram</t>
        </is>
      </c>
      <c r="E2366" t="inlineStr">
        <is>
          <t>air::urban air close to ground</t>
        </is>
      </c>
      <c r="F2366" t="inlineStr">
        <is>
          <t>biosphere</t>
        </is>
      </c>
      <c r="H2366" t="inlineStr">
        <is>
          <t>Acrolein</t>
        </is>
      </c>
      <c r="I2366">
        <v>0</v>
      </c>
    </row>
    <row r="2367">
      <c r="A2367" t="inlineStr">
        <is>
          <t>Styrene</t>
        </is>
      </c>
      <c r="B2367">
        <v>1.3724855637109585e-07</v>
      </c>
      <c r="D2367" t="inlineStr">
        <is>
          <t>kilogram</t>
        </is>
      </c>
      <c r="E2367" t="inlineStr">
        <is>
          <t>air::urban air close to ground</t>
        </is>
      </c>
      <c r="F2367" t="inlineStr">
        <is>
          <t>biosphere</t>
        </is>
      </c>
      <c r="H2367" t="inlineStr">
        <is>
          <t>Styrene</t>
        </is>
      </c>
      <c r="I2367">
        <v>0</v>
      </c>
    </row>
    <row r="2368">
      <c r="A2368" t="inlineStr">
        <is>
          <t>PAH, polycyclic aromatic hydrocarbons</t>
        </is>
      </c>
      <c r="B2368">
        <v>8.188235294117648e-10</v>
      </c>
      <c r="D2368" t="inlineStr">
        <is>
          <t>kilogram</t>
        </is>
      </c>
      <c r="E2368" t="inlineStr">
        <is>
          <t>air::urban air close to ground</t>
        </is>
      </c>
      <c r="F2368" t="inlineStr">
        <is>
          <t>biosphere</t>
        </is>
      </c>
      <c r="H2368" t="inlineStr">
        <is>
          <t>PAHs</t>
        </is>
      </c>
      <c r="I2368">
        <v>0</v>
      </c>
    </row>
    <row r="2369">
      <c r="A2369" t="inlineStr">
        <is>
          <t>Arsenic ion</t>
        </is>
      </c>
      <c r="B2369">
        <v>7.058823529411766e-12</v>
      </c>
      <c r="D2369" t="inlineStr">
        <is>
          <t>kilogram</t>
        </is>
      </c>
      <c r="E2369" t="inlineStr">
        <is>
          <t>air::urban air close to ground</t>
        </is>
      </c>
      <c r="F2369" t="inlineStr">
        <is>
          <t>biosphere</t>
        </is>
      </c>
      <c r="H2369" t="inlineStr">
        <is>
          <t>Arsenic</t>
        </is>
      </c>
      <c r="I2369">
        <v>0</v>
      </c>
    </row>
    <row r="2370">
      <c r="A2370" t="inlineStr">
        <is>
          <t>Selenium IV</t>
        </is>
      </c>
      <c r="B2370">
        <v>4.705882352941177e-12</v>
      </c>
      <c r="D2370" t="inlineStr">
        <is>
          <t>kilogram</t>
        </is>
      </c>
      <c r="E2370" t="inlineStr">
        <is>
          <t>air::urban air close to ground</t>
        </is>
      </c>
      <c r="F2370" t="inlineStr">
        <is>
          <t>biosphere</t>
        </is>
      </c>
      <c r="H2370" t="inlineStr">
        <is>
          <t>Selenium</t>
        </is>
      </c>
      <c r="I2370">
        <v>0</v>
      </c>
    </row>
    <row r="2371">
      <c r="A2371" t="inlineStr">
        <is>
          <t>Zinc II</t>
        </is>
      </c>
      <c r="B2371">
        <v>5.082352941176471e-08</v>
      </c>
      <c r="D2371" t="inlineStr">
        <is>
          <t>kilogram</t>
        </is>
      </c>
      <c r="E2371" t="inlineStr">
        <is>
          <t>air::urban air close to ground</t>
        </is>
      </c>
      <c r="F2371" t="inlineStr">
        <is>
          <t>biosphere</t>
        </is>
      </c>
      <c r="H2371" t="inlineStr">
        <is>
          <t>Zinc</t>
        </is>
      </c>
      <c r="I2371">
        <v>0</v>
      </c>
    </row>
    <row r="2372">
      <c r="A2372" t="inlineStr">
        <is>
          <t>Copper ion</t>
        </is>
      </c>
      <c r="B2372">
        <v>9.88235294117647e-10</v>
      </c>
      <c r="D2372" t="inlineStr">
        <is>
          <t>kilogram</t>
        </is>
      </c>
      <c r="E2372" t="inlineStr">
        <is>
          <t>air::urban air close to ground</t>
        </is>
      </c>
      <c r="F2372" t="inlineStr">
        <is>
          <t>biosphere</t>
        </is>
      </c>
      <c r="H2372" t="inlineStr">
        <is>
          <t>Copper</t>
        </is>
      </c>
      <c r="I2372">
        <v>0</v>
      </c>
    </row>
    <row r="2373">
      <c r="A2373" t="inlineStr">
        <is>
          <t>Nickel II</t>
        </is>
      </c>
      <c r="B2373">
        <v>3.058823529411765e-10</v>
      </c>
      <c r="D2373" t="inlineStr">
        <is>
          <t>kilogram</t>
        </is>
      </c>
      <c r="E2373" t="inlineStr">
        <is>
          <t>air::urban air close to ground</t>
        </is>
      </c>
      <c r="F2373" t="inlineStr">
        <is>
          <t>biosphere</t>
        </is>
      </c>
      <c r="H2373" t="inlineStr">
        <is>
          <t>Nickel</t>
        </is>
      </c>
      <c r="I2373">
        <v>0</v>
      </c>
    </row>
    <row r="2374">
      <c r="A2374" t="inlineStr">
        <is>
          <t>Chromium III</t>
        </is>
      </c>
      <c r="B2374">
        <v>3.7647058823529416e-10</v>
      </c>
      <c r="D2374" t="inlineStr">
        <is>
          <t>kilogram</t>
        </is>
      </c>
      <c r="E2374" t="inlineStr">
        <is>
          <t>air::urban air close to ground</t>
        </is>
      </c>
      <c r="F2374" t="inlineStr">
        <is>
          <t>biosphere</t>
        </is>
      </c>
      <c r="H2374" t="inlineStr">
        <is>
          <t>Chromium</t>
        </is>
      </c>
      <c r="I2374">
        <v>0</v>
      </c>
    </row>
    <row r="2375">
      <c r="A2375" t="inlineStr">
        <is>
          <t>Chromium VI</t>
        </is>
      </c>
      <c r="B2375">
        <v>7.529411764705882e-13</v>
      </c>
      <c r="D2375" t="inlineStr">
        <is>
          <t>kilogram</t>
        </is>
      </c>
      <c r="E2375" t="inlineStr">
        <is>
          <t>air::urban air close to ground</t>
        </is>
      </c>
      <c r="F2375" t="inlineStr">
        <is>
          <t>biosphere</t>
        </is>
      </c>
      <c r="H2375" t="inlineStr">
        <is>
          <t>Chromium VI</t>
        </is>
      </c>
      <c r="I2375">
        <v>0</v>
      </c>
    </row>
    <row r="2376">
      <c r="A2376" t="inlineStr">
        <is>
          <t>Mercury II</t>
        </is>
      </c>
      <c r="B2376">
        <v>2.047058823529412e-10</v>
      </c>
      <c r="D2376" t="inlineStr">
        <is>
          <t>kilogram</t>
        </is>
      </c>
      <c r="E2376" t="inlineStr">
        <is>
          <t>air::urban air close to ground</t>
        </is>
      </c>
      <c r="F2376" t="inlineStr">
        <is>
          <t>biosphere</t>
        </is>
      </c>
      <c r="H2376" t="inlineStr">
        <is>
          <t>Mercury</t>
        </is>
      </c>
      <c r="I2376">
        <v>0</v>
      </c>
    </row>
    <row r="2377">
      <c r="A2377" t="inlineStr">
        <is>
          <t>Cadmium II</t>
        </is>
      </c>
      <c r="B2377">
        <v>2.541176470588236e-10</v>
      </c>
      <c r="D2377" t="inlineStr">
        <is>
          <t>kilogram</t>
        </is>
      </c>
      <c r="E2377" t="inlineStr">
        <is>
          <t>air::urban air close to ground</t>
        </is>
      </c>
      <c r="F2377" t="inlineStr">
        <is>
          <t>biosphere</t>
        </is>
      </c>
      <c r="H2377" t="inlineStr">
        <is>
          <t>Cadmium</t>
        </is>
      </c>
      <c r="I2377">
        <v>0</v>
      </c>
    </row>
    <row r="2378">
      <c r="A2378" t="inlineStr">
        <is>
          <t>treatment of road wear emissions, passenger car</t>
        </is>
      </c>
      <c r="B2378">
        <v>-5.857039126012582e-06</v>
      </c>
      <c r="C2378" t="inlineStr">
        <is>
          <t>RER</t>
        </is>
      </c>
      <c r="D2378" t="inlineStr">
        <is>
          <t>kilogram</t>
        </is>
      </c>
      <c r="F2378" t="inlineStr">
        <is>
          <t>technosphere</t>
        </is>
      </c>
      <c r="G2378" t="inlineStr">
        <is>
          <t>road wear emissions, passenger car</t>
        </is>
      </c>
      <c r="H2378" t="inlineStr">
        <is>
          <t>Road wear [kg/km]</t>
        </is>
      </c>
      <c r="I2378">
        <v>0</v>
      </c>
    </row>
    <row r="2379">
      <c r="A2379" t="inlineStr">
        <is>
          <t>treatment of tyre wear emissions, passenger car</t>
        </is>
      </c>
      <c r="B2379">
        <v>-3.886222117725553e-06</v>
      </c>
      <c r="C2379" t="inlineStr">
        <is>
          <t>RER</t>
        </is>
      </c>
      <c r="D2379" t="inlineStr">
        <is>
          <t>kilogram</t>
        </is>
      </c>
      <c r="F2379" t="inlineStr">
        <is>
          <t>technosphere</t>
        </is>
      </c>
      <c r="G2379" t="inlineStr">
        <is>
          <t>tyre wear emissions, passenger car</t>
        </is>
      </c>
      <c r="H2379" t="inlineStr">
        <is>
          <t>Tire wear [kg/km]</t>
        </is>
      </c>
      <c r="I2379">
        <v>0</v>
      </c>
    </row>
    <row r="2380">
      <c r="A2380" t="inlineStr">
        <is>
          <t>treatment of brake wear emissions, passenger car</t>
        </is>
      </c>
      <c r="B2380">
        <v>-2.1569214522274334e-06</v>
      </c>
      <c r="C2380" t="inlineStr">
        <is>
          <t>RER</t>
        </is>
      </c>
      <c r="D2380" t="inlineStr">
        <is>
          <t>kilogram</t>
        </is>
      </c>
      <c r="F2380" t="inlineStr">
        <is>
          <t>technosphere</t>
        </is>
      </c>
      <c r="G2380" t="inlineStr">
        <is>
          <t>brake wear emissions, passenger car</t>
        </is>
      </c>
      <c r="H2380" t="inlineStr">
        <is>
          <t>Brake wear [kg/km]</t>
        </is>
      </c>
      <c r="I2380">
        <v>0</v>
      </c>
    </row>
    <row r="2381">
      <c r="A2381" t="inlineStr">
        <is>
          <t>Carbon dioxide, non-fossil</t>
        </is>
      </c>
      <c r="B2381">
        <v>0.07351181066138031</v>
      </c>
      <c r="D2381" t="inlineStr">
        <is>
          <t>kilogram</t>
        </is>
      </c>
      <c r="E2381" t="inlineStr">
        <is>
          <t>air::urban air close to ground</t>
        </is>
      </c>
      <c r="F2381" t="inlineStr">
        <is>
          <t>biosphere</t>
        </is>
      </c>
      <c r="H2381" t="inlineStr">
        <is>
          <t>1.91 kgCO2/kg ethanol combusted.</t>
        </is>
      </c>
      <c r="I2381">
        <v>0</v>
      </c>
    </row>
    <row r="2382">
      <c r="A2382" t="inlineStr">
        <is>
          <t>Carbon dioxide, from soil or biomass stock</t>
        </is>
      </c>
      <c r="B2382">
        <v>0.0003881893386196917</v>
      </c>
      <c r="D2382" t="inlineStr">
        <is>
          <t>kilogram</t>
        </is>
      </c>
      <c r="E2382" t="inlineStr">
        <is>
          <t>air::urban air close to ground</t>
        </is>
      </c>
      <c r="F2382" t="inlineStr">
        <is>
          <t>biosphere</t>
        </is>
      </c>
      <c r="I2382">
        <v>0</v>
      </c>
    </row>
    <row r="2383"/>
    <row r="2384">
      <c r="A2384" t="inlineStr">
        <is>
          <t>Activity</t>
        </is>
      </c>
      <c r="B2384" t="inlineStr">
        <is>
          <t>bioethanol, from sugar crops, burned in motorcycle</t>
        </is>
      </c>
    </row>
    <row r="2385">
      <c r="A2385" t="inlineStr">
        <is>
          <t>location</t>
        </is>
      </c>
      <c r="B2385" t="inlineStr">
        <is>
          <t>RER</t>
        </is>
      </c>
    </row>
    <row r="2386">
      <c r="A2386" t="inlineStr">
        <is>
          <t>production amount</t>
        </is>
      </c>
      <c r="B2386">
        <v>1</v>
      </c>
    </row>
    <row r="2387">
      <c r="A2387" t="inlineStr">
        <is>
          <t>reference product</t>
        </is>
      </c>
      <c r="B2387" t="inlineStr">
        <is>
          <t>heat</t>
        </is>
      </c>
    </row>
    <row r="2388">
      <c r="A2388" t="inlineStr">
        <is>
          <t>type</t>
        </is>
      </c>
      <c r="B2388" t="inlineStr">
        <is>
          <t>process</t>
        </is>
      </c>
    </row>
    <row r="2389">
      <c r="A2389" t="inlineStr">
        <is>
          <t>unit</t>
        </is>
      </c>
      <c r="B2389" t="inlineStr">
        <is>
          <t>megajoule</t>
        </is>
      </c>
    </row>
    <row r="2390">
      <c r="A2390" t="inlineStr">
        <is>
          <t>Power, mean</t>
        </is>
      </c>
      <c r="B2390">
        <v>20</v>
      </c>
    </row>
    <row r="2391">
      <c r="A2391" t="inlineStr">
        <is>
          <t>Power, min</t>
        </is>
      </c>
      <c r="B2391">
        <v>9</v>
      </c>
    </row>
    <row r="2392">
      <c r="A2392" t="inlineStr">
        <is>
          <t>Power, max</t>
        </is>
      </c>
      <c r="B2392">
        <v>92</v>
      </c>
    </row>
    <row r="2393">
      <c r="A2393" t="inlineStr">
        <is>
          <t>Lifetime, mean</t>
        </is>
      </c>
      <c r="B2393">
        <v>100000</v>
      </c>
    </row>
    <row r="2394">
      <c r="A2394" t="inlineStr">
        <is>
          <t>Lifetime, min</t>
        </is>
      </c>
      <c r="B2394">
        <v>50000</v>
      </c>
    </row>
    <row r="2395">
      <c r="A2395" t="inlineStr">
        <is>
          <t>Lifetime, max</t>
        </is>
      </c>
      <c r="B2395">
        <v>200000</v>
      </c>
    </row>
    <row r="2396">
      <c r="A2396" t="inlineStr">
        <is>
          <t>Energy use, mean</t>
        </is>
      </c>
      <c r="B2396">
        <v>1300</v>
      </c>
    </row>
    <row r="2397">
      <c r="A2397" t="inlineStr">
        <is>
          <t>Energy use, min</t>
        </is>
      </c>
      <c r="B2397">
        <v>800</v>
      </c>
    </row>
    <row r="2398">
      <c r="A2398" t="inlineStr">
        <is>
          <t>Energy use, max</t>
        </is>
      </c>
      <c r="B2398">
        <v>1530</v>
      </c>
    </row>
    <row r="2399">
      <c r="A2399" t="inlineStr">
        <is>
          <t>Combustion engine, mean</t>
        </is>
      </c>
      <c r="B2399">
        <v>14</v>
      </c>
    </row>
    <row r="2400">
      <c r="A2400" t="inlineStr">
        <is>
          <t>Combustion engine, min</t>
        </is>
      </c>
      <c r="B2400">
        <v>6</v>
      </c>
    </row>
    <row r="2401">
      <c r="A2401" t="inlineStr">
        <is>
          <t>Combustion engine, max</t>
        </is>
      </c>
      <c r="B2401">
        <v>65</v>
      </c>
    </row>
    <row r="2402">
      <c r="A2402" t="inlineStr">
        <is>
          <t>Fuel tank, mean</t>
        </is>
      </c>
      <c r="B2402">
        <v>10</v>
      </c>
    </row>
    <row r="2403">
      <c r="A2403" t="inlineStr">
        <is>
          <t>Fuel tank, min</t>
        </is>
      </c>
      <c r="B2403">
        <v>6</v>
      </c>
    </row>
    <row r="2404">
      <c r="A2404" t="inlineStr">
        <is>
          <t>Fuel tank, max</t>
        </is>
      </c>
      <c r="B2404">
        <v>12</v>
      </c>
    </row>
    <row r="2405">
      <c r="A2405" t="inlineStr">
        <is>
          <t>NOx</t>
        </is>
      </c>
      <c r="B2405">
        <v>0.007581145</v>
      </c>
    </row>
    <row r="2406">
      <c r="A2406" t="inlineStr">
        <is>
          <t>PM 2.5</t>
        </is>
      </c>
      <c r="B2406">
        <v>0.000565099</v>
      </c>
    </row>
    <row r="2407">
      <c r="A2407" t="inlineStr">
        <is>
          <t>energy use source</t>
        </is>
      </c>
      <c r="B24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408">
      <c r="A2408" t="inlineStr">
        <is>
          <t>comment</t>
        </is>
      </c>
      <c r="B2408"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409">
      <c r="A2409" t="inlineStr">
        <is>
          <t>Exchanges</t>
        </is>
      </c>
    </row>
    <row r="2410">
      <c r="A2410" t="inlineStr">
        <is>
          <t>name</t>
        </is>
      </c>
      <c r="B2410" t="inlineStr">
        <is>
          <t>amount</t>
        </is>
      </c>
      <c r="C2410" t="inlineStr">
        <is>
          <t>location</t>
        </is>
      </c>
      <c r="D2410" t="inlineStr">
        <is>
          <t>unit</t>
        </is>
      </c>
      <c r="E2410" t="inlineStr">
        <is>
          <t>categories</t>
        </is>
      </c>
      <c r="F2410" t="inlineStr">
        <is>
          <t>type</t>
        </is>
      </c>
      <c r="G2410" t="inlineStr">
        <is>
          <t>reference product</t>
        </is>
      </c>
      <c r="H2410" t="inlineStr">
        <is>
          <t>comment</t>
        </is>
      </c>
      <c r="I2410" t="inlineStr">
        <is>
          <t>uncertainty type</t>
        </is>
      </c>
    </row>
    <row r="2411">
      <c r="A2411" t="inlineStr">
        <is>
          <t>bioethanol, from sugar crops, burned in motorcycle</t>
        </is>
      </c>
      <c r="B2411">
        <v>1.0</v>
      </c>
      <c r="C2411" t="inlineStr">
        <is>
          <t>RER</t>
        </is>
      </c>
      <c r="D2411" t="inlineStr">
        <is>
          <t>megajoule</t>
        </is>
      </c>
      <c r="F2411" t="inlineStr">
        <is>
          <t>production</t>
        </is>
      </c>
      <c r="G2411" t="inlineStr">
        <is>
          <t>heat</t>
        </is>
      </c>
      <c r="I2411">
        <v>0</v>
      </c>
    </row>
    <row r="2412">
      <c r="A2412" t="inlineStr">
        <is>
          <t>ethanol production, via fermentation, from sugarbeet, energy allocation</t>
        </is>
      </c>
      <c r="B2412">
        <v>0.03773584905660377</v>
      </c>
      <c r="C2412" t="inlineStr">
        <is>
          <t>RER</t>
        </is>
      </c>
      <c r="D2412" t="inlineStr">
        <is>
          <t>kilogram</t>
        </is>
      </c>
      <c r="F2412" t="inlineStr">
        <is>
          <t>technosphere</t>
        </is>
      </c>
      <c r="G2412" t="inlineStr">
        <is>
          <t>ethanol, from sugarbeet</t>
        </is>
      </c>
      <c r="I2412">
        <v>0</v>
      </c>
    </row>
    <row r="2413">
      <c r="A2413" t="inlineStr">
        <is>
          <t>polyethylene production, high density, granulate</t>
        </is>
      </c>
      <c r="B2413">
        <v>3.004649931974593e-05</v>
      </c>
      <c r="C2413" t="inlineStr">
        <is>
          <t>RER</t>
        </is>
      </c>
      <c r="D2413" t="inlineStr">
        <is>
          <t>kilogram</t>
        </is>
      </c>
      <c r="F2413" t="inlineStr">
        <is>
          <t>technosphere</t>
        </is>
      </c>
      <c r="G2413" t="inlineStr">
        <is>
          <t>polyethylene, high density, granulate</t>
        </is>
      </c>
      <c r="H2413" t="inlineStr">
        <is>
          <t>Fuel tank mass [kg] Energy-use allocation: 1.6875 * 2.5974025974025975e-05 / 1.4587778883899432 MJ per kilometer.</t>
        </is>
      </c>
      <c r="I2413">
        <v>0</v>
      </c>
    </row>
    <row r="2414">
      <c r="A2414" t="inlineStr">
        <is>
          <t>Sulfur dioxide</t>
        </is>
      </c>
      <c r="B2414">
        <v>3.755868544600939e-07</v>
      </c>
      <c r="D2414" t="inlineStr">
        <is>
          <t>kilogram</t>
        </is>
      </c>
      <c r="E2414" t="inlineStr">
        <is>
          <t>air::urban air close to ground</t>
        </is>
      </c>
      <c r="F2414" t="inlineStr">
        <is>
          <t>biosphere</t>
        </is>
      </c>
      <c r="H2414" t="inlineStr">
        <is>
          <t>SO2</t>
        </is>
      </c>
      <c r="I2414">
        <v>0</v>
      </c>
    </row>
    <row r="2415">
      <c r="A2415" t="inlineStr">
        <is>
          <t>Benzene</t>
        </is>
      </c>
      <c r="B2415">
        <v>7.62340991328562e-07</v>
      </c>
      <c r="D2415" t="inlineStr">
        <is>
          <t>kilogram</t>
        </is>
      </c>
      <c r="E2415" t="inlineStr">
        <is>
          <t>air::urban air close to ground</t>
        </is>
      </c>
      <c r="F2415" t="inlineStr">
        <is>
          <t>biosphere</t>
        </is>
      </c>
      <c r="H2415" t="inlineStr">
        <is>
          <t>Benzene</t>
        </is>
      </c>
      <c r="I2415">
        <v>0</v>
      </c>
    </row>
    <row r="2416">
      <c r="A2416" t="inlineStr">
        <is>
          <t>Methane, fossil</t>
        </is>
      </c>
      <c r="B2416">
        <v>1.8797075715851682e-05</v>
      </c>
      <c r="D2416" t="inlineStr">
        <is>
          <t>kilogram</t>
        </is>
      </c>
      <c r="E2416" t="inlineStr">
        <is>
          <t>air::urban air close to ground</t>
        </is>
      </c>
      <c r="F2416" t="inlineStr">
        <is>
          <t>biosphere</t>
        </is>
      </c>
      <c r="H2416" t="inlineStr">
        <is>
          <t>CH4</t>
        </is>
      </c>
      <c r="I2416">
        <v>0</v>
      </c>
    </row>
    <row r="2417">
      <c r="A2417" t="inlineStr">
        <is>
          <t>Carbon monoxide, fossil</t>
        </is>
      </c>
      <c r="B2417">
        <v>8.345515188546348e-05</v>
      </c>
      <c r="D2417" t="inlineStr">
        <is>
          <t>kilogram</t>
        </is>
      </c>
      <c r="E2417" t="inlineStr">
        <is>
          <t>air::urban air close to ground</t>
        </is>
      </c>
      <c r="F2417" t="inlineStr">
        <is>
          <t>biosphere</t>
        </is>
      </c>
      <c r="H2417" t="inlineStr">
        <is>
          <t>CO</t>
        </is>
      </c>
      <c r="I2417">
        <v>0</v>
      </c>
    </row>
    <row r="2418">
      <c r="A2418" t="inlineStr">
        <is>
          <t>Dinitrogen monoxide</t>
        </is>
      </c>
      <c r="B2418">
        <v>5.653255854391483e-07</v>
      </c>
      <c r="D2418" t="inlineStr">
        <is>
          <t>kilogram</t>
        </is>
      </c>
      <c r="E2418" t="inlineStr">
        <is>
          <t>air::urban air close to ground</t>
        </is>
      </c>
      <c r="F2418" t="inlineStr">
        <is>
          <t>biosphere</t>
        </is>
      </c>
      <c r="H2418" t="inlineStr">
        <is>
          <t>N2O</t>
        </is>
      </c>
      <c r="I2418">
        <v>0</v>
      </c>
    </row>
    <row r="2419">
      <c r="A2419" t="inlineStr">
        <is>
          <t>Ammonia</t>
        </is>
      </c>
      <c r="B2419">
        <v>5.653255854391483e-07</v>
      </c>
      <c r="D2419" t="inlineStr">
        <is>
          <t>kilogram</t>
        </is>
      </c>
      <c r="E2419" t="inlineStr">
        <is>
          <t>air::urban air close to ground</t>
        </is>
      </c>
      <c r="F2419" t="inlineStr">
        <is>
          <t>biosphere</t>
        </is>
      </c>
      <c r="H2419" t="inlineStr">
        <is>
          <t>NH3</t>
        </is>
      </c>
      <c r="I2419">
        <v>0</v>
      </c>
    </row>
    <row r="2420">
      <c r="A2420" t="inlineStr">
        <is>
          <t>Nitrogen oxides</t>
        </is>
      </c>
      <c r="B2420">
        <v>6.162014101297245e-06</v>
      </c>
      <c r="D2420" t="inlineStr">
        <is>
          <t>kilogram</t>
        </is>
      </c>
      <c r="E2420" t="inlineStr">
        <is>
          <t>air::urban air close to ground</t>
        </is>
      </c>
      <c r="F2420" t="inlineStr">
        <is>
          <t>biosphere</t>
        </is>
      </c>
      <c r="H2420" t="inlineStr">
        <is>
          <t>NOx</t>
        </is>
      </c>
      <c r="I2420">
        <v>0</v>
      </c>
    </row>
    <row r="2421">
      <c r="A2421" t="inlineStr">
        <is>
          <t>Particulate Matter, &lt; 2.5 um</t>
        </is>
      </c>
      <c r="B2421">
        <v>1.4133139635978708e-06</v>
      </c>
      <c r="D2421" t="inlineStr">
        <is>
          <t>kilogram</t>
        </is>
      </c>
      <c r="E2421" t="inlineStr">
        <is>
          <t>air::urban air close to ground</t>
        </is>
      </c>
      <c r="F2421" t="inlineStr">
        <is>
          <t>biosphere</t>
        </is>
      </c>
      <c r="H2421" t="inlineStr">
        <is>
          <t>PM2.5</t>
        </is>
      </c>
      <c r="I2421">
        <v>0</v>
      </c>
    </row>
    <row r="2422">
      <c r="A2422" t="inlineStr">
        <is>
          <t>NMVOC, non-methane volatile organic compounds</t>
        </is>
      </c>
      <c r="B2422">
        <v>6.1476482081469075e-06</v>
      </c>
      <c r="D2422" t="inlineStr">
        <is>
          <t>kilogram</t>
        </is>
      </c>
      <c r="E2422" t="inlineStr">
        <is>
          <t>air::urban air close to ground</t>
        </is>
      </c>
      <c r="F2422" t="inlineStr">
        <is>
          <t>biosphere</t>
        </is>
      </c>
      <c r="H2422" t="inlineStr">
        <is>
          <t>NMVOC</t>
        </is>
      </c>
      <c r="I2422">
        <v>0</v>
      </c>
    </row>
    <row r="2423">
      <c r="A2423" t="inlineStr">
        <is>
          <t>Ethane</t>
        </is>
      </c>
      <c r="B2423">
        <v>4.3348801467702544e-07</v>
      </c>
      <c r="D2423" t="inlineStr">
        <is>
          <t>kilogram</t>
        </is>
      </c>
      <c r="E2423" t="inlineStr">
        <is>
          <t>air::urban air close to ground</t>
        </is>
      </c>
      <c r="F2423" t="inlineStr">
        <is>
          <t>biosphere</t>
        </is>
      </c>
      <c r="H2423" t="inlineStr">
        <is>
          <t>Ethane</t>
        </is>
      </c>
      <c r="I2423">
        <v>0</v>
      </c>
    </row>
    <row r="2424">
      <c r="A2424" t="inlineStr">
        <is>
          <t>Propane</t>
        </is>
      </c>
      <c r="B2424">
        <v>8.832827885268543e-08</v>
      </c>
      <c r="D2424" t="inlineStr">
        <is>
          <t>kilogram</t>
        </is>
      </c>
      <c r="E2424" t="inlineStr">
        <is>
          <t>air::urban air close to ground</t>
        </is>
      </c>
      <c r="F2424" t="inlineStr">
        <is>
          <t>biosphere</t>
        </is>
      </c>
      <c r="H2424" t="inlineStr">
        <is>
          <t>Propane</t>
        </is>
      </c>
      <c r="I2424">
        <v>0</v>
      </c>
    </row>
    <row r="2425">
      <c r="A2425" t="inlineStr">
        <is>
          <t>Butane</t>
        </is>
      </c>
      <c r="B2425">
        <v>7.120618172124179e-07</v>
      </c>
      <c r="D2425" t="inlineStr">
        <is>
          <t>kilogram</t>
        </is>
      </c>
      <c r="E2425" t="inlineStr">
        <is>
          <t>air::urban air close to ground</t>
        </is>
      </c>
      <c r="F2425" t="inlineStr">
        <is>
          <t>biosphere</t>
        </is>
      </c>
      <c r="H2425" t="inlineStr">
        <is>
          <t>Butane</t>
        </is>
      </c>
      <c r="I2425">
        <v>0</v>
      </c>
    </row>
    <row r="2426">
      <c r="A2426" t="inlineStr">
        <is>
          <t>Pentane</t>
        </is>
      </c>
      <c r="B2426">
        <v>2.9216276851272876e-07</v>
      </c>
      <c r="D2426" t="inlineStr">
        <is>
          <t>kilogram</t>
        </is>
      </c>
      <c r="E2426" t="inlineStr">
        <is>
          <t>air::urban air close to ground</t>
        </is>
      </c>
      <c r="F2426" t="inlineStr">
        <is>
          <t>biosphere</t>
        </is>
      </c>
      <c r="H2426" t="inlineStr">
        <is>
          <t>Pentane</t>
        </is>
      </c>
      <c r="I2426">
        <v>0</v>
      </c>
    </row>
    <row r="2427">
      <c r="A2427" t="inlineStr">
        <is>
          <t>Hexane</t>
        </is>
      </c>
      <c r="B2427">
        <v>2.1878235223511317e-07</v>
      </c>
      <c r="D2427" t="inlineStr">
        <is>
          <t>kilogram</t>
        </is>
      </c>
      <c r="E2427" t="inlineStr">
        <is>
          <t>air::urban air close to ground</t>
        </is>
      </c>
      <c r="F2427" t="inlineStr">
        <is>
          <t>biosphere</t>
        </is>
      </c>
      <c r="H2427" t="inlineStr">
        <is>
          <t>Hexane</t>
        </is>
      </c>
      <c r="I2427">
        <v>0</v>
      </c>
    </row>
    <row r="2428">
      <c r="A2428" t="inlineStr">
        <is>
          <t>Cyclohexane</t>
        </is>
      </c>
      <c r="B2428">
        <v>1.5491421214163292e-07</v>
      </c>
      <c r="D2428" t="inlineStr">
        <is>
          <t>kilogram</t>
        </is>
      </c>
      <c r="E2428" t="inlineStr">
        <is>
          <t>air::urban air close to ground</t>
        </is>
      </c>
      <c r="F2428" t="inlineStr">
        <is>
          <t>biosphere</t>
        </is>
      </c>
      <c r="H2428" t="inlineStr">
        <is>
          <t>Cyclohexane</t>
        </is>
      </c>
      <c r="I2428">
        <v>0</v>
      </c>
    </row>
    <row r="2429">
      <c r="A2429" t="inlineStr">
        <is>
          <t>Heptane</t>
        </is>
      </c>
      <c r="B2429">
        <v>1.0055834823228804e-07</v>
      </c>
      <c r="D2429" t="inlineStr">
        <is>
          <t>kilogram</t>
        </is>
      </c>
      <c r="E2429" t="inlineStr">
        <is>
          <t>air::urban air close to ground</t>
        </is>
      </c>
      <c r="F2429" t="inlineStr">
        <is>
          <t>biosphere</t>
        </is>
      </c>
      <c r="H2429" t="inlineStr">
        <is>
          <t>Heptane</t>
        </is>
      </c>
      <c r="I2429">
        <v>0</v>
      </c>
    </row>
    <row r="2430">
      <c r="A2430" t="inlineStr">
        <is>
          <t>Ethylene</t>
        </is>
      </c>
      <c r="B2430">
        <v>9.919945163455441e-07</v>
      </c>
      <c r="D2430" t="inlineStr">
        <is>
          <t>kilogram</t>
        </is>
      </c>
      <c r="E2430" t="inlineStr">
        <is>
          <t>air::urban air close to ground</t>
        </is>
      </c>
      <c r="F2430" t="inlineStr">
        <is>
          <t>biosphere</t>
        </is>
      </c>
      <c r="H2430" t="inlineStr">
        <is>
          <t>Ethene</t>
        </is>
      </c>
      <c r="I2430">
        <v>0</v>
      </c>
    </row>
    <row r="2431">
      <c r="A2431" t="inlineStr">
        <is>
          <t>Propylene</t>
        </is>
      </c>
      <c r="B2431">
        <v>5.190985003342436e-07</v>
      </c>
      <c r="D2431" t="inlineStr">
        <is>
          <t>kilogram</t>
        </is>
      </c>
      <c r="E2431" t="inlineStr">
        <is>
          <t>air::urban air close to ground</t>
        </is>
      </c>
      <c r="F2431" t="inlineStr">
        <is>
          <t>biosphere</t>
        </is>
      </c>
      <c r="H2431" t="inlineStr">
        <is>
          <t>Propene</t>
        </is>
      </c>
      <c r="I2431">
        <v>0</v>
      </c>
    </row>
    <row r="2432">
      <c r="A2432" t="inlineStr">
        <is>
          <t>1-Pentene</t>
        </is>
      </c>
      <c r="B2432">
        <v>1.4947862575069847e-08</v>
      </c>
      <c r="D2432" t="inlineStr">
        <is>
          <t>kilogram</t>
        </is>
      </c>
      <c r="E2432" t="inlineStr">
        <is>
          <t>air::urban air close to ground</t>
        </is>
      </c>
      <c r="F2432" t="inlineStr">
        <is>
          <t>biosphere</t>
        </is>
      </c>
      <c r="H2432" t="inlineStr">
        <is>
          <t>1-Pentene</t>
        </is>
      </c>
      <c r="I2432">
        <v>0</v>
      </c>
    </row>
    <row r="2433">
      <c r="A2433" t="inlineStr">
        <is>
          <t>Toluene</t>
        </is>
      </c>
      <c r="B2433">
        <v>1.4920684643115172e-06</v>
      </c>
      <c r="D2433" t="inlineStr">
        <is>
          <t>kilogram</t>
        </is>
      </c>
      <c r="E2433" t="inlineStr">
        <is>
          <t>air::urban air close to ground</t>
        </is>
      </c>
      <c r="F2433" t="inlineStr">
        <is>
          <t>biosphere</t>
        </is>
      </c>
      <c r="H2433" t="inlineStr">
        <is>
          <t>Toluene</t>
        </is>
      </c>
      <c r="I2433">
        <v>0</v>
      </c>
    </row>
    <row r="2434">
      <c r="A2434" t="inlineStr">
        <is>
          <t>m-Xylene</t>
        </is>
      </c>
      <c r="B2434">
        <v>7.37880852569357e-07</v>
      </c>
      <c r="D2434" t="inlineStr">
        <is>
          <t>kilogram</t>
        </is>
      </c>
      <c r="E2434" t="inlineStr">
        <is>
          <t>air::urban air close to ground</t>
        </is>
      </c>
      <c r="F2434" t="inlineStr">
        <is>
          <t>biosphere</t>
        </is>
      </c>
      <c r="H2434" t="inlineStr">
        <is>
          <t>m-Xylene</t>
        </is>
      </c>
      <c r="I2434">
        <v>0</v>
      </c>
    </row>
    <row r="2435">
      <c r="A2435" t="inlineStr">
        <is>
          <t>o-Xylene</t>
        </is>
      </c>
      <c r="B2435">
        <v>3.071106310877986e-07</v>
      </c>
      <c r="D2435" t="inlineStr">
        <is>
          <t>kilogram</t>
        </is>
      </c>
      <c r="E2435" t="inlineStr">
        <is>
          <t>air::urban air close to ground</t>
        </is>
      </c>
      <c r="F2435" t="inlineStr">
        <is>
          <t>biosphere</t>
        </is>
      </c>
      <c r="H2435" t="inlineStr">
        <is>
          <t>o-Xylene</t>
        </is>
      </c>
      <c r="I2435">
        <v>0</v>
      </c>
    </row>
    <row r="2436">
      <c r="A2436" t="inlineStr">
        <is>
          <t>Formaldehyde</t>
        </is>
      </c>
      <c r="B2436">
        <v>2.310124216147158e-07</v>
      </c>
      <c r="D2436" t="inlineStr">
        <is>
          <t>kilogram</t>
        </is>
      </c>
      <c r="E2436" t="inlineStr">
        <is>
          <t>air::urban air close to ground</t>
        </is>
      </c>
      <c r="F2436" t="inlineStr">
        <is>
          <t>biosphere</t>
        </is>
      </c>
      <c r="H2436" t="inlineStr">
        <is>
          <t>Formaldehyde</t>
        </is>
      </c>
      <c r="I2436">
        <v>0</v>
      </c>
    </row>
    <row r="2437">
      <c r="A2437" t="inlineStr">
        <is>
          <t>Acetaldehyde</t>
        </is>
      </c>
      <c r="B2437">
        <v>1.0191724483002165e-07</v>
      </c>
      <c r="D2437" t="inlineStr">
        <is>
          <t>kilogram</t>
        </is>
      </c>
      <c r="E2437" t="inlineStr">
        <is>
          <t>air::urban air close to ground</t>
        </is>
      </c>
      <c r="F2437" t="inlineStr">
        <is>
          <t>biosphere</t>
        </is>
      </c>
      <c r="H2437" t="inlineStr">
        <is>
          <t>Acetaldehyde</t>
        </is>
      </c>
      <c r="I2437">
        <v>0</v>
      </c>
    </row>
    <row r="2438">
      <c r="A2438" t="inlineStr">
        <is>
          <t>Benzaldehyde</t>
        </is>
      </c>
      <c r="B2438">
        <v>2.9895725150139694e-08</v>
      </c>
      <c r="D2438" t="inlineStr">
        <is>
          <t>kilogram</t>
        </is>
      </c>
      <c r="E2438" t="inlineStr">
        <is>
          <t>air::urban air close to ground</t>
        </is>
      </c>
      <c r="F2438" t="inlineStr">
        <is>
          <t>biosphere</t>
        </is>
      </c>
      <c r="H2438" t="inlineStr">
        <is>
          <t>Benzaldehyde</t>
        </is>
      </c>
      <c r="I2438">
        <v>0</v>
      </c>
    </row>
    <row r="2439">
      <c r="A2439" t="inlineStr">
        <is>
          <t>Acetone</t>
        </is>
      </c>
      <c r="B2439">
        <v>8.289269246175097e-08</v>
      </c>
      <c r="D2439" t="inlineStr">
        <is>
          <t>kilogram</t>
        </is>
      </c>
      <c r="E2439" t="inlineStr">
        <is>
          <t>air::urban air close to ground</t>
        </is>
      </c>
      <c r="F2439" t="inlineStr">
        <is>
          <t>biosphere</t>
        </is>
      </c>
      <c r="H2439" t="inlineStr">
        <is>
          <t>Acetone</t>
        </is>
      </c>
      <c r="I2439">
        <v>0</v>
      </c>
    </row>
    <row r="2440">
      <c r="A2440" t="inlineStr">
        <is>
          <t>Methyl ethyl ketone</t>
        </is>
      </c>
      <c r="B2440">
        <v>0.0</v>
      </c>
      <c r="D2440" t="inlineStr">
        <is>
          <t>kilogram</t>
        </is>
      </c>
      <c r="E2440" t="inlineStr">
        <is>
          <t>air::urban air close to ground</t>
        </is>
      </c>
      <c r="F2440" t="inlineStr">
        <is>
          <t>biosphere</t>
        </is>
      </c>
      <c r="H2440" t="inlineStr">
        <is>
          <t>Methyl ethyl ketone</t>
        </is>
      </c>
      <c r="I2440">
        <v>0</v>
      </c>
    </row>
    <row r="2441">
      <c r="A2441" t="inlineStr">
        <is>
          <t>Acrolein</t>
        </is>
      </c>
      <c r="B2441">
        <v>2.581903535693882e-08</v>
      </c>
      <c r="D2441" t="inlineStr">
        <is>
          <t>kilogram</t>
        </is>
      </c>
      <c r="E2441" t="inlineStr">
        <is>
          <t>air::urban air close to ground</t>
        </is>
      </c>
      <c r="F2441" t="inlineStr">
        <is>
          <t>biosphere</t>
        </is>
      </c>
      <c r="H2441" t="inlineStr">
        <is>
          <t>Acrolein</t>
        </is>
      </c>
      <c r="I2441">
        <v>0</v>
      </c>
    </row>
    <row r="2442">
      <c r="A2442" t="inlineStr">
        <is>
          <t>Styrene</t>
        </is>
      </c>
      <c r="B2442">
        <v>1.3724855637109585e-07</v>
      </c>
      <c r="D2442" t="inlineStr">
        <is>
          <t>kilogram</t>
        </is>
      </c>
      <c r="E2442" t="inlineStr">
        <is>
          <t>air::urban air close to ground</t>
        </is>
      </c>
      <c r="F2442" t="inlineStr">
        <is>
          <t>biosphere</t>
        </is>
      </c>
      <c r="H2442" t="inlineStr">
        <is>
          <t>Styrene</t>
        </is>
      </c>
      <c r="I2442">
        <v>0</v>
      </c>
    </row>
    <row r="2443">
      <c r="A2443" t="inlineStr">
        <is>
          <t>PAH, polycyclic aromatic hydrocarbons</t>
        </is>
      </c>
      <c r="B2443">
        <v>8.188235294117648e-10</v>
      </c>
      <c r="D2443" t="inlineStr">
        <is>
          <t>kilogram</t>
        </is>
      </c>
      <c r="E2443" t="inlineStr">
        <is>
          <t>air::urban air close to ground</t>
        </is>
      </c>
      <c r="F2443" t="inlineStr">
        <is>
          <t>biosphere</t>
        </is>
      </c>
      <c r="H2443" t="inlineStr">
        <is>
          <t>PAHs</t>
        </is>
      </c>
      <c r="I2443">
        <v>0</v>
      </c>
    </row>
    <row r="2444">
      <c r="A2444" t="inlineStr">
        <is>
          <t>Arsenic ion</t>
        </is>
      </c>
      <c r="B2444">
        <v>7.058823529411766e-12</v>
      </c>
      <c r="D2444" t="inlineStr">
        <is>
          <t>kilogram</t>
        </is>
      </c>
      <c r="E2444" t="inlineStr">
        <is>
          <t>air::urban air close to ground</t>
        </is>
      </c>
      <c r="F2444" t="inlineStr">
        <is>
          <t>biosphere</t>
        </is>
      </c>
      <c r="H2444" t="inlineStr">
        <is>
          <t>Arsenic</t>
        </is>
      </c>
      <c r="I2444">
        <v>0</v>
      </c>
    </row>
    <row r="2445">
      <c r="A2445" t="inlineStr">
        <is>
          <t>Selenium IV</t>
        </is>
      </c>
      <c r="B2445">
        <v>4.705882352941177e-12</v>
      </c>
      <c r="D2445" t="inlineStr">
        <is>
          <t>kilogram</t>
        </is>
      </c>
      <c r="E2445" t="inlineStr">
        <is>
          <t>air::urban air close to ground</t>
        </is>
      </c>
      <c r="F2445" t="inlineStr">
        <is>
          <t>biosphere</t>
        </is>
      </c>
      <c r="H2445" t="inlineStr">
        <is>
          <t>Selenium</t>
        </is>
      </c>
      <c r="I2445">
        <v>0</v>
      </c>
    </row>
    <row r="2446">
      <c r="A2446" t="inlineStr">
        <is>
          <t>Zinc II</t>
        </is>
      </c>
      <c r="B2446">
        <v>5.082352941176471e-08</v>
      </c>
      <c r="D2446" t="inlineStr">
        <is>
          <t>kilogram</t>
        </is>
      </c>
      <c r="E2446" t="inlineStr">
        <is>
          <t>air::urban air close to ground</t>
        </is>
      </c>
      <c r="F2446" t="inlineStr">
        <is>
          <t>biosphere</t>
        </is>
      </c>
      <c r="H2446" t="inlineStr">
        <is>
          <t>Zinc</t>
        </is>
      </c>
      <c r="I2446">
        <v>0</v>
      </c>
    </row>
    <row r="2447">
      <c r="A2447" t="inlineStr">
        <is>
          <t>Copper ion</t>
        </is>
      </c>
      <c r="B2447">
        <v>9.88235294117647e-10</v>
      </c>
      <c r="D2447" t="inlineStr">
        <is>
          <t>kilogram</t>
        </is>
      </c>
      <c r="E2447" t="inlineStr">
        <is>
          <t>air::urban air close to ground</t>
        </is>
      </c>
      <c r="F2447" t="inlineStr">
        <is>
          <t>biosphere</t>
        </is>
      </c>
      <c r="H2447" t="inlineStr">
        <is>
          <t>Copper</t>
        </is>
      </c>
      <c r="I2447">
        <v>0</v>
      </c>
    </row>
    <row r="2448">
      <c r="A2448" t="inlineStr">
        <is>
          <t>Nickel II</t>
        </is>
      </c>
      <c r="B2448">
        <v>3.058823529411765e-10</v>
      </c>
      <c r="D2448" t="inlineStr">
        <is>
          <t>kilogram</t>
        </is>
      </c>
      <c r="E2448" t="inlineStr">
        <is>
          <t>air::urban air close to ground</t>
        </is>
      </c>
      <c r="F2448" t="inlineStr">
        <is>
          <t>biosphere</t>
        </is>
      </c>
      <c r="H2448" t="inlineStr">
        <is>
          <t>Nickel</t>
        </is>
      </c>
      <c r="I2448">
        <v>0</v>
      </c>
    </row>
    <row r="2449">
      <c r="A2449" t="inlineStr">
        <is>
          <t>Chromium III</t>
        </is>
      </c>
      <c r="B2449">
        <v>3.7647058823529416e-10</v>
      </c>
      <c r="D2449" t="inlineStr">
        <is>
          <t>kilogram</t>
        </is>
      </c>
      <c r="E2449" t="inlineStr">
        <is>
          <t>air::urban air close to ground</t>
        </is>
      </c>
      <c r="F2449" t="inlineStr">
        <is>
          <t>biosphere</t>
        </is>
      </c>
      <c r="H2449" t="inlineStr">
        <is>
          <t>Chromium</t>
        </is>
      </c>
      <c r="I2449">
        <v>0</v>
      </c>
    </row>
    <row r="2450">
      <c r="A2450" t="inlineStr">
        <is>
          <t>Chromium VI</t>
        </is>
      </c>
      <c r="B2450">
        <v>7.529411764705882e-13</v>
      </c>
      <c r="D2450" t="inlineStr">
        <is>
          <t>kilogram</t>
        </is>
      </c>
      <c r="E2450" t="inlineStr">
        <is>
          <t>air::urban air close to ground</t>
        </is>
      </c>
      <c r="F2450" t="inlineStr">
        <is>
          <t>biosphere</t>
        </is>
      </c>
      <c r="H2450" t="inlineStr">
        <is>
          <t>Chromium VI</t>
        </is>
      </c>
      <c r="I2450">
        <v>0</v>
      </c>
    </row>
    <row r="2451">
      <c r="A2451" t="inlineStr">
        <is>
          <t>Mercury II</t>
        </is>
      </c>
      <c r="B2451">
        <v>2.047058823529412e-10</v>
      </c>
      <c r="D2451" t="inlineStr">
        <is>
          <t>kilogram</t>
        </is>
      </c>
      <c r="E2451" t="inlineStr">
        <is>
          <t>air::urban air close to ground</t>
        </is>
      </c>
      <c r="F2451" t="inlineStr">
        <is>
          <t>biosphere</t>
        </is>
      </c>
      <c r="H2451" t="inlineStr">
        <is>
          <t>Mercury</t>
        </is>
      </c>
      <c r="I2451">
        <v>0</v>
      </c>
    </row>
    <row r="2452">
      <c r="A2452" t="inlineStr">
        <is>
          <t>Cadmium II</t>
        </is>
      </c>
      <c r="B2452">
        <v>2.541176470588236e-10</v>
      </c>
      <c r="D2452" t="inlineStr">
        <is>
          <t>kilogram</t>
        </is>
      </c>
      <c r="E2452" t="inlineStr">
        <is>
          <t>air::urban air close to ground</t>
        </is>
      </c>
      <c r="F2452" t="inlineStr">
        <is>
          <t>biosphere</t>
        </is>
      </c>
      <c r="H2452" t="inlineStr">
        <is>
          <t>Cadmium</t>
        </is>
      </c>
      <c r="I2452">
        <v>0</v>
      </c>
    </row>
    <row r="2453">
      <c r="A2453" t="inlineStr">
        <is>
          <t>treatment of road wear emissions, passenger car</t>
        </is>
      </c>
      <c r="B2453">
        <v>-5.857039126012582e-06</v>
      </c>
      <c r="C2453" t="inlineStr">
        <is>
          <t>RER</t>
        </is>
      </c>
      <c r="D2453" t="inlineStr">
        <is>
          <t>kilogram</t>
        </is>
      </c>
      <c r="F2453" t="inlineStr">
        <is>
          <t>technosphere</t>
        </is>
      </c>
      <c r="G2453" t="inlineStr">
        <is>
          <t>road wear emissions, passenger car</t>
        </is>
      </c>
      <c r="H2453" t="inlineStr">
        <is>
          <t>Road wear [kg/km]</t>
        </is>
      </c>
      <c r="I2453">
        <v>0</v>
      </c>
    </row>
    <row r="2454">
      <c r="A2454" t="inlineStr">
        <is>
          <t>treatment of tyre wear emissions, passenger car</t>
        </is>
      </c>
      <c r="B2454">
        <v>-3.886222117725553e-06</v>
      </c>
      <c r="C2454" t="inlineStr">
        <is>
          <t>RER</t>
        </is>
      </c>
      <c r="D2454" t="inlineStr">
        <is>
          <t>kilogram</t>
        </is>
      </c>
      <c r="F2454" t="inlineStr">
        <is>
          <t>technosphere</t>
        </is>
      </c>
      <c r="G2454" t="inlineStr">
        <is>
          <t>tyre wear emissions, passenger car</t>
        </is>
      </c>
      <c r="H2454" t="inlineStr">
        <is>
          <t>Tire wear [kg/km]</t>
        </is>
      </c>
      <c r="I2454">
        <v>0</v>
      </c>
    </row>
    <row r="2455">
      <c r="A2455" t="inlineStr">
        <is>
          <t>treatment of brake wear emissions, passenger car</t>
        </is>
      </c>
      <c r="B2455">
        <v>-2.1569214522274334e-06</v>
      </c>
      <c r="C2455" t="inlineStr">
        <is>
          <t>RER</t>
        </is>
      </c>
      <c r="D2455" t="inlineStr">
        <is>
          <t>kilogram</t>
        </is>
      </c>
      <c r="F2455" t="inlineStr">
        <is>
          <t>technosphere</t>
        </is>
      </c>
      <c r="G2455" t="inlineStr">
        <is>
          <t>brake wear emissions, passenger car</t>
        </is>
      </c>
      <c r="H2455" t="inlineStr">
        <is>
          <t>Brake wear [kg/km]</t>
        </is>
      </c>
      <c r="I2455">
        <v>0</v>
      </c>
    </row>
    <row r="2456">
      <c r="A2456" t="inlineStr">
        <is>
          <t>Carbon dioxide, non-fossil</t>
        </is>
      </c>
      <c r="B2456">
        <v>0.07351181066138031</v>
      </c>
      <c r="D2456" t="inlineStr">
        <is>
          <t>kilogram</t>
        </is>
      </c>
      <c r="E2456" t="inlineStr">
        <is>
          <t>air::urban air close to ground</t>
        </is>
      </c>
      <c r="F2456" t="inlineStr">
        <is>
          <t>biosphere</t>
        </is>
      </c>
      <c r="H2456" t="inlineStr">
        <is>
          <t>1.91 kgCO2/kg ethanol combusted.</t>
        </is>
      </c>
      <c r="I2456">
        <v>0</v>
      </c>
    </row>
    <row r="2457">
      <c r="A2457" t="inlineStr">
        <is>
          <t>Carbon dioxide, from soil or biomass stock</t>
        </is>
      </c>
      <c r="B2457">
        <v>0.0003881893386196917</v>
      </c>
      <c r="D2457" t="inlineStr">
        <is>
          <t>kilogram</t>
        </is>
      </c>
      <c r="E2457" t="inlineStr">
        <is>
          <t>air::urban air close to ground</t>
        </is>
      </c>
      <c r="F2457" t="inlineStr">
        <is>
          <t>biosphere</t>
        </is>
      </c>
      <c r="I2457">
        <v>0</v>
      </c>
    </row>
    <row r="2458"/>
    <row r="2459">
      <c r="A2459" t="inlineStr">
        <is>
          <t>Activity</t>
        </is>
      </c>
      <c r="B2459" t="inlineStr">
        <is>
          <t>petrol, synthetic, burned in motorcycle</t>
        </is>
      </c>
    </row>
    <row r="2460">
      <c r="A2460" t="inlineStr">
        <is>
          <t>location</t>
        </is>
      </c>
      <c r="B2460" t="inlineStr">
        <is>
          <t>RER</t>
        </is>
      </c>
    </row>
    <row r="2461">
      <c r="A2461" t="inlineStr">
        <is>
          <t>production amount</t>
        </is>
      </c>
      <c r="B2461">
        <v>1</v>
      </c>
    </row>
    <row r="2462">
      <c r="A2462" t="inlineStr">
        <is>
          <t>reference product</t>
        </is>
      </c>
      <c r="B2462" t="inlineStr">
        <is>
          <t>heat</t>
        </is>
      </c>
    </row>
    <row r="2463">
      <c r="A2463" t="inlineStr">
        <is>
          <t>type</t>
        </is>
      </c>
      <c r="B2463" t="inlineStr">
        <is>
          <t>process</t>
        </is>
      </c>
    </row>
    <row r="2464">
      <c r="A2464" t="inlineStr">
        <is>
          <t>unit</t>
        </is>
      </c>
      <c r="B2464" t="inlineStr">
        <is>
          <t>megajoule</t>
        </is>
      </c>
    </row>
    <row r="2465">
      <c r="A2465" t="inlineStr">
        <is>
          <t>Power, mean</t>
        </is>
      </c>
      <c r="B2465">
        <v>20</v>
      </c>
    </row>
    <row r="2466">
      <c r="A2466" t="inlineStr">
        <is>
          <t>Power, min</t>
        </is>
      </c>
      <c r="B2466">
        <v>9</v>
      </c>
    </row>
    <row r="2467">
      <c r="A2467" t="inlineStr">
        <is>
          <t>Power, max</t>
        </is>
      </c>
      <c r="B2467">
        <v>92</v>
      </c>
    </row>
    <row r="2468">
      <c r="A2468" t="inlineStr">
        <is>
          <t>Lifetime, mean</t>
        </is>
      </c>
      <c r="B2468">
        <v>100000</v>
      </c>
    </row>
    <row r="2469">
      <c r="A2469" t="inlineStr">
        <is>
          <t>Lifetime, min</t>
        </is>
      </c>
      <c r="B2469">
        <v>50000</v>
      </c>
    </row>
    <row r="2470">
      <c r="A2470" t="inlineStr">
        <is>
          <t>Lifetime, max</t>
        </is>
      </c>
      <c r="B2470">
        <v>200000</v>
      </c>
    </row>
    <row r="2471">
      <c r="A2471" t="inlineStr">
        <is>
          <t>Energy use, mean</t>
        </is>
      </c>
      <c r="B2471">
        <v>1300</v>
      </c>
    </row>
    <row r="2472">
      <c r="A2472" t="inlineStr">
        <is>
          <t>Energy use, min</t>
        </is>
      </c>
      <c r="B2472">
        <v>800</v>
      </c>
    </row>
    <row r="2473">
      <c r="A2473" t="inlineStr">
        <is>
          <t>Energy use, max</t>
        </is>
      </c>
      <c r="B2473">
        <v>1530</v>
      </c>
    </row>
    <row r="2474">
      <c r="A2474" t="inlineStr">
        <is>
          <t>Combustion engine, mean</t>
        </is>
      </c>
      <c r="B2474">
        <v>14</v>
      </c>
    </row>
    <row r="2475">
      <c r="A2475" t="inlineStr">
        <is>
          <t>Combustion engine, min</t>
        </is>
      </c>
      <c r="B2475">
        <v>6</v>
      </c>
    </row>
    <row r="2476">
      <c r="A2476" t="inlineStr">
        <is>
          <t>Combustion engine, max</t>
        </is>
      </c>
      <c r="B2476">
        <v>65</v>
      </c>
    </row>
    <row r="2477">
      <c r="A2477" t="inlineStr">
        <is>
          <t>Fuel tank, mean</t>
        </is>
      </c>
      <c r="B2477">
        <v>10</v>
      </c>
    </row>
    <row r="2478">
      <c r="A2478" t="inlineStr">
        <is>
          <t>Fuel tank, min</t>
        </is>
      </c>
      <c r="B2478">
        <v>6</v>
      </c>
    </row>
    <row r="2479">
      <c r="A2479" t="inlineStr">
        <is>
          <t>Fuel tank, max</t>
        </is>
      </c>
      <c r="B2479">
        <v>12</v>
      </c>
    </row>
    <row r="2480">
      <c r="A2480" t="inlineStr">
        <is>
          <t>NOx</t>
        </is>
      </c>
      <c r="B2480">
        <v>0.007581145</v>
      </c>
    </row>
    <row r="2481">
      <c r="A2481" t="inlineStr">
        <is>
          <t>PM 2.5</t>
        </is>
      </c>
      <c r="B2481">
        <v>0.000565099</v>
      </c>
    </row>
    <row r="2482">
      <c r="A2482" t="inlineStr">
        <is>
          <t>energy use source</t>
        </is>
      </c>
      <c r="B24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483">
      <c r="A2483" t="inlineStr">
        <is>
          <t>comment</t>
        </is>
      </c>
      <c r="B2483"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484">
      <c r="A2484" t="inlineStr">
        <is>
          <t>Exchanges</t>
        </is>
      </c>
    </row>
    <row r="2485">
      <c r="A2485" t="inlineStr">
        <is>
          <t>name</t>
        </is>
      </c>
      <c r="B2485" t="inlineStr">
        <is>
          <t>amount</t>
        </is>
      </c>
      <c r="C2485" t="inlineStr">
        <is>
          <t>location</t>
        </is>
      </c>
      <c r="D2485" t="inlineStr">
        <is>
          <t>unit</t>
        </is>
      </c>
      <c r="E2485" t="inlineStr">
        <is>
          <t>categories</t>
        </is>
      </c>
      <c r="F2485" t="inlineStr">
        <is>
          <t>type</t>
        </is>
      </c>
      <c r="G2485" t="inlineStr">
        <is>
          <t>reference product</t>
        </is>
      </c>
      <c r="H2485" t="inlineStr">
        <is>
          <t>comment</t>
        </is>
      </c>
      <c r="I2485" t="inlineStr">
        <is>
          <t>uncertainty type</t>
        </is>
      </c>
    </row>
    <row r="2486">
      <c r="A2486" t="inlineStr">
        <is>
          <t>petrol, synthetic, burned in motorcycle</t>
        </is>
      </c>
      <c r="B2486">
        <v>1.0</v>
      </c>
      <c r="C2486" t="inlineStr">
        <is>
          <t>RER</t>
        </is>
      </c>
      <c r="D2486" t="inlineStr">
        <is>
          <t>megajoule</t>
        </is>
      </c>
      <c r="F2486" t="inlineStr">
        <is>
          <t>production</t>
        </is>
      </c>
      <c r="G2486" t="inlineStr">
        <is>
          <t>heat</t>
        </is>
      </c>
      <c r="I2486">
        <v>0</v>
      </c>
    </row>
    <row r="2487">
      <c r="A2487" t="inlineStr">
        <is>
          <t>gasoline production, from methanol, market-average hydrogen, CO2 from DAC, energy allocation</t>
        </is>
      </c>
      <c r="B2487">
        <v>0.023474178403755867</v>
      </c>
      <c r="C2487" t="inlineStr">
        <is>
          <t>RER</t>
        </is>
      </c>
      <c r="D2487" t="inlineStr">
        <is>
          <t>kilogram</t>
        </is>
      </c>
      <c r="F2487" t="inlineStr">
        <is>
          <t>technosphere</t>
        </is>
      </c>
      <c r="G2487" t="inlineStr">
        <is>
          <t>gasoline, synthetic</t>
        </is>
      </c>
      <c r="I2487">
        <v>0</v>
      </c>
    </row>
    <row r="2488">
      <c r="A2488" t="inlineStr">
        <is>
          <t>polyethylene production, high density, granulate</t>
        </is>
      </c>
      <c r="B2488">
        <v>3.004649931974593e-05</v>
      </c>
      <c r="C2488" t="inlineStr">
        <is>
          <t>RER</t>
        </is>
      </c>
      <c r="D2488" t="inlineStr">
        <is>
          <t>kilogram</t>
        </is>
      </c>
      <c r="F2488" t="inlineStr">
        <is>
          <t>technosphere</t>
        </is>
      </c>
      <c r="G2488" t="inlineStr">
        <is>
          <t>polyethylene, high density, granulate</t>
        </is>
      </c>
      <c r="H2488" t="inlineStr">
        <is>
          <t>Fuel tank mass [kg] Energy-use allocation: 1.6875 * 2.5974025974025975e-05 / 1.4587778883899432 MJ per kilometer.</t>
        </is>
      </c>
      <c r="I2488">
        <v>0</v>
      </c>
    </row>
    <row r="2489">
      <c r="A2489" t="inlineStr">
        <is>
          <t>Sulfur dioxide</t>
        </is>
      </c>
      <c r="B2489">
        <v>3.755868544600939e-07</v>
      </c>
      <c r="D2489" t="inlineStr">
        <is>
          <t>kilogram</t>
        </is>
      </c>
      <c r="E2489" t="inlineStr">
        <is>
          <t>air::urban air close to ground</t>
        </is>
      </c>
      <c r="F2489" t="inlineStr">
        <is>
          <t>biosphere</t>
        </is>
      </c>
      <c r="H2489" t="inlineStr">
        <is>
          <t>SO2</t>
        </is>
      </c>
      <c r="I2489">
        <v>0</v>
      </c>
    </row>
    <row r="2490">
      <c r="A2490" t="inlineStr">
        <is>
          <t>Benzene</t>
        </is>
      </c>
      <c r="B2490">
        <v>7.62340991328562e-07</v>
      </c>
      <c r="D2490" t="inlineStr">
        <is>
          <t>kilogram</t>
        </is>
      </c>
      <c r="E2490" t="inlineStr">
        <is>
          <t>air::urban air close to ground</t>
        </is>
      </c>
      <c r="F2490" t="inlineStr">
        <is>
          <t>biosphere</t>
        </is>
      </c>
      <c r="H2490" t="inlineStr">
        <is>
          <t>Benzene</t>
        </is>
      </c>
      <c r="I2490">
        <v>0</v>
      </c>
    </row>
    <row r="2491">
      <c r="A2491" t="inlineStr">
        <is>
          <t>Methane, fossil</t>
        </is>
      </c>
      <c r="B2491">
        <v>1.8797075715851682e-05</v>
      </c>
      <c r="D2491" t="inlineStr">
        <is>
          <t>kilogram</t>
        </is>
      </c>
      <c r="E2491" t="inlineStr">
        <is>
          <t>air::urban air close to ground</t>
        </is>
      </c>
      <c r="F2491" t="inlineStr">
        <is>
          <t>biosphere</t>
        </is>
      </c>
      <c r="H2491" t="inlineStr">
        <is>
          <t>CH4</t>
        </is>
      </c>
      <c r="I2491">
        <v>0</v>
      </c>
    </row>
    <row r="2492">
      <c r="A2492" t="inlineStr">
        <is>
          <t>Carbon monoxide, fossil</t>
        </is>
      </c>
      <c r="B2492">
        <v>8.345515188546348e-05</v>
      </c>
      <c r="D2492" t="inlineStr">
        <is>
          <t>kilogram</t>
        </is>
      </c>
      <c r="E2492" t="inlineStr">
        <is>
          <t>air::urban air close to ground</t>
        </is>
      </c>
      <c r="F2492" t="inlineStr">
        <is>
          <t>biosphere</t>
        </is>
      </c>
      <c r="H2492" t="inlineStr">
        <is>
          <t>CO</t>
        </is>
      </c>
      <c r="I2492">
        <v>0</v>
      </c>
    </row>
    <row r="2493">
      <c r="A2493" t="inlineStr">
        <is>
          <t>Dinitrogen monoxide</t>
        </is>
      </c>
      <c r="B2493">
        <v>5.653255854391483e-07</v>
      </c>
      <c r="D2493" t="inlineStr">
        <is>
          <t>kilogram</t>
        </is>
      </c>
      <c r="E2493" t="inlineStr">
        <is>
          <t>air::urban air close to ground</t>
        </is>
      </c>
      <c r="F2493" t="inlineStr">
        <is>
          <t>biosphere</t>
        </is>
      </c>
      <c r="H2493" t="inlineStr">
        <is>
          <t>N2O</t>
        </is>
      </c>
      <c r="I2493">
        <v>0</v>
      </c>
    </row>
    <row r="2494">
      <c r="A2494" t="inlineStr">
        <is>
          <t>Ammonia</t>
        </is>
      </c>
      <c r="B2494">
        <v>5.653255854391483e-07</v>
      </c>
      <c r="D2494" t="inlineStr">
        <is>
          <t>kilogram</t>
        </is>
      </c>
      <c r="E2494" t="inlineStr">
        <is>
          <t>air::urban air close to ground</t>
        </is>
      </c>
      <c r="F2494" t="inlineStr">
        <is>
          <t>biosphere</t>
        </is>
      </c>
      <c r="H2494" t="inlineStr">
        <is>
          <t>NH3</t>
        </is>
      </c>
      <c r="I2494">
        <v>0</v>
      </c>
    </row>
    <row r="2495">
      <c r="A2495" t="inlineStr">
        <is>
          <t>Nitrogen oxides</t>
        </is>
      </c>
      <c r="B2495">
        <v>6.162014101297245e-06</v>
      </c>
      <c r="D2495" t="inlineStr">
        <is>
          <t>kilogram</t>
        </is>
      </c>
      <c r="E2495" t="inlineStr">
        <is>
          <t>air::urban air close to ground</t>
        </is>
      </c>
      <c r="F2495" t="inlineStr">
        <is>
          <t>biosphere</t>
        </is>
      </c>
      <c r="H2495" t="inlineStr">
        <is>
          <t>NOx</t>
        </is>
      </c>
      <c r="I2495">
        <v>0</v>
      </c>
    </row>
    <row r="2496">
      <c r="A2496" t="inlineStr">
        <is>
          <t>Particulate Matter, &lt; 2.5 um</t>
        </is>
      </c>
      <c r="B2496">
        <v>1.4133139635978708e-06</v>
      </c>
      <c r="D2496" t="inlineStr">
        <is>
          <t>kilogram</t>
        </is>
      </c>
      <c r="E2496" t="inlineStr">
        <is>
          <t>air::urban air close to ground</t>
        </is>
      </c>
      <c r="F2496" t="inlineStr">
        <is>
          <t>biosphere</t>
        </is>
      </c>
      <c r="H2496" t="inlineStr">
        <is>
          <t>PM2.5</t>
        </is>
      </c>
      <c r="I2496">
        <v>0</v>
      </c>
    </row>
    <row r="2497">
      <c r="A2497" t="inlineStr">
        <is>
          <t>NMVOC, non-methane volatile organic compounds</t>
        </is>
      </c>
      <c r="B2497">
        <v>6.1476482081469075e-06</v>
      </c>
      <c r="D2497" t="inlineStr">
        <is>
          <t>kilogram</t>
        </is>
      </c>
      <c r="E2497" t="inlineStr">
        <is>
          <t>air::urban air close to ground</t>
        </is>
      </c>
      <c r="F2497" t="inlineStr">
        <is>
          <t>biosphere</t>
        </is>
      </c>
      <c r="H2497" t="inlineStr">
        <is>
          <t>NMVOC</t>
        </is>
      </c>
      <c r="I2497">
        <v>0</v>
      </c>
    </row>
    <row r="2498">
      <c r="A2498" t="inlineStr">
        <is>
          <t>Ethane</t>
        </is>
      </c>
      <c r="B2498">
        <v>4.3348801467702544e-07</v>
      </c>
      <c r="D2498" t="inlineStr">
        <is>
          <t>kilogram</t>
        </is>
      </c>
      <c r="E2498" t="inlineStr">
        <is>
          <t>air::urban air close to ground</t>
        </is>
      </c>
      <c r="F2498" t="inlineStr">
        <is>
          <t>biosphere</t>
        </is>
      </c>
      <c r="H2498" t="inlineStr">
        <is>
          <t>Ethane</t>
        </is>
      </c>
      <c r="I2498">
        <v>0</v>
      </c>
    </row>
    <row r="2499">
      <c r="A2499" t="inlineStr">
        <is>
          <t>Propane</t>
        </is>
      </c>
      <c r="B2499">
        <v>8.832827885268543e-08</v>
      </c>
      <c r="D2499" t="inlineStr">
        <is>
          <t>kilogram</t>
        </is>
      </c>
      <c r="E2499" t="inlineStr">
        <is>
          <t>air::urban air close to ground</t>
        </is>
      </c>
      <c r="F2499" t="inlineStr">
        <is>
          <t>biosphere</t>
        </is>
      </c>
      <c r="H2499" t="inlineStr">
        <is>
          <t>Propane</t>
        </is>
      </c>
      <c r="I2499">
        <v>0</v>
      </c>
    </row>
    <row r="2500">
      <c r="A2500" t="inlineStr">
        <is>
          <t>Butane</t>
        </is>
      </c>
      <c r="B2500">
        <v>7.120618172124179e-07</v>
      </c>
      <c r="D2500" t="inlineStr">
        <is>
          <t>kilogram</t>
        </is>
      </c>
      <c r="E2500" t="inlineStr">
        <is>
          <t>air::urban air close to ground</t>
        </is>
      </c>
      <c r="F2500" t="inlineStr">
        <is>
          <t>biosphere</t>
        </is>
      </c>
      <c r="H2500" t="inlineStr">
        <is>
          <t>Butane</t>
        </is>
      </c>
      <c r="I2500">
        <v>0</v>
      </c>
    </row>
    <row r="2501">
      <c r="A2501" t="inlineStr">
        <is>
          <t>Pentane</t>
        </is>
      </c>
      <c r="B2501">
        <v>2.9216276851272876e-07</v>
      </c>
      <c r="D2501" t="inlineStr">
        <is>
          <t>kilogram</t>
        </is>
      </c>
      <c r="E2501" t="inlineStr">
        <is>
          <t>air::urban air close to ground</t>
        </is>
      </c>
      <c r="F2501" t="inlineStr">
        <is>
          <t>biosphere</t>
        </is>
      </c>
      <c r="H2501" t="inlineStr">
        <is>
          <t>Pentane</t>
        </is>
      </c>
      <c r="I2501">
        <v>0</v>
      </c>
    </row>
    <row r="2502">
      <c r="A2502" t="inlineStr">
        <is>
          <t>Hexane</t>
        </is>
      </c>
      <c r="B2502">
        <v>2.1878235223511317e-07</v>
      </c>
      <c r="D2502" t="inlineStr">
        <is>
          <t>kilogram</t>
        </is>
      </c>
      <c r="E2502" t="inlineStr">
        <is>
          <t>air::urban air close to ground</t>
        </is>
      </c>
      <c r="F2502" t="inlineStr">
        <is>
          <t>biosphere</t>
        </is>
      </c>
      <c r="H2502" t="inlineStr">
        <is>
          <t>Hexane</t>
        </is>
      </c>
      <c r="I2502">
        <v>0</v>
      </c>
    </row>
    <row r="2503">
      <c r="A2503" t="inlineStr">
        <is>
          <t>Cyclohexane</t>
        </is>
      </c>
      <c r="B2503">
        <v>1.5491421214163292e-07</v>
      </c>
      <c r="D2503" t="inlineStr">
        <is>
          <t>kilogram</t>
        </is>
      </c>
      <c r="E2503" t="inlineStr">
        <is>
          <t>air::urban air close to ground</t>
        </is>
      </c>
      <c r="F2503" t="inlineStr">
        <is>
          <t>biosphere</t>
        </is>
      </c>
      <c r="H2503" t="inlineStr">
        <is>
          <t>Cyclohexane</t>
        </is>
      </c>
      <c r="I2503">
        <v>0</v>
      </c>
    </row>
    <row r="2504">
      <c r="A2504" t="inlineStr">
        <is>
          <t>Heptane</t>
        </is>
      </c>
      <c r="B2504">
        <v>1.0055834823228804e-07</v>
      </c>
      <c r="D2504" t="inlineStr">
        <is>
          <t>kilogram</t>
        </is>
      </c>
      <c r="E2504" t="inlineStr">
        <is>
          <t>air::urban air close to ground</t>
        </is>
      </c>
      <c r="F2504" t="inlineStr">
        <is>
          <t>biosphere</t>
        </is>
      </c>
      <c r="H2504" t="inlineStr">
        <is>
          <t>Heptane</t>
        </is>
      </c>
      <c r="I2504">
        <v>0</v>
      </c>
    </row>
    <row r="2505">
      <c r="A2505" t="inlineStr">
        <is>
          <t>Ethylene</t>
        </is>
      </c>
      <c r="B2505">
        <v>9.919945163455441e-07</v>
      </c>
      <c r="D2505" t="inlineStr">
        <is>
          <t>kilogram</t>
        </is>
      </c>
      <c r="E2505" t="inlineStr">
        <is>
          <t>air::urban air close to ground</t>
        </is>
      </c>
      <c r="F2505" t="inlineStr">
        <is>
          <t>biosphere</t>
        </is>
      </c>
      <c r="H2505" t="inlineStr">
        <is>
          <t>Ethene</t>
        </is>
      </c>
      <c r="I2505">
        <v>0</v>
      </c>
    </row>
    <row r="2506">
      <c r="A2506" t="inlineStr">
        <is>
          <t>Propylene</t>
        </is>
      </c>
      <c r="B2506">
        <v>5.190985003342436e-07</v>
      </c>
      <c r="D2506" t="inlineStr">
        <is>
          <t>kilogram</t>
        </is>
      </c>
      <c r="E2506" t="inlineStr">
        <is>
          <t>air::urban air close to ground</t>
        </is>
      </c>
      <c r="F2506" t="inlineStr">
        <is>
          <t>biosphere</t>
        </is>
      </c>
      <c r="H2506" t="inlineStr">
        <is>
          <t>Propene</t>
        </is>
      </c>
      <c r="I2506">
        <v>0</v>
      </c>
    </row>
    <row r="2507">
      <c r="A2507" t="inlineStr">
        <is>
          <t>1-Pentene</t>
        </is>
      </c>
      <c r="B2507">
        <v>1.4947862575069847e-08</v>
      </c>
      <c r="D2507" t="inlineStr">
        <is>
          <t>kilogram</t>
        </is>
      </c>
      <c r="E2507" t="inlineStr">
        <is>
          <t>air::urban air close to ground</t>
        </is>
      </c>
      <c r="F2507" t="inlineStr">
        <is>
          <t>biosphere</t>
        </is>
      </c>
      <c r="H2507" t="inlineStr">
        <is>
          <t>1-Pentene</t>
        </is>
      </c>
      <c r="I2507">
        <v>0</v>
      </c>
    </row>
    <row r="2508">
      <c r="A2508" t="inlineStr">
        <is>
          <t>Toluene</t>
        </is>
      </c>
      <c r="B2508">
        <v>1.4920684643115172e-06</v>
      </c>
      <c r="D2508" t="inlineStr">
        <is>
          <t>kilogram</t>
        </is>
      </c>
      <c r="E2508" t="inlineStr">
        <is>
          <t>air::urban air close to ground</t>
        </is>
      </c>
      <c r="F2508" t="inlineStr">
        <is>
          <t>biosphere</t>
        </is>
      </c>
      <c r="H2508" t="inlineStr">
        <is>
          <t>Toluene</t>
        </is>
      </c>
      <c r="I2508">
        <v>0</v>
      </c>
    </row>
    <row r="2509">
      <c r="A2509" t="inlineStr">
        <is>
          <t>m-Xylene</t>
        </is>
      </c>
      <c r="B2509">
        <v>7.37880852569357e-07</v>
      </c>
      <c r="D2509" t="inlineStr">
        <is>
          <t>kilogram</t>
        </is>
      </c>
      <c r="E2509" t="inlineStr">
        <is>
          <t>air::urban air close to ground</t>
        </is>
      </c>
      <c r="F2509" t="inlineStr">
        <is>
          <t>biosphere</t>
        </is>
      </c>
      <c r="H2509" t="inlineStr">
        <is>
          <t>m-Xylene</t>
        </is>
      </c>
      <c r="I2509">
        <v>0</v>
      </c>
    </row>
    <row r="2510">
      <c r="A2510" t="inlineStr">
        <is>
          <t>o-Xylene</t>
        </is>
      </c>
      <c r="B2510">
        <v>3.071106310877986e-07</v>
      </c>
      <c r="D2510" t="inlineStr">
        <is>
          <t>kilogram</t>
        </is>
      </c>
      <c r="E2510" t="inlineStr">
        <is>
          <t>air::urban air close to ground</t>
        </is>
      </c>
      <c r="F2510" t="inlineStr">
        <is>
          <t>biosphere</t>
        </is>
      </c>
      <c r="H2510" t="inlineStr">
        <is>
          <t>o-Xylene</t>
        </is>
      </c>
      <c r="I2510">
        <v>0</v>
      </c>
    </row>
    <row r="2511">
      <c r="A2511" t="inlineStr">
        <is>
          <t>Formaldehyde</t>
        </is>
      </c>
      <c r="B2511">
        <v>2.310124216147158e-07</v>
      </c>
      <c r="D2511" t="inlineStr">
        <is>
          <t>kilogram</t>
        </is>
      </c>
      <c r="E2511" t="inlineStr">
        <is>
          <t>air::urban air close to ground</t>
        </is>
      </c>
      <c r="F2511" t="inlineStr">
        <is>
          <t>biosphere</t>
        </is>
      </c>
      <c r="H2511" t="inlineStr">
        <is>
          <t>Formaldehyde</t>
        </is>
      </c>
      <c r="I2511">
        <v>0</v>
      </c>
    </row>
    <row r="2512">
      <c r="A2512" t="inlineStr">
        <is>
          <t>Acetaldehyde</t>
        </is>
      </c>
      <c r="B2512">
        <v>1.0191724483002165e-07</v>
      </c>
      <c r="D2512" t="inlineStr">
        <is>
          <t>kilogram</t>
        </is>
      </c>
      <c r="E2512" t="inlineStr">
        <is>
          <t>air::urban air close to ground</t>
        </is>
      </c>
      <c r="F2512" t="inlineStr">
        <is>
          <t>biosphere</t>
        </is>
      </c>
      <c r="H2512" t="inlineStr">
        <is>
          <t>Acetaldehyde</t>
        </is>
      </c>
      <c r="I2512">
        <v>0</v>
      </c>
    </row>
    <row r="2513">
      <c r="A2513" t="inlineStr">
        <is>
          <t>Benzaldehyde</t>
        </is>
      </c>
      <c r="B2513">
        <v>2.9895725150139694e-08</v>
      </c>
      <c r="D2513" t="inlineStr">
        <is>
          <t>kilogram</t>
        </is>
      </c>
      <c r="E2513" t="inlineStr">
        <is>
          <t>air::urban air close to ground</t>
        </is>
      </c>
      <c r="F2513" t="inlineStr">
        <is>
          <t>biosphere</t>
        </is>
      </c>
      <c r="H2513" t="inlineStr">
        <is>
          <t>Benzaldehyde</t>
        </is>
      </c>
      <c r="I2513">
        <v>0</v>
      </c>
    </row>
    <row r="2514">
      <c r="A2514" t="inlineStr">
        <is>
          <t>Acetone</t>
        </is>
      </c>
      <c r="B2514">
        <v>8.289269246175097e-08</v>
      </c>
      <c r="D2514" t="inlineStr">
        <is>
          <t>kilogram</t>
        </is>
      </c>
      <c r="E2514" t="inlineStr">
        <is>
          <t>air::urban air close to ground</t>
        </is>
      </c>
      <c r="F2514" t="inlineStr">
        <is>
          <t>biosphere</t>
        </is>
      </c>
      <c r="H2514" t="inlineStr">
        <is>
          <t>Acetone</t>
        </is>
      </c>
      <c r="I2514">
        <v>0</v>
      </c>
    </row>
    <row r="2515">
      <c r="A2515" t="inlineStr">
        <is>
          <t>Methyl ethyl ketone</t>
        </is>
      </c>
      <c r="B2515">
        <v>0.0</v>
      </c>
      <c r="D2515" t="inlineStr">
        <is>
          <t>kilogram</t>
        </is>
      </c>
      <c r="E2515" t="inlineStr">
        <is>
          <t>air::urban air close to ground</t>
        </is>
      </c>
      <c r="F2515" t="inlineStr">
        <is>
          <t>biosphere</t>
        </is>
      </c>
      <c r="H2515" t="inlineStr">
        <is>
          <t>Methyl ethyl ketone</t>
        </is>
      </c>
      <c r="I2515">
        <v>0</v>
      </c>
    </row>
    <row r="2516">
      <c r="A2516" t="inlineStr">
        <is>
          <t>Acrolein</t>
        </is>
      </c>
      <c r="B2516">
        <v>2.581903535693882e-08</v>
      </c>
      <c r="D2516" t="inlineStr">
        <is>
          <t>kilogram</t>
        </is>
      </c>
      <c r="E2516" t="inlineStr">
        <is>
          <t>air::urban air close to ground</t>
        </is>
      </c>
      <c r="F2516" t="inlineStr">
        <is>
          <t>biosphere</t>
        </is>
      </c>
      <c r="H2516" t="inlineStr">
        <is>
          <t>Acrolein</t>
        </is>
      </c>
      <c r="I2516">
        <v>0</v>
      </c>
    </row>
    <row r="2517">
      <c r="A2517" t="inlineStr">
        <is>
          <t>Styrene</t>
        </is>
      </c>
      <c r="B2517">
        <v>1.3724855637109585e-07</v>
      </c>
      <c r="D2517" t="inlineStr">
        <is>
          <t>kilogram</t>
        </is>
      </c>
      <c r="E2517" t="inlineStr">
        <is>
          <t>air::urban air close to ground</t>
        </is>
      </c>
      <c r="F2517" t="inlineStr">
        <is>
          <t>biosphere</t>
        </is>
      </c>
      <c r="H2517" t="inlineStr">
        <is>
          <t>Styrene</t>
        </is>
      </c>
      <c r="I2517">
        <v>0</v>
      </c>
    </row>
    <row r="2518">
      <c r="A2518" t="inlineStr">
        <is>
          <t>PAH, polycyclic aromatic hydrocarbons</t>
        </is>
      </c>
      <c r="B2518">
        <v>8.188235294117648e-10</v>
      </c>
      <c r="D2518" t="inlineStr">
        <is>
          <t>kilogram</t>
        </is>
      </c>
      <c r="E2518" t="inlineStr">
        <is>
          <t>air::urban air close to ground</t>
        </is>
      </c>
      <c r="F2518" t="inlineStr">
        <is>
          <t>biosphere</t>
        </is>
      </c>
      <c r="H2518" t="inlineStr">
        <is>
          <t>PAHs</t>
        </is>
      </c>
      <c r="I2518">
        <v>0</v>
      </c>
    </row>
    <row r="2519">
      <c r="A2519" t="inlineStr">
        <is>
          <t>Arsenic ion</t>
        </is>
      </c>
      <c r="B2519">
        <v>7.058823529411766e-12</v>
      </c>
      <c r="D2519" t="inlineStr">
        <is>
          <t>kilogram</t>
        </is>
      </c>
      <c r="E2519" t="inlineStr">
        <is>
          <t>air::urban air close to ground</t>
        </is>
      </c>
      <c r="F2519" t="inlineStr">
        <is>
          <t>biosphere</t>
        </is>
      </c>
      <c r="H2519" t="inlineStr">
        <is>
          <t>Arsenic</t>
        </is>
      </c>
      <c r="I2519">
        <v>0</v>
      </c>
    </row>
    <row r="2520">
      <c r="A2520" t="inlineStr">
        <is>
          <t>Selenium IV</t>
        </is>
      </c>
      <c r="B2520">
        <v>4.705882352941177e-12</v>
      </c>
      <c r="D2520" t="inlineStr">
        <is>
          <t>kilogram</t>
        </is>
      </c>
      <c r="E2520" t="inlineStr">
        <is>
          <t>air::urban air close to ground</t>
        </is>
      </c>
      <c r="F2520" t="inlineStr">
        <is>
          <t>biosphere</t>
        </is>
      </c>
      <c r="H2520" t="inlineStr">
        <is>
          <t>Selenium</t>
        </is>
      </c>
      <c r="I2520">
        <v>0</v>
      </c>
    </row>
    <row r="2521">
      <c r="A2521" t="inlineStr">
        <is>
          <t>Zinc II</t>
        </is>
      </c>
      <c r="B2521">
        <v>5.082352941176471e-08</v>
      </c>
      <c r="D2521" t="inlineStr">
        <is>
          <t>kilogram</t>
        </is>
      </c>
      <c r="E2521" t="inlineStr">
        <is>
          <t>air::urban air close to ground</t>
        </is>
      </c>
      <c r="F2521" t="inlineStr">
        <is>
          <t>biosphere</t>
        </is>
      </c>
      <c r="H2521" t="inlineStr">
        <is>
          <t>Zinc</t>
        </is>
      </c>
      <c r="I2521">
        <v>0</v>
      </c>
    </row>
    <row r="2522">
      <c r="A2522" t="inlineStr">
        <is>
          <t>Copper ion</t>
        </is>
      </c>
      <c r="B2522">
        <v>9.88235294117647e-10</v>
      </c>
      <c r="D2522" t="inlineStr">
        <is>
          <t>kilogram</t>
        </is>
      </c>
      <c r="E2522" t="inlineStr">
        <is>
          <t>air::urban air close to ground</t>
        </is>
      </c>
      <c r="F2522" t="inlineStr">
        <is>
          <t>biosphere</t>
        </is>
      </c>
      <c r="H2522" t="inlineStr">
        <is>
          <t>Copper</t>
        </is>
      </c>
      <c r="I2522">
        <v>0</v>
      </c>
    </row>
    <row r="2523">
      <c r="A2523" t="inlineStr">
        <is>
          <t>Nickel II</t>
        </is>
      </c>
      <c r="B2523">
        <v>3.058823529411765e-10</v>
      </c>
      <c r="D2523" t="inlineStr">
        <is>
          <t>kilogram</t>
        </is>
      </c>
      <c r="E2523" t="inlineStr">
        <is>
          <t>air::urban air close to ground</t>
        </is>
      </c>
      <c r="F2523" t="inlineStr">
        <is>
          <t>biosphere</t>
        </is>
      </c>
      <c r="H2523" t="inlineStr">
        <is>
          <t>Nickel</t>
        </is>
      </c>
      <c r="I2523">
        <v>0</v>
      </c>
    </row>
    <row r="2524">
      <c r="A2524" t="inlineStr">
        <is>
          <t>Chromium III</t>
        </is>
      </c>
      <c r="B2524">
        <v>3.7647058823529416e-10</v>
      </c>
      <c r="D2524" t="inlineStr">
        <is>
          <t>kilogram</t>
        </is>
      </c>
      <c r="E2524" t="inlineStr">
        <is>
          <t>air::urban air close to ground</t>
        </is>
      </c>
      <c r="F2524" t="inlineStr">
        <is>
          <t>biosphere</t>
        </is>
      </c>
      <c r="H2524" t="inlineStr">
        <is>
          <t>Chromium</t>
        </is>
      </c>
      <c r="I2524">
        <v>0</v>
      </c>
    </row>
    <row r="2525">
      <c r="A2525" t="inlineStr">
        <is>
          <t>Chromium VI</t>
        </is>
      </c>
      <c r="B2525">
        <v>7.529411764705882e-13</v>
      </c>
      <c r="D2525" t="inlineStr">
        <is>
          <t>kilogram</t>
        </is>
      </c>
      <c r="E2525" t="inlineStr">
        <is>
          <t>air::urban air close to ground</t>
        </is>
      </c>
      <c r="F2525" t="inlineStr">
        <is>
          <t>biosphere</t>
        </is>
      </c>
      <c r="H2525" t="inlineStr">
        <is>
          <t>Chromium VI</t>
        </is>
      </c>
      <c r="I2525">
        <v>0</v>
      </c>
    </row>
    <row r="2526">
      <c r="A2526" t="inlineStr">
        <is>
          <t>Mercury II</t>
        </is>
      </c>
      <c r="B2526">
        <v>2.047058823529412e-10</v>
      </c>
      <c r="D2526" t="inlineStr">
        <is>
          <t>kilogram</t>
        </is>
      </c>
      <c r="E2526" t="inlineStr">
        <is>
          <t>air::urban air close to ground</t>
        </is>
      </c>
      <c r="F2526" t="inlineStr">
        <is>
          <t>biosphere</t>
        </is>
      </c>
      <c r="H2526" t="inlineStr">
        <is>
          <t>Mercury</t>
        </is>
      </c>
      <c r="I2526">
        <v>0</v>
      </c>
    </row>
    <row r="2527">
      <c r="A2527" t="inlineStr">
        <is>
          <t>Cadmium II</t>
        </is>
      </c>
      <c r="B2527">
        <v>2.541176470588236e-10</v>
      </c>
      <c r="D2527" t="inlineStr">
        <is>
          <t>kilogram</t>
        </is>
      </c>
      <c r="E2527" t="inlineStr">
        <is>
          <t>air::urban air close to ground</t>
        </is>
      </c>
      <c r="F2527" t="inlineStr">
        <is>
          <t>biosphere</t>
        </is>
      </c>
      <c r="H2527" t="inlineStr">
        <is>
          <t>Cadmium</t>
        </is>
      </c>
      <c r="I2527">
        <v>0</v>
      </c>
    </row>
    <row r="2528">
      <c r="A2528" t="inlineStr">
        <is>
          <t>treatment of road wear emissions, passenger car</t>
        </is>
      </c>
      <c r="B2528">
        <v>-5.857039126012582e-06</v>
      </c>
      <c r="C2528" t="inlineStr">
        <is>
          <t>RER</t>
        </is>
      </c>
      <c r="D2528" t="inlineStr">
        <is>
          <t>kilogram</t>
        </is>
      </c>
      <c r="F2528" t="inlineStr">
        <is>
          <t>technosphere</t>
        </is>
      </c>
      <c r="G2528" t="inlineStr">
        <is>
          <t>road wear emissions, passenger car</t>
        </is>
      </c>
      <c r="H2528" t="inlineStr">
        <is>
          <t>Road wear [kg/km]</t>
        </is>
      </c>
      <c r="I2528">
        <v>0</v>
      </c>
    </row>
    <row r="2529">
      <c r="A2529" t="inlineStr">
        <is>
          <t>treatment of tyre wear emissions, passenger car</t>
        </is>
      </c>
      <c r="B2529">
        <v>-3.886222117725553e-06</v>
      </c>
      <c r="C2529" t="inlineStr">
        <is>
          <t>RER</t>
        </is>
      </c>
      <c r="D2529" t="inlineStr">
        <is>
          <t>kilogram</t>
        </is>
      </c>
      <c r="F2529" t="inlineStr">
        <is>
          <t>technosphere</t>
        </is>
      </c>
      <c r="G2529" t="inlineStr">
        <is>
          <t>tyre wear emissions, passenger car</t>
        </is>
      </c>
      <c r="H2529" t="inlineStr">
        <is>
          <t>Tire wear [kg/km]</t>
        </is>
      </c>
      <c r="I2529">
        <v>0</v>
      </c>
    </row>
    <row r="2530">
      <c r="A2530" t="inlineStr">
        <is>
          <t>treatment of brake wear emissions, passenger car</t>
        </is>
      </c>
      <c r="B2530">
        <v>-2.1569214522274334e-06</v>
      </c>
      <c r="C2530" t="inlineStr">
        <is>
          <t>RER</t>
        </is>
      </c>
      <c r="D2530" t="inlineStr">
        <is>
          <t>kilogram</t>
        </is>
      </c>
      <c r="F2530" t="inlineStr">
        <is>
          <t>technosphere</t>
        </is>
      </c>
      <c r="G2530" t="inlineStr">
        <is>
          <t>brake wear emissions, passenger car</t>
        </is>
      </c>
      <c r="H2530" t="inlineStr">
        <is>
          <t>Brake wear [kg/km]</t>
        </is>
      </c>
      <c r="I2530">
        <v>0</v>
      </c>
    </row>
    <row r="2531">
      <c r="A2531" t="inlineStr">
        <is>
          <t>Carbon dioxide, non-fossil</t>
        </is>
      </c>
      <c r="B2531">
        <v>0.07282074606450883</v>
      </c>
      <c r="D2531" t="inlineStr">
        <is>
          <t>kilogram</t>
        </is>
      </c>
      <c r="E2531" t="inlineStr">
        <is>
          <t>air::urban air close to ground</t>
        </is>
      </c>
      <c r="F2531" t="inlineStr">
        <is>
          <t>biosphere</t>
        </is>
      </c>
      <c r="H2531" t="inlineStr">
        <is>
          <t>3.15 kgCO2/kg synthetic gasoline combusted.</t>
        </is>
      </c>
      <c r="I2531">
        <v>0</v>
      </c>
    </row>
    <row r="2532">
      <c r="A2532" t="inlineStr">
        <is>
          <t>Carbon dioxide, from soil or biomass stock</t>
        </is>
      </c>
      <c r="B2532">
        <v>0.0008792539354911677</v>
      </c>
      <c r="D2532" t="inlineStr">
        <is>
          <t>kilogram</t>
        </is>
      </c>
      <c r="E2532" t="inlineStr">
        <is>
          <t>air::urban air close to ground</t>
        </is>
      </c>
      <c r="F2532" t="inlineStr">
        <is>
          <t>biosphere</t>
        </is>
      </c>
      <c r="I2532">
        <v>0</v>
      </c>
    </row>
    <row r="2533"/>
    <row r="2534">
      <c r="A2534" t="inlineStr">
        <is>
          <t>Activity</t>
        </is>
      </c>
      <c r="B2534" t="inlineStr">
        <is>
          <t>diesel, burned in heavy-duty vehicle</t>
        </is>
      </c>
    </row>
    <row r="2535">
      <c r="A2535" t="inlineStr">
        <is>
          <t>location</t>
        </is>
      </c>
      <c r="B2535" t="inlineStr">
        <is>
          <t>RER</t>
        </is>
      </c>
    </row>
    <row r="2536">
      <c r="A2536" t="inlineStr">
        <is>
          <t>production amount</t>
        </is>
      </c>
      <c r="B2536">
        <v>1</v>
      </c>
    </row>
    <row r="2537">
      <c r="A2537" t="inlineStr">
        <is>
          <t>reference product</t>
        </is>
      </c>
      <c r="B2537" t="inlineStr">
        <is>
          <t>heat</t>
        </is>
      </c>
    </row>
    <row r="2538">
      <c r="A2538" t="inlineStr">
        <is>
          <t>type</t>
        </is>
      </c>
      <c r="B2538" t="inlineStr">
        <is>
          <t>process</t>
        </is>
      </c>
    </row>
    <row r="2539">
      <c r="A2539" t="inlineStr">
        <is>
          <t>unit</t>
        </is>
      </c>
      <c r="B2539" t="inlineStr">
        <is>
          <t>megajoule</t>
        </is>
      </c>
    </row>
    <row r="2540">
      <c r="A2540" t="inlineStr">
        <is>
          <t>source</t>
        </is>
      </c>
      <c r="B2540" t="inlineStr">
        <is>
          <t>Sacchi, R., Bauer, C., and Cox, B. Does size matter? The influence of size, load factor, range autonomy and application type on the Life Cycle Assessment of current and future trucks. 2021. Environmental Science and Technology.</t>
        </is>
      </c>
    </row>
    <row r="2541">
      <c r="A2541" t="inlineStr">
        <is>
          <t>description</t>
        </is>
      </c>
      <c r="B2541"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542">
      <c r="A2542" t="inlineStr">
        <is>
          <t>comment</t>
        </is>
      </c>
      <c r="B2542"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543">
      <c r="A2543" t="inlineStr">
        <is>
          <t>Power, mean</t>
        </is>
      </c>
      <c r="B2543">
        <v>300</v>
      </c>
    </row>
    <row r="2544">
      <c r="A2544" t="inlineStr">
        <is>
          <t>Power, min</t>
        </is>
      </c>
      <c r="B2544">
        <v>135</v>
      </c>
    </row>
    <row r="2545">
      <c r="A2545" t="inlineStr">
        <is>
          <t>Power, max</t>
        </is>
      </c>
      <c r="B2545">
        <v>480</v>
      </c>
    </row>
    <row r="2546">
      <c r="A2546" t="inlineStr">
        <is>
          <t>Lifetime, mean</t>
        </is>
      </c>
      <c r="B2546">
        <v>1000000</v>
      </c>
    </row>
    <row r="2547">
      <c r="A2547" t="inlineStr">
        <is>
          <t>Lifetime, min</t>
        </is>
      </c>
      <c r="B2547">
        <v>500000</v>
      </c>
    </row>
    <row r="2548">
      <c r="A2548" t="inlineStr">
        <is>
          <t>Lifetime, max</t>
        </is>
      </c>
      <c r="B2548">
        <v>1200000</v>
      </c>
    </row>
    <row r="2549">
      <c r="A2549" t="inlineStr">
        <is>
          <t>Energy use, mean</t>
        </is>
      </c>
      <c r="B2549">
        <v>7500</v>
      </c>
    </row>
    <row r="2550">
      <c r="A2550" t="inlineStr">
        <is>
          <t>Energy use, min</t>
        </is>
      </c>
      <c r="B2550">
        <v>3570</v>
      </c>
    </row>
    <row r="2551">
      <c r="A2551" t="inlineStr">
        <is>
          <t>Energy use, max</t>
        </is>
      </c>
      <c r="B2551">
        <v>10165</v>
      </c>
    </row>
    <row r="2552">
      <c r="A2552" t="inlineStr">
        <is>
          <t>Electric motor, mean</t>
        </is>
      </c>
      <c r="B2552">
        <v>0</v>
      </c>
    </row>
    <row r="2553">
      <c r="A2553" t="inlineStr">
        <is>
          <t>Electric motor, min</t>
        </is>
      </c>
      <c r="B2553">
        <v>0</v>
      </c>
    </row>
    <row r="2554">
      <c r="A2554" t="inlineStr">
        <is>
          <t>Electric motor, max</t>
        </is>
      </c>
      <c r="B2554">
        <v>0</v>
      </c>
    </row>
    <row r="2555">
      <c r="A2555" t="inlineStr">
        <is>
          <t>Combustion engine, mean</t>
        </is>
      </c>
      <c r="B2555">
        <v>880</v>
      </c>
    </row>
    <row r="2556">
      <c r="A2556" t="inlineStr">
        <is>
          <t>Combustion engine, min</t>
        </is>
      </c>
      <c r="B2556">
        <v>470</v>
      </c>
    </row>
    <row r="2557">
      <c r="A2557" t="inlineStr">
        <is>
          <t>Combustion engine, max</t>
        </is>
      </c>
      <c r="B2557">
        <v>1000</v>
      </c>
    </row>
    <row r="2558">
      <c r="A2558" t="inlineStr">
        <is>
          <t>Fuel tank, mean</t>
        </is>
      </c>
      <c r="B2558">
        <v>44</v>
      </c>
    </row>
    <row r="2559">
      <c r="A2559" t="inlineStr">
        <is>
          <t>Fuel tank, min</t>
        </is>
      </c>
      <c r="B2559">
        <v>33</v>
      </c>
    </row>
    <row r="2560">
      <c r="A2560" t="inlineStr">
        <is>
          <t>Fuel tank, max</t>
        </is>
      </c>
      <c r="B2560">
        <v>51</v>
      </c>
    </row>
    <row r="2561">
      <c r="A2561" t="inlineStr">
        <is>
          <t>Battery capacity, mean</t>
        </is>
      </c>
      <c r="B2561">
        <v>0</v>
      </c>
    </row>
    <row r="2562">
      <c r="A2562" t="inlineStr">
        <is>
          <t>Battery capacity, min</t>
        </is>
      </c>
      <c r="B2562">
        <v>0</v>
      </c>
    </row>
    <row r="2563">
      <c r="A2563" t="inlineStr">
        <is>
          <t>Battery capacity, max</t>
        </is>
      </c>
      <c r="B2563">
        <v>0</v>
      </c>
    </row>
    <row r="2564">
      <c r="A2564" t="inlineStr">
        <is>
          <t>Battery replacement, mean</t>
        </is>
      </c>
      <c r="B2564">
        <v>0</v>
      </c>
    </row>
    <row r="2565">
      <c r="A2565" t="inlineStr">
        <is>
          <t>Battery replacement, min</t>
        </is>
      </c>
      <c r="B2565">
        <v>0</v>
      </c>
    </row>
    <row r="2566">
      <c r="A2566" t="inlineStr">
        <is>
          <t>Battery replacement, max</t>
        </is>
      </c>
      <c r="B2566">
        <v>0</v>
      </c>
    </row>
    <row r="2567">
      <c r="A2567" t="inlineStr">
        <is>
          <t>Fuel cell system, mean</t>
        </is>
      </c>
      <c r="B2567">
        <v>0</v>
      </c>
    </row>
    <row r="2568">
      <c r="A2568" t="inlineStr">
        <is>
          <t>Fuel cell system, min</t>
        </is>
      </c>
      <c r="B2568">
        <v>0</v>
      </c>
    </row>
    <row r="2569">
      <c r="A2569" t="inlineStr">
        <is>
          <t>Fuel cell system, max</t>
        </is>
      </c>
      <c r="B2569">
        <v>0</v>
      </c>
    </row>
    <row r="2570">
      <c r="A2570" t="inlineStr">
        <is>
          <t>Fuel cell stack replacement, mean</t>
        </is>
      </c>
      <c r="B2570">
        <v>0</v>
      </c>
    </row>
    <row r="2571">
      <c r="A2571" t="inlineStr">
        <is>
          <t>Fuel cell replacement, min</t>
        </is>
      </c>
      <c r="B2571">
        <v>0</v>
      </c>
    </row>
    <row r="2572">
      <c r="A2572" t="inlineStr">
        <is>
          <t>Fuel cell replacement, max</t>
        </is>
      </c>
      <c r="B2572">
        <v>0</v>
      </c>
    </row>
    <row r="2573">
      <c r="A2573" t="inlineStr">
        <is>
          <t>Onboard charger mass</t>
        </is>
      </c>
      <c r="B2573">
        <v>0</v>
      </c>
    </row>
    <row r="2574">
      <c r="A2574" t="inlineStr">
        <is>
          <t>Controller mass</t>
        </is>
      </c>
      <c r="B2574">
        <v>0</v>
      </c>
    </row>
    <row r="2575">
      <c r="A2575" t="inlineStr">
        <is>
          <t>Converter mass</t>
        </is>
      </c>
      <c r="B2575">
        <v>0</v>
      </c>
    </row>
    <row r="2576">
      <c r="A2576" t="inlineStr">
        <is>
          <t>Electrical powertrain mass</t>
        </is>
      </c>
      <c r="B2576">
        <v>0</v>
      </c>
    </row>
    <row r="2577">
      <c r="A2577" t="inlineStr">
        <is>
          <t>Inverter mass</t>
        </is>
      </c>
      <c r="B2577">
        <v>0</v>
      </c>
    </row>
    <row r="2578">
      <c r="A2578" t="inlineStr">
        <is>
          <t>NOx</t>
        </is>
      </c>
      <c r="B2578">
        <v>0.158234892</v>
      </c>
    </row>
    <row r="2579">
      <c r="A2579" t="inlineStr">
        <is>
          <t>PM 2.5</t>
        </is>
      </c>
      <c r="B2579">
        <v>0.000655881</v>
      </c>
    </row>
    <row r="2580">
      <c r="A2580" t="inlineStr">
        <is>
          <t>energy use source</t>
        </is>
      </c>
      <c r="B2580"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581">
      <c r="A2581" t="inlineStr">
        <is>
          <t>Exchanges</t>
        </is>
      </c>
    </row>
    <row r="2582">
      <c r="A2582" t="inlineStr">
        <is>
          <t>name</t>
        </is>
      </c>
      <c r="B2582" t="inlineStr">
        <is>
          <t>amount</t>
        </is>
      </c>
      <c r="C2582" t="inlineStr">
        <is>
          <t>location</t>
        </is>
      </c>
      <c r="D2582" t="inlineStr">
        <is>
          <t>unit</t>
        </is>
      </c>
      <c r="E2582" t="inlineStr">
        <is>
          <t>categories</t>
        </is>
      </c>
      <c r="F2582" t="inlineStr">
        <is>
          <t>type</t>
        </is>
      </c>
      <c r="G2582" t="inlineStr">
        <is>
          <t>reference product</t>
        </is>
      </c>
      <c r="H2582" t="inlineStr">
        <is>
          <t>comment</t>
        </is>
      </c>
      <c r="I2582" t="inlineStr">
        <is>
          <t>uncertainty type</t>
        </is>
      </c>
    </row>
    <row r="2583">
      <c r="A2583" t="inlineStr">
        <is>
          <t>diesel, burned in heavy-duty vehicle</t>
        </is>
      </c>
      <c r="B2583">
        <v>1.0</v>
      </c>
      <c r="C2583" t="inlineStr">
        <is>
          <t>RER</t>
        </is>
      </c>
      <c r="D2583" t="inlineStr">
        <is>
          <t>megajoule</t>
        </is>
      </c>
      <c r="E2583" t="inlineStr">
        <is>
          <t/>
        </is>
      </c>
      <c r="F2583" t="inlineStr">
        <is>
          <t>production</t>
        </is>
      </c>
      <c r="G2583" t="inlineStr">
        <is>
          <t>heat</t>
        </is>
      </c>
      <c r="I2583">
        <v>0</v>
      </c>
    </row>
    <row r="2584">
      <c r="A2584" t="inlineStr">
        <is>
          <t>market for diesel, low-sulfur</t>
        </is>
      </c>
      <c r="B2584">
        <v>0.023255813953488372</v>
      </c>
      <c r="C2584" t="inlineStr">
        <is>
          <t>Europe without Switzerland</t>
        </is>
      </c>
      <c r="D2584" t="inlineStr">
        <is>
          <t>kilogram</t>
        </is>
      </c>
      <c r="F2584" t="inlineStr">
        <is>
          <t>technosphere</t>
        </is>
      </c>
      <c r="G2584" t="inlineStr">
        <is>
          <t>diesel, low-sulfur</t>
        </is>
      </c>
      <c r="H2584" t="inlineStr">
        <is>
          <t>Model fuel energy retained: 1.21344858584 MJ/tkm; reference LHV 43.0 MJ/kg. Premise determines regional blends.</t>
        </is>
      </c>
      <c r="I2584">
        <v>0</v>
      </c>
    </row>
    <row r="2585">
      <c r="A2585" t="inlineStr">
        <is>
          <t>market for tetrafluoroethane, R134a</t>
        </is>
      </c>
      <c r="B2585">
        <v>2.2988634886667227e-07</v>
      </c>
      <c r="C2585" t="inlineStr">
        <is>
          <t>GLO</t>
        </is>
      </c>
      <c r="D2585" t="inlineStr">
        <is>
          <t>kilogram</t>
        </is>
      </c>
      <c r="F2585" t="inlineStr">
        <is>
          <t>technosphere</t>
        </is>
      </c>
      <c r="G2585" t="inlineStr">
        <is>
          <t>tetrafluoroethane, R134a</t>
        </is>
      </c>
      <c r="I2585">
        <v>0</v>
      </c>
    </row>
    <row r="2586">
      <c r="A2586" t="inlineStr">
        <is>
          <t>treatment of brake wear emissions, lorry</t>
        </is>
      </c>
      <c r="B2586">
        <v>-8.332264901167272e-06</v>
      </c>
      <c r="C2586" t="inlineStr">
        <is>
          <t>RER</t>
        </is>
      </c>
      <c r="D2586" t="inlineStr">
        <is>
          <t>kilogram</t>
        </is>
      </c>
      <c r="F2586" t="inlineStr">
        <is>
          <t>technosphere</t>
        </is>
      </c>
      <c r="G2586" t="inlineStr">
        <is>
          <t>brake wear emissions, lorry</t>
        </is>
      </c>
      <c r="I2586">
        <v>0</v>
      </c>
    </row>
    <row r="2587">
      <c r="A2587" t="inlineStr">
        <is>
          <t>treatment of road wear emissions, lorry</t>
        </is>
      </c>
      <c r="B2587">
        <v>-1.0511814175882647e-05</v>
      </c>
      <c r="C2587" t="inlineStr">
        <is>
          <t>RER</t>
        </is>
      </c>
      <c r="D2587" t="inlineStr">
        <is>
          <t>kilogram</t>
        </is>
      </c>
      <c r="F2587" t="inlineStr">
        <is>
          <t>technosphere</t>
        </is>
      </c>
      <c r="G2587" t="inlineStr">
        <is>
          <t>road wear emissions, lorry</t>
        </is>
      </c>
      <c r="I2587">
        <v>0</v>
      </c>
    </row>
    <row r="2588">
      <c r="A2588" t="inlineStr">
        <is>
          <t>treatment of tyre wear emissions, lorry</t>
        </is>
      </c>
      <c r="B2588">
        <v>-8.54276405830878e-06</v>
      </c>
      <c r="C2588" t="inlineStr">
        <is>
          <t>RER</t>
        </is>
      </c>
      <c r="D2588" t="inlineStr">
        <is>
          <t>kilogram</t>
        </is>
      </c>
      <c r="F2588" t="inlineStr">
        <is>
          <t>technosphere</t>
        </is>
      </c>
      <c r="G2588" t="inlineStr">
        <is>
          <t>tyre wear emissions, lorry</t>
        </is>
      </c>
      <c r="I2588">
        <v>0</v>
      </c>
    </row>
    <row r="2589">
      <c r="A2589" t="inlineStr">
        <is>
          <t>Toluene</t>
        </is>
      </c>
      <c r="B2589">
        <v>9.72817404061121e-11</v>
      </c>
      <c r="D2589" t="inlineStr">
        <is>
          <t>kilogram</t>
        </is>
      </c>
      <c r="E2589" t="inlineStr">
        <is>
          <t>air::non-urban air or from high stacks</t>
        </is>
      </c>
      <c r="F2589" t="inlineStr">
        <is>
          <t>biosphere</t>
        </is>
      </c>
      <c r="I2589">
        <v>0</v>
      </c>
    </row>
    <row r="2590">
      <c r="A2590" t="inlineStr">
        <is>
          <t>NMVOC, non-methane volatile organic compounds</t>
        </is>
      </c>
      <c r="B2590">
        <v>7.909005533746073e-07</v>
      </c>
      <c r="D2590" t="inlineStr">
        <is>
          <t>kilogram</t>
        </is>
      </c>
      <c r="E2590" t="inlineStr">
        <is>
          <t>air::non-urban air or from high stacks</t>
        </is>
      </c>
      <c r="F2590" t="inlineStr">
        <is>
          <t>biosphere</t>
        </is>
      </c>
      <c r="I2590">
        <v>0</v>
      </c>
    </row>
    <row r="2591">
      <c r="A2591" t="inlineStr">
        <is>
          <t>Dinitrogen monoxide</t>
        </is>
      </c>
      <c r="B2591">
        <v>1.9725120204580215e-05</v>
      </c>
      <c r="D2591" t="inlineStr">
        <is>
          <t>kilogram</t>
        </is>
      </c>
      <c r="E2591" t="inlineStr">
        <is>
          <t>air::non-urban air or from high stacks</t>
        </is>
      </c>
      <c r="F2591" t="inlineStr">
        <is>
          <t>biosphere</t>
        </is>
      </c>
      <c r="I2591">
        <v>0</v>
      </c>
    </row>
    <row r="2592">
      <c r="A2592" t="inlineStr">
        <is>
          <t>Ethane</t>
        </is>
      </c>
      <c r="B2592">
        <v>1.0891786400309831e-10</v>
      </c>
      <c r="D2592" t="inlineStr">
        <is>
          <t>kilogram</t>
        </is>
      </c>
      <c r="E2592" t="inlineStr">
        <is>
          <t>air::urban air close to ground</t>
        </is>
      </c>
      <c r="F2592" t="inlineStr">
        <is>
          <t>biosphere</t>
        </is>
      </c>
      <c r="I2592">
        <v>0</v>
      </c>
    </row>
    <row r="2593">
      <c r="A2593" t="inlineStr">
        <is>
          <t>Pentane</t>
        </is>
      </c>
      <c r="B2593">
        <v>2.178357280061967e-10</v>
      </c>
      <c r="D2593" t="inlineStr">
        <is>
          <t>kilogram</t>
        </is>
      </c>
      <c r="E2593" t="inlineStr">
        <is>
          <t>air::urban air close to ground</t>
        </is>
      </c>
      <c r="F2593" t="inlineStr">
        <is>
          <t>biosphere</t>
        </is>
      </c>
      <c r="I2593">
        <v>0</v>
      </c>
    </row>
    <row r="2594">
      <c r="A2594" t="inlineStr">
        <is>
          <t>Selenium IV</t>
        </is>
      </c>
      <c r="B2594">
        <v>1.6967614759358543e-12</v>
      </c>
      <c r="D2594" t="inlineStr">
        <is>
          <t>kilogram</t>
        </is>
      </c>
      <c r="E2594" t="inlineStr">
        <is>
          <t>air::non-urban air or from high stacks</t>
        </is>
      </c>
      <c r="F2594" t="inlineStr">
        <is>
          <t>biosphere</t>
        </is>
      </c>
      <c r="I2594">
        <v>0</v>
      </c>
    </row>
    <row r="2595">
      <c r="A2595" t="inlineStr">
        <is>
          <t>Arsenic ion</t>
        </is>
      </c>
      <c r="B2595">
        <v>1.6967614759358543e-12</v>
      </c>
      <c r="D2595" t="inlineStr">
        <is>
          <t>kilogram</t>
        </is>
      </c>
      <c r="E2595" t="inlineStr">
        <is>
          <t>air::non-urban air or from high stacks</t>
        </is>
      </c>
      <c r="F2595" t="inlineStr">
        <is>
          <t>biosphere</t>
        </is>
      </c>
      <c r="I2595">
        <v>0</v>
      </c>
    </row>
    <row r="2596">
      <c r="A2596" t="inlineStr">
        <is>
          <t>Arsenic ion</t>
        </is>
      </c>
      <c r="B2596">
        <v>6.332385327245513e-13</v>
      </c>
      <c r="D2596" t="inlineStr">
        <is>
          <t>kilogram</t>
        </is>
      </c>
      <c r="E2596" t="inlineStr">
        <is>
          <t>air::urban air close to ground</t>
        </is>
      </c>
      <c r="F2596" t="inlineStr">
        <is>
          <t>biosphere</t>
        </is>
      </c>
      <c r="I2596">
        <v>0</v>
      </c>
    </row>
    <row r="2597">
      <c r="A2597" t="inlineStr">
        <is>
          <t>Particulate Matter, &lt; 2.5 um</t>
        </is>
      </c>
      <c r="B2597">
        <v>1.7825282603055566e-07</v>
      </c>
      <c r="D2597" t="inlineStr">
        <is>
          <t>kilogram</t>
        </is>
      </c>
      <c r="E2597" t="inlineStr">
        <is>
          <t>air::urban air close to ground</t>
        </is>
      </c>
      <c r="F2597" t="inlineStr">
        <is>
          <t>biosphere</t>
        </is>
      </c>
      <c r="I2597">
        <v>0</v>
      </c>
    </row>
    <row r="2598">
      <c r="A2598" t="inlineStr">
        <is>
          <t>Nickel II</t>
        </is>
      </c>
      <c r="B2598">
        <v>3.3862406923329497e-12</v>
      </c>
      <c r="D2598" t="inlineStr">
        <is>
          <t>kilogram</t>
        </is>
      </c>
      <c r="E2598" t="inlineStr">
        <is>
          <t>air::non-urban air or from high stacks</t>
        </is>
      </c>
      <c r="F2598" t="inlineStr">
        <is>
          <t>biosphere</t>
        </is>
      </c>
      <c r="I2598">
        <v>0</v>
      </c>
    </row>
    <row r="2599">
      <c r="A2599" t="inlineStr">
        <is>
          <t>Methane, fossil</t>
        </is>
      </c>
      <c r="B2599">
        <v>2.3921714073582906e-08</v>
      </c>
      <c r="D2599" t="inlineStr">
        <is>
          <t>kilogram</t>
        </is>
      </c>
      <c r="E2599" t="inlineStr">
        <is>
          <t>air::non-urban air or from high stacks</t>
        </is>
      </c>
      <c r="F2599" t="inlineStr">
        <is>
          <t>biosphere</t>
        </is>
      </c>
      <c r="I2599">
        <v>0</v>
      </c>
    </row>
    <row r="2600">
      <c r="A2600" t="inlineStr">
        <is>
          <t>Mercury II</t>
        </is>
      </c>
      <c r="B2600">
        <v>8.957152806237827e-11</v>
      </c>
      <c r="D2600" t="inlineStr">
        <is>
          <t>kilogram</t>
        </is>
      </c>
      <c r="E2600" t="inlineStr">
        <is>
          <t>air::non-urban air or from high stacks</t>
        </is>
      </c>
      <c r="F2600" t="inlineStr">
        <is>
          <t>biosphere</t>
        </is>
      </c>
      <c r="I2600">
        <v>0</v>
      </c>
    </row>
    <row r="2601">
      <c r="A2601" t="inlineStr">
        <is>
          <t>Ammonia</t>
        </is>
      </c>
      <c r="B2601">
        <v>6.894575078264757e-06</v>
      </c>
      <c r="D2601" t="inlineStr">
        <is>
          <t>kilogram</t>
        </is>
      </c>
      <c r="E2601" t="inlineStr">
        <is>
          <t>air::non-urban air or from high stacks</t>
        </is>
      </c>
      <c r="F2601" t="inlineStr">
        <is>
          <t>biosphere</t>
        </is>
      </c>
      <c r="I2601">
        <v>0</v>
      </c>
    </row>
    <row r="2602">
      <c r="A2602" t="inlineStr">
        <is>
          <t>Ethane</t>
        </is>
      </c>
      <c r="B2602">
        <v>2.918452212183362e-10</v>
      </c>
      <c r="D2602" t="inlineStr">
        <is>
          <t>kilogram</t>
        </is>
      </c>
      <c r="E2602" t="inlineStr">
        <is>
          <t>air::non-urban air or from high stacks</t>
        </is>
      </c>
      <c r="F2602" t="inlineStr">
        <is>
          <t>biosphere</t>
        </is>
      </c>
      <c r="I2602">
        <v>0</v>
      </c>
    </row>
    <row r="2603">
      <c r="A2603" t="inlineStr">
        <is>
          <t>Nickel II</t>
        </is>
      </c>
      <c r="B2603">
        <v>1.263759195389486e-12</v>
      </c>
      <c r="D2603" t="inlineStr">
        <is>
          <t>kilogram</t>
        </is>
      </c>
      <c r="E2603" t="inlineStr">
        <is>
          <t>air::urban air close to ground</t>
        </is>
      </c>
      <c r="F2603" t="inlineStr">
        <is>
          <t>biosphere</t>
        </is>
      </c>
      <c r="I2603">
        <v>0</v>
      </c>
    </row>
    <row r="2604">
      <c r="A2604" t="inlineStr">
        <is>
          <t>Cadmium II</t>
        </is>
      </c>
      <c r="B2604">
        <v>8.447396081985474e-13</v>
      </c>
      <c r="D2604" t="inlineStr">
        <is>
          <t>kilogram</t>
        </is>
      </c>
      <c r="E2604" t="inlineStr">
        <is>
          <t>air::non-urban air or from high stacks</t>
        </is>
      </c>
      <c r="F2604" t="inlineStr">
        <is>
          <t>biosphere</t>
        </is>
      </c>
      <c r="I2604">
        <v>0</v>
      </c>
    </row>
    <row r="2605">
      <c r="A2605" t="inlineStr">
        <is>
          <t>Ammonia</t>
        </is>
      </c>
      <c r="B2605">
        <v>2.573084583766733e-06</v>
      </c>
      <c r="D2605" t="inlineStr">
        <is>
          <t>kilogram</t>
        </is>
      </c>
      <c r="E2605" t="inlineStr">
        <is>
          <t>air::urban air close to ground</t>
        </is>
      </c>
      <c r="F2605" t="inlineStr">
        <is>
          <t>biosphere</t>
        </is>
      </c>
      <c r="I2605">
        <v>0</v>
      </c>
    </row>
    <row r="2606">
      <c r="A2606" t="inlineStr">
        <is>
          <t>Butane</t>
        </is>
      </c>
      <c r="B2606">
        <v>1.4592261593886937e-09</v>
      </c>
      <c r="D2606" t="inlineStr">
        <is>
          <t>kilogram</t>
        </is>
      </c>
      <c r="E2606" t="inlineStr">
        <is>
          <t>air::non-urban air or from high stacks</t>
        </is>
      </c>
      <c r="F2606" t="inlineStr">
        <is>
          <t>biosphere</t>
        </is>
      </c>
      <c r="I2606">
        <v>0</v>
      </c>
    </row>
    <row r="2607">
      <c r="A2607" t="inlineStr">
        <is>
          <t>PAH, polycyclic aromatic hydrocarbons</t>
        </is>
      </c>
      <c r="B2607">
        <v>4.946326620454795e-10</v>
      </c>
      <c r="D2607" t="inlineStr">
        <is>
          <t>kilogram</t>
        </is>
      </c>
      <c r="E2607" t="inlineStr">
        <is>
          <t>air::urban air close to ground</t>
        </is>
      </c>
      <c r="F2607" t="inlineStr">
        <is>
          <t>biosphere</t>
        </is>
      </c>
      <c r="I2607">
        <v>0</v>
      </c>
    </row>
    <row r="2608">
      <c r="A2608" t="inlineStr">
        <is>
          <t>Copper ion</t>
        </is>
      </c>
      <c r="B2608">
        <v>9.685376539404841e-11</v>
      </c>
      <c r="D2608" t="inlineStr">
        <is>
          <t>kilogram</t>
        </is>
      </c>
      <c r="E2608" t="inlineStr">
        <is>
          <t>air::non-urban air or from high stacks</t>
        </is>
      </c>
      <c r="F2608" t="inlineStr">
        <is>
          <t>biosphere</t>
        </is>
      </c>
      <c r="I2608">
        <v>0</v>
      </c>
    </row>
    <row r="2609">
      <c r="A2609" t="inlineStr">
        <is>
          <t>Nitrogen oxides</t>
        </is>
      </c>
      <c r="B2609">
        <v>0.00018753997183161043</v>
      </c>
      <c r="D2609" t="inlineStr">
        <is>
          <t>kilogram</t>
        </is>
      </c>
      <c r="E2609" t="inlineStr">
        <is>
          <t>air::non-urban air or from high stacks</t>
        </is>
      </c>
      <c r="F2609" t="inlineStr">
        <is>
          <t>biosphere</t>
        </is>
      </c>
      <c r="I2609">
        <v>0</v>
      </c>
    </row>
    <row r="2610">
      <c r="A2610" t="inlineStr">
        <is>
          <t>Butane</t>
        </is>
      </c>
      <c r="B2610">
        <v>5.445893377811625e-10</v>
      </c>
      <c r="D2610" t="inlineStr">
        <is>
          <t>kilogram</t>
        </is>
      </c>
      <c r="E2610" t="inlineStr">
        <is>
          <t>air::urban air close to ground</t>
        </is>
      </c>
      <c r="F2610" t="inlineStr">
        <is>
          <t>biosphere</t>
        </is>
      </c>
      <c r="I2610">
        <v>0</v>
      </c>
    </row>
    <row r="2611">
      <c r="A2611" t="inlineStr">
        <is>
          <t>Copper ion</t>
        </is>
      </c>
      <c r="B2611">
        <v>3.6146231663205874e-11</v>
      </c>
      <c r="D2611" t="inlineStr">
        <is>
          <t>kilogram</t>
        </is>
      </c>
      <c r="E2611" t="inlineStr">
        <is>
          <t>air::urban air close to ground</t>
        </is>
      </c>
      <c r="F2611" t="inlineStr">
        <is>
          <t>biosphere</t>
        </is>
      </c>
      <c r="I2611">
        <v>0</v>
      </c>
    </row>
    <row r="2612">
      <c r="A2612" t="inlineStr">
        <is>
          <t>Chromium III</t>
        </is>
      </c>
      <c r="B2612">
        <v>5.3811684196359975e-11</v>
      </c>
      <c r="D2612" t="inlineStr">
        <is>
          <t>kilogram</t>
        </is>
      </c>
      <c r="E2612" t="inlineStr">
        <is>
          <t>air::urban air close to ground</t>
        </is>
      </c>
      <c r="F2612" t="inlineStr">
        <is>
          <t>biosphere</t>
        </is>
      </c>
      <c r="I2612">
        <v>0</v>
      </c>
    </row>
    <row r="2613">
      <c r="A2613" t="inlineStr">
        <is>
          <t>Propane</t>
        </is>
      </c>
      <c r="B2613">
        <v>3.6305953483321385e-10</v>
      </c>
      <c r="D2613" t="inlineStr">
        <is>
          <t>kilogram</t>
        </is>
      </c>
      <c r="E2613" t="inlineStr">
        <is>
          <t>air::urban air close to ground</t>
        </is>
      </c>
      <c r="F2613" t="inlineStr">
        <is>
          <t>biosphere</t>
        </is>
      </c>
      <c r="I2613">
        <v>0</v>
      </c>
    </row>
    <row r="2614">
      <c r="A2614" t="inlineStr">
        <is>
          <t>Toluene</t>
        </is>
      </c>
      <c r="B2614">
        <v>3.6305953927463155e-11</v>
      </c>
      <c r="D2614" t="inlineStr">
        <is>
          <t>kilogram</t>
        </is>
      </c>
      <c r="E2614" t="inlineStr">
        <is>
          <t>air::urban air close to ground</t>
        </is>
      </c>
      <c r="F2614" t="inlineStr">
        <is>
          <t>biosphere</t>
        </is>
      </c>
      <c r="I2614">
        <v>0</v>
      </c>
    </row>
    <row r="2615">
      <c r="A2615" t="inlineStr">
        <is>
          <t>Dinitrogen monoxide</t>
        </is>
      </c>
      <c r="B2615">
        <v>7.361498269225741e-06</v>
      </c>
      <c r="D2615" t="inlineStr">
        <is>
          <t>kilogram</t>
        </is>
      </c>
      <c r="E2615" t="inlineStr">
        <is>
          <t>air::urban air close to ground</t>
        </is>
      </c>
      <c r="F2615" t="inlineStr">
        <is>
          <t>biosphere</t>
        </is>
      </c>
      <c r="I2615">
        <v>0</v>
      </c>
    </row>
    <row r="2616">
      <c r="A2616" t="inlineStr">
        <is>
          <t>Zinc II</t>
        </is>
      </c>
      <c r="B2616">
        <v>1.1387421970009149e-10</v>
      </c>
      <c r="D2616" t="inlineStr">
        <is>
          <t>kilogram</t>
        </is>
      </c>
      <c r="E2616" t="inlineStr">
        <is>
          <t>air::urban air close to ground</t>
        </is>
      </c>
      <c r="F2616" t="inlineStr">
        <is>
          <t>biosphere</t>
        </is>
      </c>
      <c r="I2616">
        <v>0</v>
      </c>
    </row>
    <row r="2617">
      <c r="A2617" t="inlineStr">
        <is>
          <t>Chromium VI</t>
        </is>
      </c>
      <c r="B2617">
        <v>2.876484190151482e-13</v>
      </c>
      <c r="D2617" t="inlineStr">
        <is>
          <t>kilogram</t>
        </is>
      </c>
      <c r="E2617" t="inlineStr">
        <is>
          <t>air::non-urban air or from high stacks</t>
        </is>
      </c>
      <c r="F2617" t="inlineStr">
        <is>
          <t>biosphere</t>
        </is>
      </c>
      <c r="I2617">
        <v>0</v>
      </c>
    </row>
    <row r="2618">
      <c r="A2618" t="inlineStr">
        <is>
          <t>Benzene</t>
        </is>
      </c>
      <c r="B2618">
        <v>1.6645520623154097e-08</v>
      </c>
      <c r="D2618" t="inlineStr">
        <is>
          <t>kilogram</t>
        </is>
      </c>
      <c r="E2618" t="inlineStr">
        <is>
          <t>air::non-urban air or from high stacks</t>
        </is>
      </c>
      <c r="F2618" t="inlineStr">
        <is>
          <t>biosphere</t>
        </is>
      </c>
      <c r="I2618">
        <v>0</v>
      </c>
    </row>
    <row r="2619">
      <c r="A2619" t="inlineStr">
        <is>
          <t>Carbon monoxide, fossil</t>
        </is>
      </c>
      <c r="B2619">
        <v>9.188384379664334e-06</v>
      </c>
      <c r="D2619" t="inlineStr">
        <is>
          <t>kilogram</t>
        </is>
      </c>
      <c r="E2619" t="inlineStr">
        <is>
          <t>air::non-urban air or from high stacks</t>
        </is>
      </c>
      <c r="F2619" t="inlineStr">
        <is>
          <t>biosphere</t>
        </is>
      </c>
      <c r="I2619">
        <v>0</v>
      </c>
    </row>
    <row r="2620">
      <c r="A2620" t="inlineStr">
        <is>
          <t>Chromium VI</t>
        </is>
      </c>
      <c r="B2620">
        <v>1.0735159075537383e-13</v>
      </c>
      <c r="D2620" t="inlineStr">
        <is>
          <t>kilogram</t>
        </is>
      </c>
      <c r="E2620" t="inlineStr">
        <is>
          <t>air::urban air close to ground</t>
        </is>
      </c>
      <c r="F2620" t="inlineStr">
        <is>
          <t>biosphere</t>
        </is>
      </c>
      <c r="I2620">
        <v>0</v>
      </c>
    </row>
    <row r="2621">
      <c r="A2621" t="inlineStr">
        <is>
          <t>Methane, fossil</t>
        </is>
      </c>
      <c r="B2621">
        <v>8.927684532596896e-09</v>
      </c>
      <c r="D2621" t="inlineStr">
        <is>
          <t>kilogram</t>
        </is>
      </c>
      <c r="E2621" t="inlineStr">
        <is>
          <t>air::urban air close to ground</t>
        </is>
      </c>
      <c r="F2621" t="inlineStr">
        <is>
          <t>biosphere</t>
        </is>
      </c>
      <c r="I2621">
        <v>0</v>
      </c>
    </row>
    <row r="2622">
      <c r="A2622" t="inlineStr">
        <is>
          <t>Sulfur dioxide</t>
        </is>
      </c>
      <c r="B2622">
        <v>4.6773094495270746e-07</v>
      </c>
      <c r="D2622" t="inlineStr">
        <is>
          <t>kilogram</t>
        </is>
      </c>
      <c r="E2622" t="inlineStr">
        <is>
          <t>air</t>
        </is>
      </c>
      <c r="F2622" t="inlineStr">
        <is>
          <t>biosphere</t>
        </is>
      </c>
      <c r="I2622">
        <v>0</v>
      </c>
    </row>
    <row r="2623">
      <c r="A2623" t="inlineStr">
        <is>
          <t>NMVOC, non-methane volatile organic compounds</t>
        </is>
      </c>
      <c r="B2623">
        <v>2.9516741802169465e-07</v>
      </c>
      <c r="D2623" t="inlineStr">
        <is>
          <t>kilogram</t>
        </is>
      </c>
      <c r="E2623" t="inlineStr">
        <is>
          <t>air::urban air close to ground</t>
        </is>
      </c>
      <c r="F2623" t="inlineStr">
        <is>
          <t>biosphere</t>
        </is>
      </c>
      <c r="I2623">
        <v>0</v>
      </c>
    </row>
    <row r="2624">
      <c r="A2624" t="inlineStr">
        <is>
          <t>Formaldehyde</t>
        </is>
      </c>
      <c r="B2624">
        <v>3.04970020629929e-08</v>
      </c>
      <c r="D2624" t="inlineStr">
        <is>
          <t>kilogram</t>
        </is>
      </c>
      <c r="E2624" t="inlineStr">
        <is>
          <t>air::urban air close to ground</t>
        </is>
      </c>
      <c r="F2624" t="inlineStr">
        <is>
          <t>biosphere</t>
        </is>
      </c>
      <c r="I2624">
        <v>0</v>
      </c>
    </row>
    <row r="2625">
      <c r="A2625" t="inlineStr">
        <is>
          <t>Nitrogen oxides</t>
        </is>
      </c>
      <c r="B2625">
        <v>6.99907066197852e-05</v>
      </c>
      <c r="D2625" t="inlineStr">
        <is>
          <t>kilogram</t>
        </is>
      </c>
      <c r="E2625" t="inlineStr">
        <is>
          <t>air::urban air close to ground</t>
        </is>
      </c>
      <c r="F2625" t="inlineStr">
        <is>
          <t>biosphere</t>
        </is>
      </c>
      <c r="I2625">
        <v>0</v>
      </c>
    </row>
    <row r="2626">
      <c r="A2626" t="inlineStr">
        <is>
          <t>Formaldehyde</t>
        </is>
      </c>
      <c r="B2626">
        <v>8.171666492576685e-08</v>
      </c>
      <c r="D2626" t="inlineStr">
        <is>
          <t>kilogram</t>
        </is>
      </c>
      <c r="E2626" t="inlineStr">
        <is>
          <t>air::non-urban air or from high stacks</t>
        </is>
      </c>
      <c r="F2626" t="inlineStr">
        <is>
          <t>biosphere</t>
        </is>
      </c>
      <c r="I2626">
        <v>0</v>
      </c>
    </row>
    <row r="2627">
      <c r="A2627" t="inlineStr">
        <is>
          <t>Zinc II</t>
        </is>
      </c>
      <c r="B2627">
        <v>3.051257530798148e-10</v>
      </c>
      <c r="D2627" t="inlineStr">
        <is>
          <t>kilogram</t>
        </is>
      </c>
      <c r="E2627" t="inlineStr">
        <is>
          <t>air::non-urban air or from high stacks</t>
        </is>
      </c>
      <c r="F2627" t="inlineStr">
        <is>
          <t>biosphere</t>
        </is>
      </c>
      <c r="I2627">
        <v>0</v>
      </c>
    </row>
    <row r="2628">
      <c r="A2628" t="inlineStr">
        <is>
          <t>Carbon monoxide, fossil</t>
        </is>
      </c>
      <c r="B2628">
        <v>3.4291435191313595e-06</v>
      </c>
      <c r="D2628" t="inlineStr">
        <is>
          <t>kilogram</t>
        </is>
      </c>
      <c r="E2628" t="inlineStr">
        <is>
          <t>air::urban air close to ground</t>
        </is>
      </c>
      <c r="F2628" t="inlineStr">
        <is>
          <t>biosphere</t>
        </is>
      </c>
      <c r="I2628">
        <v>0</v>
      </c>
    </row>
    <row r="2629">
      <c r="A2629" t="inlineStr">
        <is>
          <t>m-Xylene</t>
        </is>
      </c>
      <c r="B2629">
        <v>3.5579834982156424e-09</v>
      </c>
      <c r="D2629" t="inlineStr">
        <is>
          <t>kilogram</t>
        </is>
      </c>
      <c r="E2629" t="inlineStr">
        <is>
          <t>air::urban air close to ground</t>
        </is>
      </c>
      <c r="F2629" t="inlineStr">
        <is>
          <t>biosphere</t>
        </is>
      </c>
      <c r="I2629">
        <v>0</v>
      </c>
    </row>
    <row r="2630">
      <c r="A2630" t="inlineStr">
        <is>
          <t>PAH, polycyclic aromatic hydrocarbons</t>
        </is>
      </c>
      <c r="B2630">
        <v>1.3253673720206761e-09</v>
      </c>
      <c r="D2630" t="inlineStr">
        <is>
          <t>kilogram</t>
        </is>
      </c>
      <c r="E2630" t="inlineStr">
        <is>
          <t>air::non-urban air or from high stacks</t>
        </is>
      </c>
      <c r="F2630" t="inlineStr">
        <is>
          <t>biosphere</t>
        </is>
      </c>
      <c r="I2630">
        <v>0</v>
      </c>
    </row>
    <row r="2631">
      <c r="A2631" t="inlineStr">
        <is>
          <t>Particulate Matter, &lt; 2.5 um</t>
        </is>
      </c>
      <c r="B2631">
        <v>4.776281554847676e-07</v>
      </c>
      <c r="D2631" t="inlineStr">
        <is>
          <t>kilogram</t>
        </is>
      </c>
      <c r="E2631" t="inlineStr">
        <is>
          <t>air::non-urban air or from high stacks</t>
        </is>
      </c>
      <c r="F2631" t="inlineStr">
        <is>
          <t>biosphere</t>
        </is>
      </c>
      <c r="I2631">
        <v>0</v>
      </c>
    </row>
    <row r="2632">
      <c r="A2632" t="inlineStr">
        <is>
          <t>Pentane</t>
        </is>
      </c>
      <c r="B2632">
        <v>5.836904424366724e-10</v>
      </c>
      <c r="D2632" t="inlineStr">
        <is>
          <t>kilogram</t>
        </is>
      </c>
      <c r="E2632" t="inlineStr">
        <is>
          <t>air::non-urban air or from high stacks</t>
        </is>
      </c>
      <c r="F2632" t="inlineStr">
        <is>
          <t>biosphere</t>
        </is>
      </c>
      <c r="I2632">
        <v>0</v>
      </c>
    </row>
    <row r="2633">
      <c r="A2633" t="inlineStr">
        <is>
          <t>1,1,1,2-Tetrafluoroethane</t>
        </is>
      </c>
      <c r="B2633">
        <v>1.0592803277176511e-07</v>
      </c>
      <c r="D2633" t="inlineStr">
        <is>
          <t>kilogram</t>
        </is>
      </c>
      <c r="E2633" t="inlineStr">
        <is>
          <t>air</t>
        </is>
      </c>
      <c r="F2633" t="inlineStr">
        <is>
          <t>biosphere</t>
        </is>
      </c>
      <c r="I2633">
        <v>0</v>
      </c>
    </row>
    <row r="2634">
      <c r="A2634" t="inlineStr">
        <is>
          <t>Acetaldehyde</t>
        </is>
      </c>
      <c r="B2634">
        <v>1.6591821111403828e-08</v>
      </c>
      <c r="D2634" t="inlineStr">
        <is>
          <t>kilogram</t>
        </is>
      </c>
      <c r="E2634" t="inlineStr">
        <is>
          <t>air::urban air close to ground</t>
        </is>
      </c>
      <c r="F2634" t="inlineStr">
        <is>
          <t>biosphere</t>
        </is>
      </c>
      <c r="I2634">
        <v>0</v>
      </c>
    </row>
    <row r="2635">
      <c r="A2635" t="inlineStr">
        <is>
          <t>Benzene</t>
        </is>
      </c>
      <c r="B2635">
        <v>6.21217814219678e-09</v>
      </c>
      <c r="D2635" t="inlineStr">
        <is>
          <t>kilogram</t>
        </is>
      </c>
      <c r="E2635" t="inlineStr">
        <is>
          <t>air::urban air close to ground</t>
        </is>
      </c>
      <c r="F2635" t="inlineStr">
        <is>
          <t>biosphere</t>
        </is>
      </c>
      <c r="I2635">
        <v>0</v>
      </c>
    </row>
    <row r="2636">
      <c r="A2636" t="inlineStr">
        <is>
          <t>Mercury II</t>
        </is>
      </c>
      <c r="B2636">
        <v>3.342847041832335e-11</v>
      </c>
      <c r="D2636" t="inlineStr">
        <is>
          <t>kilogram</t>
        </is>
      </c>
      <c r="E2636" t="inlineStr">
        <is>
          <t>air::urban air close to ground</t>
        </is>
      </c>
      <c r="F2636" t="inlineStr">
        <is>
          <t>biosphere</t>
        </is>
      </c>
      <c r="I2636">
        <v>0</v>
      </c>
    </row>
    <row r="2637">
      <c r="A2637" t="inlineStr">
        <is>
          <t>Cadmium II</t>
        </is>
      </c>
      <c r="B2637">
        <v>3.152603660310432e-13</v>
      </c>
      <c r="D2637" t="inlineStr">
        <is>
          <t>kilogram</t>
        </is>
      </c>
      <c r="E2637" t="inlineStr">
        <is>
          <t>air::urban air close to ground</t>
        </is>
      </c>
      <c r="F2637" t="inlineStr">
        <is>
          <t>biosphere</t>
        </is>
      </c>
      <c r="I2637">
        <v>0</v>
      </c>
    </row>
    <row r="2638">
      <c r="A2638" t="inlineStr">
        <is>
          <t>Propane</t>
        </is>
      </c>
      <c r="B2638">
        <v>9.728174395924623e-10</v>
      </c>
      <c r="D2638" t="inlineStr">
        <is>
          <t>kilogram</t>
        </is>
      </c>
      <c r="E2638" t="inlineStr">
        <is>
          <t>air::non-urban air or from high stacks</t>
        </is>
      </c>
      <c r="F2638" t="inlineStr">
        <is>
          <t>biosphere</t>
        </is>
      </c>
      <c r="I2638">
        <v>0</v>
      </c>
    </row>
    <row r="2639">
      <c r="A2639" t="inlineStr">
        <is>
          <t>Chromium III</t>
        </is>
      </c>
      <c r="B2639">
        <v>1.4418831693273988e-10</v>
      </c>
      <c r="D2639" t="inlineStr">
        <is>
          <t>kilogram</t>
        </is>
      </c>
      <c r="E2639" t="inlineStr">
        <is>
          <t>air::non-urban air or from high stacks</t>
        </is>
      </c>
      <c r="F2639" t="inlineStr">
        <is>
          <t>biosphere</t>
        </is>
      </c>
      <c r="I2639">
        <v>0</v>
      </c>
    </row>
    <row r="2640">
      <c r="A2640" t="inlineStr">
        <is>
          <t>Acrolein</t>
        </is>
      </c>
      <c r="B2640">
        <v>6.42615413607384e-09</v>
      </c>
      <c r="D2640" t="inlineStr">
        <is>
          <t>kilogram</t>
        </is>
      </c>
      <c r="E2640" t="inlineStr">
        <is>
          <t>air::urban air close to ground</t>
        </is>
      </c>
      <c r="F2640" t="inlineStr">
        <is>
          <t>biosphere</t>
        </is>
      </c>
      <c r="I2640">
        <v>0</v>
      </c>
    </row>
    <row r="2641">
      <c r="A2641" t="inlineStr">
        <is>
          <t>Benzaldehyde</t>
        </is>
      </c>
      <c r="B2641">
        <v>4.9739159967409846e-09</v>
      </c>
      <c r="D2641" t="inlineStr">
        <is>
          <t>kilogram</t>
        </is>
      </c>
      <c r="E2641" t="inlineStr">
        <is>
          <t>air::urban air close to ground</t>
        </is>
      </c>
      <c r="F2641" t="inlineStr">
        <is>
          <t>biosphere</t>
        </is>
      </c>
      <c r="I2641">
        <v>0</v>
      </c>
    </row>
    <row r="2642">
      <c r="A2642" t="inlineStr">
        <is>
          <t>Heptane</t>
        </is>
      </c>
      <c r="B2642">
        <v>1.0891786755623254e-09</v>
      </c>
      <c r="D2642" t="inlineStr">
        <is>
          <t>kilogram</t>
        </is>
      </c>
      <c r="E2642" t="inlineStr">
        <is>
          <t>air::urban air close to ground</t>
        </is>
      </c>
      <c r="F2642" t="inlineStr">
        <is>
          <t>biosphere</t>
        </is>
      </c>
      <c r="I2642">
        <v>0</v>
      </c>
    </row>
    <row r="2643">
      <c r="A2643" t="inlineStr">
        <is>
          <t>o-Xylene</t>
        </is>
      </c>
      <c r="B2643">
        <v>1.452238139332855e-09</v>
      </c>
      <c r="D2643" t="inlineStr">
        <is>
          <t>kilogram</t>
        </is>
      </c>
      <c r="E2643" t="inlineStr">
        <is>
          <t>air::urban air close to ground</t>
        </is>
      </c>
      <c r="F2643" t="inlineStr">
        <is>
          <t>biosphere</t>
        </is>
      </c>
      <c r="I2643">
        <v>0</v>
      </c>
    </row>
    <row r="2644">
      <c r="A2644" t="inlineStr">
        <is>
          <t>Selenium IV</t>
        </is>
      </c>
      <c r="B2644">
        <v>6.332385327245513e-13</v>
      </c>
      <c r="D2644" t="inlineStr">
        <is>
          <t>kilogram</t>
        </is>
      </c>
      <c r="E2644" t="inlineStr">
        <is>
          <t>air::urban air close to ground</t>
        </is>
      </c>
      <c r="F2644" t="inlineStr">
        <is>
          <t>biosphere</t>
        </is>
      </c>
      <c r="I2644">
        <v>0</v>
      </c>
    </row>
    <row r="2645">
      <c r="A2645" t="inlineStr">
        <is>
          <t>Styrene</t>
        </is>
      </c>
      <c r="B2645">
        <v>2.033133508766291e-09</v>
      </c>
      <c r="D2645" t="inlineStr">
        <is>
          <t>kilogram</t>
        </is>
      </c>
      <c r="E2645" t="inlineStr">
        <is>
          <t>air::urban air close to ground</t>
        </is>
      </c>
      <c r="F2645" t="inlineStr">
        <is>
          <t>biosphere</t>
        </is>
      </c>
      <c r="I2645">
        <v>0</v>
      </c>
    </row>
    <row r="2646">
      <c r="A2646" t="inlineStr">
        <is>
          <t>Acetaldehyde</t>
        </is>
      </c>
      <c r="B2646">
        <v>4.4457756307173774e-08</v>
      </c>
      <c r="D2646" t="inlineStr">
        <is>
          <t>kilogram</t>
        </is>
      </c>
      <c r="E2646" t="inlineStr">
        <is>
          <t>air::non-urban air or from high stacks</t>
        </is>
      </c>
      <c r="F2646" t="inlineStr">
        <is>
          <t>biosphere</t>
        </is>
      </c>
      <c r="I2646">
        <v>0</v>
      </c>
    </row>
    <row r="2647">
      <c r="A2647" t="inlineStr">
        <is>
          <t>Acrolein</t>
        </is>
      </c>
      <c r="B2647">
        <v>1.7218867998584824e-08</v>
      </c>
      <c r="D2647" t="inlineStr">
        <is>
          <t>kilogram</t>
        </is>
      </c>
      <c r="E2647" t="inlineStr">
        <is>
          <t>air::non-urban air or from high stacks</t>
        </is>
      </c>
      <c r="F2647" t="inlineStr">
        <is>
          <t>biosphere</t>
        </is>
      </c>
      <c r="I2647">
        <v>0</v>
      </c>
    </row>
    <row r="2648">
      <c r="A2648" t="inlineStr">
        <is>
          <t>Benzaldehyde</t>
        </is>
      </c>
      <c r="B2648">
        <v>1.3327598240214973e-08</v>
      </c>
      <c r="D2648" t="inlineStr">
        <is>
          <t>kilogram</t>
        </is>
      </c>
      <c r="E2648" t="inlineStr">
        <is>
          <t>air::non-urban air or from high stacks</t>
        </is>
      </c>
      <c r="F2648" t="inlineStr">
        <is>
          <t>biosphere</t>
        </is>
      </c>
      <c r="I2648">
        <v>0</v>
      </c>
    </row>
    <row r="2649">
      <c r="A2649" t="inlineStr">
        <is>
          <t>Heptane</t>
        </is>
      </c>
      <c r="B2649">
        <v>2.9184523187773873e-09</v>
      </c>
      <c r="D2649" t="inlineStr">
        <is>
          <t>kilogram</t>
        </is>
      </c>
      <c r="E2649" t="inlineStr">
        <is>
          <t>air::non-urban air or from high stacks</t>
        </is>
      </c>
      <c r="F2649" t="inlineStr">
        <is>
          <t>biosphere</t>
        </is>
      </c>
      <c r="I2649">
        <v>0</v>
      </c>
    </row>
    <row r="2650">
      <c r="A2650" t="inlineStr">
        <is>
          <t>m-Xylene</t>
        </is>
      </c>
      <c r="B2650">
        <v>9.533610453204961e-09</v>
      </c>
      <c r="D2650" t="inlineStr">
        <is>
          <t>kilogram</t>
        </is>
      </c>
      <c r="E2650" t="inlineStr">
        <is>
          <t>air::non-urban air or from high stacks</t>
        </is>
      </c>
      <c r="F2650" t="inlineStr">
        <is>
          <t>biosphere</t>
        </is>
      </c>
      <c r="I2650">
        <v>0</v>
      </c>
    </row>
    <row r="2651">
      <c r="A2651" t="inlineStr">
        <is>
          <t>o-Xylene</t>
        </is>
      </c>
      <c r="B2651">
        <v>3.891269758369849e-09</v>
      </c>
      <c r="D2651" t="inlineStr">
        <is>
          <t>kilogram</t>
        </is>
      </c>
      <c r="E2651" t="inlineStr">
        <is>
          <t>air::non-urban air or from high stacks</t>
        </is>
      </c>
      <c r="F2651" t="inlineStr">
        <is>
          <t>biosphere</t>
        </is>
      </c>
      <c r="I2651">
        <v>0</v>
      </c>
    </row>
    <row r="2652">
      <c r="A2652" t="inlineStr">
        <is>
          <t>Styrene</t>
        </is>
      </c>
      <c r="B2652">
        <v>5.447777889118377e-09</v>
      </c>
      <c r="D2652" t="inlineStr">
        <is>
          <t>kilogram</t>
        </is>
      </c>
      <c r="E2652" t="inlineStr">
        <is>
          <t>air::non-urban air or from high stacks</t>
        </is>
      </c>
      <c r="F2652" t="inlineStr">
        <is>
          <t>biosphere</t>
        </is>
      </c>
      <c r="I2652">
        <v>0</v>
      </c>
    </row>
    <row r="2653">
      <c r="A2653" t="inlineStr">
        <is>
          <t>exhaust system, for lorry</t>
        </is>
      </c>
      <c r="B2653">
        <v>2.4791665583947556e-05</v>
      </c>
      <c r="C2653" t="inlineStr">
        <is>
          <t>RER</t>
        </is>
      </c>
      <c r="D2653" t="inlineStr">
        <is>
          <t>kilogram</t>
        </is>
      </c>
      <c r="F2653" t="inlineStr">
        <is>
          <t>technosphere</t>
        </is>
      </c>
      <c r="G2653" t="inlineStr">
        <is>
          <t>exhaust system, for lorry</t>
        </is>
      </c>
      <c r="H2653" t="inlineStr">
        <is>
          <t> Energy-use allocation: 220 * 1.367427797431765e-07 / 1.2134485858415922 MJ per ton kilometer.</t>
        </is>
      </c>
      <c r="I2653">
        <v>0</v>
      </c>
    </row>
    <row r="2654">
      <c r="A2654" t="inlineStr">
        <is>
          <t>fuel tank, for diesel vehicle</t>
        </is>
      </c>
      <c r="B2654">
        <v>6.181935329374144e-06</v>
      </c>
      <c r="C2654" t="inlineStr">
        <is>
          <t>RER</t>
        </is>
      </c>
      <c r="D2654" t="inlineStr">
        <is>
          <t>kilogram</t>
        </is>
      </c>
      <c r="F2654" t="inlineStr">
        <is>
          <t>technosphere</t>
        </is>
      </c>
      <c r="G2654" t="inlineStr">
        <is>
          <t>fuel tank</t>
        </is>
      </c>
      <c r="H2654" t="inlineStr">
        <is>
          <t> Energy-use allocation: 54.85818481445312 * 1.367427797431765e-07 / 1.2134485858415922 MJ per ton kilometer.</t>
        </is>
      </c>
      <c r="I2654">
        <v>0</v>
      </c>
    </row>
    <row r="2655">
      <c r="A2655" t="inlineStr">
        <is>
          <t>gearbox, for lorry</t>
        </is>
      </c>
      <c r="B2655">
        <v>2.271818151381884e-05</v>
      </c>
      <c r="C2655" t="inlineStr">
        <is>
          <t>RER</t>
        </is>
      </c>
      <c r="D2655" t="inlineStr">
        <is>
          <t>kilogram</t>
        </is>
      </c>
      <c r="F2655" t="inlineStr">
        <is>
          <t>technosphere</t>
        </is>
      </c>
      <c r="G2655" t="inlineStr">
        <is>
          <t>gearbox, for lorry</t>
        </is>
      </c>
      <c r="H2655" t="inlineStr">
        <is>
          <t> Energy-use allocation: 201.6000061035156 * 1.367427797431765e-07 / 1.2134485858415922 MJ per ton kilometer.</t>
        </is>
      </c>
      <c r="I2655">
        <v>0</v>
      </c>
    </row>
    <row r="2656">
      <c r="A2656" t="inlineStr">
        <is>
          <t>internal combustion engine, for lorry</t>
        </is>
      </c>
      <c r="B2656">
        <v>0.000121895652649343</v>
      </c>
      <c r="C2656" t="inlineStr">
        <is>
          <t>RER</t>
        </is>
      </c>
      <c r="D2656" t="inlineStr">
        <is>
          <t>kilogram</t>
        </is>
      </c>
      <c r="F2656" t="inlineStr">
        <is>
          <t>technosphere</t>
        </is>
      </c>
      <c r="G2656" t="inlineStr">
        <is>
          <t>internal combustion engine, for lorry</t>
        </is>
      </c>
      <c r="H2656" t="inlineStr">
        <is>
          <t> Energy-use allocation: 1081.695922851562 * 1.367427797431765e-07 / 1.2134485858415922 MJ per ton kilometer.</t>
        </is>
      </c>
      <c r="I2656">
        <v>0</v>
      </c>
    </row>
    <row r="2657">
      <c r="A2657" t="inlineStr">
        <is>
          <t>lead acid battery, for lorry</t>
        </is>
      </c>
      <c r="B2657">
        <v>3.7651515024380753e-06</v>
      </c>
      <c r="C2657" t="inlineStr">
        <is>
          <t>RER</t>
        </is>
      </c>
      <c r="D2657" t="inlineStr">
        <is>
          <t>kilogram</t>
        </is>
      </c>
      <c r="F2657" t="inlineStr">
        <is>
          <t>technosphere</t>
        </is>
      </c>
      <c r="G2657" t="inlineStr">
        <is>
          <t>lead acid battery, for lorry</t>
        </is>
      </c>
      <c r="H2657" t="inlineStr">
        <is>
          <t> Energy-use allocation: 33.41176605224609 * 1.367427797431765e-07 / 1.2134485858415922 MJ per ton kilometer.</t>
        </is>
      </c>
      <c r="I2657">
        <v>0</v>
      </c>
    </row>
    <row r="2658">
      <c r="A2658" t="inlineStr">
        <is>
          <t>power electronics, for lorry</t>
        </is>
      </c>
      <c r="B2658">
        <v>2.986268808975501e-05</v>
      </c>
      <c r="C2658" t="inlineStr">
        <is>
          <t>RER</t>
        </is>
      </c>
      <c r="D2658" t="inlineStr">
        <is>
          <t>kilogram</t>
        </is>
      </c>
      <c r="F2658" t="inlineStr">
        <is>
          <t>technosphere</t>
        </is>
      </c>
      <c r="G2658" t="inlineStr">
        <is>
          <t>power electronics, for lorry</t>
        </is>
      </c>
      <c r="H2658" t="inlineStr">
        <is>
          <t> Energy-use allocation: 265 * 1.367427797431765e-07 / 1.2134485858415922 MJ per ton kilometer.</t>
        </is>
      </c>
      <c r="I2658">
        <v>0</v>
      </c>
    </row>
    <row r="2659">
      <c r="A2659" t="inlineStr">
        <is>
          <t>retarder, for lorry</t>
        </is>
      </c>
      <c r="B2659">
        <v>7.572726598105075e-06</v>
      </c>
      <c r="C2659" t="inlineStr">
        <is>
          <t>RER</t>
        </is>
      </c>
      <c r="D2659" t="inlineStr">
        <is>
          <t>kilogram</t>
        </is>
      </c>
      <c r="F2659" t="inlineStr">
        <is>
          <t>technosphere</t>
        </is>
      </c>
      <c r="G2659" t="inlineStr">
        <is>
          <t>retarder, for lorry</t>
        </is>
      </c>
      <c r="H2659" t="inlineStr">
        <is>
          <t> Energy-use allocation: 67.19999694824219 * 1.367427797431765e-07 / 1.2134485858415922 MJ per ton kilometer.</t>
        </is>
      </c>
      <c r="I2659">
        <v>0</v>
      </c>
    </row>
    <row r="2660">
      <c r="A2660" t="inlineStr">
        <is>
          <t>transmission, for lorry</t>
        </is>
      </c>
      <c r="B2660">
        <v>3.281514801862079e-05</v>
      </c>
      <c r="C2660" t="inlineStr">
        <is>
          <t>RER</t>
        </is>
      </c>
      <c r="D2660" t="inlineStr">
        <is>
          <t>kilogram</t>
        </is>
      </c>
      <c r="F2660" t="inlineStr">
        <is>
          <t>technosphere</t>
        </is>
      </c>
      <c r="G2660" t="inlineStr">
        <is>
          <t>transmission, for lorry</t>
        </is>
      </c>
      <c r="H2660" t="inlineStr">
        <is>
          <t> Energy-use allocation: 291.1999816894531 * 1.367427797431765e-07 / 1.2134485858415922 MJ per ton kilometer.</t>
        </is>
      </c>
      <c r="I2660">
        <v>0</v>
      </c>
    </row>
    <row r="2661">
      <c r="A2661" t="inlineStr">
        <is>
          <t>Carbon dioxide, fossil</t>
        </is>
      </c>
      <c r="B2661">
        <v>0.0732</v>
      </c>
      <c r="D2661" t="inlineStr">
        <is>
          <t>kilogram</t>
        </is>
      </c>
      <c r="E2661" t="inlineStr">
        <is>
          <t>air</t>
        </is>
      </c>
      <c r="F2661" t="inlineStr">
        <is>
          <t>biosphere</t>
        </is>
      </c>
      <c r="H2661" t="inlineStr">
        <is>
          <t>Reference-fuel full-oxidation CO2; Premise reclassifies fossil/biogenic carbon with regional blends. Pollutants are separate model estimates, not an elemental closure.</t>
        </is>
      </c>
      <c r="I2661">
        <v>0</v>
      </c>
    </row>
    <row r="2662"/>
    <row r="2663">
      <c r="A2663" t="inlineStr">
        <is>
          <t>Activity</t>
        </is>
      </c>
      <c r="B2663" t="inlineStr">
        <is>
          <t>diesel, synthetic, burned in heavy duty vehicle</t>
        </is>
      </c>
    </row>
    <row r="2664">
      <c r="A2664" t="inlineStr">
        <is>
          <t>location</t>
        </is>
      </c>
      <c r="B2664" t="inlineStr">
        <is>
          <t>RER</t>
        </is>
      </c>
    </row>
    <row r="2665">
      <c r="A2665" t="inlineStr">
        <is>
          <t>production amount</t>
        </is>
      </c>
      <c r="B2665">
        <v>1</v>
      </c>
    </row>
    <row r="2666">
      <c r="A2666" t="inlineStr">
        <is>
          <t>reference product</t>
        </is>
      </c>
      <c r="B2666" t="inlineStr">
        <is>
          <t>heat</t>
        </is>
      </c>
    </row>
    <row r="2667">
      <c r="A2667" t="inlineStr">
        <is>
          <t>type</t>
        </is>
      </c>
      <c r="B2667" t="inlineStr">
        <is>
          <t>process</t>
        </is>
      </c>
    </row>
    <row r="2668">
      <c r="A2668" t="inlineStr">
        <is>
          <t>unit</t>
        </is>
      </c>
      <c r="B2668" t="inlineStr">
        <is>
          <t>megajoule</t>
        </is>
      </c>
    </row>
    <row r="2669">
      <c r="A2669" t="inlineStr">
        <is>
          <t>source</t>
        </is>
      </c>
      <c r="B2669" t="inlineStr">
        <is>
          <t>Sacchi, R., Bauer, C., and Cox, B. Does size matter? The influence of size, load factor, range autonomy and application type on the Life Cycle Assessment of current and future trucks. 2021. Environmental Science and Technology.</t>
        </is>
      </c>
    </row>
    <row r="2670">
      <c r="A2670" t="inlineStr">
        <is>
          <t>description</t>
        </is>
      </c>
      <c r="B2670"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671">
      <c r="A2671" t="inlineStr">
        <is>
          <t>comment</t>
        </is>
      </c>
      <c r="B2671"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672">
      <c r="A2672" t="inlineStr">
        <is>
          <t>Power, mean</t>
        </is>
      </c>
      <c r="B2672">
        <v>300</v>
      </c>
    </row>
    <row r="2673">
      <c r="A2673" t="inlineStr">
        <is>
          <t>Power, min</t>
        </is>
      </c>
      <c r="B2673">
        <v>135</v>
      </c>
    </row>
    <row r="2674">
      <c r="A2674" t="inlineStr">
        <is>
          <t>Power, max</t>
        </is>
      </c>
      <c r="B2674">
        <v>480</v>
      </c>
    </row>
    <row r="2675">
      <c r="A2675" t="inlineStr">
        <is>
          <t>Lifetime, mean</t>
        </is>
      </c>
      <c r="B2675">
        <v>1000000</v>
      </c>
    </row>
    <row r="2676">
      <c r="A2676" t="inlineStr">
        <is>
          <t>Lifetime, min</t>
        </is>
      </c>
      <c r="B2676">
        <v>500000</v>
      </c>
    </row>
    <row r="2677">
      <c r="A2677" t="inlineStr">
        <is>
          <t>Lifetime, max</t>
        </is>
      </c>
      <c r="B2677">
        <v>1200000</v>
      </c>
    </row>
    <row r="2678">
      <c r="A2678" t="inlineStr">
        <is>
          <t>Energy use, mean</t>
        </is>
      </c>
      <c r="B2678">
        <v>7500</v>
      </c>
    </row>
    <row r="2679">
      <c r="A2679" t="inlineStr">
        <is>
          <t>Energy use, min</t>
        </is>
      </c>
      <c r="B2679">
        <v>3570</v>
      </c>
    </row>
    <row r="2680">
      <c r="A2680" t="inlineStr">
        <is>
          <t>Energy use, max</t>
        </is>
      </c>
      <c r="B2680">
        <v>10165</v>
      </c>
    </row>
    <row r="2681">
      <c r="A2681" t="inlineStr">
        <is>
          <t>Electric motor, mean</t>
        </is>
      </c>
      <c r="B2681">
        <v>0</v>
      </c>
    </row>
    <row r="2682">
      <c r="A2682" t="inlineStr">
        <is>
          <t>Electric motor, min</t>
        </is>
      </c>
      <c r="B2682">
        <v>0</v>
      </c>
    </row>
    <row r="2683">
      <c r="A2683" t="inlineStr">
        <is>
          <t>Electric motor, max</t>
        </is>
      </c>
      <c r="B2683">
        <v>0</v>
      </c>
    </row>
    <row r="2684">
      <c r="A2684" t="inlineStr">
        <is>
          <t>Combustion engine, mean</t>
        </is>
      </c>
      <c r="B2684">
        <v>880</v>
      </c>
    </row>
    <row r="2685">
      <c r="A2685" t="inlineStr">
        <is>
          <t>Combustion engine, min</t>
        </is>
      </c>
      <c r="B2685">
        <v>470</v>
      </c>
    </row>
    <row r="2686">
      <c r="A2686" t="inlineStr">
        <is>
          <t>Combustion engine, max</t>
        </is>
      </c>
      <c r="B2686">
        <v>1000</v>
      </c>
    </row>
    <row r="2687">
      <c r="A2687" t="inlineStr">
        <is>
          <t>Fuel tank, mean</t>
        </is>
      </c>
      <c r="B2687">
        <v>44</v>
      </c>
    </row>
    <row r="2688">
      <c r="A2688" t="inlineStr">
        <is>
          <t>Fuel tank, min</t>
        </is>
      </c>
      <c r="B2688">
        <v>33</v>
      </c>
    </row>
    <row r="2689">
      <c r="A2689" t="inlineStr">
        <is>
          <t>Fuel tank, max</t>
        </is>
      </c>
      <c r="B2689">
        <v>51</v>
      </c>
    </row>
    <row r="2690">
      <c r="A2690" t="inlineStr">
        <is>
          <t>Battery capacity, mean</t>
        </is>
      </c>
      <c r="B2690">
        <v>0</v>
      </c>
    </row>
    <row r="2691">
      <c r="A2691" t="inlineStr">
        <is>
          <t>Battery capacity, min</t>
        </is>
      </c>
      <c r="B2691">
        <v>0</v>
      </c>
    </row>
    <row r="2692">
      <c r="A2692" t="inlineStr">
        <is>
          <t>Battery capacity, max</t>
        </is>
      </c>
      <c r="B2692">
        <v>0</v>
      </c>
    </row>
    <row r="2693">
      <c r="A2693" t="inlineStr">
        <is>
          <t>Battery replacement, mean</t>
        </is>
      </c>
      <c r="B2693">
        <v>0</v>
      </c>
    </row>
    <row r="2694">
      <c r="A2694" t="inlineStr">
        <is>
          <t>Battery replacement, min</t>
        </is>
      </c>
      <c r="B2694">
        <v>0</v>
      </c>
    </row>
    <row r="2695">
      <c r="A2695" t="inlineStr">
        <is>
          <t>Battery replacement, max</t>
        </is>
      </c>
      <c r="B2695">
        <v>0</v>
      </c>
    </row>
    <row r="2696">
      <c r="A2696" t="inlineStr">
        <is>
          <t>Fuel cell system, mean</t>
        </is>
      </c>
      <c r="B2696">
        <v>0</v>
      </c>
    </row>
    <row r="2697">
      <c r="A2697" t="inlineStr">
        <is>
          <t>Fuel cell system, min</t>
        </is>
      </c>
      <c r="B2697">
        <v>0</v>
      </c>
    </row>
    <row r="2698">
      <c r="A2698" t="inlineStr">
        <is>
          <t>Fuel cell system, max</t>
        </is>
      </c>
      <c r="B2698">
        <v>0</v>
      </c>
    </row>
    <row r="2699">
      <c r="A2699" t="inlineStr">
        <is>
          <t>Fuel cell stack replacement, mean</t>
        </is>
      </c>
      <c r="B2699">
        <v>0</v>
      </c>
    </row>
    <row r="2700">
      <c r="A2700" t="inlineStr">
        <is>
          <t>Fuel cell replacement, min</t>
        </is>
      </c>
      <c r="B2700">
        <v>0</v>
      </c>
    </row>
    <row r="2701">
      <c r="A2701" t="inlineStr">
        <is>
          <t>Fuel cell replacement, max</t>
        </is>
      </c>
      <c r="B2701">
        <v>0</v>
      </c>
    </row>
    <row r="2702">
      <c r="A2702" t="inlineStr">
        <is>
          <t>Onboard charger mass</t>
        </is>
      </c>
      <c r="B2702">
        <v>0</v>
      </c>
    </row>
    <row r="2703">
      <c r="A2703" t="inlineStr">
        <is>
          <t>Controller mass</t>
        </is>
      </c>
      <c r="B2703">
        <v>0</v>
      </c>
    </row>
    <row r="2704">
      <c r="A2704" t="inlineStr">
        <is>
          <t>Converter mass</t>
        </is>
      </c>
      <c r="B2704">
        <v>0</v>
      </c>
    </row>
    <row r="2705">
      <c r="A2705" t="inlineStr">
        <is>
          <t>Electrical powertrain mass</t>
        </is>
      </c>
      <c r="B2705">
        <v>0</v>
      </c>
    </row>
    <row r="2706">
      <c r="A2706" t="inlineStr">
        <is>
          <t>Inverter mass</t>
        </is>
      </c>
      <c r="B2706">
        <v>0</v>
      </c>
    </row>
    <row r="2707">
      <c r="A2707" t="inlineStr">
        <is>
          <t>NOx</t>
        </is>
      </c>
      <c r="B2707">
        <v>0.158234892</v>
      </c>
    </row>
    <row r="2708">
      <c r="A2708" t="inlineStr">
        <is>
          <t>PM 2.5</t>
        </is>
      </c>
      <c r="B2708">
        <v>0.000655881</v>
      </c>
    </row>
    <row r="2709">
      <c r="A2709" t="inlineStr">
        <is>
          <t>energy use source</t>
        </is>
      </c>
      <c r="B27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710">
      <c r="A2710" t="inlineStr">
        <is>
          <t>Exchanges</t>
        </is>
      </c>
    </row>
    <row r="2711">
      <c r="A2711" t="inlineStr">
        <is>
          <t>name</t>
        </is>
      </c>
      <c r="B2711" t="inlineStr">
        <is>
          <t>amount</t>
        </is>
      </c>
      <c r="C2711" t="inlineStr">
        <is>
          <t>location</t>
        </is>
      </c>
      <c r="D2711" t="inlineStr">
        <is>
          <t>unit</t>
        </is>
      </c>
      <c r="E2711" t="inlineStr">
        <is>
          <t>categories</t>
        </is>
      </c>
      <c r="F2711" t="inlineStr">
        <is>
          <t>type</t>
        </is>
      </c>
      <c r="G2711" t="inlineStr">
        <is>
          <t>reference product</t>
        </is>
      </c>
      <c r="H2711" t="inlineStr">
        <is>
          <t>comment</t>
        </is>
      </c>
      <c r="I2711" t="inlineStr">
        <is>
          <t>uncertainty type</t>
        </is>
      </c>
    </row>
    <row r="2712">
      <c r="A2712" t="inlineStr">
        <is>
          <t>diesel, synthetic, burned in heavy duty vehicle</t>
        </is>
      </c>
      <c r="B2712">
        <v>1.0</v>
      </c>
      <c r="C2712" t="inlineStr">
        <is>
          <t>RER</t>
        </is>
      </c>
      <c r="D2712" t="inlineStr">
        <is>
          <t>megajoule</t>
        </is>
      </c>
      <c r="E2712" t="inlineStr">
        <is>
          <t/>
        </is>
      </c>
      <c r="F2712" t="inlineStr">
        <is>
          <t>production</t>
        </is>
      </c>
      <c r="G2712" t="inlineStr">
        <is>
          <t>heat</t>
        </is>
      </c>
      <c r="I2712">
        <v>0</v>
      </c>
    </row>
    <row r="2713">
      <c r="A2713" t="inlineStr">
        <is>
          <t>diesel production, synthetic, from Fischer Tropsch process, market-average hydrogen, energy allocation, at fuelling station</t>
        </is>
      </c>
      <c r="B2713">
        <v>0.023255813953488372</v>
      </c>
      <c r="C2713" t="inlineStr">
        <is>
          <t>RER</t>
        </is>
      </c>
      <c r="D2713" t="inlineStr">
        <is>
          <t>kilogram</t>
        </is>
      </c>
      <c r="F2713" t="inlineStr">
        <is>
          <t>technosphere</t>
        </is>
      </c>
      <c r="G2713" t="inlineStr">
        <is>
          <t>diesel, synthetic, vehicle grade</t>
        </is>
      </c>
      <c r="I2713">
        <v>0</v>
      </c>
    </row>
    <row r="2714">
      <c r="A2714" t="inlineStr">
        <is>
          <t>market for tetrafluoroethane, R134a</t>
        </is>
      </c>
      <c r="B2714">
        <v>2.2988634886667227e-07</v>
      </c>
      <c r="C2714" t="inlineStr">
        <is>
          <t>GLO</t>
        </is>
      </c>
      <c r="D2714" t="inlineStr">
        <is>
          <t>kilogram</t>
        </is>
      </c>
      <c r="F2714" t="inlineStr">
        <is>
          <t>technosphere</t>
        </is>
      </c>
      <c r="G2714" t="inlineStr">
        <is>
          <t>tetrafluoroethane, R134a</t>
        </is>
      </c>
      <c r="I2714">
        <v>0</v>
      </c>
    </row>
    <row r="2715">
      <c r="A2715" t="inlineStr">
        <is>
          <t>treatment of brake wear emissions, lorry</t>
        </is>
      </c>
      <c r="B2715">
        <v>-8.332264901167272e-06</v>
      </c>
      <c r="C2715" t="inlineStr">
        <is>
          <t>RER</t>
        </is>
      </c>
      <c r="D2715" t="inlineStr">
        <is>
          <t>kilogram</t>
        </is>
      </c>
      <c r="F2715" t="inlineStr">
        <is>
          <t>technosphere</t>
        </is>
      </c>
      <c r="G2715" t="inlineStr">
        <is>
          <t>brake wear emissions, lorry</t>
        </is>
      </c>
      <c r="I2715">
        <v>0</v>
      </c>
    </row>
    <row r="2716">
      <c r="A2716" t="inlineStr">
        <is>
          <t>treatment of road wear emissions, lorry</t>
        </is>
      </c>
      <c r="B2716">
        <v>-1.0511814175882647e-05</v>
      </c>
      <c r="C2716" t="inlineStr">
        <is>
          <t>RER</t>
        </is>
      </c>
      <c r="D2716" t="inlineStr">
        <is>
          <t>kilogram</t>
        </is>
      </c>
      <c r="F2716" t="inlineStr">
        <is>
          <t>technosphere</t>
        </is>
      </c>
      <c r="G2716" t="inlineStr">
        <is>
          <t>road wear emissions, lorry</t>
        </is>
      </c>
      <c r="I2716">
        <v>0</v>
      </c>
    </row>
    <row r="2717">
      <c r="A2717" t="inlineStr">
        <is>
          <t>treatment of tyre wear emissions, lorry</t>
        </is>
      </c>
      <c r="B2717">
        <v>-8.54276405830878e-06</v>
      </c>
      <c r="C2717" t="inlineStr">
        <is>
          <t>RER</t>
        </is>
      </c>
      <c r="D2717" t="inlineStr">
        <is>
          <t>kilogram</t>
        </is>
      </c>
      <c r="F2717" t="inlineStr">
        <is>
          <t>technosphere</t>
        </is>
      </c>
      <c r="G2717" t="inlineStr">
        <is>
          <t>tyre wear emissions, lorry</t>
        </is>
      </c>
      <c r="I2717">
        <v>0</v>
      </c>
    </row>
    <row r="2718">
      <c r="A2718" t="inlineStr">
        <is>
          <t>Toluene</t>
        </is>
      </c>
      <c r="B2718">
        <v>9.72817404061121e-11</v>
      </c>
      <c r="D2718" t="inlineStr">
        <is>
          <t>kilogram</t>
        </is>
      </c>
      <c r="E2718" t="inlineStr">
        <is>
          <t>air::non-urban air or from high stacks</t>
        </is>
      </c>
      <c r="F2718" t="inlineStr">
        <is>
          <t>biosphere</t>
        </is>
      </c>
      <c r="I2718">
        <v>0</v>
      </c>
    </row>
    <row r="2719">
      <c r="A2719" t="inlineStr">
        <is>
          <t>NMVOC, non-methane volatile organic compounds</t>
        </is>
      </c>
      <c r="B2719">
        <v>7.909005533746073e-07</v>
      </c>
      <c r="D2719" t="inlineStr">
        <is>
          <t>kilogram</t>
        </is>
      </c>
      <c r="E2719" t="inlineStr">
        <is>
          <t>air::non-urban air or from high stacks</t>
        </is>
      </c>
      <c r="F2719" t="inlineStr">
        <is>
          <t>biosphere</t>
        </is>
      </c>
      <c r="I2719">
        <v>0</v>
      </c>
    </row>
    <row r="2720">
      <c r="A2720" t="inlineStr">
        <is>
          <t>Dinitrogen monoxide</t>
        </is>
      </c>
      <c r="B2720">
        <v>1.9725120204580215e-05</v>
      </c>
      <c r="D2720" t="inlineStr">
        <is>
          <t>kilogram</t>
        </is>
      </c>
      <c r="E2720" t="inlineStr">
        <is>
          <t>air::non-urban air or from high stacks</t>
        </is>
      </c>
      <c r="F2720" t="inlineStr">
        <is>
          <t>biosphere</t>
        </is>
      </c>
      <c r="I2720">
        <v>0</v>
      </c>
    </row>
    <row r="2721">
      <c r="A2721" t="inlineStr">
        <is>
          <t>Ethane</t>
        </is>
      </c>
      <c r="B2721">
        <v>1.0891786400309831e-10</v>
      </c>
      <c r="D2721" t="inlineStr">
        <is>
          <t>kilogram</t>
        </is>
      </c>
      <c r="E2721" t="inlineStr">
        <is>
          <t>air::urban air close to ground</t>
        </is>
      </c>
      <c r="F2721" t="inlineStr">
        <is>
          <t>biosphere</t>
        </is>
      </c>
      <c r="I2721">
        <v>0</v>
      </c>
    </row>
    <row r="2722">
      <c r="A2722" t="inlineStr">
        <is>
          <t>Pentane</t>
        </is>
      </c>
      <c r="B2722">
        <v>2.178357280061967e-10</v>
      </c>
      <c r="D2722" t="inlineStr">
        <is>
          <t>kilogram</t>
        </is>
      </c>
      <c r="E2722" t="inlineStr">
        <is>
          <t>air::urban air close to ground</t>
        </is>
      </c>
      <c r="F2722" t="inlineStr">
        <is>
          <t>biosphere</t>
        </is>
      </c>
      <c r="I2722">
        <v>0</v>
      </c>
    </row>
    <row r="2723">
      <c r="A2723" t="inlineStr">
        <is>
          <t>Selenium IV</t>
        </is>
      </c>
      <c r="B2723">
        <v>1.6967614759358543e-12</v>
      </c>
      <c r="D2723" t="inlineStr">
        <is>
          <t>kilogram</t>
        </is>
      </c>
      <c r="E2723" t="inlineStr">
        <is>
          <t>air::non-urban air or from high stacks</t>
        </is>
      </c>
      <c r="F2723" t="inlineStr">
        <is>
          <t>biosphere</t>
        </is>
      </c>
      <c r="I2723">
        <v>0</v>
      </c>
    </row>
    <row r="2724">
      <c r="A2724" t="inlineStr">
        <is>
          <t>Arsenic ion</t>
        </is>
      </c>
      <c r="B2724">
        <v>1.6967614759358543e-12</v>
      </c>
      <c r="D2724" t="inlineStr">
        <is>
          <t>kilogram</t>
        </is>
      </c>
      <c r="E2724" t="inlineStr">
        <is>
          <t>air::non-urban air or from high stacks</t>
        </is>
      </c>
      <c r="F2724" t="inlineStr">
        <is>
          <t>biosphere</t>
        </is>
      </c>
      <c r="I2724">
        <v>0</v>
      </c>
    </row>
    <row r="2725">
      <c r="A2725" t="inlineStr">
        <is>
          <t>Arsenic ion</t>
        </is>
      </c>
      <c r="B2725">
        <v>6.332385327245513e-13</v>
      </c>
      <c r="D2725" t="inlineStr">
        <is>
          <t>kilogram</t>
        </is>
      </c>
      <c r="E2725" t="inlineStr">
        <is>
          <t>air::urban air close to ground</t>
        </is>
      </c>
      <c r="F2725" t="inlineStr">
        <is>
          <t>biosphere</t>
        </is>
      </c>
      <c r="I2725">
        <v>0</v>
      </c>
    </row>
    <row r="2726">
      <c r="A2726" t="inlineStr">
        <is>
          <t>Particulate Matter, &lt; 2.5 um</t>
        </is>
      </c>
      <c r="B2726">
        <v>1.7825282603055566e-07</v>
      </c>
      <c r="D2726" t="inlineStr">
        <is>
          <t>kilogram</t>
        </is>
      </c>
      <c r="E2726" t="inlineStr">
        <is>
          <t>air::urban air close to ground</t>
        </is>
      </c>
      <c r="F2726" t="inlineStr">
        <is>
          <t>biosphere</t>
        </is>
      </c>
      <c r="I2726">
        <v>0</v>
      </c>
    </row>
    <row r="2727">
      <c r="A2727" t="inlineStr">
        <is>
          <t>Nickel II</t>
        </is>
      </c>
      <c r="B2727">
        <v>3.3862406923329497e-12</v>
      </c>
      <c r="D2727" t="inlineStr">
        <is>
          <t>kilogram</t>
        </is>
      </c>
      <c r="E2727" t="inlineStr">
        <is>
          <t>air::non-urban air or from high stacks</t>
        </is>
      </c>
      <c r="F2727" t="inlineStr">
        <is>
          <t>biosphere</t>
        </is>
      </c>
      <c r="I2727">
        <v>0</v>
      </c>
    </row>
    <row r="2728">
      <c r="A2728" t="inlineStr">
        <is>
          <t>Methane, fossil</t>
        </is>
      </c>
      <c r="B2728">
        <v>2.3921714073582906e-08</v>
      </c>
      <c r="D2728" t="inlineStr">
        <is>
          <t>kilogram</t>
        </is>
      </c>
      <c r="E2728" t="inlineStr">
        <is>
          <t>air::non-urban air or from high stacks</t>
        </is>
      </c>
      <c r="F2728" t="inlineStr">
        <is>
          <t>biosphere</t>
        </is>
      </c>
      <c r="I2728">
        <v>0</v>
      </c>
    </row>
    <row r="2729">
      <c r="A2729" t="inlineStr">
        <is>
          <t>Mercury II</t>
        </is>
      </c>
      <c r="B2729">
        <v>8.957152806237827e-11</v>
      </c>
      <c r="D2729" t="inlineStr">
        <is>
          <t>kilogram</t>
        </is>
      </c>
      <c r="E2729" t="inlineStr">
        <is>
          <t>air::non-urban air or from high stacks</t>
        </is>
      </c>
      <c r="F2729" t="inlineStr">
        <is>
          <t>biosphere</t>
        </is>
      </c>
      <c r="I2729">
        <v>0</v>
      </c>
    </row>
    <row r="2730">
      <c r="A2730" t="inlineStr">
        <is>
          <t>Ammonia</t>
        </is>
      </c>
      <c r="B2730">
        <v>6.894575078264757e-06</v>
      </c>
      <c r="D2730" t="inlineStr">
        <is>
          <t>kilogram</t>
        </is>
      </c>
      <c r="E2730" t="inlineStr">
        <is>
          <t>air::non-urban air or from high stacks</t>
        </is>
      </c>
      <c r="F2730" t="inlineStr">
        <is>
          <t>biosphere</t>
        </is>
      </c>
      <c r="I2730">
        <v>0</v>
      </c>
    </row>
    <row r="2731">
      <c r="A2731" t="inlineStr">
        <is>
          <t>Ethane</t>
        </is>
      </c>
      <c r="B2731">
        <v>2.918452212183362e-10</v>
      </c>
      <c r="D2731" t="inlineStr">
        <is>
          <t>kilogram</t>
        </is>
      </c>
      <c r="E2731" t="inlineStr">
        <is>
          <t>air::non-urban air or from high stacks</t>
        </is>
      </c>
      <c r="F2731" t="inlineStr">
        <is>
          <t>biosphere</t>
        </is>
      </c>
      <c r="I2731">
        <v>0</v>
      </c>
    </row>
    <row r="2732">
      <c r="A2732" t="inlineStr">
        <is>
          <t>Nickel II</t>
        </is>
      </c>
      <c r="B2732">
        <v>1.263759195389486e-12</v>
      </c>
      <c r="D2732" t="inlineStr">
        <is>
          <t>kilogram</t>
        </is>
      </c>
      <c r="E2732" t="inlineStr">
        <is>
          <t>air::urban air close to ground</t>
        </is>
      </c>
      <c r="F2732" t="inlineStr">
        <is>
          <t>biosphere</t>
        </is>
      </c>
      <c r="I2732">
        <v>0</v>
      </c>
    </row>
    <row r="2733">
      <c r="A2733" t="inlineStr">
        <is>
          <t>Cadmium II</t>
        </is>
      </c>
      <c r="B2733">
        <v>8.447396081985474e-13</v>
      </c>
      <c r="D2733" t="inlineStr">
        <is>
          <t>kilogram</t>
        </is>
      </c>
      <c r="E2733" t="inlineStr">
        <is>
          <t>air::non-urban air or from high stacks</t>
        </is>
      </c>
      <c r="F2733" t="inlineStr">
        <is>
          <t>biosphere</t>
        </is>
      </c>
      <c r="I2733">
        <v>0</v>
      </c>
    </row>
    <row r="2734">
      <c r="A2734" t="inlineStr">
        <is>
          <t>Ammonia</t>
        </is>
      </c>
      <c r="B2734">
        <v>2.573084583766733e-06</v>
      </c>
      <c r="D2734" t="inlineStr">
        <is>
          <t>kilogram</t>
        </is>
      </c>
      <c r="E2734" t="inlineStr">
        <is>
          <t>air::urban air close to ground</t>
        </is>
      </c>
      <c r="F2734" t="inlineStr">
        <is>
          <t>biosphere</t>
        </is>
      </c>
      <c r="I2734">
        <v>0</v>
      </c>
    </row>
    <row r="2735">
      <c r="A2735" t="inlineStr">
        <is>
          <t>Butane</t>
        </is>
      </c>
      <c r="B2735">
        <v>1.4592261593886937e-09</v>
      </c>
      <c r="D2735" t="inlineStr">
        <is>
          <t>kilogram</t>
        </is>
      </c>
      <c r="E2735" t="inlineStr">
        <is>
          <t>air::non-urban air or from high stacks</t>
        </is>
      </c>
      <c r="F2735" t="inlineStr">
        <is>
          <t>biosphere</t>
        </is>
      </c>
      <c r="I2735">
        <v>0</v>
      </c>
    </row>
    <row r="2736">
      <c r="A2736" t="inlineStr">
        <is>
          <t>PAH, polycyclic aromatic hydrocarbons</t>
        </is>
      </c>
      <c r="B2736">
        <v>4.946326620454795e-10</v>
      </c>
      <c r="D2736" t="inlineStr">
        <is>
          <t>kilogram</t>
        </is>
      </c>
      <c r="E2736" t="inlineStr">
        <is>
          <t>air::urban air close to ground</t>
        </is>
      </c>
      <c r="F2736" t="inlineStr">
        <is>
          <t>biosphere</t>
        </is>
      </c>
      <c r="I2736">
        <v>0</v>
      </c>
    </row>
    <row r="2737">
      <c r="A2737" t="inlineStr">
        <is>
          <t>Copper ion</t>
        </is>
      </c>
      <c r="B2737">
        <v>9.685376539404841e-11</v>
      </c>
      <c r="D2737" t="inlineStr">
        <is>
          <t>kilogram</t>
        </is>
      </c>
      <c r="E2737" t="inlineStr">
        <is>
          <t>air::non-urban air or from high stacks</t>
        </is>
      </c>
      <c r="F2737" t="inlineStr">
        <is>
          <t>biosphere</t>
        </is>
      </c>
      <c r="I2737">
        <v>0</v>
      </c>
    </row>
    <row r="2738">
      <c r="A2738" t="inlineStr">
        <is>
          <t>Nitrogen oxides</t>
        </is>
      </c>
      <c r="B2738">
        <v>0.00018753997183161043</v>
      </c>
      <c r="D2738" t="inlineStr">
        <is>
          <t>kilogram</t>
        </is>
      </c>
      <c r="E2738" t="inlineStr">
        <is>
          <t>air::non-urban air or from high stacks</t>
        </is>
      </c>
      <c r="F2738" t="inlineStr">
        <is>
          <t>biosphere</t>
        </is>
      </c>
      <c r="I2738">
        <v>0</v>
      </c>
    </row>
    <row r="2739">
      <c r="A2739" t="inlineStr">
        <is>
          <t>Butane</t>
        </is>
      </c>
      <c r="B2739">
        <v>5.445893377811625e-10</v>
      </c>
      <c r="D2739" t="inlineStr">
        <is>
          <t>kilogram</t>
        </is>
      </c>
      <c r="E2739" t="inlineStr">
        <is>
          <t>air::urban air close to ground</t>
        </is>
      </c>
      <c r="F2739" t="inlineStr">
        <is>
          <t>biosphere</t>
        </is>
      </c>
      <c r="I2739">
        <v>0</v>
      </c>
    </row>
    <row r="2740">
      <c r="A2740" t="inlineStr">
        <is>
          <t>Copper ion</t>
        </is>
      </c>
      <c r="B2740">
        <v>3.6146231663205874e-11</v>
      </c>
      <c r="D2740" t="inlineStr">
        <is>
          <t>kilogram</t>
        </is>
      </c>
      <c r="E2740" t="inlineStr">
        <is>
          <t>air::urban air close to ground</t>
        </is>
      </c>
      <c r="F2740" t="inlineStr">
        <is>
          <t>biosphere</t>
        </is>
      </c>
      <c r="I2740">
        <v>0</v>
      </c>
    </row>
    <row r="2741">
      <c r="A2741" t="inlineStr">
        <is>
          <t>Chromium III</t>
        </is>
      </c>
      <c r="B2741">
        <v>5.3811684196359975e-11</v>
      </c>
      <c r="D2741" t="inlineStr">
        <is>
          <t>kilogram</t>
        </is>
      </c>
      <c r="E2741" t="inlineStr">
        <is>
          <t>air::urban air close to ground</t>
        </is>
      </c>
      <c r="F2741" t="inlineStr">
        <is>
          <t>biosphere</t>
        </is>
      </c>
      <c r="I2741">
        <v>0</v>
      </c>
    </row>
    <row r="2742">
      <c r="A2742" t="inlineStr">
        <is>
          <t>Propane</t>
        </is>
      </c>
      <c r="B2742">
        <v>3.6305953483321385e-10</v>
      </c>
      <c r="D2742" t="inlineStr">
        <is>
          <t>kilogram</t>
        </is>
      </c>
      <c r="E2742" t="inlineStr">
        <is>
          <t>air::urban air close to ground</t>
        </is>
      </c>
      <c r="F2742" t="inlineStr">
        <is>
          <t>biosphere</t>
        </is>
      </c>
      <c r="I2742">
        <v>0</v>
      </c>
    </row>
    <row r="2743">
      <c r="A2743" t="inlineStr">
        <is>
          <t>Toluene</t>
        </is>
      </c>
      <c r="B2743">
        <v>3.6305953927463155e-11</v>
      </c>
      <c r="D2743" t="inlineStr">
        <is>
          <t>kilogram</t>
        </is>
      </c>
      <c r="E2743" t="inlineStr">
        <is>
          <t>air::urban air close to ground</t>
        </is>
      </c>
      <c r="F2743" t="inlineStr">
        <is>
          <t>biosphere</t>
        </is>
      </c>
      <c r="I2743">
        <v>0</v>
      </c>
    </row>
    <row r="2744">
      <c r="A2744" t="inlineStr">
        <is>
          <t>Dinitrogen monoxide</t>
        </is>
      </c>
      <c r="B2744">
        <v>7.361498269225741e-06</v>
      </c>
      <c r="D2744" t="inlineStr">
        <is>
          <t>kilogram</t>
        </is>
      </c>
      <c r="E2744" t="inlineStr">
        <is>
          <t>air::urban air close to ground</t>
        </is>
      </c>
      <c r="F2744" t="inlineStr">
        <is>
          <t>biosphere</t>
        </is>
      </c>
      <c r="I2744">
        <v>0</v>
      </c>
    </row>
    <row r="2745">
      <c r="A2745" t="inlineStr">
        <is>
          <t>Zinc II</t>
        </is>
      </c>
      <c r="B2745">
        <v>1.1387421970009149e-10</v>
      </c>
      <c r="D2745" t="inlineStr">
        <is>
          <t>kilogram</t>
        </is>
      </c>
      <c r="E2745" t="inlineStr">
        <is>
          <t>air::urban air close to ground</t>
        </is>
      </c>
      <c r="F2745" t="inlineStr">
        <is>
          <t>biosphere</t>
        </is>
      </c>
      <c r="I2745">
        <v>0</v>
      </c>
    </row>
    <row r="2746">
      <c r="A2746" t="inlineStr">
        <is>
          <t>Chromium VI</t>
        </is>
      </c>
      <c r="B2746">
        <v>2.876484190151482e-13</v>
      </c>
      <c r="D2746" t="inlineStr">
        <is>
          <t>kilogram</t>
        </is>
      </c>
      <c r="E2746" t="inlineStr">
        <is>
          <t>air::non-urban air or from high stacks</t>
        </is>
      </c>
      <c r="F2746" t="inlineStr">
        <is>
          <t>biosphere</t>
        </is>
      </c>
      <c r="I2746">
        <v>0</v>
      </c>
    </row>
    <row r="2747">
      <c r="A2747" t="inlineStr">
        <is>
          <t>Benzene</t>
        </is>
      </c>
      <c r="B2747">
        <v>1.6645520623154097e-08</v>
      </c>
      <c r="D2747" t="inlineStr">
        <is>
          <t>kilogram</t>
        </is>
      </c>
      <c r="E2747" t="inlineStr">
        <is>
          <t>air::non-urban air or from high stacks</t>
        </is>
      </c>
      <c r="F2747" t="inlineStr">
        <is>
          <t>biosphere</t>
        </is>
      </c>
      <c r="I2747">
        <v>0</v>
      </c>
    </row>
    <row r="2748">
      <c r="A2748" t="inlineStr">
        <is>
          <t>Carbon monoxide, fossil</t>
        </is>
      </c>
      <c r="B2748">
        <v>9.188384379664334e-06</v>
      </c>
      <c r="D2748" t="inlineStr">
        <is>
          <t>kilogram</t>
        </is>
      </c>
      <c r="E2748" t="inlineStr">
        <is>
          <t>air::non-urban air or from high stacks</t>
        </is>
      </c>
      <c r="F2748" t="inlineStr">
        <is>
          <t>biosphere</t>
        </is>
      </c>
      <c r="I2748">
        <v>0</v>
      </c>
    </row>
    <row r="2749">
      <c r="A2749" t="inlineStr">
        <is>
          <t>Chromium VI</t>
        </is>
      </c>
      <c r="B2749">
        <v>1.0735159075537383e-13</v>
      </c>
      <c r="D2749" t="inlineStr">
        <is>
          <t>kilogram</t>
        </is>
      </c>
      <c r="E2749" t="inlineStr">
        <is>
          <t>air::urban air close to ground</t>
        </is>
      </c>
      <c r="F2749" t="inlineStr">
        <is>
          <t>biosphere</t>
        </is>
      </c>
      <c r="I2749">
        <v>0</v>
      </c>
    </row>
    <row r="2750">
      <c r="A2750" t="inlineStr">
        <is>
          <t>Methane, fossil</t>
        </is>
      </c>
      <c r="B2750">
        <v>8.927684532596896e-09</v>
      </c>
      <c r="D2750" t="inlineStr">
        <is>
          <t>kilogram</t>
        </is>
      </c>
      <c r="E2750" t="inlineStr">
        <is>
          <t>air::urban air close to ground</t>
        </is>
      </c>
      <c r="F2750" t="inlineStr">
        <is>
          <t>biosphere</t>
        </is>
      </c>
      <c r="I2750">
        <v>0</v>
      </c>
    </row>
    <row r="2751">
      <c r="A2751" t="inlineStr">
        <is>
          <t>Sulfur dioxide</t>
        </is>
      </c>
      <c r="B2751">
        <v>4.6773094495270746e-07</v>
      </c>
      <c r="D2751" t="inlineStr">
        <is>
          <t>kilogram</t>
        </is>
      </c>
      <c r="E2751" t="inlineStr">
        <is>
          <t>air</t>
        </is>
      </c>
      <c r="F2751" t="inlineStr">
        <is>
          <t>biosphere</t>
        </is>
      </c>
      <c r="I2751">
        <v>0</v>
      </c>
    </row>
    <row r="2752">
      <c r="A2752" t="inlineStr">
        <is>
          <t>NMVOC, non-methane volatile organic compounds</t>
        </is>
      </c>
      <c r="B2752">
        <v>2.9516741802169465e-07</v>
      </c>
      <c r="D2752" t="inlineStr">
        <is>
          <t>kilogram</t>
        </is>
      </c>
      <c r="E2752" t="inlineStr">
        <is>
          <t>air::urban air close to ground</t>
        </is>
      </c>
      <c r="F2752" t="inlineStr">
        <is>
          <t>biosphere</t>
        </is>
      </c>
      <c r="I2752">
        <v>0</v>
      </c>
    </row>
    <row r="2753">
      <c r="A2753" t="inlineStr">
        <is>
          <t>Formaldehyde</t>
        </is>
      </c>
      <c r="B2753">
        <v>3.04970020629929e-08</v>
      </c>
      <c r="D2753" t="inlineStr">
        <is>
          <t>kilogram</t>
        </is>
      </c>
      <c r="E2753" t="inlineStr">
        <is>
          <t>air::urban air close to ground</t>
        </is>
      </c>
      <c r="F2753" t="inlineStr">
        <is>
          <t>biosphere</t>
        </is>
      </c>
      <c r="I2753">
        <v>0</v>
      </c>
    </row>
    <row r="2754">
      <c r="A2754" t="inlineStr">
        <is>
          <t>Nitrogen oxides</t>
        </is>
      </c>
      <c r="B2754">
        <v>6.99907066197852e-05</v>
      </c>
      <c r="D2754" t="inlineStr">
        <is>
          <t>kilogram</t>
        </is>
      </c>
      <c r="E2754" t="inlineStr">
        <is>
          <t>air::urban air close to ground</t>
        </is>
      </c>
      <c r="F2754" t="inlineStr">
        <is>
          <t>biosphere</t>
        </is>
      </c>
      <c r="I2754">
        <v>0</v>
      </c>
    </row>
    <row r="2755">
      <c r="A2755" t="inlineStr">
        <is>
          <t>Formaldehyde</t>
        </is>
      </c>
      <c r="B2755">
        <v>8.171666492576685e-08</v>
      </c>
      <c r="D2755" t="inlineStr">
        <is>
          <t>kilogram</t>
        </is>
      </c>
      <c r="E2755" t="inlineStr">
        <is>
          <t>air::non-urban air or from high stacks</t>
        </is>
      </c>
      <c r="F2755" t="inlineStr">
        <is>
          <t>biosphere</t>
        </is>
      </c>
      <c r="I2755">
        <v>0</v>
      </c>
    </row>
    <row r="2756">
      <c r="A2756" t="inlineStr">
        <is>
          <t>Zinc II</t>
        </is>
      </c>
      <c r="B2756">
        <v>3.051257530798148e-10</v>
      </c>
      <c r="D2756" t="inlineStr">
        <is>
          <t>kilogram</t>
        </is>
      </c>
      <c r="E2756" t="inlineStr">
        <is>
          <t>air::non-urban air or from high stacks</t>
        </is>
      </c>
      <c r="F2756" t="inlineStr">
        <is>
          <t>biosphere</t>
        </is>
      </c>
      <c r="I2756">
        <v>0</v>
      </c>
    </row>
    <row r="2757">
      <c r="A2757" t="inlineStr">
        <is>
          <t>Carbon monoxide, fossil</t>
        </is>
      </c>
      <c r="B2757">
        <v>3.4291435191313595e-06</v>
      </c>
      <c r="D2757" t="inlineStr">
        <is>
          <t>kilogram</t>
        </is>
      </c>
      <c r="E2757" t="inlineStr">
        <is>
          <t>air::urban air close to ground</t>
        </is>
      </c>
      <c r="F2757" t="inlineStr">
        <is>
          <t>biosphere</t>
        </is>
      </c>
      <c r="I2757">
        <v>0</v>
      </c>
    </row>
    <row r="2758">
      <c r="A2758" t="inlineStr">
        <is>
          <t>m-Xylene</t>
        </is>
      </c>
      <c r="B2758">
        <v>3.5579834982156424e-09</v>
      </c>
      <c r="D2758" t="inlineStr">
        <is>
          <t>kilogram</t>
        </is>
      </c>
      <c r="E2758" t="inlineStr">
        <is>
          <t>air::urban air close to ground</t>
        </is>
      </c>
      <c r="F2758" t="inlineStr">
        <is>
          <t>biosphere</t>
        </is>
      </c>
      <c r="I2758">
        <v>0</v>
      </c>
    </row>
    <row r="2759">
      <c r="A2759" t="inlineStr">
        <is>
          <t>PAH, polycyclic aromatic hydrocarbons</t>
        </is>
      </c>
      <c r="B2759">
        <v>1.3253673720206761e-09</v>
      </c>
      <c r="D2759" t="inlineStr">
        <is>
          <t>kilogram</t>
        </is>
      </c>
      <c r="E2759" t="inlineStr">
        <is>
          <t>air::non-urban air or from high stacks</t>
        </is>
      </c>
      <c r="F2759" t="inlineStr">
        <is>
          <t>biosphere</t>
        </is>
      </c>
      <c r="I2759">
        <v>0</v>
      </c>
    </row>
    <row r="2760">
      <c r="A2760" t="inlineStr">
        <is>
          <t>Particulate Matter, &lt; 2.5 um</t>
        </is>
      </c>
      <c r="B2760">
        <v>4.776281554847676e-07</v>
      </c>
      <c r="D2760" t="inlineStr">
        <is>
          <t>kilogram</t>
        </is>
      </c>
      <c r="E2760" t="inlineStr">
        <is>
          <t>air::non-urban air or from high stacks</t>
        </is>
      </c>
      <c r="F2760" t="inlineStr">
        <is>
          <t>biosphere</t>
        </is>
      </c>
      <c r="I2760">
        <v>0</v>
      </c>
    </row>
    <row r="2761">
      <c r="A2761" t="inlineStr">
        <is>
          <t>Pentane</t>
        </is>
      </c>
      <c r="B2761">
        <v>5.836904424366724e-10</v>
      </c>
      <c r="D2761" t="inlineStr">
        <is>
          <t>kilogram</t>
        </is>
      </c>
      <c r="E2761" t="inlineStr">
        <is>
          <t>air::non-urban air or from high stacks</t>
        </is>
      </c>
      <c r="F2761" t="inlineStr">
        <is>
          <t>biosphere</t>
        </is>
      </c>
      <c r="I2761">
        <v>0</v>
      </c>
    </row>
    <row r="2762">
      <c r="A2762" t="inlineStr">
        <is>
          <t>1,1,1,2-Tetrafluoroethane</t>
        </is>
      </c>
      <c r="B2762">
        <v>1.0592803277176511e-07</v>
      </c>
      <c r="D2762" t="inlineStr">
        <is>
          <t>kilogram</t>
        </is>
      </c>
      <c r="E2762" t="inlineStr">
        <is>
          <t>air</t>
        </is>
      </c>
      <c r="F2762" t="inlineStr">
        <is>
          <t>biosphere</t>
        </is>
      </c>
      <c r="I2762">
        <v>0</v>
      </c>
    </row>
    <row r="2763">
      <c r="A2763" t="inlineStr">
        <is>
          <t>Acetaldehyde</t>
        </is>
      </c>
      <c r="B2763">
        <v>1.6591821111403828e-08</v>
      </c>
      <c r="D2763" t="inlineStr">
        <is>
          <t>kilogram</t>
        </is>
      </c>
      <c r="E2763" t="inlineStr">
        <is>
          <t>air::urban air close to ground</t>
        </is>
      </c>
      <c r="F2763" t="inlineStr">
        <is>
          <t>biosphere</t>
        </is>
      </c>
      <c r="I2763">
        <v>0</v>
      </c>
    </row>
    <row r="2764">
      <c r="A2764" t="inlineStr">
        <is>
          <t>Benzene</t>
        </is>
      </c>
      <c r="B2764">
        <v>6.21217814219678e-09</v>
      </c>
      <c r="D2764" t="inlineStr">
        <is>
          <t>kilogram</t>
        </is>
      </c>
      <c r="E2764" t="inlineStr">
        <is>
          <t>air::urban air close to ground</t>
        </is>
      </c>
      <c r="F2764" t="inlineStr">
        <is>
          <t>biosphere</t>
        </is>
      </c>
      <c r="I2764">
        <v>0</v>
      </c>
    </row>
    <row r="2765">
      <c r="A2765" t="inlineStr">
        <is>
          <t>Mercury II</t>
        </is>
      </c>
      <c r="B2765">
        <v>3.342847041832335e-11</v>
      </c>
      <c r="D2765" t="inlineStr">
        <is>
          <t>kilogram</t>
        </is>
      </c>
      <c r="E2765" t="inlineStr">
        <is>
          <t>air::urban air close to ground</t>
        </is>
      </c>
      <c r="F2765" t="inlineStr">
        <is>
          <t>biosphere</t>
        </is>
      </c>
      <c r="I2765">
        <v>0</v>
      </c>
    </row>
    <row r="2766">
      <c r="A2766" t="inlineStr">
        <is>
          <t>Cadmium II</t>
        </is>
      </c>
      <c r="B2766">
        <v>3.152603660310432e-13</v>
      </c>
      <c r="D2766" t="inlineStr">
        <is>
          <t>kilogram</t>
        </is>
      </c>
      <c r="E2766" t="inlineStr">
        <is>
          <t>air::urban air close to ground</t>
        </is>
      </c>
      <c r="F2766" t="inlineStr">
        <is>
          <t>biosphere</t>
        </is>
      </c>
      <c r="I2766">
        <v>0</v>
      </c>
    </row>
    <row r="2767">
      <c r="A2767" t="inlineStr">
        <is>
          <t>Propane</t>
        </is>
      </c>
      <c r="B2767">
        <v>9.728174395924623e-10</v>
      </c>
      <c r="D2767" t="inlineStr">
        <is>
          <t>kilogram</t>
        </is>
      </c>
      <c r="E2767" t="inlineStr">
        <is>
          <t>air::non-urban air or from high stacks</t>
        </is>
      </c>
      <c r="F2767" t="inlineStr">
        <is>
          <t>biosphere</t>
        </is>
      </c>
      <c r="I2767">
        <v>0</v>
      </c>
    </row>
    <row r="2768">
      <c r="A2768" t="inlineStr">
        <is>
          <t>Chromium III</t>
        </is>
      </c>
      <c r="B2768">
        <v>1.4418831693273988e-10</v>
      </c>
      <c r="D2768" t="inlineStr">
        <is>
          <t>kilogram</t>
        </is>
      </c>
      <c r="E2768" t="inlineStr">
        <is>
          <t>air::non-urban air or from high stacks</t>
        </is>
      </c>
      <c r="F2768" t="inlineStr">
        <is>
          <t>biosphere</t>
        </is>
      </c>
      <c r="I2768">
        <v>0</v>
      </c>
    </row>
    <row r="2769">
      <c r="A2769" t="inlineStr">
        <is>
          <t>Acrolein</t>
        </is>
      </c>
      <c r="B2769">
        <v>6.42615413607384e-09</v>
      </c>
      <c r="D2769" t="inlineStr">
        <is>
          <t>kilogram</t>
        </is>
      </c>
      <c r="E2769" t="inlineStr">
        <is>
          <t>air::urban air close to ground</t>
        </is>
      </c>
      <c r="F2769" t="inlineStr">
        <is>
          <t>biosphere</t>
        </is>
      </c>
      <c r="I2769">
        <v>0</v>
      </c>
    </row>
    <row r="2770">
      <c r="A2770" t="inlineStr">
        <is>
          <t>Benzaldehyde</t>
        </is>
      </c>
      <c r="B2770">
        <v>4.9739159967409846e-09</v>
      </c>
      <c r="D2770" t="inlineStr">
        <is>
          <t>kilogram</t>
        </is>
      </c>
      <c r="E2770" t="inlineStr">
        <is>
          <t>air::urban air close to ground</t>
        </is>
      </c>
      <c r="F2770" t="inlineStr">
        <is>
          <t>biosphere</t>
        </is>
      </c>
      <c r="I2770">
        <v>0</v>
      </c>
    </row>
    <row r="2771">
      <c r="A2771" t="inlineStr">
        <is>
          <t>Heptane</t>
        </is>
      </c>
      <c r="B2771">
        <v>1.0891786755623254e-09</v>
      </c>
      <c r="D2771" t="inlineStr">
        <is>
          <t>kilogram</t>
        </is>
      </c>
      <c r="E2771" t="inlineStr">
        <is>
          <t>air::urban air close to ground</t>
        </is>
      </c>
      <c r="F2771" t="inlineStr">
        <is>
          <t>biosphere</t>
        </is>
      </c>
      <c r="I2771">
        <v>0</v>
      </c>
    </row>
    <row r="2772">
      <c r="A2772" t="inlineStr">
        <is>
          <t>o-Xylene</t>
        </is>
      </c>
      <c r="B2772">
        <v>1.452238139332855e-09</v>
      </c>
      <c r="D2772" t="inlineStr">
        <is>
          <t>kilogram</t>
        </is>
      </c>
      <c r="E2772" t="inlineStr">
        <is>
          <t>air::urban air close to ground</t>
        </is>
      </c>
      <c r="F2772" t="inlineStr">
        <is>
          <t>biosphere</t>
        </is>
      </c>
      <c r="I2772">
        <v>0</v>
      </c>
    </row>
    <row r="2773">
      <c r="A2773" t="inlineStr">
        <is>
          <t>Selenium IV</t>
        </is>
      </c>
      <c r="B2773">
        <v>6.332385327245513e-13</v>
      </c>
      <c r="D2773" t="inlineStr">
        <is>
          <t>kilogram</t>
        </is>
      </c>
      <c r="E2773" t="inlineStr">
        <is>
          <t>air::urban air close to ground</t>
        </is>
      </c>
      <c r="F2773" t="inlineStr">
        <is>
          <t>biosphere</t>
        </is>
      </c>
      <c r="I2773">
        <v>0</v>
      </c>
    </row>
    <row r="2774">
      <c r="A2774" t="inlineStr">
        <is>
          <t>Styrene</t>
        </is>
      </c>
      <c r="B2774">
        <v>2.033133508766291e-09</v>
      </c>
      <c r="D2774" t="inlineStr">
        <is>
          <t>kilogram</t>
        </is>
      </c>
      <c r="E2774" t="inlineStr">
        <is>
          <t>air::urban air close to ground</t>
        </is>
      </c>
      <c r="F2774" t="inlineStr">
        <is>
          <t>biosphere</t>
        </is>
      </c>
      <c r="I2774">
        <v>0</v>
      </c>
    </row>
    <row r="2775">
      <c r="A2775" t="inlineStr">
        <is>
          <t>Acetaldehyde</t>
        </is>
      </c>
      <c r="B2775">
        <v>4.4457756307173774e-08</v>
      </c>
      <c r="D2775" t="inlineStr">
        <is>
          <t>kilogram</t>
        </is>
      </c>
      <c r="E2775" t="inlineStr">
        <is>
          <t>air::non-urban air or from high stacks</t>
        </is>
      </c>
      <c r="F2775" t="inlineStr">
        <is>
          <t>biosphere</t>
        </is>
      </c>
      <c r="I2775">
        <v>0</v>
      </c>
    </row>
    <row r="2776">
      <c r="A2776" t="inlineStr">
        <is>
          <t>Acrolein</t>
        </is>
      </c>
      <c r="B2776">
        <v>1.7218867998584824e-08</v>
      </c>
      <c r="D2776" t="inlineStr">
        <is>
          <t>kilogram</t>
        </is>
      </c>
      <c r="E2776" t="inlineStr">
        <is>
          <t>air::non-urban air or from high stacks</t>
        </is>
      </c>
      <c r="F2776" t="inlineStr">
        <is>
          <t>biosphere</t>
        </is>
      </c>
      <c r="I2776">
        <v>0</v>
      </c>
    </row>
    <row r="2777">
      <c r="A2777" t="inlineStr">
        <is>
          <t>Benzaldehyde</t>
        </is>
      </c>
      <c r="B2777">
        <v>1.3327598240214973e-08</v>
      </c>
      <c r="D2777" t="inlineStr">
        <is>
          <t>kilogram</t>
        </is>
      </c>
      <c r="E2777" t="inlineStr">
        <is>
          <t>air::non-urban air or from high stacks</t>
        </is>
      </c>
      <c r="F2777" t="inlineStr">
        <is>
          <t>biosphere</t>
        </is>
      </c>
      <c r="I2777">
        <v>0</v>
      </c>
    </row>
    <row r="2778">
      <c r="A2778" t="inlineStr">
        <is>
          <t>Heptane</t>
        </is>
      </c>
      <c r="B2778">
        <v>2.9184523187773873e-09</v>
      </c>
      <c r="D2778" t="inlineStr">
        <is>
          <t>kilogram</t>
        </is>
      </c>
      <c r="E2778" t="inlineStr">
        <is>
          <t>air::non-urban air or from high stacks</t>
        </is>
      </c>
      <c r="F2778" t="inlineStr">
        <is>
          <t>biosphere</t>
        </is>
      </c>
      <c r="I2778">
        <v>0</v>
      </c>
    </row>
    <row r="2779">
      <c r="A2779" t="inlineStr">
        <is>
          <t>m-Xylene</t>
        </is>
      </c>
      <c r="B2779">
        <v>9.533610453204961e-09</v>
      </c>
      <c r="D2779" t="inlineStr">
        <is>
          <t>kilogram</t>
        </is>
      </c>
      <c r="E2779" t="inlineStr">
        <is>
          <t>air::non-urban air or from high stacks</t>
        </is>
      </c>
      <c r="F2779" t="inlineStr">
        <is>
          <t>biosphere</t>
        </is>
      </c>
      <c r="I2779">
        <v>0</v>
      </c>
    </row>
    <row r="2780">
      <c r="A2780" t="inlineStr">
        <is>
          <t>o-Xylene</t>
        </is>
      </c>
      <c r="B2780">
        <v>3.891269758369849e-09</v>
      </c>
      <c r="D2780" t="inlineStr">
        <is>
          <t>kilogram</t>
        </is>
      </c>
      <c r="E2780" t="inlineStr">
        <is>
          <t>air::non-urban air or from high stacks</t>
        </is>
      </c>
      <c r="F2780" t="inlineStr">
        <is>
          <t>biosphere</t>
        </is>
      </c>
      <c r="I2780">
        <v>0</v>
      </c>
    </row>
    <row r="2781">
      <c r="A2781" t="inlineStr">
        <is>
          <t>Styrene</t>
        </is>
      </c>
      <c r="B2781">
        <v>5.447777889118377e-09</v>
      </c>
      <c r="D2781" t="inlineStr">
        <is>
          <t>kilogram</t>
        </is>
      </c>
      <c r="E2781" t="inlineStr">
        <is>
          <t>air::non-urban air or from high stacks</t>
        </is>
      </c>
      <c r="F2781" t="inlineStr">
        <is>
          <t>biosphere</t>
        </is>
      </c>
      <c r="I2781">
        <v>0</v>
      </c>
    </row>
    <row r="2782">
      <c r="A2782" t="inlineStr">
        <is>
          <t>exhaust system, for lorry</t>
        </is>
      </c>
      <c r="B2782">
        <v>2.4791665583947556e-05</v>
      </c>
      <c r="C2782" t="inlineStr">
        <is>
          <t>RER</t>
        </is>
      </c>
      <c r="D2782" t="inlineStr">
        <is>
          <t>kilogram</t>
        </is>
      </c>
      <c r="F2782" t="inlineStr">
        <is>
          <t>technosphere</t>
        </is>
      </c>
      <c r="G2782" t="inlineStr">
        <is>
          <t>exhaust system, for lorry</t>
        </is>
      </c>
      <c r="H2782" t="inlineStr">
        <is>
          <t> Energy-use allocation: 220 * 1.367427797431765e-07 / 1.2134485858415922 MJ per ton kilometer.</t>
        </is>
      </c>
      <c r="I2782">
        <v>0</v>
      </c>
    </row>
    <row r="2783">
      <c r="A2783" t="inlineStr">
        <is>
          <t>fuel tank, for diesel vehicle</t>
        </is>
      </c>
      <c r="B2783">
        <v>6.181935329374144e-06</v>
      </c>
      <c r="C2783" t="inlineStr">
        <is>
          <t>RER</t>
        </is>
      </c>
      <c r="D2783" t="inlineStr">
        <is>
          <t>kilogram</t>
        </is>
      </c>
      <c r="F2783" t="inlineStr">
        <is>
          <t>technosphere</t>
        </is>
      </c>
      <c r="G2783" t="inlineStr">
        <is>
          <t>fuel tank</t>
        </is>
      </c>
      <c r="H2783" t="inlineStr">
        <is>
          <t> Energy-use allocation: 54.85818481445312 * 1.367427797431765e-07 / 1.2134485858415922 MJ per ton kilometer.</t>
        </is>
      </c>
      <c r="I2783">
        <v>0</v>
      </c>
    </row>
    <row r="2784">
      <c r="A2784" t="inlineStr">
        <is>
          <t>gearbox, for lorry</t>
        </is>
      </c>
      <c r="B2784">
        <v>2.271818151381884e-05</v>
      </c>
      <c r="C2784" t="inlineStr">
        <is>
          <t>RER</t>
        </is>
      </c>
      <c r="D2784" t="inlineStr">
        <is>
          <t>kilogram</t>
        </is>
      </c>
      <c r="F2784" t="inlineStr">
        <is>
          <t>technosphere</t>
        </is>
      </c>
      <c r="G2784" t="inlineStr">
        <is>
          <t>gearbox, for lorry</t>
        </is>
      </c>
      <c r="H2784" t="inlineStr">
        <is>
          <t> Energy-use allocation: 201.6000061035156 * 1.367427797431765e-07 / 1.2134485858415922 MJ per ton kilometer.</t>
        </is>
      </c>
      <c r="I2784">
        <v>0</v>
      </c>
    </row>
    <row r="2785">
      <c r="A2785" t="inlineStr">
        <is>
          <t>internal combustion engine, for lorry</t>
        </is>
      </c>
      <c r="B2785">
        <v>0.000121895652649343</v>
      </c>
      <c r="C2785" t="inlineStr">
        <is>
          <t>RER</t>
        </is>
      </c>
      <c r="D2785" t="inlineStr">
        <is>
          <t>kilogram</t>
        </is>
      </c>
      <c r="F2785" t="inlineStr">
        <is>
          <t>technosphere</t>
        </is>
      </c>
      <c r="G2785" t="inlineStr">
        <is>
          <t>internal combustion engine, for lorry</t>
        </is>
      </c>
      <c r="H2785" t="inlineStr">
        <is>
          <t> Energy-use allocation: 1081.695922851562 * 1.367427797431765e-07 / 1.2134485858415922 MJ per ton kilometer.</t>
        </is>
      </c>
      <c r="I2785">
        <v>0</v>
      </c>
    </row>
    <row r="2786">
      <c r="A2786" t="inlineStr">
        <is>
          <t>lead acid battery, for lorry</t>
        </is>
      </c>
      <c r="B2786">
        <v>3.7651515024380753e-06</v>
      </c>
      <c r="C2786" t="inlineStr">
        <is>
          <t>RER</t>
        </is>
      </c>
      <c r="D2786" t="inlineStr">
        <is>
          <t>kilogram</t>
        </is>
      </c>
      <c r="F2786" t="inlineStr">
        <is>
          <t>technosphere</t>
        </is>
      </c>
      <c r="G2786" t="inlineStr">
        <is>
          <t>lead acid battery, for lorry</t>
        </is>
      </c>
      <c r="H2786" t="inlineStr">
        <is>
          <t> Energy-use allocation: 33.41176605224609 * 1.367427797431765e-07 / 1.2134485858415922 MJ per ton kilometer.</t>
        </is>
      </c>
      <c r="I2786">
        <v>0</v>
      </c>
    </row>
    <row r="2787">
      <c r="A2787" t="inlineStr">
        <is>
          <t>power electronics, for lorry</t>
        </is>
      </c>
      <c r="B2787">
        <v>2.986268808975501e-05</v>
      </c>
      <c r="C2787" t="inlineStr">
        <is>
          <t>RER</t>
        </is>
      </c>
      <c r="D2787" t="inlineStr">
        <is>
          <t>kilogram</t>
        </is>
      </c>
      <c r="F2787" t="inlineStr">
        <is>
          <t>technosphere</t>
        </is>
      </c>
      <c r="G2787" t="inlineStr">
        <is>
          <t>power electronics, for lorry</t>
        </is>
      </c>
      <c r="H2787" t="inlineStr">
        <is>
          <t> Energy-use allocation: 265 * 1.367427797431765e-07 / 1.2134485858415922 MJ per ton kilometer.</t>
        </is>
      </c>
      <c r="I2787">
        <v>0</v>
      </c>
    </row>
    <row r="2788">
      <c r="A2788" t="inlineStr">
        <is>
          <t>retarder, for lorry</t>
        </is>
      </c>
      <c r="B2788">
        <v>7.572726598105075e-06</v>
      </c>
      <c r="C2788" t="inlineStr">
        <is>
          <t>RER</t>
        </is>
      </c>
      <c r="D2788" t="inlineStr">
        <is>
          <t>kilogram</t>
        </is>
      </c>
      <c r="F2788" t="inlineStr">
        <is>
          <t>technosphere</t>
        </is>
      </c>
      <c r="G2788" t="inlineStr">
        <is>
          <t>retarder, for lorry</t>
        </is>
      </c>
      <c r="H2788" t="inlineStr">
        <is>
          <t> Energy-use allocation: 67.19999694824219 * 1.367427797431765e-07 / 1.2134485858415922 MJ per ton kilometer.</t>
        </is>
      </c>
      <c r="I2788">
        <v>0</v>
      </c>
    </row>
    <row r="2789">
      <c r="A2789" t="inlineStr">
        <is>
          <t>transmission, for lorry</t>
        </is>
      </c>
      <c r="B2789">
        <v>3.281514801862079e-05</v>
      </c>
      <c r="C2789" t="inlineStr">
        <is>
          <t>RER</t>
        </is>
      </c>
      <c r="D2789" t="inlineStr">
        <is>
          <t>kilogram</t>
        </is>
      </c>
      <c r="F2789" t="inlineStr">
        <is>
          <t>technosphere</t>
        </is>
      </c>
      <c r="G2789" t="inlineStr">
        <is>
          <t>transmission, for lorry</t>
        </is>
      </c>
      <c r="H2789" t="inlineStr">
        <is>
          <t> Energy-use allocation: 291.1999816894531 * 1.367427797431765e-07 / 1.2134485858415922 MJ per ton kilometer.</t>
        </is>
      </c>
      <c r="I2789">
        <v>0</v>
      </c>
    </row>
    <row r="2790">
      <c r="A2790" t="inlineStr">
        <is>
          <t>Carbon dioxide, non-fossil</t>
        </is>
      </c>
      <c r="B2790">
        <v>0.0732</v>
      </c>
      <c r="D2790" t="inlineStr">
        <is>
          <t>kilogram</t>
        </is>
      </c>
      <c r="E2790" t="inlineStr">
        <is>
          <t>air</t>
        </is>
      </c>
      <c r="F2790" t="inlineStr">
        <is>
          <t>biosphere</t>
        </is>
      </c>
      <c r="I2790">
        <v>0</v>
      </c>
    </row>
    <row r="2791"/>
    <row r="2792">
      <c r="A2792" t="inlineStr">
        <is>
          <t>Activity</t>
        </is>
      </c>
      <c r="B2792" t="inlineStr">
        <is>
          <t>electricity, used in heavy-duty vehicle</t>
        </is>
      </c>
    </row>
    <row r="2793">
      <c r="A2793" t="inlineStr">
        <is>
          <t>location</t>
        </is>
      </c>
      <c r="B2793" t="inlineStr">
        <is>
          <t>RER</t>
        </is>
      </c>
    </row>
    <row r="2794">
      <c r="A2794" t="inlineStr">
        <is>
          <t>production amount</t>
        </is>
      </c>
      <c r="B2794">
        <v>1</v>
      </c>
    </row>
    <row r="2795">
      <c r="A2795" t="inlineStr">
        <is>
          <t>reference product</t>
        </is>
      </c>
      <c r="B2795" t="inlineStr">
        <is>
          <t>electricity, low voltage</t>
        </is>
      </c>
    </row>
    <row r="2796">
      <c r="A2796" t="inlineStr">
        <is>
          <t>type</t>
        </is>
      </c>
      <c r="B2796" t="inlineStr">
        <is>
          <t>process</t>
        </is>
      </c>
    </row>
    <row r="2797">
      <c r="A2797" t="inlineStr">
        <is>
          <t>unit</t>
        </is>
      </c>
      <c r="B2797" t="inlineStr">
        <is>
          <t>megajoule</t>
        </is>
      </c>
    </row>
    <row r="2798">
      <c r="A2798" t="inlineStr">
        <is>
          <t>source</t>
        </is>
      </c>
      <c r="B2798" t="inlineStr">
        <is>
          <t>Sacchi, R., Bauer, C., and Cox, B. Does size matter? The influence of size, load factor, range autonomy and application type on the Life Cycle Assessment of current and future trucks. 2021. Environmental Science and Technology.</t>
        </is>
      </c>
    </row>
    <row r="2799">
      <c r="A2799" t="inlineStr">
        <is>
          <t>description</t>
        </is>
      </c>
      <c r="B2799"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00">
      <c r="A2800" t="inlineStr">
        <is>
          <t>comment</t>
        </is>
      </c>
      <c r="B2800" t="inlineStr">
        <is>
          <t>Produces consumption of 1 MJ of purchased energy. Representative powertrain carrier: electricity. energy-specific equipment; excludes chassis, body, roads and whole-vehicle maintenance. Source transport, freight, lorry, battery electric, 40 metric ton [RER]; 0.434422271979947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66.9 \%. Tank-to-wheel energy consumption: 3966 kj/km. Fuel consumption: 0.0 l/100km. Electricity consumption: 124.3 kWh/100km. Battery capacity: 550 kWh. Fuel tank capacity: 0.0 kWh. Power share from combustion engine: 0.0 \%. Combustion engine power: 0.0 kW. Electric motor power: 445 kW. Curb mass (excl. driver and cargo): 17140 kg. Driving mass (incl. driver and cargo): 27515 kg. Battery mass: 3278 kg. Fuel cell system efficiency: 0.0 \%. Number of passengers onboard: 1.0 passenger(s). Available payload: 22784 kg. Payload: 10300 kg. Load factor: 45.2 \%. Autonomy on a full tank/battery: 400 km.  Carbon accounting: full-oxidation CO2 plus separately estimated pollutants; not a closed elemental carbon balance.</t>
        </is>
      </c>
    </row>
    <row r="2801">
      <c r="A2801" t="inlineStr">
        <is>
          <t>Power, mean</t>
        </is>
      </c>
      <c r="B2801">
        <v>323</v>
      </c>
    </row>
    <row r="2802">
      <c r="A2802" t="inlineStr">
        <is>
          <t>Power, min</t>
        </is>
      </c>
      <c r="B2802">
        <v>130</v>
      </c>
    </row>
    <row r="2803">
      <c r="A2803" t="inlineStr">
        <is>
          <t>Power, max</t>
        </is>
      </c>
      <c r="B2803">
        <v>460</v>
      </c>
    </row>
    <row r="2804">
      <c r="A2804" t="inlineStr">
        <is>
          <t>Lifetime, mean</t>
        </is>
      </c>
      <c r="B2804">
        <v>1000000</v>
      </c>
    </row>
    <row r="2805">
      <c r="A2805" t="inlineStr">
        <is>
          <t>Lifetime, min</t>
        </is>
      </c>
      <c r="B2805">
        <v>500000</v>
      </c>
    </row>
    <row r="2806">
      <c r="A2806" t="inlineStr">
        <is>
          <t>Lifetime, max</t>
        </is>
      </c>
      <c r="B2806">
        <v>1200000</v>
      </c>
    </row>
    <row r="2807">
      <c r="A2807" t="inlineStr">
        <is>
          <t>Energy use, mean</t>
        </is>
      </c>
      <c r="B2807">
        <v>3440</v>
      </c>
    </row>
    <row r="2808">
      <c r="A2808" t="inlineStr">
        <is>
          <t>Energy use, min</t>
        </is>
      </c>
      <c r="B2808">
        <v>1730</v>
      </c>
    </row>
    <row r="2809">
      <c r="A2809" t="inlineStr">
        <is>
          <t>Energy use, max</t>
        </is>
      </c>
      <c r="B2809">
        <v>4720</v>
      </c>
    </row>
    <row r="2810">
      <c r="A2810" t="inlineStr">
        <is>
          <t>Electric motor, mean</t>
        </is>
      </c>
      <c r="B2810">
        <v>360</v>
      </c>
    </row>
    <row r="2811">
      <c r="A2811" t="inlineStr">
        <is>
          <t>Electric motor, min</t>
        </is>
      </c>
      <c r="B2811">
        <v>66</v>
      </c>
    </row>
    <row r="2812">
      <c r="A2812" t="inlineStr">
        <is>
          <t>Electric motor, max</t>
        </is>
      </c>
      <c r="B2812">
        <v>350</v>
      </c>
    </row>
    <row r="2813">
      <c r="A2813" t="inlineStr">
        <is>
          <t>Combustion engine, mean</t>
        </is>
      </c>
      <c r="B2813">
        <v>0</v>
      </c>
    </row>
    <row r="2814">
      <c r="A2814" t="inlineStr">
        <is>
          <t>Combustion engine, min</t>
        </is>
      </c>
      <c r="B2814">
        <v>0</v>
      </c>
    </row>
    <row r="2815">
      <c r="A2815" t="inlineStr">
        <is>
          <t>Combustion engine, max</t>
        </is>
      </c>
      <c r="B2815">
        <v>0</v>
      </c>
    </row>
    <row r="2816">
      <c r="A2816" t="inlineStr">
        <is>
          <t>Fuel tank, mean</t>
        </is>
      </c>
      <c r="B2816">
        <v>0</v>
      </c>
    </row>
    <row r="2817">
      <c r="A2817" t="inlineStr">
        <is>
          <t>Fuel tank, min</t>
        </is>
      </c>
      <c r="B2817">
        <v>0</v>
      </c>
    </row>
    <row r="2818">
      <c r="A2818" t="inlineStr">
        <is>
          <t>Fuel tank, max</t>
        </is>
      </c>
      <c r="B2818">
        <v>0</v>
      </c>
    </row>
    <row r="2819">
      <c r="A2819" t="inlineStr">
        <is>
          <t>Battery capacity, mean</t>
        </is>
      </c>
      <c r="B2819">
        <v>480</v>
      </c>
    </row>
    <row r="2820">
      <c r="A2820" t="inlineStr">
        <is>
          <t>Battery capacity, min</t>
        </is>
      </c>
      <c r="B2820">
        <v>240</v>
      </c>
    </row>
    <row r="2821">
      <c r="A2821" t="inlineStr">
        <is>
          <t>Battery capacity, max</t>
        </is>
      </c>
      <c r="B2821">
        <v>655</v>
      </c>
    </row>
    <row r="2822">
      <c r="A2822" t="inlineStr">
        <is>
          <t>Battery replacement, mean</t>
        </is>
      </c>
      <c r="B2822">
        <v>0</v>
      </c>
    </row>
    <row r="2823">
      <c r="A2823" t="inlineStr">
        <is>
          <t>Battery replacement, min</t>
        </is>
      </c>
      <c r="B2823">
        <v>0</v>
      </c>
    </row>
    <row r="2824">
      <c r="A2824" t="inlineStr">
        <is>
          <t>Battery replacement, max</t>
        </is>
      </c>
      <c r="B2824">
        <v>0</v>
      </c>
    </row>
    <row r="2825">
      <c r="A2825" t="inlineStr">
        <is>
          <t>Fuel cell system, mean</t>
        </is>
      </c>
      <c r="B2825">
        <v>0</v>
      </c>
    </row>
    <row r="2826">
      <c r="A2826" t="inlineStr">
        <is>
          <t>Fuel cell system, min</t>
        </is>
      </c>
      <c r="B2826">
        <v>0</v>
      </c>
    </row>
    <row r="2827">
      <c r="A2827" t="inlineStr">
        <is>
          <t>Fuel cell system, max</t>
        </is>
      </c>
      <c r="B2827">
        <v>0</v>
      </c>
    </row>
    <row r="2828">
      <c r="A2828" t="inlineStr">
        <is>
          <t>Fuel cell stack replacement, mean</t>
        </is>
      </c>
      <c r="B2828">
        <v>0</v>
      </c>
    </row>
    <row r="2829">
      <c r="A2829" t="inlineStr">
        <is>
          <t>Fuel cell replacement, min</t>
        </is>
      </c>
      <c r="B2829">
        <v>0</v>
      </c>
    </row>
    <row r="2830">
      <c r="A2830" t="inlineStr">
        <is>
          <t>Fuel cell replacement, max</t>
        </is>
      </c>
      <c r="B2830">
        <v>0</v>
      </c>
    </row>
    <row r="2831">
      <c r="A2831" t="inlineStr">
        <is>
          <t>Onboard charger mass</t>
        </is>
      </c>
      <c r="B2831">
        <v>0</v>
      </c>
    </row>
    <row r="2832">
      <c r="A2832" t="inlineStr">
        <is>
          <t>Controller mass</t>
        </is>
      </c>
      <c r="B2832">
        <v>0</v>
      </c>
    </row>
    <row r="2833">
      <c r="A2833" t="inlineStr">
        <is>
          <t>Converter mass</t>
        </is>
      </c>
      <c r="B2833">
        <v>25</v>
      </c>
    </row>
    <row r="2834">
      <c r="A2834" t="inlineStr">
        <is>
          <t>Electrical powertrain mass</t>
        </is>
      </c>
      <c r="B2834">
        <v>166</v>
      </c>
    </row>
    <row r="2835">
      <c r="A2835" t="inlineStr">
        <is>
          <t>Inverter mass</t>
        </is>
      </c>
      <c r="B2835">
        <v>15</v>
      </c>
    </row>
    <row r="2836">
      <c r="A2836" t="inlineStr">
        <is>
          <t>NOx</t>
        </is>
      </c>
      <c r="B2836">
        <v>0</v>
      </c>
    </row>
    <row r="2837">
      <c r="A2837" t="inlineStr">
        <is>
          <t>PM 2.5</t>
        </is>
      </c>
      <c r="B2837">
        <v>0</v>
      </c>
    </row>
    <row r="2838">
      <c r="A2838" t="inlineStr">
        <is>
          <t>energy use source</t>
        </is>
      </c>
      <c r="B2838" t="inlineStr">
        <is>
          <t>{"source": ["transport, freight, lorry, battery electric, 40 metric ton", "transport, freight, lorry", "RER", "ton kilometer"], "source unit": "ton kilometer", "purchased MJ per source service": 0.4344222719799472, "boundary": "energy-specific equipment; excludes chassis, body, roads and whole-vehicle maintenance", "retained equipment": [{"supplier": ["EV charger, level 3, plugin, 200 kW", "EV charger, level 3, plugin, 200 kW", "RER", "unit"], "amount per vehicle": 0.1218137145042419, "vehicle per source service": 1.367427797431765e-07, "replacement correction factor": 1.0, "amount per MJ": 3.8343213519496126e-08}, {"supplier": ["gearbox, for lorry", "gearbox, for lorry", "RER", "kilogram"], "amount per vehicle": 201.6000061035156, "vehicle per source service": 1.367427797431765e-07, "replacement correction factor": 1.0, "amount per MJ": 6.34574859737131e-05}, {"supplier": ["power electronics, for lorry", "power electronics, for lorry", "RER", "kilogram"], "amount per vehicle": 265.0, "vehicle per source service": 1.367427797431765e-07, "replacement correction factor": 1.0, "amount per MJ": 8.341385552537798e-05}, {"supplier": ["retarder, for lorry", "retarder, for lorry", "RER", "kilogram"], "amount per vehicle": 67.19999694824219, "vehicle per source service": 1.367427797431765e-07, "replacement correction factor": 1.0, "amount per MJ": 2.1152493723571755e-05}, {"supplier": ["transmission, for lorry", "transmission, for lorry", "RER", "kilogram"], "amount per vehicle": 291.1999816894531, "vehicle per source service": 1.367427797431765e-07, "replacement correction factor": 1.0, "amount per MJ": 9.166080453447832e-05}, {"supplier": ["market for converter, for electric passenger car", "converter, for electric passenger car", "GLO", "kilogram"], "amount per vehicle": 25.0, "vehicle per source service": 1.367427797431765e-07, "replacement correction factor": 1.0, "amount per MJ": 7.869231653337545e-06}, {"supplier": ["market for electric motor, electric passenger car", "electric motor, electric passenger car", "GLO", "kilogram"], "amount per vehicle": 600.0, "vehicle per source service": 1.367427797431765e-07, "replacement correction factor": 1.0, "amount per MJ": 0.00018886155968010109}, {"supplier": ["market for inverter, for electric passenger car", "inverter, for electric passenger car", "GLO", "kilogram"], "amount per vehicle": 27.72018623352051, "vehicle per source service": 1.367427797431765e-07, "replacement correction factor": 1.0, "amount per MJ": 8.725462677809252e-06}, {"supplier": ["market for power distribution unit, for electric passenger car", "power distribution unit, for electric passenger car", "GLO", "kilogram"], "amount per vehicle": 4.0, "vehicle per source service": 1.367427797431765e-07, "replacement correction factor": 1.0, "amount per MJ": 1.2590770645340072e-06}, {"supplier": ["market for battery capacity (MIX scenario)", "electricity storage capacity", "GLO", "kilowatt hour"], "amount per vehicle": 550.864990234375, "vehicle per source service": 1.367427797431765e-07, "replacement correction factor": 1.0, "amount per MJ": 0.00017339536871471286}], "excluded": [{"supplier": "market for road", "amount per source service": 0.001434567764745078}, {"supplier": "market for road maintenance", "amount per source service": 0.0001252427161273638}, {"supplier": ["assembly operation, for lorry", "assembly operation, for lorry", "RER", "kilogram"], "amount per vehicle": 17140.91796875,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839">
      <c r="A2839" t="inlineStr">
        <is>
          <t>Exchanges</t>
        </is>
      </c>
    </row>
    <row r="2840">
      <c r="A2840" t="inlineStr">
        <is>
          <t>name</t>
        </is>
      </c>
      <c r="B2840" t="inlineStr">
        <is>
          <t>amount</t>
        </is>
      </c>
      <c r="C2840" t="inlineStr">
        <is>
          <t>location</t>
        </is>
      </c>
      <c r="D2840" t="inlineStr">
        <is>
          <t>unit</t>
        </is>
      </c>
      <c r="E2840" t="inlineStr">
        <is>
          <t>categories</t>
        </is>
      </c>
      <c r="F2840" t="inlineStr">
        <is>
          <t>type</t>
        </is>
      </c>
      <c r="G2840" t="inlineStr">
        <is>
          <t>reference product</t>
        </is>
      </c>
      <c r="H2840" t="inlineStr">
        <is>
          <t>comment</t>
        </is>
      </c>
      <c r="I2840" t="inlineStr">
        <is>
          <t>uncertainty type</t>
        </is>
      </c>
    </row>
    <row r="2841">
      <c r="A2841" t="inlineStr">
        <is>
          <t>electricity, used in heavy-duty vehicle</t>
        </is>
      </c>
      <c r="B2841">
        <v>1.0</v>
      </c>
      <c r="C2841" t="inlineStr">
        <is>
          <t>RER</t>
        </is>
      </c>
      <c r="D2841" t="inlineStr">
        <is>
          <t>megajoule</t>
        </is>
      </c>
      <c r="E2841" t="inlineStr">
        <is>
          <t/>
        </is>
      </c>
      <c r="F2841" t="inlineStr">
        <is>
          <t>production</t>
        </is>
      </c>
      <c r="G2841" t="inlineStr">
        <is>
          <t>electricity, low voltage</t>
        </is>
      </c>
      <c r="I2841">
        <v>0</v>
      </c>
    </row>
    <row r="2842">
      <c r="A2842" t="inlineStr">
        <is>
          <t>market group for electricity, low voltage</t>
        </is>
      </c>
      <c r="B2842">
        <v>0.27777777777777773</v>
      </c>
      <c r="C2842" t="inlineStr">
        <is>
          <t>RER</t>
        </is>
      </c>
      <c r="D2842" t="inlineStr">
        <is>
          <t>kilowatt hour</t>
        </is>
      </c>
      <c r="F2842" t="inlineStr">
        <is>
          <t>technosphere</t>
        </is>
      </c>
      <c r="G2842" t="inlineStr">
        <is>
          <t>electricity, low voltage</t>
        </is>
      </c>
      <c r="H2842" t="inlineStr">
        <is>
          <t>Grid purchase including model charging losses; Premise regional electricity.</t>
        </is>
      </c>
      <c r="I2842">
        <v>0</v>
      </c>
    </row>
    <row r="2843">
      <c r="A2843" t="inlineStr">
        <is>
          <t>market for tetrafluoroethane, R134a</t>
        </is>
      </c>
      <c r="B2843">
        <v>6.421292897004757e-07</v>
      </c>
      <c r="C2843" t="inlineStr">
        <is>
          <t>GLO</t>
        </is>
      </c>
      <c r="D2843" t="inlineStr">
        <is>
          <t>kilogram</t>
        </is>
      </c>
      <c r="F2843" t="inlineStr">
        <is>
          <t>technosphere</t>
        </is>
      </c>
      <c r="G2843" t="inlineStr">
        <is>
          <t>tetrafluoroethane, R134a</t>
        </is>
      </c>
      <c r="I2843">
        <v>0</v>
      </c>
    </row>
    <row r="2844">
      <c r="A2844" t="inlineStr">
        <is>
          <t>treatment of brake wear emissions, lorry</t>
        </is>
      </c>
      <c r="B2844">
        <v>-1.6923273973174422e-05</v>
      </c>
      <c r="C2844" t="inlineStr">
        <is>
          <t>RER</t>
        </is>
      </c>
      <c r="D2844" t="inlineStr">
        <is>
          <t>kilogram</t>
        </is>
      </c>
      <c r="F2844" t="inlineStr">
        <is>
          <t>technosphere</t>
        </is>
      </c>
      <c r="G2844" t="inlineStr">
        <is>
          <t>brake wear emissions, lorry</t>
        </is>
      </c>
      <c r="I2844">
        <v>0</v>
      </c>
    </row>
    <row r="2845">
      <c r="A2845" t="inlineStr">
        <is>
          <t>treatment of road wear emissions, lorry</t>
        </is>
      </c>
      <c r="B2845">
        <v>-3.154446984763782e-05</v>
      </c>
      <c r="C2845" t="inlineStr">
        <is>
          <t>RER</t>
        </is>
      </c>
      <c r="D2845" t="inlineStr">
        <is>
          <t>kilogram</t>
        </is>
      </c>
      <c r="F2845" t="inlineStr">
        <is>
          <t>technosphere</t>
        </is>
      </c>
      <c r="G2845" t="inlineStr">
        <is>
          <t>road wear emissions, lorry</t>
        </is>
      </c>
      <c r="I2845">
        <v>0</v>
      </c>
    </row>
    <row r="2846">
      <c r="A2846" t="inlineStr">
        <is>
          <t>treatment of tyre wear emissions, lorry</t>
        </is>
      </c>
      <c r="B2846">
        <v>-2.5484250382903828e-05</v>
      </c>
      <c r="C2846" t="inlineStr">
        <is>
          <t>RER</t>
        </is>
      </c>
      <c r="D2846" t="inlineStr">
        <is>
          <t>kilogram</t>
        </is>
      </c>
      <c r="F2846" t="inlineStr">
        <is>
          <t>technosphere</t>
        </is>
      </c>
      <c r="G2846" t="inlineStr">
        <is>
          <t>tyre wear emissions, lorry</t>
        </is>
      </c>
      <c r="I2846">
        <v>0</v>
      </c>
    </row>
    <row r="2847">
      <c r="A2847" t="inlineStr">
        <is>
          <t>1,1,1,2-Tetrafluoroethane</t>
        </is>
      </c>
      <c r="B2847">
        <v>2.9588312998329307e-07</v>
      </c>
      <c r="D2847" t="inlineStr">
        <is>
          <t>kilogram</t>
        </is>
      </c>
      <c r="E2847" t="inlineStr">
        <is>
          <t>air</t>
        </is>
      </c>
      <c r="F2847" t="inlineStr">
        <is>
          <t>biosphere</t>
        </is>
      </c>
      <c r="I2847">
        <v>0</v>
      </c>
    </row>
    <row r="2848">
      <c r="A2848" t="inlineStr">
        <is>
          <t>EV charger, level 3, plugin, 200 kW</t>
        </is>
      </c>
      <c r="B2848">
        <v>3.8343213519496126e-08</v>
      </c>
      <c r="C2848" t="inlineStr">
        <is>
          <t>RER</t>
        </is>
      </c>
      <c r="D2848" t="inlineStr">
        <is>
          <t>unit</t>
        </is>
      </c>
      <c r="F2848" t="inlineStr">
        <is>
          <t>technosphere</t>
        </is>
      </c>
      <c r="G2848" t="inlineStr">
        <is>
          <t>EV charger, level 3, plugin, 200 kW</t>
        </is>
      </c>
      <c r="H2848" t="inlineStr">
        <is>
          <t> Energy-use allocation: 0.1218137145042419 * 1.367427797431765e-07 / 0.4344222719799472 MJ per ton kilometer.</t>
        </is>
      </c>
      <c r="I2848">
        <v>0</v>
      </c>
    </row>
    <row r="2849">
      <c r="A2849" t="inlineStr">
        <is>
          <t>gearbox, for lorry</t>
        </is>
      </c>
      <c r="B2849">
        <v>6.34574859737131e-05</v>
      </c>
      <c r="C2849" t="inlineStr">
        <is>
          <t>RER</t>
        </is>
      </c>
      <c r="D2849" t="inlineStr">
        <is>
          <t>kilogram</t>
        </is>
      </c>
      <c r="F2849" t="inlineStr">
        <is>
          <t>technosphere</t>
        </is>
      </c>
      <c r="G2849" t="inlineStr">
        <is>
          <t>gearbox, for lorry</t>
        </is>
      </c>
      <c r="H2849" t="inlineStr">
        <is>
          <t> Energy-use allocation: 201.6000061035156 * 1.367427797431765e-07 / 0.4344222719799472 MJ per ton kilometer.</t>
        </is>
      </c>
      <c r="I2849">
        <v>0</v>
      </c>
    </row>
    <row r="2850">
      <c r="A2850" t="inlineStr">
        <is>
          <t>power electronics, for lorry</t>
        </is>
      </c>
      <c r="B2850">
        <v>8.341385552537798e-05</v>
      </c>
      <c r="C2850" t="inlineStr">
        <is>
          <t>RER</t>
        </is>
      </c>
      <c r="D2850" t="inlineStr">
        <is>
          <t>kilogram</t>
        </is>
      </c>
      <c r="F2850" t="inlineStr">
        <is>
          <t>technosphere</t>
        </is>
      </c>
      <c r="G2850" t="inlineStr">
        <is>
          <t>power electronics, for lorry</t>
        </is>
      </c>
      <c r="H2850" t="inlineStr">
        <is>
          <t> Energy-use allocation: 265 * 1.367427797431765e-07 / 0.4344222719799472 MJ per ton kilometer.</t>
        </is>
      </c>
      <c r="I2850">
        <v>0</v>
      </c>
    </row>
    <row r="2851">
      <c r="A2851" t="inlineStr">
        <is>
          <t>retarder, for lorry</t>
        </is>
      </c>
      <c r="B2851">
        <v>2.1152493723571755e-05</v>
      </c>
      <c r="C2851" t="inlineStr">
        <is>
          <t>RER</t>
        </is>
      </c>
      <c r="D2851" t="inlineStr">
        <is>
          <t>kilogram</t>
        </is>
      </c>
      <c r="F2851" t="inlineStr">
        <is>
          <t>technosphere</t>
        </is>
      </c>
      <c r="G2851" t="inlineStr">
        <is>
          <t>retarder, for lorry</t>
        </is>
      </c>
      <c r="H2851" t="inlineStr">
        <is>
          <t> Energy-use allocation: 67.19999694824219 * 1.367427797431765e-07 / 0.4344222719799472 MJ per ton kilometer.</t>
        </is>
      </c>
      <c r="I2851">
        <v>0</v>
      </c>
    </row>
    <row r="2852">
      <c r="A2852" t="inlineStr">
        <is>
          <t>transmission, for lorry</t>
        </is>
      </c>
      <c r="B2852">
        <v>9.166080453447832e-05</v>
      </c>
      <c r="C2852" t="inlineStr">
        <is>
          <t>RER</t>
        </is>
      </c>
      <c r="D2852" t="inlineStr">
        <is>
          <t>kilogram</t>
        </is>
      </c>
      <c r="F2852" t="inlineStr">
        <is>
          <t>technosphere</t>
        </is>
      </c>
      <c r="G2852" t="inlineStr">
        <is>
          <t>transmission, for lorry</t>
        </is>
      </c>
      <c r="H2852" t="inlineStr">
        <is>
          <t> Energy-use allocation: 291.1999816894531 * 1.367427797431765e-07 / 0.4344222719799472 MJ per ton kilometer.</t>
        </is>
      </c>
      <c r="I2852">
        <v>0</v>
      </c>
    </row>
    <row r="2853">
      <c r="A2853" t="inlineStr">
        <is>
          <t>market for converter, for electric passenger car</t>
        </is>
      </c>
      <c r="B2853">
        <v>7.869231653337545e-06</v>
      </c>
      <c r="C2853" t="inlineStr">
        <is>
          <t>GLO</t>
        </is>
      </c>
      <c r="D2853" t="inlineStr">
        <is>
          <t>kilogram</t>
        </is>
      </c>
      <c r="F2853" t="inlineStr">
        <is>
          <t>technosphere</t>
        </is>
      </c>
      <c r="G2853" t="inlineStr">
        <is>
          <t>converter, for electric passenger car</t>
        </is>
      </c>
      <c r="H2853" t="inlineStr">
        <is>
          <t> Energy-use allocation: 25 * 1.367427797431765e-07 / 0.4344222719799472 MJ per ton kilometer.</t>
        </is>
      </c>
      <c r="I2853">
        <v>0</v>
      </c>
    </row>
    <row r="2854">
      <c r="A2854" t="inlineStr">
        <is>
          <t>market for electric motor, electric passenger car</t>
        </is>
      </c>
      <c r="B2854">
        <v>0.00018886155968010109</v>
      </c>
      <c r="C2854" t="inlineStr">
        <is>
          <t>GLO</t>
        </is>
      </c>
      <c r="D2854" t="inlineStr">
        <is>
          <t>kilogram</t>
        </is>
      </c>
      <c r="F2854" t="inlineStr">
        <is>
          <t>technosphere</t>
        </is>
      </c>
      <c r="G2854" t="inlineStr">
        <is>
          <t>electric motor, electric passenger car</t>
        </is>
      </c>
      <c r="H2854" t="inlineStr">
        <is>
          <t> Energy-use allocation: 600 * 1.367427797431765e-07 / 0.4344222719799472 MJ per ton kilometer.</t>
        </is>
      </c>
      <c r="I2854">
        <v>0</v>
      </c>
    </row>
    <row r="2855">
      <c r="A2855" t="inlineStr">
        <is>
          <t>market for inverter, for electric passenger car</t>
        </is>
      </c>
      <c r="B2855">
        <v>8.725462677809252e-06</v>
      </c>
      <c r="C2855" t="inlineStr">
        <is>
          <t>GLO</t>
        </is>
      </c>
      <c r="D2855" t="inlineStr">
        <is>
          <t>kilogram</t>
        </is>
      </c>
      <c r="F2855" t="inlineStr">
        <is>
          <t>technosphere</t>
        </is>
      </c>
      <c r="G2855" t="inlineStr">
        <is>
          <t>inverter, for electric passenger car</t>
        </is>
      </c>
      <c r="H2855" t="inlineStr">
        <is>
          <t> Energy-use allocation: 27.72018623352051 * 1.367427797431765e-07 / 0.4344222719799472 MJ per ton kilometer.</t>
        </is>
      </c>
      <c r="I2855">
        <v>0</v>
      </c>
    </row>
    <row r="2856">
      <c r="A2856" t="inlineStr">
        <is>
          <t>market for power distribution unit, for electric passenger car</t>
        </is>
      </c>
      <c r="B2856">
        <v>1.2590770645340072e-06</v>
      </c>
      <c r="C2856" t="inlineStr">
        <is>
          <t>GLO</t>
        </is>
      </c>
      <c r="D2856" t="inlineStr">
        <is>
          <t>kilogram</t>
        </is>
      </c>
      <c r="F2856" t="inlineStr">
        <is>
          <t>technosphere</t>
        </is>
      </c>
      <c r="G2856" t="inlineStr">
        <is>
          <t>power distribution unit, for electric passenger car</t>
        </is>
      </c>
      <c r="H2856" t="inlineStr">
        <is>
          <t> Energy-use allocation: 4 * 1.367427797431765e-07 / 0.4344222719799472 MJ per ton kilometer.</t>
        </is>
      </c>
      <c r="I2856">
        <v>0</v>
      </c>
    </row>
    <row r="2857">
      <c r="A2857" t="inlineStr">
        <is>
          <t>market for battery capacity (MIX scenario)</t>
        </is>
      </c>
      <c r="B2857">
        <v>0.00017339536871471286</v>
      </c>
      <c r="C2857" t="inlineStr">
        <is>
          <t>GLO</t>
        </is>
      </c>
      <c r="D2857" t="inlineStr">
        <is>
          <t>kilowatt hour</t>
        </is>
      </c>
      <c r="F2857" t="inlineStr">
        <is>
          <t>technosphere</t>
        </is>
      </c>
      <c r="G2857" t="inlineStr">
        <is>
          <t>electricity storage capacity</t>
        </is>
      </c>
      <c r="H2857" t="inlineStr">
        <is>
          <t>550.864990234 kWh nominal * (1 + 0 replacements); capacity market includes manufacture and end of life, replacing kg pack and disposal exchanges. Energy-use allocation: 550.864990234375 * 1.367427797431765e-07 / 0.4344222719799472 MJ per ton kilometer.</t>
        </is>
      </c>
      <c r="I2857">
        <v>0</v>
      </c>
    </row>
    <row r="2858"/>
    <row r="2859">
      <c r="A2859" t="inlineStr">
        <is>
          <t>Activity</t>
        </is>
      </c>
      <c r="B2859" t="inlineStr">
        <is>
          <t>hydrogen, used in a fuel cell in a heavy duty vehicle</t>
        </is>
      </c>
    </row>
    <row r="2860">
      <c r="A2860" t="inlineStr">
        <is>
          <t>location</t>
        </is>
      </c>
      <c r="B2860" t="inlineStr">
        <is>
          <t>RER</t>
        </is>
      </c>
    </row>
    <row r="2861">
      <c r="A2861" t="inlineStr">
        <is>
          <t>production amount</t>
        </is>
      </c>
      <c r="B2861">
        <v>1</v>
      </c>
    </row>
    <row r="2862">
      <c r="A2862" t="inlineStr">
        <is>
          <t>reference product</t>
        </is>
      </c>
      <c r="B2862" t="inlineStr">
        <is>
          <t>heat</t>
        </is>
      </c>
    </row>
    <row r="2863">
      <c r="A2863" t="inlineStr">
        <is>
          <t>type</t>
        </is>
      </c>
      <c r="B2863" t="inlineStr">
        <is>
          <t>process</t>
        </is>
      </c>
    </row>
    <row r="2864">
      <c r="A2864" t="inlineStr">
        <is>
          <t>unit</t>
        </is>
      </c>
      <c r="B2864" t="inlineStr">
        <is>
          <t>megajoule</t>
        </is>
      </c>
    </row>
    <row r="2865">
      <c r="A2865" t="inlineStr">
        <is>
          <t>source</t>
        </is>
      </c>
      <c r="B2865" t="inlineStr">
        <is>
          <t>Sacchi, R., Bauer, C., and Cox, B. Does size matter? The influence of size, load factor, range autonomy and application type on the Life Cycle Assessment of current and future trucks. 2021. Environmental Science and Technology.</t>
        </is>
      </c>
    </row>
    <row r="2866">
      <c r="A2866" t="inlineStr">
        <is>
          <t>description</t>
        </is>
      </c>
      <c r="B2866"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67">
      <c r="A2867" t="inlineStr">
        <is>
          <t>comment</t>
        </is>
      </c>
      <c r="B2867" t="inlineStr">
        <is>
          <t>Produces consumption of 1 MJ of purchased energy. Representative powertrain carrier: hydrogen. energy-specific equipment; excludes chassis, body, roads and whole-vehicle maintenance. Source transport, freight, lorry, fuel cell electric, 40 metric ton [RER]; 0.790956906425439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AKASOL AKASYSTEM 15 OEM 37 PRC, May 2021 manufacturer specification, explicit proxy for 2020 FCEV trucks: 25 kWh, 238 kg, 36 kW continuous charge, 50 kW continuous RMS discharge, 150 kW discharge for 10 s. https://www.act-news.com/wp-content/uploads/2020/11/210525_LowRes_AK_Datenblatt_AKASystem_15-OEM-37-PRC_2021_2159x2794mm_EN.pdf. Maximum of inherited 20 kWh + 6% H2 energy floor, cycle continuous-discharge requirement and rated short-pulse requirement. Explicit capacity retained and validated. Continuous charging cap after direct auxiliary use; instantaneous cycle discharge bounded by the continuous RMS rating, without repeated pulse assumptions. Rated motor buffer also bounded by the 10-second discharge rating. Complete pack 238 kg per 25 kWh; 70% cell allocation and NMC-622 manufacture are retained proxies, not measured AKASOL cell specifications. Conditioned-pack proxy; no electrothermal, ageing, SOC-window or fuel-cell ramp validation. Generic chemistry costs and replacement assumptions retained. MIX capacity market per nominal kWh including replacements; physical mass mismatch documented without mass-equivalence correction. Premise retains the regenerated 2020 FCEV hardware; no runtime cycle simulation. Battery power records the required DC buffer, not a measured cell capability.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31.1 \%. Tank-to-wheel energy consumption: 8146 kj/km. Fuel consumption: 75517.8 l/100km. Electricity consumption: 0.0 kWh/100km. Battery capacity: 74 kWh. Fuel tank capacity: 905 kWh. Power share from combustion engine: 0.0 \%. Combustion engine power: 0.0 kW. Electric motor power: 297 kW. Curb mass (excl. driver and cargo): 14875 kg. Driving mass (incl. driver and cargo): 25250 kg. Battery mass: 707 kg. Fuel cell system efficiency: 47.8 \%. Number of passengers onboard: 1.0 passenger(s). Available payload: 25049 kg. Payload: 10300 kg. Load factor: 41.1 \%. Autonomy on a full tank/battery: 400 km.  Carbon accounting: full-oxidation CO2 plus separately estimated pollutants; not a closed elemental carbon balance.</t>
        </is>
      </c>
    </row>
    <row r="2868">
      <c r="A2868" t="inlineStr">
        <is>
          <t>Power, mean</t>
        </is>
      </c>
      <c r="B2868">
        <v>220</v>
      </c>
    </row>
    <row r="2869">
      <c r="A2869" t="inlineStr">
        <is>
          <t>Power, min</t>
        </is>
      </c>
      <c r="B2869">
        <v>100</v>
      </c>
    </row>
    <row r="2870">
      <c r="A2870" t="inlineStr">
        <is>
          <t>Power, max</t>
        </is>
      </c>
      <c r="B2870">
        <v>290</v>
      </c>
    </row>
    <row r="2871">
      <c r="A2871" t="inlineStr">
        <is>
          <t>Lifetime, mean</t>
        </is>
      </c>
      <c r="B2871">
        <v>1000000</v>
      </c>
    </row>
    <row r="2872">
      <c r="A2872" t="inlineStr">
        <is>
          <t>Lifetime, min</t>
        </is>
      </c>
      <c r="B2872">
        <v>500000</v>
      </c>
    </row>
    <row r="2873">
      <c r="A2873" t="inlineStr">
        <is>
          <t>Lifetime, max</t>
        </is>
      </c>
      <c r="B2873">
        <v>1200000</v>
      </c>
    </row>
    <row r="2874">
      <c r="A2874" t="inlineStr">
        <is>
          <t>Energy use, mean</t>
        </is>
      </c>
      <c r="B2874">
        <v>4930</v>
      </c>
    </row>
    <row r="2875">
      <c r="A2875" t="inlineStr">
        <is>
          <t>Energy use, min</t>
        </is>
      </c>
      <c r="B2875">
        <v>2360</v>
      </c>
    </row>
    <row r="2876">
      <c r="A2876" t="inlineStr">
        <is>
          <t>Energy use, max</t>
        </is>
      </c>
      <c r="B2876">
        <v>6500</v>
      </c>
    </row>
    <row r="2877">
      <c r="A2877" t="inlineStr">
        <is>
          <t>Electric motor, mean</t>
        </is>
      </c>
      <c r="B2877">
        <v>150</v>
      </c>
    </row>
    <row r="2878">
      <c r="A2878" t="inlineStr">
        <is>
          <t>Electric motor, min</t>
        </is>
      </c>
      <c r="B2878">
        <v>50</v>
      </c>
    </row>
    <row r="2879">
      <c r="A2879" t="inlineStr">
        <is>
          <t>Electric motor, max</t>
        </is>
      </c>
      <c r="B2879">
        <v>240</v>
      </c>
    </row>
    <row r="2880">
      <c r="A2880" t="inlineStr">
        <is>
          <t>Combustion engine, mean</t>
        </is>
      </c>
      <c r="B2880">
        <v>0</v>
      </c>
    </row>
    <row r="2881">
      <c r="A2881" t="inlineStr">
        <is>
          <t>Combustion engine, min</t>
        </is>
      </c>
      <c r="B2881">
        <v>0</v>
      </c>
    </row>
    <row r="2882">
      <c r="A2882" t="inlineStr">
        <is>
          <t>Combustion engine, max</t>
        </is>
      </c>
      <c r="B2882">
        <v>0</v>
      </c>
    </row>
    <row r="2883">
      <c r="A2883" t="inlineStr">
        <is>
          <t>Fuel tank, mean</t>
        </is>
      </c>
      <c r="B2883">
        <v>326</v>
      </c>
    </row>
    <row r="2884">
      <c r="A2884" t="inlineStr">
        <is>
          <t>Fuel tank, min</t>
        </is>
      </c>
      <c r="B2884">
        <v>180</v>
      </c>
    </row>
    <row r="2885">
      <c r="A2885" t="inlineStr">
        <is>
          <t>Fuel tank, max</t>
        </is>
      </c>
      <c r="B2885">
        <v>360</v>
      </c>
    </row>
    <row r="2886">
      <c r="A2886" t="inlineStr">
        <is>
          <t>Battery capacity, mean</t>
        </is>
      </c>
      <c r="B2886">
        <v>52</v>
      </c>
    </row>
    <row r="2887">
      <c r="A2887" t="inlineStr">
        <is>
          <t>Battery capacity, min</t>
        </is>
      </c>
      <c r="B2887">
        <v>35</v>
      </c>
    </row>
    <row r="2888">
      <c r="A2888" t="inlineStr">
        <is>
          <t>Battery capacity, max</t>
        </is>
      </c>
      <c r="B2888">
        <v>63</v>
      </c>
    </row>
    <row r="2889">
      <c r="A2889" t="inlineStr">
        <is>
          <t>Battery replacement, mean</t>
        </is>
      </c>
      <c r="B2889">
        <v>0</v>
      </c>
    </row>
    <row r="2890">
      <c r="A2890" t="inlineStr">
        <is>
          <t>Battery replacement, min</t>
        </is>
      </c>
      <c r="B2890">
        <v>0</v>
      </c>
    </row>
    <row r="2891">
      <c r="A2891" t="inlineStr">
        <is>
          <t>Battery replacement, max</t>
        </is>
      </c>
      <c r="B2891">
        <v>0</v>
      </c>
    </row>
    <row r="2892">
      <c r="A2892" t="inlineStr">
        <is>
          <t>Fuel cell system, mean</t>
        </is>
      </c>
      <c r="B2892">
        <v>60</v>
      </c>
    </row>
    <row r="2893">
      <c r="A2893" t="inlineStr">
        <is>
          <t>Fuel cell system, min</t>
        </is>
      </c>
      <c r="B2893">
        <v>20</v>
      </c>
    </row>
    <row r="2894">
      <c r="A2894" t="inlineStr">
        <is>
          <t>Fuel cell system, max</t>
        </is>
      </c>
      <c r="B2894">
        <v>85</v>
      </c>
    </row>
    <row r="2895">
      <c r="A2895" t="inlineStr">
        <is>
          <t>Fuel cell stack replacement, mean</t>
        </is>
      </c>
      <c r="B2895">
        <v>0</v>
      </c>
    </row>
    <row r="2896">
      <c r="A2896" t="inlineStr">
        <is>
          <t>Fuel cell replacement, min</t>
        </is>
      </c>
      <c r="B2896">
        <v>0</v>
      </c>
    </row>
    <row r="2897">
      <c r="A2897" t="inlineStr">
        <is>
          <t>Fuel cell replacement, max</t>
        </is>
      </c>
      <c r="B2897">
        <v>0</v>
      </c>
    </row>
    <row r="2898">
      <c r="A2898" t="inlineStr">
        <is>
          <t>Onboard charger mass</t>
        </is>
      </c>
      <c r="B2898">
        <v>0</v>
      </c>
    </row>
    <row r="2899">
      <c r="A2899" t="inlineStr">
        <is>
          <t>Controller mass</t>
        </is>
      </c>
      <c r="B2899">
        <v>0</v>
      </c>
    </row>
    <row r="2900">
      <c r="A2900" t="inlineStr">
        <is>
          <t>Converter mass</t>
        </is>
      </c>
      <c r="B2900">
        <v>25</v>
      </c>
    </row>
    <row r="2901">
      <c r="A2901" t="inlineStr">
        <is>
          <t>Electrical powertrain mass</t>
        </is>
      </c>
      <c r="B2901">
        <v>166</v>
      </c>
    </row>
    <row r="2902">
      <c r="A2902" t="inlineStr">
        <is>
          <t>Inverter mass</t>
        </is>
      </c>
      <c r="B2902">
        <v>15</v>
      </c>
    </row>
    <row r="2903">
      <c r="A2903" t="inlineStr">
        <is>
          <t>NOx</t>
        </is>
      </c>
      <c r="B2903">
        <v>0</v>
      </c>
    </row>
    <row r="2904">
      <c r="A2904" t="inlineStr">
        <is>
          <t>PM 2.5</t>
        </is>
      </c>
      <c r="B2904">
        <v>0</v>
      </c>
    </row>
    <row r="2905">
      <c r="A2905" t="inlineStr">
        <is>
          <t>energy use source</t>
        </is>
      </c>
      <c r="B2905" t="inlineStr">
        <is>
          <t>{"source": ["transport, freight, lorry, fuel cell electric, 40 metric ton", "transport, freight, lorry", "RER", "ton kilometer"], "source unit": "ton kilometer", "purchased MJ per source service": 0.7909569064254391, "boundary": "energy-specific equipment; excludes chassis, body, roads and whole-vehicle maintenance", "retained equipment": [{"supplier": ["fuel cell Balance of Plant production, 1 kWe, proton exchange membrane (PEM), carculator regional truck 2020", "fuel cell Balance of Plant, 1 kWe, proton exchange membrane (PEM)", "GLO", "unit"], "amount per vehicle": 61.48481369018555, "vehicle per source service": 1.367427797431765e-07, "replacement correction factor": 1.0, "amount per MJ": 1.0629661701777987e-05}, {"supplier": ["fuel cell stack production, 1 kWe, proton exchange membrane (PEM), carculator regional truck 2020", "fuel cell stack, 1 kWe, proton exchange membrane (PEM)", "GLO", "unit"], "amount per vehicle": 289.8569641113281, "vehicle per source service": 1.367427797431765e-07, "replacement correction factor": 1.0, "amount per MJ": 5.011125976461462e-05}, {"supplier": ["fuel tank, compressed hydrogen gas, 700bar, with HDPE liner", "hydrogen tank", "RER", "kilogram"], "amount per vehicle": 362.2264404296875, "vehicle per source service": 1.367427797431765e-07, "replacement correction factor": 1.0, "amount per MJ": 6.26226915252314e-05}, {"supplier": ["gearbox, for lorry", "gearbox, for lorry", "RER", "kilogram"], "amount per vehicle": 201.6000061035156, "vehicle per source service": 1.367427797431765e-07, "replacement correction factor": 1.0, "amount per MJ": 3.485315698856566e-05}, {"supplier": ["power electronics, for lorry", "power electronics, for lorry", "RER", "kilogram"], "amount per vehicle": 265.0, "vehicle per source service": 1.367427797431765e-07, "replacement correction factor": 1.0, "amount per MJ": 4.581392024972185e-05}, {"supplier": ["retarder, for lorry", "retarder, for lorry", "RER", "kilogram"], "amount per vehicle": 67.19999694824219, "vehicle per source service": 1.367427797431765e-07, "replacement correction factor": 1.0, "amount per MJ": 1.1617718116861581e-05}, {"supplier": ["transmission, for lorry", "transmission, for lorry", "RER", "kilogram"], "amount per vehicle": 291.1999816894531, "vehicle per source service": 1.367427797431765e-07, "replacement correction factor": 1.0, "amount per MJ": 5.0343444293739876e-05}, {"supplier": ["market for converter, for electric passenger car", "converter, for electric passenger car", "GLO", "kilogram"], "amount per vehicle": 25.0, "vehicle per source service": 1.367427797431765e-07, "replacement correction factor": 1.0, "amount per MJ": 4.3220679480869664e-06}, {"supplier": ["market for electric motor, electric passenger car", "electric motor, electric passenger car", "GLO", "kilogram"], "amount per vehicle": 250.0579528808594, "vehicle per source service": 1.367427797431765e-07, "replacement correction factor": 1.0, "amount per MJ": 4.3230698532424135e-05}, {"supplier": ["market for inverter, for electric passenger car", "inverter, for electric passenger car", "GLO", "kilogram"], "amount per vehicle": 19.86800003051758, "vehicle per source service": 1.367427797431765e-07, "replacement correction factor": 1.0, "amount per MJ": 3.4348338449796365e-06}, {"supplier": ["market for power distribution unit, for electric passenger car", "power distribution unit, for electric passenger car", "GLO", "kilogram"], "amount per vehicle": 4.0, "vehicle per source service": 1.367427797431765e-07, "replacement correction factor": 1.0, "amount per MJ": 6.915308716939146e-07}, {"supplier": ["market for battery capacity (MIX scenario)", "electricity storage capacity", "GLO", "kilowatt hour"], "amount per vehicle": 74.3123779296875, "vehicle per source service": 1.367427797431765e-07, "coefficient limitation": "Native nominal-kWh MIX market is a manufacturing proxy; it does not reproduce the heavier high-power physical battery pack mass.", "replacement correction factor": 1.0, "amount per MJ": 1.2847325871841106e-05}], "excluded": [{"supplier": "market for road", "amount per source service": 0.001316456714662177}, {"supplier": "market for road maintenance", "amount per source service": 0.0001252427161273638}, {"supplier": ["assembly operation, for lorry", "assembly operation, for lorry", "RER", "kilogram"], "amount per vehicle": 14875.4716796875,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906">
      <c r="A2906" t="inlineStr">
        <is>
          <t>Exchanges</t>
        </is>
      </c>
    </row>
    <row r="2907">
      <c r="A2907" t="inlineStr">
        <is>
          <t>name</t>
        </is>
      </c>
      <c r="B2907" t="inlineStr">
        <is>
          <t>amount</t>
        </is>
      </c>
      <c r="C2907" t="inlineStr">
        <is>
          <t>location</t>
        </is>
      </c>
      <c r="D2907" t="inlineStr">
        <is>
          <t>unit</t>
        </is>
      </c>
      <c r="E2907" t="inlineStr">
        <is>
          <t>categories</t>
        </is>
      </c>
      <c r="F2907" t="inlineStr">
        <is>
          <t>type</t>
        </is>
      </c>
      <c r="G2907" t="inlineStr">
        <is>
          <t>reference product</t>
        </is>
      </c>
      <c r="H2907" t="inlineStr">
        <is>
          <t>comment</t>
        </is>
      </c>
      <c r="I2907" t="inlineStr">
        <is>
          <t>uncertainty type</t>
        </is>
      </c>
    </row>
    <row r="2908">
      <c r="A2908" t="inlineStr">
        <is>
          <t>hydrogen, used in a fuel cell in a heavy duty vehicle</t>
        </is>
      </c>
      <c r="B2908">
        <v>1.0</v>
      </c>
      <c r="C2908" t="inlineStr">
        <is>
          <t>RER</t>
        </is>
      </c>
      <c r="D2908" t="inlineStr">
        <is>
          <t>megajoule</t>
        </is>
      </c>
      <c r="E2908" t="inlineStr">
        <is>
          <t/>
        </is>
      </c>
      <c r="F2908" t="inlineStr">
        <is>
          <t>production</t>
        </is>
      </c>
      <c r="G2908" t="inlineStr">
        <is>
          <t>heat</t>
        </is>
      </c>
      <c r="I2908">
        <v>0</v>
      </c>
    </row>
    <row r="2909">
      <c r="A2909" t="inlineStr">
        <is>
          <t>market for hydrogen, gaseous, low pressure</t>
        </is>
      </c>
      <c r="B2909">
        <v>0.008333333333333333</v>
      </c>
      <c r="C2909" t="inlineStr">
        <is>
          <t>RER</t>
        </is>
      </c>
      <c r="D2909" t="inlineStr">
        <is>
          <t>kilogram</t>
        </is>
      </c>
      <c r="F2909" t="inlineStr">
        <is>
          <t>technosphere</t>
        </is>
      </c>
      <c r="G2909" t="inlineStr">
        <is>
          <t>hydrogen, gaseous, low pressure</t>
        </is>
      </c>
      <c r="H2909" t="inlineStr">
        <is>
          <t>Model fuel energy retained: 0.790956906425 MJ/tkm; reference LHV 120.0 MJ/kg. Premise determines regional blends.</t>
        </is>
      </c>
      <c r="I2909">
        <v>0</v>
      </c>
    </row>
    <row r="2910">
      <c r="A2910" t="inlineStr">
        <is>
          <t>market for tetrafluoroethane, R134a</t>
        </is>
      </c>
      <c r="B2910">
        <v>3.5268073730745854e-07</v>
      </c>
      <c r="C2910" t="inlineStr">
        <is>
          <t>GLO</t>
        </is>
      </c>
      <c r="D2910" t="inlineStr">
        <is>
          <t>kilogram</t>
        </is>
      </c>
      <c r="F2910" t="inlineStr">
        <is>
          <t>technosphere</t>
        </is>
      </c>
      <c r="G2910" t="inlineStr">
        <is>
          <t>tetrafluoroethane, R134a</t>
        </is>
      </c>
      <c r="I2910">
        <v>0</v>
      </c>
    </row>
    <row r="2911">
      <c r="A2911" t="inlineStr">
        <is>
          <t>treatment of brake wear emissions, lorry</t>
        </is>
      </c>
      <c r="B2911">
        <v>-9.34177721874287e-06</v>
      </c>
      <c r="C2911" t="inlineStr">
        <is>
          <t>RER</t>
        </is>
      </c>
      <c r="D2911" t="inlineStr">
        <is>
          <t>kilogram</t>
        </is>
      </c>
      <c r="F2911" t="inlineStr">
        <is>
          <t>technosphere</t>
        </is>
      </c>
      <c r="G2911" t="inlineStr">
        <is>
          <t>brake wear emissions, lorry</t>
        </is>
      </c>
      <c r="I2911">
        <v>0</v>
      </c>
    </row>
    <row r="2912">
      <c r="A2912" t="inlineStr">
        <is>
          <t>treatment of road wear emissions, lorry</t>
        </is>
      </c>
      <c r="B2912">
        <v>-1.6195647463338396e-05</v>
      </c>
      <c r="C2912" t="inlineStr">
        <is>
          <t>RER</t>
        </is>
      </c>
      <c r="D2912" t="inlineStr">
        <is>
          <t>kilogram</t>
        </is>
      </c>
      <c r="F2912" t="inlineStr">
        <is>
          <t>technosphere</t>
        </is>
      </c>
      <c r="G2912" t="inlineStr">
        <is>
          <t>road wear emissions, lorry</t>
        </is>
      </c>
      <c r="I2912">
        <v>0</v>
      </c>
    </row>
    <row r="2913">
      <c r="A2913" t="inlineStr">
        <is>
          <t>treatment of tyre wear emissions, lorry</t>
        </is>
      </c>
      <c r="B2913">
        <v>-1.3157154143296742e-05</v>
      </c>
      <c r="C2913" t="inlineStr">
        <is>
          <t>RER</t>
        </is>
      </c>
      <c r="D2913" t="inlineStr">
        <is>
          <t>kilogram</t>
        </is>
      </c>
      <c r="F2913" t="inlineStr">
        <is>
          <t>technosphere</t>
        </is>
      </c>
      <c r="G2913" t="inlineStr">
        <is>
          <t>tyre wear emissions, lorry</t>
        </is>
      </c>
      <c r="I2913">
        <v>0</v>
      </c>
    </row>
    <row r="2914">
      <c r="A2914" t="inlineStr">
        <is>
          <t>1,1,1,2-Tetrafluoroethane</t>
        </is>
      </c>
      <c r="B2914">
        <v>1.6250976573272652e-07</v>
      </c>
      <c r="D2914" t="inlineStr">
        <is>
          <t>kilogram</t>
        </is>
      </c>
      <c r="E2914" t="inlineStr">
        <is>
          <t>air</t>
        </is>
      </c>
      <c r="F2914" t="inlineStr">
        <is>
          <t>biosphere</t>
        </is>
      </c>
      <c r="I2914">
        <v>0</v>
      </c>
    </row>
    <row r="2915">
      <c r="A2915" t="inlineStr">
        <is>
          <t xml:space="preserve">fuel cell Balance of Plant production, 1 kWe, proton exchange membrane (PEM)</t>
        </is>
      </c>
      <c r="B2915">
        <v>1.0629661701777987e-05</v>
      </c>
      <c r="C2915" t="inlineStr">
        <is>
          <t>GLO</t>
        </is>
      </c>
      <c r="D2915" t="inlineStr">
        <is>
          <t>unit</t>
        </is>
      </c>
      <c r="F2915" t="inlineStr">
        <is>
          <t>technosphere</t>
        </is>
      </c>
      <c r="G2915" t="inlineStr">
        <is>
          <t xml:space="preserve">fuel cell Balance of Plant, 1 kWe, proton exchange membrane (PEM)</t>
        </is>
      </c>
      <c r="H2915" t="inlineStr">
        <is>
          <t xml:space="preserve"> Energy-use allocation: 61.48481369018555 * 1.367427797431765e-07 / 0.7909569064254391 MJ per ton kilometer.
Shared component reuse (2026-10-16): original model supplier 'fuel cell Balance of Plant production, 1 kWe, proton exchange membrane (PEM), carculator regional truck 2020' uses the existing canonical recipe in lci-fuel_cell.xlsx; its quantities and uncertainty are retained.</t>
        </is>
      </c>
      <c r="I2915">
        <v>0</v>
      </c>
    </row>
    <row r="2916">
      <c r="A2916" t="inlineStr">
        <is>
          <t xml:space="preserve">fuel cell stack production, 1 kWe, proton exchange membrane (PEM)</t>
        </is>
      </c>
      <c r="B2916">
        <v>5.011125976461462e-05</v>
      </c>
      <c r="C2916" t="inlineStr">
        <is>
          <t>GLO</t>
        </is>
      </c>
      <c r="D2916" t="inlineStr">
        <is>
          <t>unit</t>
        </is>
      </c>
      <c r="F2916" t="inlineStr">
        <is>
          <t>technosphere</t>
        </is>
      </c>
      <c r="G2916" t="inlineStr">
        <is>
          <t xml:space="preserve">fuel cell stack, 1 kWe, proton exchange membrane (PEM)</t>
        </is>
      </c>
      <c r="H2916" t="inlineStr">
        <is>
          <t xml:space="preserve"> Energy-use allocation: 289.8569641113281 * 1.367427797431765e-07 / 0.7909569064254391 MJ per ton kilometer.
Shared component reuse (2026-10-16): original model supplier 'fuel cell stack production, 1 kWe, proton exchange membrane (PEM), carculator regional truck 2020' uses the existing canonical recipe in lci-fuel_cell.xlsx; its quantities and uncertainty are retained.</t>
        </is>
      </c>
      <c r="I2916">
        <v>0</v>
      </c>
    </row>
    <row r="2917">
      <c r="A2917" t="inlineStr">
        <is>
          <t>fuel tank, compressed hydrogen gas, 700bar, with HDPE liner</t>
        </is>
      </c>
      <c r="B2917">
        <v>6.26226915252314e-05</v>
      </c>
      <c r="C2917" t="inlineStr">
        <is>
          <t>RER</t>
        </is>
      </c>
      <c r="D2917" t="inlineStr">
        <is>
          <t>kilogram</t>
        </is>
      </c>
      <c r="F2917" t="inlineStr">
        <is>
          <t>technosphere</t>
        </is>
      </c>
      <c r="G2917" t="inlineStr">
        <is>
          <t>hydrogen tank</t>
        </is>
      </c>
      <c r="H2917" t="inlineStr">
        <is>
          <t> Energy-use allocation: 362.2264404296875 * 1.367427797431765e-07 / 0.7909569064254391 MJ per ton kilometer.</t>
        </is>
      </c>
      <c r="I2917">
        <v>0</v>
      </c>
    </row>
    <row r="2918">
      <c r="A2918" t="inlineStr">
        <is>
          <t>gearbox, for lorry</t>
        </is>
      </c>
      <c r="B2918">
        <v>3.485315698856566e-05</v>
      </c>
      <c r="C2918" t="inlineStr">
        <is>
          <t>RER</t>
        </is>
      </c>
      <c r="D2918" t="inlineStr">
        <is>
          <t>kilogram</t>
        </is>
      </c>
      <c r="F2918" t="inlineStr">
        <is>
          <t>technosphere</t>
        </is>
      </c>
      <c r="G2918" t="inlineStr">
        <is>
          <t>gearbox, for lorry</t>
        </is>
      </c>
      <c r="H2918" t="inlineStr">
        <is>
          <t> Energy-use allocation: 201.6000061035156 * 1.367427797431765e-07 / 0.7909569064254391 MJ per ton kilometer.</t>
        </is>
      </c>
      <c r="I2918">
        <v>0</v>
      </c>
    </row>
    <row r="2919">
      <c r="A2919" t="inlineStr">
        <is>
          <t>power electronics, for lorry</t>
        </is>
      </c>
      <c r="B2919">
        <v>4.581392024972185e-05</v>
      </c>
      <c r="C2919" t="inlineStr">
        <is>
          <t>RER</t>
        </is>
      </c>
      <c r="D2919" t="inlineStr">
        <is>
          <t>kilogram</t>
        </is>
      </c>
      <c r="F2919" t="inlineStr">
        <is>
          <t>technosphere</t>
        </is>
      </c>
      <c r="G2919" t="inlineStr">
        <is>
          <t>power electronics, for lorry</t>
        </is>
      </c>
      <c r="H2919" t="inlineStr">
        <is>
          <t> Energy-use allocation: 265 * 1.367427797431765e-07 / 0.7909569064254391 MJ per ton kilometer.</t>
        </is>
      </c>
      <c r="I2919">
        <v>0</v>
      </c>
    </row>
    <row r="2920">
      <c r="A2920" t="inlineStr">
        <is>
          <t>retarder, for lorry</t>
        </is>
      </c>
      <c r="B2920">
        <v>1.1617718116861581e-05</v>
      </c>
      <c r="C2920" t="inlineStr">
        <is>
          <t>RER</t>
        </is>
      </c>
      <c r="D2920" t="inlineStr">
        <is>
          <t>kilogram</t>
        </is>
      </c>
      <c r="F2920" t="inlineStr">
        <is>
          <t>technosphere</t>
        </is>
      </c>
      <c r="G2920" t="inlineStr">
        <is>
          <t>retarder, for lorry</t>
        </is>
      </c>
      <c r="H2920" t="inlineStr">
        <is>
          <t> Energy-use allocation: 67.19999694824219 * 1.367427797431765e-07 / 0.7909569064254391 MJ per ton kilometer.</t>
        </is>
      </c>
      <c r="I2920">
        <v>0</v>
      </c>
    </row>
    <row r="2921">
      <c r="A2921" t="inlineStr">
        <is>
          <t>transmission, for lorry</t>
        </is>
      </c>
      <c r="B2921">
        <v>5.0343444293739876e-05</v>
      </c>
      <c r="C2921" t="inlineStr">
        <is>
          <t>RER</t>
        </is>
      </c>
      <c r="D2921" t="inlineStr">
        <is>
          <t>kilogram</t>
        </is>
      </c>
      <c r="F2921" t="inlineStr">
        <is>
          <t>technosphere</t>
        </is>
      </c>
      <c r="G2921" t="inlineStr">
        <is>
          <t>transmission, for lorry</t>
        </is>
      </c>
      <c r="H2921" t="inlineStr">
        <is>
          <t> Energy-use allocation: 291.1999816894531 * 1.367427797431765e-07 / 0.7909569064254391 MJ per ton kilometer.</t>
        </is>
      </c>
      <c r="I2921">
        <v>0</v>
      </c>
    </row>
    <row r="2922">
      <c r="A2922" t="inlineStr">
        <is>
          <t>market for converter, for electric passenger car</t>
        </is>
      </c>
      <c r="B2922">
        <v>4.3220679480869664e-06</v>
      </c>
      <c r="C2922" t="inlineStr">
        <is>
          <t>GLO</t>
        </is>
      </c>
      <c r="D2922" t="inlineStr">
        <is>
          <t>kilogram</t>
        </is>
      </c>
      <c r="F2922" t="inlineStr">
        <is>
          <t>technosphere</t>
        </is>
      </c>
      <c r="G2922" t="inlineStr">
        <is>
          <t>converter, for electric passenger car</t>
        </is>
      </c>
      <c r="H2922" t="inlineStr">
        <is>
          <t> Energy-use allocation: 25 * 1.367427797431765e-07 / 0.7909569064254391 MJ per ton kilometer.</t>
        </is>
      </c>
      <c r="I2922">
        <v>0</v>
      </c>
    </row>
    <row r="2923">
      <c r="A2923" t="inlineStr">
        <is>
          <t>market for electric motor, electric passenger car</t>
        </is>
      </c>
      <c r="B2923">
        <v>4.3230698532424135e-05</v>
      </c>
      <c r="C2923" t="inlineStr">
        <is>
          <t>GLO</t>
        </is>
      </c>
      <c r="D2923" t="inlineStr">
        <is>
          <t>kilogram</t>
        </is>
      </c>
      <c r="F2923" t="inlineStr">
        <is>
          <t>technosphere</t>
        </is>
      </c>
      <c r="G2923" t="inlineStr">
        <is>
          <t>electric motor, electric passenger car</t>
        </is>
      </c>
      <c r="H2923" t="inlineStr">
        <is>
          <t> Energy-use allocation: 250.0579528808594 * 1.367427797431765e-07 / 0.7909569064254391 MJ per ton kilometer.</t>
        </is>
      </c>
      <c r="I2923">
        <v>0</v>
      </c>
    </row>
    <row r="2924">
      <c r="A2924" t="inlineStr">
        <is>
          <t>market for inverter, for electric passenger car</t>
        </is>
      </c>
      <c r="B2924">
        <v>3.4348338449796365e-06</v>
      </c>
      <c r="C2924" t="inlineStr">
        <is>
          <t>GLO</t>
        </is>
      </c>
      <c r="D2924" t="inlineStr">
        <is>
          <t>kilogram</t>
        </is>
      </c>
      <c r="F2924" t="inlineStr">
        <is>
          <t>technosphere</t>
        </is>
      </c>
      <c r="G2924" t="inlineStr">
        <is>
          <t>inverter, for electric passenger car</t>
        </is>
      </c>
      <c r="H2924" t="inlineStr">
        <is>
          <t> Energy-use allocation: 19.86800003051758 * 1.367427797431765e-07 / 0.7909569064254391 MJ per ton kilometer.</t>
        </is>
      </c>
      <c r="I2924">
        <v>0</v>
      </c>
    </row>
    <row r="2925">
      <c r="A2925" t="inlineStr">
        <is>
          <t>market for power distribution unit, for electric passenger car</t>
        </is>
      </c>
      <c r="B2925">
        <v>6.915308716939146e-07</v>
      </c>
      <c r="C2925" t="inlineStr">
        <is>
          <t>GLO</t>
        </is>
      </c>
      <c r="D2925" t="inlineStr">
        <is>
          <t>kilogram</t>
        </is>
      </c>
      <c r="F2925" t="inlineStr">
        <is>
          <t>technosphere</t>
        </is>
      </c>
      <c r="G2925" t="inlineStr">
        <is>
          <t>power distribution unit, for electric passenger car</t>
        </is>
      </c>
      <c r="H2925" t="inlineStr">
        <is>
          <t> Energy-use allocation: 4 * 1.367427797431765e-07 / 0.7909569064254391 MJ per ton kilometer.</t>
        </is>
      </c>
      <c r="I2925">
        <v>0</v>
      </c>
    </row>
    <row r="2926">
      <c r="A2926" t="inlineStr">
        <is>
          <t>market for battery capacity (MIX scenario)</t>
        </is>
      </c>
      <c r="B2926">
        <v>1.2847325871841106e-05</v>
      </c>
      <c r="C2926" t="inlineStr">
        <is>
          <t>GLO</t>
        </is>
      </c>
      <c r="D2926" t="inlineStr">
        <is>
          <t>kilowatt hour</t>
        </is>
      </c>
      <c r="F2926" t="inlineStr">
        <is>
          <t>technosphere</t>
        </is>
      </c>
      <c r="G2926" t="inlineStr">
        <is>
          <t>electricity storage capacity</t>
        </is>
      </c>
      <c r="H2926" t="inlineStr">
        <is>
          <t>74.3123779297 kWh nominal * (1 + 0 replacements); capacity market includes manufacture and end of life, replacing kg pack and disposal exchanges. Energy-use allocation: 74.3123779296875 * 1.367427797431765e-07 / 0.7909569064254391 MJ per ton kilometer.</t>
        </is>
      </c>
      <c r="I2926">
        <v>0</v>
      </c>
    </row>
    <row r="2927">
      <c r="A2927" t="inlineStr">
        <is>
          <t>market group for electricity, low voltage</t>
        </is>
      </c>
      <c r="B2927">
        <v>0.020421827056420448</v>
      </c>
      <c r="C2927" t="inlineStr">
        <is>
          <t>RER</t>
        </is>
      </c>
      <c r="D2927" t="inlineStr">
        <is>
          <t>kilowatt hour</t>
        </is>
      </c>
      <c r="F2927" t="inlineStr">
        <is>
          <t>technosphere</t>
        </is>
      </c>
      <c r="G2927" t="inlineStr">
        <is>
          <t>electricity, low voltage</t>
        </is>
      </c>
      <c r="H2927" t="inlineStr">
        <is>
          <t>Hydrogen tank compression, 30 to 700 bar: 2.45061924677 kWh/kg H2; model compressor assumptions and Premise delivery pressure.</t>
        </is>
      </c>
      <c r="I2927">
        <v>0</v>
      </c>
    </row>
    <row r="2928"/>
    <row r="2929">
      <c r="A2929" t="inlineStr">
        <is>
          <t>Activity</t>
        </is>
      </c>
      <c r="B2929" t="inlineStr">
        <is>
          <t>biomethane, burned in heavy duty vehicle</t>
        </is>
      </c>
    </row>
    <row r="2930">
      <c r="A2930" t="inlineStr">
        <is>
          <t>comment</t>
        </is>
      </c>
      <c r="B2930"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2931">
      <c r="A2931" t="inlineStr">
        <is>
          <t>description</t>
        </is>
      </c>
      <c r="B29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2932">
      <c r="A2932" t="inlineStr">
        <is>
          <t>location</t>
        </is>
      </c>
      <c r="B2932" t="inlineStr">
        <is>
          <t>RER</t>
        </is>
      </c>
    </row>
    <row r="2933">
      <c r="A2933" t="inlineStr">
        <is>
          <t>production amount</t>
        </is>
      </c>
      <c r="B2933">
        <v>1</v>
      </c>
    </row>
    <row r="2934">
      <c r="A2934" t="inlineStr">
        <is>
          <t>reference product</t>
        </is>
      </c>
      <c r="B2934" t="inlineStr">
        <is>
          <t>heat</t>
        </is>
      </c>
    </row>
    <row r="2935">
      <c r="A2935" t="inlineStr">
        <is>
          <t>source</t>
        </is>
      </c>
      <c r="B2935" t="inlineStr">
        <is>
          <t>Sacchi, R., Bauer, C., and Cox, B. Does size matter? The influence of size, load factor, range autonomy and application type on the Life Cycle Assessment of current and future trucks. 2021. Environmental Science and Technology.</t>
        </is>
      </c>
    </row>
    <row r="2936">
      <c r="A2936" t="inlineStr">
        <is>
          <t>type</t>
        </is>
      </c>
      <c r="B2936" t="inlineStr">
        <is>
          <t>process</t>
        </is>
      </c>
    </row>
    <row r="2937">
      <c r="A2937" t="inlineStr">
        <is>
          <t>unit</t>
        </is>
      </c>
      <c r="B2937" t="inlineStr">
        <is>
          <t>megajoule</t>
        </is>
      </c>
    </row>
    <row r="2938">
      <c r="A2938" t="inlineStr">
        <is>
          <t>Power, mean</t>
        </is>
      </c>
      <c r="B2938">
        <v>308</v>
      </c>
    </row>
    <row r="2939">
      <c r="A2939" t="inlineStr">
        <is>
          <t>Power, min</t>
        </is>
      </c>
      <c r="B2939">
        <v>155</v>
      </c>
    </row>
    <row r="2940">
      <c r="A2940" t="inlineStr">
        <is>
          <t>Power, max</t>
        </is>
      </c>
      <c r="B2940">
        <v>485</v>
      </c>
    </row>
    <row r="2941">
      <c r="A2941" t="inlineStr">
        <is>
          <t>Lifetime, mean</t>
        </is>
      </c>
      <c r="B2941">
        <v>1000000</v>
      </c>
    </row>
    <row r="2942">
      <c r="A2942" t="inlineStr">
        <is>
          <t>Lifetime, min</t>
        </is>
      </c>
      <c r="B2942">
        <v>500000</v>
      </c>
    </row>
    <row r="2943">
      <c r="A2943" t="inlineStr">
        <is>
          <t>Lifetime, max</t>
        </is>
      </c>
      <c r="B2943">
        <v>1200000</v>
      </c>
    </row>
    <row r="2944">
      <c r="A2944" t="inlineStr">
        <is>
          <t>Energy use, mean</t>
        </is>
      </c>
      <c r="B2944">
        <v>7530</v>
      </c>
    </row>
    <row r="2945">
      <c r="A2945" t="inlineStr">
        <is>
          <t>Energy use, min</t>
        </is>
      </c>
      <c r="B2945">
        <v>3600</v>
      </c>
    </row>
    <row r="2946">
      <c r="A2946" t="inlineStr">
        <is>
          <t>Energy use, max</t>
        </is>
      </c>
      <c r="B2946">
        <v>10315</v>
      </c>
    </row>
    <row r="2947">
      <c r="A2947" t="inlineStr">
        <is>
          <t>Electric motor, mean</t>
        </is>
      </c>
      <c r="B2947">
        <v>0</v>
      </c>
    </row>
    <row r="2948">
      <c r="A2948" t="inlineStr">
        <is>
          <t>Electric motor, min</t>
        </is>
      </c>
      <c r="B2948">
        <v>0</v>
      </c>
    </row>
    <row r="2949">
      <c r="A2949" t="inlineStr">
        <is>
          <t>Electric motor, max</t>
        </is>
      </c>
      <c r="B2949">
        <v>0</v>
      </c>
    </row>
    <row r="2950">
      <c r="A2950" t="inlineStr">
        <is>
          <t>Combustion engine, mean</t>
        </is>
      </c>
      <c r="B2950">
        <v>1040</v>
      </c>
    </row>
    <row r="2951">
      <c r="A2951" t="inlineStr">
        <is>
          <t>Combustion engine, min</t>
        </is>
      </c>
      <c r="B2951">
        <v>610</v>
      </c>
    </row>
    <row r="2952">
      <c r="A2952" t="inlineStr">
        <is>
          <t>Combustion engine, max</t>
        </is>
      </c>
      <c r="B2952">
        <v>1230</v>
      </c>
    </row>
    <row r="2953">
      <c r="A2953" t="inlineStr">
        <is>
          <t>Fuel tank, mean</t>
        </is>
      </c>
      <c r="B2953">
        <v>123</v>
      </c>
    </row>
    <row r="2954">
      <c r="A2954" t="inlineStr">
        <is>
          <t>Fuel tank, min</t>
        </is>
      </c>
      <c r="B2954">
        <v>77</v>
      </c>
    </row>
    <row r="2955">
      <c r="A2955" t="inlineStr">
        <is>
          <t>Fuel tank, max</t>
        </is>
      </c>
      <c r="B2955">
        <v>155</v>
      </c>
    </row>
    <row r="2956">
      <c r="A2956" t="inlineStr">
        <is>
          <t>Battery capacity, mean</t>
        </is>
      </c>
      <c r="B2956">
        <v>0</v>
      </c>
    </row>
    <row r="2957">
      <c r="A2957" t="inlineStr">
        <is>
          <t>Battery capacity, min</t>
        </is>
      </c>
      <c r="B2957">
        <v>0</v>
      </c>
    </row>
    <row r="2958">
      <c r="A2958" t="inlineStr">
        <is>
          <t>Battery capacity, max</t>
        </is>
      </c>
      <c r="B2958">
        <v>0</v>
      </c>
    </row>
    <row r="2959">
      <c r="A2959" t="inlineStr">
        <is>
          <t>Battery replacement, mean</t>
        </is>
      </c>
      <c r="B2959">
        <v>0</v>
      </c>
    </row>
    <row r="2960">
      <c r="A2960" t="inlineStr">
        <is>
          <t>Battery replacement, min</t>
        </is>
      </c>
      <c r="B2960">
        <v>0</v>
      </c>
    </row>
    <row r="2961">
      <c r="A2961" t="inlineStr">
        <is>
          <t>Battery replacement, max</t>
        </is>
      </c>
      <c r="B2961">
        <v>0</v>
      </c>
    </row>
    <row r="2962">
      <c r="A2962" t="inlineStr">
        <is>
          <t>Fuel cell system, mean</t>
        </is>
      </c>
      <c r="B2962">
        <v>0</v>
      </c>
    </row>
    <row r="2963">
      <c r="A2963" t="inlineStr">
        <is>
          <t>Fuel cell system, min</t>
        </is>
      </c>
      <c r="B2963">
        <v>0</v>
      </c>
    </row>
    <row r="2964">
      <c r="A2964" t="inlineStr">
        <is>
          <t>Fuel cell system, max</t>
        </is>
      </c>
      <c r="B2964">
        <v>0</v>
      </c>
    </row>
    <row r="2965">
      <c r="A2965" t="inlineStr">
        <is>
          <t>Fuel cell stack replacement, mean</t>
        </is>
      </c>
      <c r="B2965">
        <v>0</v>
      </c>
    </row>
    <row r="2966">
      <c r="A2966" t="inlineStr">
        <is>
          <t>Fuel cell replacement, min</t>
        </is>
      </c>
      <c r="B2966">
        <v>0</v>
      </c>
    </row>
    <row r="2967">
      <c r="A2967" t="inlineStr">
        <is>
          <t>Fuel cell replacement, max</t>
        </is>
      </c>
      <c r="B2967">
        <v>0</v>
      </c>
    </row>
    <row r="2968">
      <c r="A2968" t="inlineStr">
        <is>
          <t>Onboard charger mass</t>
        </is>
      </c>
      <c r="B2968">
        <v>0</v>
      </c>
    </row>
    <row r="2969">
      <c r="A2969" t="inlineStr">
        <is>
          <t>Controller mass</t>
        </is>
      </c>
      <c r="B2969">
        <v>0</v>
      </c>
    </row>
    <row r="2970">
      <c r="A2970" t="inlineStr">
        <is>
          <t>Converter mass</t>
        </is>
      </c>
      <c r="B2970">
        <v>0</v>
      </c>
    </row>
    <row r="2971">
      <c r="A2971" t="inlineStr">
        <is>
          <t>Electrical powertrain mass</t>
        </is>
      </c>
      <c r="B2971">
        <v>0</v>
      </c>
    </row>
    <row r="2972">
      <c r="A2972" t="inlineStr">
        <is>
          <t>Inverter mass</t>
        </is>
      </c>
      <c r="B2972">
        <v>0</v>
      </c>
    </row>
    <row r="2973">
      <c r="A2973" t="inlineStr">
        <is>
          <t>NOx</t>
        </is>
      </c>
      <c r="B2973">
        <v>0.030144679</v>
      </c>
    </row>
    <row r="2974">
      <c r="A2974" t="inlineStr">
        <is>
          <t>PM 2.5</t>
        </is>
      </c>
      <c r="B2974">
        <v>0.000406425</v>
      </c>
    </row>
    <row r="2975">
      <c r="A2975" t="inlineStr">
        <is>
          <t>energy use source</t>
        </is>
      </c>
      <c r="B2975"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976">
      <c r="A2976" t="inlineStr">
        <is>
          <t>Exchanges</t>
        </is>
      </c>
    </row>
    <row r="2977">
      <c r="A2977" t="inlineStr">
        <is>
          <t>name</t>
        </is>
      </c>
      <c r="B2977" t="inlineStr">
        <is>
          <t>amount</t>
        </is>
      </c>
      <c r="C2977" t="inlineStr">
        <is>
          <t>location</t>
        </is>
      </c>
      <c r="D2977" t="inlineStr">
        <is>
          <t>unit</t>
        </is>
      </c>
      <c r="E2977" t="inlineStr">
        <is>
          <t>categories</t>
        </is>
      </c>
      <c r="F2977" t="inlineStr">
        <is>
          <t>type</t>
        </is>
      </c>
      <c r="G2977" t="inlineStr">
        <is>
          <t>reference product</t>
        </is>
      </c>
      <c r="H2977" t="inlineStr">
        <is>
          <t>comment</t>
        </is>
      </c>
      <c r="I2977" t="inlineStr">
        <is>
          <t>uncertainty type</t>
        </is>
      </c>
    </row>
    <row r="2978">
      <c r="A2978" t="inlineStr">
        <is>
          <t>biomethane, burned in heavy duty vehicle</t>
        </is>
      </c>
      <c r="B2978">
        <v>1.0</v>
      </c>
      <c r="C2978" t="inlineStr">
        <is>
          <t>RER</t>
        </is>
      </c>
      <c r="D2978" t="inlineStr">
        <is>
          <t>megajoule</t>
        </is>
      </c>
      <c r="F2978" t="inlineStr">
        <is>
          <t>production</t>
        </is>
      </c>
      <c r="G2978" t="inlineStr">
        <is>
          <t>heat</t>
        </is>
      </c>
      <c r="I2978">
        <v>0</v>
      </c>
    </row>
    <row r="2979">
      <c r="A2979" t="inlineStr">
        <is>
          <t>biomethane, gaseous, 5 bar, from sewage sludge fermentation, at fuelling station</t>
        </is>
      </c>
      <c r="B2979">
        <v>0.021052631578947368</v>
      </c>
      <c r="C2979" t="inlineStr">
        <is>
          <t>RER</t>
        </is>
      </c>
      <c r="D2979" t="inlineStr">
        <is>
          <t>kilogram</t>
        </is>
      </c>
      <c r="F2979" t="inlineStr">
        <is>
          <t>technosphere</t>
        </is>
      </c>
      <c r="G2979" t="inlineStr">
        <is>
          <t>biomethane, high pressure</t>
        </is>
      </c>
      <c r="I2979">
        <v>0</v>
      </c>
    </row>
    <row r="2980">
      <c r="A2980" t="inlineStr">
        <is>
          <t>market for tetrafluoroethane, R134a</t>
        </is>
      </c>
      <c r="B2980">
        <v>2.0425624676545975e-07</v>
      </c>
      <c r="C2980" t="inlineStr">
        <is>
          <t>GLO</t>
        </is>
      </c>
      <c r="D2980" t="inlineStr">
        <is>
          <t>kilogram</t>
        </is>
      </c>
      <c r="F2980" t="inlineStr">
        <is>
          <t>technosphere</t>
        </is>
      </c>
      <c r="G2980" t="inlineStr">
        <is>
          <t>tetrafluoroethane, R134a</t>
        </is>
      </c>
      <c r="I2980">
        <v>0</v>
      </c>
    </row>
    <row r="2981">
      <c r="A2981" t="inlineStr">
        <is>
          <t>treatment of brake wear emissions, lorry</t>
        </is>
      </c>
      <c r="B2981">
        <v>-7.486271918383526e-06</v>
      </c>
      <c r="C2981" t="inlineStr">
        <is>
          <t>RER</t>
        </is>
      </c>
      <c r="D2981" t="inlineStr">
        <is>
          <t>kilogram</t>
        </is>
      </c>
      <c r="F2981" t="inlineStr">
        <is>
          <t>technosphere</t>
        </is>
      </c>
      <c r="G2981" t="inlineStr">
        <is>
          <t>brake wear emissions, lorry</t>
        </is>
      </c>
      <c r="I2981">
        <v>0</v>
      </c>
    </row>
    <row r="2982">
      <c r="A2982" t="inlineStr">
        <is>
          <t>treatment of road wear emissions, lorry</t>
        </is>
      </c>
      <c r="B2982">
        <v>-9.441824985264776e-06</v>
      </c>
      <c r="C2982" t="inlineStr">
        <is>
          <t>RER</t>
        </is>
      </c>
      <c r="D2982" t="inlineStr">
        <is>
          <t>kilogram</t>
        </is>
      </c>
      <c r="F2982" t="inlineStr">
        <is>
          <t>technosphere</t>
        </is>
      </c>
      <c r="G2982" t="inlineStr">
        <is>
          <t>road wear emissions, lorry</t>
        </is>
      </c>
      <c r="I2982">
        <v>0</v>
      </c>
    </row>
    <row r="2983">
      <c r="A2983" t="inlineStr">
        <is>
          <t>treatment of tyre wear emissions, lorry</t>
        </is>
      </c>
      <c r="B2983">
        <v>-7.66615520878379e-06</v>
      </c>
      <c r="C2983" t="inlineStr">
        <is>
          <t>RER</t>
        </is>
      </c>
      <c r="D2983" t="inlineStr">
        <is>
          <t>kilogram</t>
        </is>
      </c>
      <c r="F2983" t="inlineStr">
        <is>
          <t>technosphere</t>
        </is>
      </c>
      <c r="G2983" t="inlineStr">
        <is>
          <t>tyre wear emissions, lorry</t>
        </is>
      </c>
      <c r="I2983">
        <v>0</v>
      </c>
    </row>
    <row r="2984">
      <c r="A2984" t="inlineStr">
        <is>
          <t>NMVOC, non-methane volatile organic compounds</t>
        </is>
      </c>
      <c r="B2984">
        <v>7.002805122814972e-07</v>
      </c>
      <c r="D2984" t="inlineStr">
        <is>
          <t>kilogram</t>
        </is>
      </c>
      <c r="E2984" t="inlineStr">
        <is>
          <t>air::non-urban air or from high stacks</t>
        </is>
      </c>
      <c r="F2984" t="inlineStr">
        <is>
          <t>biosphere</t>
        </is>
      </c>
      <c r="I2984">
        <v>0</v>
      </c>
    </row>
    <row r="2985">
      <c r="A2985" t="inlineStr">
        <is>
          <t>Particulate Matter, &lt; 2.5 um</t>
        </is>
      </c>
      <c r="B2985">
        <v>1.107539405371624e-07</v>
      </c>
      <c r="D2985" t="inlineStr">
        <is>
          <t>kilogram</t>
        </is>
      </c>
      <c r="E2985" t="inlineStr">
        <is>
          <t>air::urban air close to ground</t>
        </is>
      </c>
      <c r="F2985" t="inlineStr">
        <is>
          <t>biosphere</t>
        </is>
      </c>
      <c r="I2985">
        <v>0</v>
      </c>
    </row>
    <row r="2986">
      <c r="A2986" t="inlineStr">
        <is>
          <t>Methane, fossil</t>
        </is>
      </c>
      <c r="B2986">
        <v>8.05322854210204e-06</v>
      </c>
      <c r="D2986" t="inlineStr">
        <is>
          <t>kilogram</t>
        </is>
      </c>
      <c r="E2986" t="inlineStr">
        <is>
          <t>air::non-urban air or from high stacks</t>
        </is>
      </c>
      <c r="F2986" t="inlineStr">
        <is>
          <t>biosphere</t>
        </is>
      </c>
      <c r="I2986">
        <v>0</v>
      </c>
    </row>
    <row r="2987">
      <c r="A2987" t="inlineStr">
        <is>
          <t>Nitrogen oxides</t>
        </is>
      </c>
      <c r="B2987">
        <v>2.1930022791785066e-05</v>
      </c>
      <c r="D2987" t="inlineStr">
        <is>
          <t>kilogram</t>
        </is>
      </c>
      <c r="E2987" t="inlineStr">
        <is>
          <t>air::non-urban air or from high stacks</t>
        </is>
      </c>
      <c r="F2987" t="inlineStr">
        <is>
          <t>biosphere</t>
        </is>
      </c>
      <c r="I2987">
        <v>0</v>
      </c>
    </row>
    <row r="2988">
      <c r="A2988" t="inlineStr">
        <is>
          <t>Carbon monoxide, fossil</t>
        </is>
      </c>
      <c r="B2988">
        <v>3.3035310195534865e-05</v>
      </c>
      <c r="D2988" t="inlineStr">
        <is>
          <t>kilogram</t>
        </is>
      </c>
      <c r="E2988" t="inlineStr">
        <is>
          <t>air::non-urban air or from high stacks</t>
        </is>
      </c>
      <c r="F2988" t="inlineStr">
        <is>
          <t>biosphere</t>
        </is>
      </c>
      <c r="I2988">
        <v>0</v>
      </c>
    </row>
    <row r="2989">
      <c r="A2989" t="inlineStr">
        <is>
          <t>Methane, fossil</t>
        </is>
      </c>
      <c r="B2989">
        <v>3.0166182213661613e-06</v>
      </c>
      <c r="D2989" t="inlineStr">
        <is>
          <t>kilogram</t>
        </is>
      </c>
      <c r="E2989" t="inlineStr">
        <is>
          <t>air::urban air close to ground</t>
        </is>
      </c>
      <c r="F2989" t="inlineStr">
        <is>
          <t>biosphere</t>
        </is>
      </c>
      <c r="I2989">
        <v>0</v>
      </c>
    </row>
    <row r="2990">
      <c r="A2990" t="inlineStr">
        <is>
          <t>NMVOC, non-methane volatile organic compounds</t>
        </is>
      </c>
      <c r="B2990">
        <v>2.623145506397058e-07</v>
      </c>
      <c r="D2990" t="inlineStr">
        <is>
          <t>kilogram</t>
        </is>
      </c>
      <c r="E2990" t="inlineStr">
        <is>
          <t>air::urban air close to ground</t>
        </is>
      </c>
      <c r="F2990" t="inlineStr">
        <is>
          <t>biosphere</t>
        </is>
      </c>
      <c r="I2990">
        <v>0</v>
      </c>
    </row>
    <row r="2991">
      <c r="A2991" t="inlineStr">
        <is>
          <t>Nitrogen oxides</t>
        </is>
      </c>
      <c r="B2991">
        <v>8.21465715815002e-06</v>
      </c>
      <c r="D2991" t="inlineStr">
        <is>
          <t>kilogram</t>
        </is>
      </c>
      <c r="E2991" t="inlineStr">
        <is>
          <t>air::urban air close to ground</t>
        </is>
      </c>
      <c r="F2991" t="inlineStr">
        <is>
          <t>biosphere</t>
        </is>
      </c>
      <c r="I2991">
        <v>0</v>
      </c>
    </row>
    <row r="2992">
      <c r="A2992" t="inlineStr">
        <is>
          <t>Carbon monoxide, fossil</t>
        </is>
      </c>
      <c r="B2992">
        <v>1.2374529757351063e-05</v>
      </c>
      <c r="D2992" t="inlineStr">
        <is>
          <t>kilogram</t>
        </is>
      </c>
      <c r="E2992" t="inlineStr">
        <is>
          <t>air::urban air close to ground</t>
        </is>
      </c>
      <c r="F2992" t="inlineStr">
        <is>
          <t>biosphere</t>
        </is>
      </c>
      <c r="I2992">
        <v>0</v>
      </c>
    </row>
    <row r="2993">
      <c r="A2993" t="inlineStr">
        <is>
          <t>Particulate Matter, &lt; 2.5 um</t>
        </is>
      </c>
      <c r="B2993">
        <v>2.9567109392771765e-07</v>
      </c>
      <c r="D2993" t="inlineStr">
        <is>
          <t>kilogram</t>
        </is>
      </c>
      <c r="E2993" t="inlineStr">
        <is>
          <t>air::non-urban air or from high stacks</t>
        </is>
      </c>
      <c r="F2993" t="inlineStr">
        <is>
          <t>biosphere</t>
        </is>
      </c>
      <c r="I2993">
        <v>0</v>
      </c>
    </row>
    <row r="2994">
      <c r="A2994" t="inlineStr">
        <is>
          <t>1,1,1,2-Tetrafluoroethane</t>
        </is>
      </c>
      <c r="B2994">
        <v>9.411808273034042e-08</v>
      </c>
      <c r="D2994" t="inlineStr">
        <is>
          <t>kilogram</t>
        </is>
      </c>
      <c r="E2994" t="inlineStr">
        <is>
          <t>air</t>
        </is>
      </c>
      <c r="F2994" t="inlineStr">
        <is>
          <t>biosphere</t>
        </is>
      </c>
      <c r="I2994">
        <v>0</v>
      </c>
    </row>
    <row r="2995">
      <c r="A2995" t="inlineStr">
        <is>
          <t>exhaust system, for lorry</t>
        </is>
      </c>
      <c r="B2995">
        <v>2.202763490831916e-05</v>
      </c>
      <c r="C2995" t="inlineStr">
        <is>
          <t>RER</t>
        </is>
      </c>
      <c r="D2995" t="inlineStr">
        <is>
          <t>kilogram</t>
        </is>
      </c>
      <c r="F2995" t="inlineStr">
        <is>
          <t>technosphere</t>
        </is>
      </c>
      <c r="G2995" t="inlineStr">
        <is>
          <t>exhaust system, for lorry</t>
        </is>
      </c>
      <c r="H2995" t="inlineStr">
        <is>
          <t> Energy-use allocation: 220 * 1.367427797431765e-07 / 1.3657122822630972 MJ per ton kilometer.</t>
        </is>
      </c>
      <c r="I2995">
        <v>0</v>
      </c>
    </row>
    <row r="2996">
      <c r="A2996" t="inlineStr">
        <is>
          <t>fuel tank assembly, compressed natural gas, 200 bar</t>
        </is>
      </c>
      <c r="B2996">
        <v>2.3228537259892443e-05</v>
      </c>
      <c r="C2996" t="inlineStr">
        <is>
          <t>RER</t>
        </is>
      </c>
      <c r="D2996" t="inlineStr">
        <is>
          <t>kilogram</t>
        </is>
      </c>
      <c r="F2996" t="inlineStr">
        <is>
          <t>technosphere</t>
        </is>
      </c>
      <c r="G2996" t="inlineStr">
        <is>
          <t>fuel tank, compressed natural gas, 200 bar</t>
        </is>
      </c>
      <c r="H2996" t="inlineStr">
        <is>
          <t> Energy-use allocation: 231.9939575195312 * 1.367427797431765e-07 / 1.3657122822630972 MJ per ton kilometer.</t>
        </is>
      </c>
      <c r="I2996">
        <v>0</v>
      </c>
    </row>
    <row r="2997">
      <c r="A2997" t="inlineStr">
        <is>
          <t>gearbox, for lorry</t>
        </is>
      </c>
      <c r="B2997">
        <v>2.0185324236196164e-05</v>
      </c>
      <c r="C2997" t="inlineStr">
        <is>
          <t>RER</t>
        </is>
      </c>
      <c r="D2997" t="inlineStr">
        <is>
          <t>kilogram</t>
        </is>
      </c>
      <c r="F2997" t="inlineStr">
        <is>
          <t>technosphere</t>
        </is>
      </c>
      <c r="G2997" t="inlineStr">
        <is>
          <t>gearbox, for lorry</t>
        </is>
      </c>
      <c r="H2997" t="inlineStr">
        <is>
          <t> Energy-use allocation: 201.6000061035156 * 1.367427797431765e-07 / 1.3657122822630972 MJ per ton kilometer.</t>
        </is>
      </c>
      <c r="I2997">
        <v>0</v>
      </c>
    </row>
    <row r="2998">
      <c r="A2998" t="inlineStr">
        <is>
          <t>internal combustion engine, for lorry</t>
        </is>
      </c>
      <c r="B2998">
        <v>0.00012525019983449998</v>
      </c>
      <c r="C2998" t="inlineStr">
        <is>
          <t>RER</t>
        </is>
      </c>
      <c r="D2998" t="inlineStr">
        <is>
          <t>kilogram</t>
        </is>
      </c>
      <c r="F2998" t="inlineStr">
        <is>
          <t>technosphere</t>
        </is>
      </c>
      <c r="G2998" t="inlineStr">
        <is>
          <t>internal combustion engine, for lorry</t>
        </is>
      </c>
      <c r="H2998" t="inlineStr">
        <is>
          <t> Energy-use allocation: 1250.9306640625 * 1.367427797431765e-07 / 1.3657122822630972 MJ per ton kilometer.</t>
        </is>
      </c>
      <c r="I2998">
        <v>0</v>
      </c>
    </row>
    <row r="2999">
      <c r="A2999" t="inlineStr">
        <is>
          <t>lead acid battery, for lorry</t>
        </is>
      </c>
      <c r="B2999">
        <v>3.345373564732041e-06</v>
      </c>
      <c r="C2999" t="inlineStr">
        <is>
          <t>RER</t>
        </is>
      </c>
      <c r="D2999" t="inlineStr">
        <is>
          <t>kilogram</t>
        </is>
      </c>
      <c r="F2999" t="inlineStr">
        <is>
          <t>technosphere</t>
        </is>
      </c>
      <c r="G2999" t="inlineStr">
        <is>
          <t>lead acid battery, for lorry</t>
        </is>
      </c>
      <c r="H2999" t="inlineStr">
        <is>
          <t> Energy-use allocation: 33.41176605224609 * 1.367427797431765e-07 / 1.3657122822630972 MJ per ton kilometer.</t>
        </is>
      </c>
      <c r="I2999">
        <v>0</v>
      </c>
    </row>
    <row r="3000">
      <c r="A3000" t="inlineStr">
        <is>
          <t>power electronics, for lorry</t>
        </is>
      </c>
      <c r="B3000">
        <v>2.6533287503202626e-05</v>
      </c>
      <c r="C3000" t="inlineStr">
        <is>
          <t>RER</t>
        </is>
      </c>
      <c r="D3000" t="inlineStr">
        <is>
          <t>kilogram</t>
        </is>
      </c>
      <c r="F3000" t="inlineStr">
        <is>
          <t>technosphere</t>
        </is>
      </c>
      <c r="G3000" t="inlineStr">
        <is>
          <t>power electronics, for lorry</t>
        </is>
      </c>
      <c r="H3000" t="inlineStr">
        <is>
          <t> Energy-use allocation: 265 * 1.367427797431765e-07 / 1.3657122822630972 MJ per ton kilometer.</t>
        </is>
      </c>
      <c r="I3000">
        <v>0</v>
      </c>
    </row>
    <row r="3001">
      <c r="A3001" t="inlineStr">
        <is>
          <t>retarder, for lorry</t>
        </is>
      </c>
      <c r="B3001">
        <v>6.728440902800185e-06</v>
      </c>
      <c r="C3001" t="inlineStr">
        <is>
          <t>RER</t>
        </is>
      </c>
      <c r="D3001" t="inlineStr">
        <is>
          <t>kilogram</t>
        </is>
      </c>
      <c r="F3001" t="inlineStr">
        <is>
          <t>technosphere</t>
        </is>
      </c>
      <c r="G3001" t="inlineStr">
        <is>
          <t>retarder, for lorry</t>
        </is>
      </c>
      <c r="H3001" t="inlineStr">
        <is>
          <t> Energy-use allocation: 67.19999694824219 * 1.367427797431765e-07 / 1.3657122822630972 MJ per ton kilometer.</t>
        </is>
      </c>
      <c r="I3001">
        <v>0</v>
      </c>
    </row>
    <row r="3002">
      <c r="A3002" t="inlineStr">
        <is>
          <t>transmission, for lorry</t>
        </is>
      </c>
      <c r="B3002">
        <v>2.9156576736202266e-05</v>
      </c>
      <c r="C3002" t="inlineStr">
        <is>
          <t>RER</t>
        </is>
      </c>
      <c r="D3002" t="inlineStr">
        <is>
          <t>kilogram</t>
        </is>
      </c>
      <c r="F3002" t="inlineStr">
        <is>
          <t>technosphere</t>
        </is>
      </c>
      <c r="G3002" t="inlineStr">
        <is>
          <t>transmission, for lorry</t>
        </is>
      </c>
      <c r="H3002" t="inlineStr">
        <is>
          <t> Energy-use allocation: 291.1999816894531 * 1.367427797431765e-07 / 1.3657122822630972 MJ per ton kilometer.</t>
        </is>
      </c>
      <c r="I3002">
        <v>0</v>
      </c>
    </row>
    <row r="3003">
      <c r="A3003" t="inlineStr">
        <is>
          <t>Carbon dioxide, non-fossil</t>
        </is>
      </c>
      <c r="B3003">
        <v>0.06</v>
      </c>
      <c r="D3003" t="inlineStr">
        <is>
          <t>kilogram</t>
        </is>
      </c>
      <c r="E3003" t="inlineStr">
        <is>
          <t>air</t>
        </is>
      </c>
      <c r="F3003" t="inlineStr">
        <is>
          <t>biosphere</t>
        </is>
      </c>
      <c r="I3003">
        <v>0</v>
      </c>
    </row>
    <row r="3004"/>
    <row r="3005">
      <c r="A3005" t="inlineStr">
        <is>
          <t>Activity</t>
        </is>
      </c>
      <c r="B3005" t="inlineStr">
        <is>
          <t>compressed gas, burned in heavy duty vehicle</t>
        </is>
      </c>
    </row>
    <row r="3006">
      <c r="A3006" t="inlineStr">
        <is>
          <t>comment</t>
        </is>
      </c>
      <c r="B3006"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07">
      <c r="A3007" t="inlineStr">
        <is>
          <t>description</t>
        </is>
      </c>
      <c r="B300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08">
      <c r="A3008" t="inlineStr">
        <is>
          <t>location</t>
        </is>
      </c>
      <c r="B3008" t="inlineStr">
        <is>
          <t>RER</t>
        </is>
      </c>
    </row>
    <row r="3009">
      <c r="A3009" t="inlineStr">
        <is>
          <t>production amount</t>
        </is>
      </c>
      <c r="B3009">
        <v>1</v>
      </c>
    </row>
    <row r="3010">
      <c r="A3010" t="inlineStr">
        <is>
          <t>reference product</t>
        </is>
      </c>
      <c r="B3010" t="inlineStr">
        <is>
          <t>heat</t>
        </is>
      </c>
    </row>
    <row r="3011">
      <c r="A3011" t="inlineStr">
        <is>
          <t>source</t>
        </is>
      </c>
      <c r="B3011" t="inlineStr">
        <is>
          <t>Sacchi, R., Bauer, C., and Cox, B. Does size matter? The influence of size, load factor, range autonomy and application type on the Life Cycle Assessment of current and future trucks. 2021. Environmental Science and Technology.</t>
        </is>
      </c>
    </row>
    <row r="3012">
      <c r="A3012" t="inlineStr">
        <is>
          <t>type</t>
        </is>
      </c>
      <c r="B3012" t="inlineStr">
        <is>
          <t>process</t>
        </is>
      </c>
    </row>
    <row r="3013">
      <c r="A3013" t="inlineStr">
        <is>
          <t>unit</t>
        </is>
      </c>
      <c r="B3013" t="inlineStr">
        <is>
          <t>megajoule</t>
        </is>
      </c>
    </row>
    <row r="3014">
      <c r="A3014" t="inlineStr">
        <is>
          <t>Power, mean</t>
        </is>
      </c>
      <c r="B3014">
        <v>308</v>
      </c>
    </row>
    <row r="3015">
      <c r="A3015" t="inlineStr">
        <is>
          <t>Power, min</t>
        </is>
      </c>
      <c r="B3015">
        <v>155</v>
      </c>
    </row>
    <row r="3016">
      <c r="A3016" t="inlineStr">
        <is>
          <t>Power, max</t>
        </is>
      </c>
      <c r="B3016">
        <v>485</v>
      </c>
    </row>
    <row r="3017">
      <c r="A3017" t="inlineStr">
        <is>
          <t>Lifetime, mean</t>
        </is>
      </c>
      <c r="B3017">
        <v>1000000</v>
      </c>
    </row>
    <row r="3018">
      <c r="A3018" t="inlineStr">
        <is>
          <t>Lifetime, min</t>
        </is>
      </c>
      <c r="B3018">
        <v>500000</v>
      </c>
    </row>
    <row r="3019">
      <c r="A3019" t="inlineStr">
        <is>
          <t>Lifetime, max</t>
        </is>
      </c>
      <c r="B3019">
        <v>1200000</v>
      </c>
    </row>
    <row r="3020">
      <c r="A3020" t="inlineStr">
        <is>
          <t>Energy use, mean</t>
        </is>
      </c>
      <c r="B3020">
        <v>7530</v>
      </c>
    </row>
    <row r="3021">
      <c r="A3021" t="inlineStr">
        <is>
          <t>Energy use, min</t>
        </is>
      </c>
      <c r="B3021">
        <v>3600</v>
      </c>
    </row>
    <row r="3022">
      <c r="A3022" t="inlineStr">
        <is>
          <t>Energy use, max</t>
        </is>
      </c>
      <c r="B3022">
        <v>10315</v>
      </c>
    </row>
    <row r="3023">
      <c r="A3023" t="inlineStr">
        <is>
          <t>Electric motor, mean</t>
        </is>
      </c>
      <c r="B3023">
        <v>0</v>
      </c>
    </row>
    <row r="3024">
      <c r="A3024" t="inlineStr">
        <is>
          <t>Electric motor, min</t>
        </is>
      </c>
      <c r="B3024">
        <v>0</v>
      </c>
    </row>
    <row r="3025">
      <c r="A3025" t="inlineStr">
        <is>
          <t>Electric motor, max</t>
        </is>
      </c>
      <c r="B3025">
        <v>0</v>
      </c>
    </row>
    <row r="3026">
      <c r="A3026" t="inlineStr">
        <is>
          <t>Combustion engine, mean</t>
        </is>
      </c>
      <c r="B3026">
        <v>1040</v>
      </c>
    </row>
    <row r="3027">
      <c r="A3027" t="inlineStr">
        <is>
          <t>Combustion engine, min</t>
        </is>
      </c>
      <c r="B3027">
        <v>610</v>
      </c>
    </row>
    <row r="3028">
      <c r="A3028" t="inlineStr">
        <is>
          <t>Combustion engine, max</t>
        </is>
      </c>
      <c r="B3028">
        <v>1230</v>
      </c>
    </row>
    <row r="3029">
      <c r="A3029" t="inlineStr">
        <is>
          <t>Fuel tank, mean</t>
        </is>
      </c>
      <c r="B3029">
        <v>123</v>
      </c>
    </row>
    <row r="3030">
      <c r="A3030" t="inlineStr">
        <is>
          <t>Fuel tank, min</t>
        </is>
      </c>
      <c r="B3030">
        <v>77</v>
      </c>
    </row>
    <row r="3031">
      <c r="A3031" t="inlineStr">
        <is>
          <t>Fuel tank, max</t>
        </is>
      </c>
      <c r="B3031">
        <v>155</v>
      </c>
    </row>
    <row r="3032">
      <c r="A3032" t="inlineStr">
        <is>
          <t>Battery capacity, mean</t>
        </is>
      </c>
      <c r="B3032">
        <v>0</v>
      </c>
    </row>
    <row r="3033">
      <c r="A3033" t="inlineStr">
        <is>
          <t>Battery capacity, min</t>
        </is>
      </c>
      <c r="B3033">
        <v>0</v>
      </c>
    </row>
    <row r="3034">
      <c r="A3034" t="inlineStr">
        <is>
          <t>Battery capacity, max</t>
        </is>
      </c>
      <c r="B3034">
        <v>0</v>
      </c>
    </row>
    <row r="3035">
      <c r="A3035" t="inlineStr">
        <is>
          <t>Battery replacement, mean</t>
        </is>
      </c>
      <c r="B3035">
        <v>0</v>
      </c>
    </row>
    <row r="3036">
      <c r="A3036" t="inlineStr">
        <is>
          <t>Battery replacement, min</t>
        </is>
      </c>
      <c r="B3036">
        <v>0</v>
      </c>
    </row>
    <row r="3037">
      <c r="A3037" t="inlineStr">
        <is>
          <t>Battery replacement, max</t>
        </is>
      </c>
      <c r="B3037">
        <v>0</v>
      </c>
    </row>
    <row r="3038">
      <c r="A3038" t="inlineStr">
        <is>
          <t>Fuel cell system, mean</t>
        </is>
      </c>
      <c r="B3038">
        <v>0</v>
      </c>
    </row>
    <row r="3039">
      <c r="A3039" t="inlineStr">
        <is>
          <t>Fuel cell system, min</t>
        </is>
      </c>
      <c r="B3039">
        <v>0</v>
      </c>
    </row>
    <row r="3040">
      <c r="A3040" t="inlineStr">
        <is>
          <t>Fuel cell system, max</t>
        </is>
      </c>
      <c r="B3040">
        <v>0</v>
      </c>
    </row>
    <row r="3041">
      <c r="A3041" t="inlineStr">
        <is>
          <t>Fuel cell stack replacement, mean</t>
        </is>
      </c>
      <c r="B3041">
        <v>0</v>
      </c>
    </row>
    <row r="3042">
      <c r="A3042" t="inlineStr">
        <is>
          <t>Fuel cell replacement, min</t>
        </is>
      </c>
      <c r="B3042">
        <v>0</v>
      </c>
    </row>
    <row r="3043">
      <c r="A3043" t="inlineStr">
        <is>
          <t>Fuel cell replacement, max</t>
        </is>
      </c>
      <c r="B3043">
        <v>0</v>
      </c>
    </row>
    <row r="3044">
      <c r="A3044" t="inlineStr">
        <is>
          <t>Onboard charger mass</t>
        </is>
      </c>
      <c r="B3044">
        <v>0</v>
      </c>
    </row>
    <row r="3045">
      <c r="A3045" t="inlineStr">
        <is>
          <t>Controller mass</t>
        </is>
      </c>
      <c r="B3045">
        <v>0</v>
      </c>
    </row>
    <row r="3046">
      <c r="A3046" t="inlineStr">
        <is>
          <t>Converter mass</t>
        </is>
      </c>
      <c r="B3046">
        <v>0</v>
      </c>
    </row>
    <row r="3047">
      <c r="A3047" t="inlineStr">
        <is>
          <t>Electrical powertrain mass</t>
        </is>
      </c>
      <c r="B3047">
        <v>0</v>
      </c>
    </row>
    <row r="3048">
      <c r="A3048" t="inlineStr">
        <is>
          <t>Inverter mass</t>
        </is>
      </c>
      <c r="B3048">
        <v>0</v>
      </c>
    </row>
    <row r="3049">
      <c r="A3049" t="inlineStr">
        <is>
          <t>NOx</t>
        </is>
      </c>
      <c r="B3049">
        <v>0.030144679</v>
      </c>
    </row>
    <row r="3050">
      <c r="A3050" t="inlineStr">
        <is>
          <t>PM 2.5</t>
        </is>
      </c>
      <c r="B3050">
        <v>0.000406425</v>
      </c>
    </row>
    <row r="3051">
      <c r="A3051" t="inlineStr">
        <is>
          <t>energy use source</t>
        </is>
      </c>
      <c r="B3051"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3052">
      <c r="A3052" t="inlineStr">
        <is>
          <t>Exchanges</t>
        </is>
      </c>
    </row>
    <row r="3053">
      <c r="A3053" t="inlineStr">
        <is>
          <t>name</t>
        </is>
      </c>
      <c r="B3053" t="inlineStr">
        <is>
          <t>amount</t>
        </is>
      </c>
      <c r="C3053" t="inlineStr">
        <is>
          <t>location</t>
        </is>
      </c>
      <c r="D3053" t="inlineStr">
        <is>
          <t>unit</t>
        </is>
      </c>
      <c r="E3053" t="inlineStr">
        <is>
          <t>categories</t>
        </is>
      </c>
      <c r="F3053" t="inlineStr">
        <is>
          <t>type</t>
        </is>
      </c>
      <c r="G3053" t="inlineStr">
        <is>
          <t>reference product</t>
        </is>
      </c>
      <c r="H3053" t="inlineStr">
        <is>
          <t>comment</t>
        </is>
      </c>
      <c r="I3053" t="inlineStr">
        <is>
          <t>uncertainty type</t>
        </is>
      </c>
    </row>
    <row r="3054">
      <c r="A3054" t="inlineStr">
        <is>
          <t>compressed gas, burned in heavy duty vehicle</t>
        </is>
      </c>
      <c r="B3054">
        <v>1.0</v>
      </c>
      <c r="C3054" t="inlineStr">
        <is>
          <t>RER</t>
        </is>
      </c>
      <c r="D3054" t="inlineStr">
        <is>
          <t>megajoule</t>
        </is>
      </c>
      <c r="F3054" t="inlineStr">
        <is>
          <t>production</t>
        </is>
      </c>
      <c r="G3054" t="inlineStr">
        <is>
          <t>heat</t>
        </is>
      </c>
      <c r="I3054">
        <v>0</v>
      </c>
    </row>
    <row r="3055">
      <c r="A3055" t="inlineStr">
        <is>
          <t>market for natural gas, medium pressure, vehicle grade</t>
        </is>
      </c>
      <c r="B3055">
        <v>0.021505376344086023</v>
      </c>
      <c r="C3055" t="inlineStr">
        <is>
          <t>GLO</t>
        </is>
      </c>
      <c r="D3055" t="inlineStr">
        <is>
          <t>kilogram</t>
        </is>
      </c>
      <c r="F3055" t="inlineStr">
        <is>
          <t>technosphere</t>
        </is>
      </c>
      <c r="G3055" t="inlineStr">
        <is>
          <t>natural gas, medium pressure, vehicle grade</t>
        </is>
      </c>
      <c r="H3055" t="inlineStr">
        <is>
          <t>Model fuel energy retained: 1.36571228226 MJ/tkm; reference LHV 46.5 MJ/kg. Premise determines regional blends.</t>
        </is>
      </c>
      <c r="I3055">
        <v>0</v>
      </c>
    </row>
    <row r="3056">
      <c r="A3056" t="inlineStr">
        <is>
          <t>market for tetrafluoroethane, R134a</t>
        </is>
      </c>
      <c r="B3056">
        <v>2.0425624676545975e-07</v>
      </c>
      <c r="C3056" t="inlineStr">
        <is>
          <t>GLO</t>
        </is>
      </c>
      <c r="D3056" t="inlineStr">
        <is>
          <t>kilogram</t>
        </is>
      </c>
      <c r="F3056" t="inlineStr">
        <is>
          <t>technosphere</t>
        </is>
      </c>
      <c r="G3056" t="inlineStr">
        <is>
          <t>tetrafluoroethane, R134a</t>
        </is>
      </c>
      <c r="I3056">
        <v>0</v>
      </c>
    </row>
    <row r="3057">
      <c r="A3057" t="inlineStr">
        <is>
          <t>treatment of brake wear emissions, lorry</t>
        </is>
      </c>
      <c r="B3057">
        <v>-7.486271918383526e-06</v>
      </c>
      <c r="C3057" t="inlineStr">
        <is>
          <t>RER</t>
        </is>
      </c>
      <c r="D3057" t="inlineStr">
        <is>
          <t>kilogram</t>
        </is>
      </c>
      <c r="F3057" t="inlineStr">
        <is>
          <t>technosphere</t>
        </is>
      </c>
      <c r="G3057" t="inlineStr">
        <is>
          <t>brake wear emissions, lorry</t>
        </is>
      </c>
      <c r="I3057">
        <v>0</v>
      </c>
    </row>
    <row r="3058">
      <c r="A3058" t="inlineStr">
        <is>
          <t>treatment of road wear emissions, lorry</t>
        </is>
      </c>
      <c r="B3058">
        <v>-9.441824985264776e-06</v>
      </c>
      <c r="C3058" t="inlineStr">
        <is>
          <t>RER</t>
        </is>
      </c>
      <c r="D3058" t="inlineStr">
        <is>
          <t>kilogram</t>
        </is>
      </c>
      <c r="F3058" t="inlineStr">
        <is>
          <t>technosphere</t>
        </is>
      </c>
      <c r="G3058" t="inlineStr">
        <is>
          <t>road wear emissions, lorry</t>
        </is>
      </c>
      <c r="I3058">
        <v>0</v>
      </c>
    </row>
    <row r="3059">
      <c r="A3059" t="inlineStr">
        <is>
          <t>treatment of tyre wear emissions, lorry</t>
        </is>
      </c>
      <c r="B3059">
        <v>-7.66615520878379e-06</v>
      </c>
      <c r="C3059" t="inlineStr">
        <is>
          <t>RER</t>
        </is>
      </c>
      <c r="D3059" t="inlineStr">
        <is>
          <t>kilogram</t>
        </is>
      </c>
      <c r="F3059" t="inlineStr">
        <is>
          <t>technosphere</t>
        </is>
      </c>
      <c r="G3059" t="inlineStr">
        <is>
          <t>tyre wear emissions, lorry</t>
        </is>
      </c>
      <c r="I3059">
        <v>0</v>
      </c>
    </row>
    <row r="3060">
      <c r="A3060" t="inlineStr">
        <is>
          <t>NMVOC, non-methane volatile organic compounds</t>
        </is>
      </c>
      <c r="B3060">
        <v>7.002805122814972e-07</v>
      </c>
      <c r="D3060" t="inlineStr">
        <is>
          <t>kilogram</t>
        </is>
      </c>
      <c r="E3060" t="inlineStr">
        <is>
          <t>air::non-urban air or from high stacks</t>
        </is>
      </c>
      <c r="F3060" t="inlineStr">
        <is>
          <t>biosphere</t>
        </is>
      </c>
      <c r="I3060">
        <v>0</v>
      </c>
    </row>
    <row r="3061">
      <c r="A3061" t="inlineStr">
        <is>
          <t>Particulate Matter, &lt; 2.5 um</t>
        </is>
      </c>
      <c r="B3061">
        <v>1.107539405371624e-07</v>
      </c>
      <c r="D3061" t="inlineStr">
        <is>
          <t>kilogram</t>
        </is>
      </c>
      <c r="E3061" t="inlineStr">
        <is>
          <t>air::urban air close to ground</t>
        </is>
      </c>
      <c r="F3061" t="inlineStr">
        <is>
          <t>biosphere</t>
        </is>
      </c>
      <c r="I3061">
        <v>0</v>
      </c>
    </row>
    <row r="3062">
      <c r="A3062" t="inlineStr">
        <is>
          <t>Methane, fossil</t>
        </is>
      </c>
      <c r="B3062">
        <v>8.05322854210204e-06</v>
      </c>
      <c r="D3062" t="inlineStr">
        <is>
          <t>kilogram</t>
        </is>
      </c>
      <c r="E3062" t="inlineStr">
        <is>
          <t>air::non-urban air or from high stacks</t>
        </is>
      </c>
      <c r="F3062" t="inlineStr">
        <is>
          <t>biosphere</t>
        </is>
      </c>
      <c r="I3062">
        <v>0</v>
      </c>
    </row>
    <row r="3063">
      <c r="A3063" t="inlineStr">
        <is>
          <t>Nitrogen oxides</t>
        </is>
      </c>
      <c r="B3063">
        <v>2.1930022791785066e-05</v>
      </c>
      <c r="D3063" t="inlineStr">
        <is>
          <t>kilogram</t>
        </is>
      </c>
      <c r="E3063" t="inlineStr">
        <is>
          <t>air::non-urban air or from high stacks</t>
        </is>
      </c>
      <c r="F3063" t="inlineStr">
        <is>
          <t>biosphere</t>
        </is>
      </c>
      <c r="I3063">
        <v>0</v>
      </c>
    </row>
    <row r="3064">
      <c r="A3064" t="inlineStr">
        <is>
          <t>Carbon monoxide, fossil</t>
        </is>
      </c>
      <c r="B3064">
        <v>3.3035310195534865e-05</v>
      </c>
      <c r="D3064" t="inlineStr">
        <is>
          <t>kilogram</t>
        </is>
      </c>
      <c r="E3064" t="inlineStr">
        <is>
          <t>air::non-urban air or from high stacks</t>
        </is>
      </c>
      <c r="F3064" t="inlineStr">
        <is>
          <t>biosphere</t>
        </is>
      </c>
      <c r="I3064">
        <v>0</v>
      </c>
    </row>
    <row r="3065">
      <c r="A3065" t="inlineStr">
        <is>
          <t>Methane, fossil</t>
        </is>
      </c>
      <c r="B3065">
        <v>3.0166182213661613e-06</v>
      </c>
      <c r="D3065" t="inlineStr">
        <is>
          <t>kilogram</t>
        </is>
      </c>
      <c r="E3065" t="inlineStr">
        <is>
          <t>air::urban air close to ground</t>
        </is>
      </c>
      <c r="F3065" t="inlineStr">
        <is>
          <t>biosphere</t>
        </is>
      </c>
      <c r="I3065">
        <v>0</v>
      </c>
    </row>
    <row r="3066">
      <c r="A3066" t="inlineStr">
        <is>
          <t>NMVOC, non-methane volatile organic compounds</t>
        </is>
      </c>
      <c r="B3066">
        <v>2.623145506397058e-07</v>
      </c>
      <c r="D3066" t="inlineStr">
        <is>
          <t>kilogram</t>
        </is>
      </c>
      <c r="E3066" t="inlineStr">
        <is>
          <t>air::urban air close to ground</t>
        </is>
      </c>
      <c r="F3066" t="inlineStr">
        <is>
          <t>biosphere</t>
        </is>
      </c>
      <c r="I3066">
        <v>0</v>
      </c>
    </row>
    <row r="3067">
      <c r="A3067" t="inlineStr">
        <is>
          <t>Nitrogen oxides</t>
        </is>
      </c>
      <c r="B3067">
        <v>8.21465715815002e-06</v>
      </c>
      <c r="D3067" t="inlineStr">
        <is>
          <t>kilogram</t>
        </is>
      </c>
      <c r="E3067" t="inlineStr">
        <is>
          <t>air::urban air close to ground</t>
        </is>
      </c>
      <c r="F3067" t="inlineStr">
        <is>
          <t>biosphere</t>
        </is>
      </c>
      <c r="I3067">
        <v>0</v>
      </c>
    </row>
    <row r="3068">
      <c r="A3068" t="inlineStr">
        <is>
          <t>Carbon monoxide, fossil</t>
        </is>
      </c>
      <c r="B3068">
        <v>1.2374529757351063e-05</v>
      </c>
      <c r="D3068" t="inlineStr">
        <is>
          <t>kilogram</t>
        </is>
      </c>
      <c r="E3068" t="inlineStr">
        <is>
          <t>air::urban air close to ground</t>
        </is>
      </c>
      <c r="F3068" t="inlineStr">
        <is>
          <t>biosphere</t>
        </is>
      </c>
      <c r="I3068">
        <v>0</v>
      </c>
    </row>
    <row r="3069">
      <c r="A3069" t="inlineStr">
        <is>
          <t>Particulate Matter, &lt; 2.5 um</t>
        </is>
      </c>
      <c r="B3069">
        <v>2.9567109392771765e-07</v>
      </c>
      <c r="D3069" t="inlineStr">
        <is>
          <t>kilogram</t>
        </is>
      </c>
      <c r="E3069" t="inlineStr">
        <is>
          <t>air::non-urban air or from high stacks</t>
        </is>
      </c>
      <c r="F3069" t="inlineStr">
        <is>
          <t>biosphere</t>
        </is>
      </c>
      <c r="I3069">
        <v>0</v>
      </c>
    </row>
    <row r="3070">
      <c r="A3070" t="inlineStr">
        <is>
          <t>1,1,1,2-Tetrafluoroethane</t>
        </is>
      </c>
      <c r="B3070">
        <v>9.411808273034042e-08</v>
      </c>
      <c r="D3070" t="inlineStr">
        <is>
          <t>kilogram</t>
        </is>
      </c>
      <c r="E3070" t="inlineStr">
        <is>
          <t>air</t>
        </is>
      </c>
      <c r="F3070" t="inlineStr">
        <is>
          <t>biosphere</t>
        </is>
      </c>
      <c r="I3070">
        <v>0</v>
      </c>
    </row>
    <row r="3071">
      <c r="A3071" t="inlineStr">
        <is>
          <t>exhaust system, for lorry</t>
        </is>
      </c>
      <c r="B3071">
        <v>2.202763490831916e-05</v>
      </c>
      <c r="C3071" t="inlineStr">
        <is>
          <t>RER</t>
        </is>
      </c>
      <c r="D3071" t="inlineStr">
        <is>
          <t>kilogram</t>
        </is>
      </c>
      <c r="F3071" t="inlineStr">
        <is>
          <t>technosphere</t>
        </is>
      </c>
      <c r="G3071" t="inlineStr">
        <is>
          <t>exhaust system, for lorry</t>
        </is>
      </c>
      <c r="H3071" t="inlineStr">
        <is>
          <t> Energy-use allocation: 220 * 1.367427797431765e-07 / 1.3657122822630972 MJ per ton kilometer.</t>
        </is>
      </c>
      <c r="I3071">
        <v>0</v>
      </c>
    </row>
    <row r="3072">
      <c r="A3072" t="inlineStr">
        <is>
          <t>fuel tank assembly, compressed natural gas, 200 bar</t>
        </is>
      </c>
      <c r="B3072">
        <v>2.3228537259892443e-05</v>
      </c>
      <c r="C3072" t="inlineStr">
        <is>
          <t>RER</t>
        </is>
      </c>
      <c r="D3072" t="inlineStr">
        <is>
          <t>kilogram</t>
        </is>
      </c>
      <c r="F3072" t="inlineStr">
        <is>
          <t>technosphere</t>
        </is>
      </c>
      <c r="G3072" t="inlineStr">
        <is>
          <t>fuel tank, compressed natural gas, 200 bar</t>
        </is>
      </c>
      <c r="H3072" t="inlineStr">
        <is>
          <t> Energy-use allocation: 231.9939575195312 * 1.367427797431765e-07 / 1.3657122822630972 MJ per ton kilometer.</t>
        </is>
      </c>
      <c r="I3072">
        <v>0</v>
      </c>
    </row>
    <row r="3073">
      <c r="A3073" t="inlineStr">
        <is>
          <t>gearbox, for lorry</t>
        </is>
      </c>
      <c r="B3073">
        <v>2.0185324236196164e-05</v>
      </c>
      <c r="C3073" t="inlineStr">
        <is>
          <t>RER</t>
        </is>
      </c>
      <c r="D3073" t="inlineStr">
        <is>
          <t>kilogram</t>
        </is>
      </c>
      <c r="F3073" t="inlineStr">
        <is>
          <t>technosphere</t>
        </is>
      </c>
      <c r="G3073" t="inlineStr">
        <is>
          <t>gearbox, for lorry</t>
        </is>
      </c>
      <c r="H3073" t="inlineStr">
        <is>
          <t> Energy-use allocation: 201.6000061035156 * 1.367427797431765e-07 / 1.3657122822630972 MJ per ton kilometer.</t>
        </is>
      </c>
      <c r="I3073">
        <v>0</v>
      </c>
    </row>
    <row r="3074">
      <c r="A3074" t="inlineStr">
        <is>
          <t>internal combustion engine, for lorry</t>
        </is>
      </c>
      <c r="B3074">
        <v>0.00012525019983449998</v>
      </c>
      <c r="C3074" t="inlineStr">
        <is>
          <t>RER</t>
        </is>
      </c>
      <c r="D3074" t="inlineStr">
        <is>
          <t>kilogram</t>
        </is>
      </c>
      <c r="F3074" t="inlineStr">
        <is>
          <t>technosphere</t>
        </is>
      </c>
      <c r="G3074" t="inlineStr">
        <is>
          <t>internal combustion engine, for lorry</t>
        </is>
      </c>
      <c r="H3074" t="inlineStr">
        <is>
          <t> Energy-use allocation: 1250.9306640625 * 1.367427797431765e-07 / 1.3657122822630972 MJ per ton kilometer.</t>
        </is>
      </c>
      <c r="I3074">
        <v>0</v>
      </c>
    </row>
    <row r="3075">
      <c r="A3075" t="inlineStr">
        <is>
          <t>lead acid battery, for lorry</t>
        </is>
      </c>
      <c r="B3075">
        <v>3.345373564732041e-06</v>
      </c>
      <c r="C3075" t="inlineStr">
        <is>
          <t>RER</t>
        </is>
      </c>
      <c r="D3075" t="inlineStr">
        <is>
          <t>kilogram</t>
        </is>
      </c>
      <c r="F3075" t="inlineStr">
        <is>
          <t>technosphere</t>
        </is>
      </c>
      <c r="G3075" t="inlineStr">
        <is>
          <t>lead acid battery, for lorry</t>
        </is>
      </c>
      <c r="H3075" t="inlineStr">
        <is>
          <t> Energy-use allocation: 33.41176605224609 * 1.367427797431765e-07 / 1.3657122822630972 MJ per ton kilometer.</t>
        </is>
      </c>
      <c r="I3075">
        <v>0</v>
      </c>
    </row>
    <row r="3076">
      <c r="A3076" t="inlineStr">
        <is>
          <t>power electronics, for lorry</t>
        </is>
      </c>
      <c r="B3076">
        <v>2.6533287503202626e-05</v>
      </c>
      <c r="C3076" t="inlineStr">
        <is>
          <t>RER</t>
        </is>
      </c>
      <c r="D3076" t="inlineStr">
        <is>
          <t>kilogram</t>
        </is>
      </c>
      <c r="F3076" t="inlineStr">
        <is>
          <t>technosphere</t>
        </is>
      </c>
      <c r="G3076" t="inlineStr">
        <is>
          <t>power electronics, for lorry</t>
        </is>
      </c>
      <c r="H3076" t="inlineStr">
        <is>
          <t> Energy-use allocation: 265 * 1.367427797431765e-07 / 1.3657122822630972 MJ per ton kilometer.</t>
        </is>
      </c>
      <c r="I3076">
        <v>0</v>
      </c>
    </row>
    <row r="3077">
      <c r="A3077" t="inlineStr">
        <is>
          <t>retarder, for lorry</t>
        </is>
      </c>
      <c r="B3077">
        <v>6.728440902800185e-06</v>
      </c>
      <c r="C3077" t="inlineStr">
        <is>
          <t>RER</t>
        </is>
      </c>
      <c r="D3077" t="inlineStr">
        <is>
          <t>kilogram</t>
        </is>
      </c>
      <c r="F3077" t="inlineStr">
        <is>
          <t>technosphere</t>
        </is>
      </c>
      <c r="G3077" t="inlineStr">
        <is>
          <t>retarder, for lorry</t>
        </is>
      </c>
      <c r="H3077" t="inlineStr">
        <is>
          <t> Energy-use allocation: 67.19999694824219 * 1.367427797431765e-07 / 1.3657122822630972 MJ per ton kilometer.</t>
        </is>
      </c>
      <c r="I3077">
        <v>0</v>
      </c>
    </row>
    <row r="3078">
      <c r="A3078" t="inlineStr">
        <is>
          <t>transmission, for lorry</t>
        </is>
      </c>
      <c r="B3078">
        <v>2.9156576736202266e-05</v>
      </c>
      <c r="C3078" t="inlineStr">
        <is>
          <t>RER</t>
        </is>
      </c>
      <c r="D3078" t="inlineStr">
        <is>
          <t>kilogram</t>
        </is>
      </c>
      <c r="F3078" t="inlineStr">
        <is>
          <t>technosphere</t>
        </is>
      </c>
      <c r="G3078" t="inlineStr">
        <is>
          <t>transmission, for lorry</t>
        </is>
      </c>
      <c r="H3078" t="inlineStr">
        <is>
          <t> Energy-use allocation: 291.1999816894531 * 1.367427797431765e-07 / 1.3657122822630972 MJ per ton kilometer.</t>
        </is>
      </c>
      <c r="I3078">
        <v>0</v>
      </c>
    </row>
    <row r="3079">
      <c r="A3079" t="inlineStr">
        <is>
          <t>Carbon dioxide, fossil</t>
        </is>
      </c>
      <c r="B3079">
        <v>0.06</v>
      </c>
      <c r="D3079" t="inlineStr">
        <is>
          <t>kilogram</t>
        </is>
      </c>
      <c r="E3079" t="inlineStr">
        <is>
          <t>air</t>
        </is>
      </c>
      <c r="F3079" t="inlineStr">
        <is>
          <t>biosphere</t>
        </is>
      </c>
      <c r="H3079" t="inlineStr">
        <is>
          <t>Reference-fuel full-oxidation CO2; Premise reclassifies fossil/biogenic carbon with regional blends. Pollutants are separate model estimates, not an elemental closure.</t>
        </is>
      </c>
      <c r="I3079">
        <v>0</v>
      </c>
    </row>
    <row r="3080"/>
    <row r="3081">
      <c r="A3081" t="inlineStr">
        <is>
          <t>Activity</t>
        </is>
      </c>
      <c r="B3081" t="inlineStr">
        <is>
          <t>compressed gas, synthetic, burned in heavy duty vehicle</t>
        </is>
      </c>
    </row>
    <row r="3082">
      <c r="A3082" t="inlineStr">
        <is>
          <t>comment</t>
        </is>
      </c>
      <c r="B3082"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83">
      <c r="A3083" t="inlineStr">
        <is>
          <t>description</t>
        </is>
      </c>
      <c r="B308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84">
      <c r="A3084" t="inlineStr">
        <is>
          <t>location</t>
        </is>
      </c>
      <c r="B3084" t="inlineStr">
        <is>
          <t>RER</t>
        </is>
      </c>
    </row>
    <row r="3085">
      <c r="A3085" t="inlineStr">
        <is>
          <t>production amount</t>
        </is>
      </c>
      <c r="B3085">
        <v>1</v>
      </c>
    </row>
    <row r="3086">
      <c r="A3086" t="inlineStr">
        <is>
          <t>reference product</t>
        </is>
      </c>
      <c r="B3086" t="inlineStr">
        <is>
          <t>heat</t>
        </is>
      </c>
    </row>
    <row r="3087">
      <c r="A3087" t="inlineStr">
        <is>
          <t>source</t>
        </is>
      </c>
      <c r="B3087" t="inlineStr">
        <is>
          <t>Sacchi, R., Bauer, C., and Cox, B. Does size matter? The influence of size, load factor, range autonomy and application type on the Life Cycle Assessment of current and future trucks. 2021. Environmental Science and Technology.</t>
        </is>
      </c>
    </row>
    <row r="3088">
      <c r="A3088" t="inlineStr">
        <is>
          <t>type</t>
        </is>
      </c>
      <c r="B3088" t="inlineStr">
        <is>
          <t>process</t>
        </is>
      </c>
    </row>
    <row r="3089">
      <c r="A3089" t="inlineStr">
        <is>
          <t>unit</t>
        </is>
      </c>
      <c r="B3089" t="inlineStr">
        <is>
          <t>megajoule</t>
        </is>
      </c>
    </row>
    <row r="3090">
      <c r="A3090" t="inlineStr">
        <is>
          <t>Power, mean</t>
        </is>
      </c>
      <c r="B3090">
        <v>308</v>
      </c>
    </row>
    <row r="3091">
      <c r="A3091" t="inlineStr">
        <is>
          <t>Power, min</t>
        </is>
      </c>
      <c r="B3091">
        <v>155</v>
      </c>
    </row>
    <row r="3092">
      <c r="A3092" t="inlineStr">
        <is>
          <t>Power, max</t>
        </is>
      </c>
      <c r="B3092">
        <v>485</v>
      </c>
    </row>
    <row r="3093">
      <c r="A3093" t="inlineStr">
        <is>
          <t>Lifetime, mean</t>
        </is>
      </c>
      <c r="B3093">
        <v>1000000</v>
      </c>
    </row>
    <row r="3094">
      <c r="A3094" t="inlineStr">
        <is>
          <t>Lifetime, min</t>
        </is>
      </c>
      <c r="B3094">
        <v>500000</v>
      </c>
    </row>
    <row r="3095">
      <c r="A3095" t="inlineStr">
        <is>
          <t>Lifetime, max</t>
        </is>
      </c>
      <c r="B3095">
        <v>1200000</v>
      </c>
    </row>
    <row r="3096">
      <c r="A3096" t="inlineStr">
        <is>
          <t>Energy use, mean</t>
        </is>
      </c>
      <c r="B3096">
        <v>7530</v>
      </c>
    </row>
    <row r="3097">
      <c r="A3097" t="inlineStr">
        <is>
          <t>Energy use, min</t>
        </is>
      </c>
      <c r="B3097">
        <v>3600</v>
      </c>
    </row>
    <row r="3098">
      <c r="A3098" t="inlineStr">
        <is>
          <t>Energy use, max</t>
        </is>
      </c>
      <c r="B3098">
        <v>10315</v>
      </c>
    </row>
    <row r="3099">
      <c r="A3099" t="inlineStr">
        <is>
          <t>Electric motor, mean</t>
        </is>
      </c>
      <c r="B3099">
        <v>0</v>
      </c>
    </row>
    <row r="3100">
      <c r="A3100" t="inlineStr">
        <is>
          <t>Electric motor, min</t>
        </is>
      </c>
      <c r="B3100">
        <v>0</v>
      </c>
    </row>
    <row r="3101">
      <c r="A3101" t="inlineStr">
        <is>
          <t>Electric motor, max</t>
        </is>
      </c>
      <c r="B3101">
        <v>0</v>
      </c>
    </row>
    <row r="3102">
      <c r="A3102" t="inlineStr">
        <is>
          <t>Combustion engine, mean</t>
        </is>
      </c>
      <c r="B3102">
        <v>1040</v>
      </c>
    </row>
    <row r="3103">
      <c r="A3103" t="inlineStr">
        <is>
          <t>Combustion engine, min</t>
        </is>
      </c>
      <c r="B3103">
        <v>610</v>
      </c>
    </row>
    <row r="3104">
      <c r="A3104" t="inlineStr">
        <is>
          <t>Combustion engine, max</t>
        </is>
      </c>
      <c r="B3104">
        <v>1230</v>
      </c>
    </row>
    <row r="3105">
      <c r="A3105" t="inlineStr">
        <is>
          <t>Fuel tank, mean</t>
        </is>
      </c>
      <c r="B3105">
        <v>123</v>
      </c>
    </row>
    <row r="3106">
      <c r="A3106" t="inlineStr">
        <is>
          <t>Fuel tank, min</t>
        </is>
      </c>
      <c r="B3106">
        <v>77</v>
      </c>
    </row>
    <row r="3107">
      <c r="A3107" t="inlineStr">
        <is>
          <t>Fuel tank, max</t>
        </is>
      </c>
      <c r="B3107">
        <v>155</v>
      </c>
    </row>
    <row r="3108">
      <c r="A3108" t="inlineStr">
        <is>
          <t>Battery capacity, mean</t>
        </is>
      </c>
      <c r="B3108">
        <v>0</v>
      </c>
    </row>
    <row r="3109">
      <c r="A3109" t="inlineStr">
        <is>
          <t>Battery capacity, min</t>
        </is>
      </c>
      <c r="B3109">
        <v>0</v>
      </c>
    </row>
    <row r="3110">
      <c r="A3110" t="inlineStr">
        <is>
          <t>Battery capacity, max</t>
        </is>
      </c>
      <c r="B3110">
        <v>0</v>
      </c>
    </row>
    <row r="3111">
      <c r="A3111" t="inlineStr">
        <is>
          <t>Battery replacement, mean</t>
        </is>
      </c>
      <c r="B3111">
        <v>0</v>
      </c>
    </row>
    <row r="3112">
      <c r="A3112" t="inlineStr">
        <is>
          <t>Battery replacement, min</t>
        </is>
      </c>
      <c r="B3112">
        <v>0</v>
      </c>
    </row>
    <row r="3113">
      <c r="A3113" t="inlineStr">
        <is>
          <t>Battery replacement, max</t>
        </is>
      </c>
      <c r="B3113">
        <v>0</v>
      </c>
    </row>
    <row r="3114">
      <c r="A3114" t="inlineStr">
        <is>
          <t>Fuel cell system, mean</t>
        </is>
      </c>
      <c r="B3114">
        <v>0</v>
      </c>
    </row>
    <row r="3115">
      <c r="A3115" t="inlineStr">
        <is>
          <t>Fuel cell system, min</t>
        </is>
      </c>
      <c r="B3115">
        <v>0</v>
      </c>
    </row>
    <row r="3116">
      <c r="A3116" t="inlineStr">
        <is>
          <t>Fuel cell system, max</t>
        </is>
      </c>
      <c r="B3116">
        <v>0</v>
      </c>
    </row>
    <row r="3117">
      <c r="A3117" t="inlineStr">
        <is>
          <t>Fuel cell stack replacement, mean</t>
        </is>
      </c>
      <c r="B3117">
        <v>0</v>
      </c>
    </row>
    <row r="3118">
      <c r="A3118" t="inlineStr">
        <is>
          <t>Fuel cell replacement, min</t>
        </is>
      </c>
      <c r="B3118">
        <v>0</v>
      </c>
    </row>
    <row r="3119">
      <c r="A3119" t="inlineStr">
        <is>
          <t>Fuel cell replacement, max</t>
        </is>
      </c>
      <c r="B3119">
        <v>0</v>
      </c>
    </row>
    <row r="3120">
      <c r="A3120" t="inlineStr">
        <is>
          <t>Onboard charger mass</t>
        </is>
      </c>
      <c r="B3120">
        <v>0</v>
      </c>
    </row>
    <row r="3121">
      <c r="A3121" t="inlineStr">
        <is>
          <t>Controller mass</t>
        </is>
      </c>
      <c r="B3121">
        <v>0</v>
      </c>
    </row>
    <row r="3122">
      <c r="A3122" t="inlineStr">
        <is>
          <t>Converter mass</t>
        </is>
      </c>
      <c r="B3122">
        <v>0</v>
      </c>
    </row>
    <row r="3123">
      <c r="A3123" t="inlineStr">
        <is>
          <t>Electrical powertrain mass</t>
        </is>
      </c>
      <c r="B3123">
        <v>0</v>
      </c>
    </row>
    <row r="3124">
      <c r="A3124" t="inlineStr">
        <is>
          <t>Inverter mass</t>
        </is>
      </c>
      <c r="B3124">
        <v>0</v>
      </c>
    </row>
    <row r="3125">
      <c r="A3125" t="inlineStr">
        <is>
          <t>NOx</t>
        </is>
      </c>
      <c r="B3125">
        <v>0.030144679</v>
      </c>
    </row>
    <row r="3126">
      <c r="A3126" t="inlineStr">
        <is>
          <t>PM 2.5</t>
        </is>
      </c>
      <c r="B3126">
        <v>0.000406425</v>
      </c>
    </row>
    <row r="3127">
      <c r="A3127" t="inlineStr">
        <is>
          <t>energy use source</t>
        </is>
      </c>
      <c r="B3127"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3128">
      <c r="A3128" t="inlineStr">
        <is>
          <t>Exchanges</t>
        </is>
      </c>
    </row>
    <row r="3129">
      <c r="A3129" t="inlineStr">
        <is>
          <t>name</t>
        </is>
      </c>
      <c r="B3129" t="inlineStr">
        <is>
          <t>amount</t>
        </is>
      </c>
      <c r="C3129" t="inlineStr">
        <is>
          <t>location</t>
        </is>
      </c>
      <c r="D3129" t="inlineStr">
        <is>
          <t>unit</t>
        </is>
      </c>
      <c r="E3129" t="inlineStr">
        <is>
          <t>categories</t>
        </is>
      </c>
      <c r="F3129" t="inlineStr">
        <is>
          <t>type</t>
        </is>
      </c>
      <c r="G3129" t="inlineStr">
        <is>
          <t>reference product</t>
        </is>
      </c>
      <c r="H3129" t="inlineStr">
        <is>
          <t>comment</t>
        </is>
      </c>
      <c r="I3129" t="inlineStr">
        <is>
          <t>uncertainty type</t>
        </is>
      </c>
    </row>
    <row r="3130">
      <c r="A3130" t="inlineStr">
        <is>
          <t>compressed gas, synthetic, burned in heavy duty vehicle</t>
        </is>
      </c>
      <c r="B3130">
        <v>1.0</v>
      </c>
      <c r="C3130" t="inlineStr">
        <is>
          <t>RER</t>
        </is>
      </c>
      <c r="D3130" t="inlineStr">
        <is>
          <t>megajoule</t>
        </is>
      </c>
      <c r="F3130" t="inlineStr">
        <is>
          <t>production</t>
        </is>
      </c>
      <c r="G3130" t="inlineStr">
        <is>
          <t>heat</t>
        </is>
      </c>
      <c r="I3130">
        <v>0</v>
      </c>
    </row>
    <row r="3131">
      <c r="A3131" t="inlineStr">
        <is>
          <t>methane, from electrochemical methanation, with carbon from atmosphere, using heat pump heat</t>
        </is>
      </c>
      <c r="B3131">
        <v>0.021052631578947368</v>
      </c>
      <c r="C3131" t="inlineStr">
        <is>
          <t>RER</t>
        </is>
      </c>
      <c r="D3131" t="inlineStr">
        <is>
          <t>kilogram</t>
        </is>
      </c>
      <c r="F3131" t="inlineStr">
        <is>
          <t>technosphere</t>
        </is>
      </c>
      <c r="G3131" t="inlineStr">
        <is>
          <t>methane, from electrochemical methanation</t>
        </is>
      </c>
      <c r="I3131">
        <v>0</v>
      </c>
    </row>
    <row r="3132">
      <c r="A3132" t="inlineStr">
        <is>
          <t>market for tetrafluoroethane, R134a</t>
        </is>
      </c>
      <c r="B3132">
        <v>2.0425624676545975e-07</v>
      </c>
      <c r="C3132" t="inlineStr">
        <is>
          <t>GLO</t>
        </is>
      </c>
      <c r="D3132" t="inlineStr">
        <is>
          <t>kilogram</t>
        </is>
      </c>
      <c r="F3132" t="inlineStr">
        <is>
          <t>technosphere</t>
        </is>
      </c>
      <c r="G3132" t="inlineStr">
        <is>
          <t>tetrafluoroethane, R134a</t>
        </is>
      </c>
      <c r="I3132">
        <v>0</v>
      </c>
    </row>
    <row r="3133">
      <c r="A3133" t="inlineStr">
        <is>
          <t>treatment of brake wear emissions, lorry</t>
        </is>
      </c>
      <c r="B3133">
        <v>-7.486271918383526e-06</v>
      </c>
      <c r="C3133" t="inlineStr">
        <is>
          <t>RER</t>
        </is>
      </c>
      <c r="D3133" t="inlineStr">
        <is>
          <t>kilogram</t>
        </is>
      </c>
      <c r="F3133" t="inlineStr">
        <is>
          <t>technosphere</t>
        </is>
      </c>
      <c r="G3133" t="inlineStr">
        <is>
          <t>brake wear emissions, lorry</t>
        </is>
      </c>
      <c r="I3133">
        <v>0</v>
      </c>
    </row>
    <row r="3134">
      <c r="A3134" t="inlineStr">
        <is>
          <t>treatment of road wear emissions, lorry</t>
        </is>
      </c>
      <c r="B3134">
        <v>-9.441824985264776e-06</v>
      </c>
      <c r="C3134" t="inlineStr">
        <is>
          <t>RER</t>
        </is>
      </c>
      <c r="D3134" t="inlineStr">
        <is>
          <t>kilogram</t>
        </is>
      </c>
      <c r="F3134" t="inlineStr">
        <is>
          <t>technosphere</t>
        </is>
      </c>
      <c r="G3134" t="inlineStr">
        <is>
          <t>road wear emissions, lorry</t>
        </is>
      </c>
      <c r="I3134">
        <v>0</v>
      </c>
    </row>
    <row r="3135">
      <c r="A3135" t="inlineStr">
        <is>
          <t>treatment of tyre wear emissions, lorry</t>
        </is>
      </c>
      <c r="B3135">
        <v>-7.66615520878379e-06</v>
      </c>
      <c r="C3135" t="inlineStr">
        <is>
          <t>RER</t>
        </is>
      </c>
      <c r="D3135" t="inlineStr">
        <is>
          <t>kilogram</t>
        </is>
      </c>
      <c r="F3135" t="inlineStr">
        <is>
          <t>technosphere</t>
        </is>
      </c>
      <c r="G3135" t="inlineStr">
        <is>
          <t>tyre wear emissions, lorry</t>
        </is>
      </c>
      <c r="I3135">
        <v>0</v>
      </c>
    </row>
    <row r="3136">
      <c r="A3136" t="inlineStr">
        <is>
          <t>NMVOC, non-methane volatile organic compounds</t>
        </is>
      </c>
      <c r="B3136">
        <v>7.002805122814972e-07</v>
      </c>
      <c r="D3136" t="inlineStr">
        <is>
          <t>kilogram</t>
        </is>
      </c>
      <c r="E3136" t="inlineStr">
        <is>
          <t>air::non-urban air or from high stacks</t>
        </is>
      </c>
      <c r="F3136" t="inlineStr">
        <is>
          <t>biosphere</t>
        </is>
      </c>
      <c r="I3136">
        <v>0</v>
      </c>
    </row>
    <row r="3137">
      <c r="A3137" t="inlineStr">
        <is>
          <t>Particulate Matter, &lt; 2.5 um</t>
        </is>
      </c>
      <c r="B3137">
        <v>1.107539405371624e-07</v>
      </c>
      <c r="D3137" t="inlineStr">
        <is>
          <t>kilogram</t>
        </is>
      </c>
      <c r="E3137" t="inlineStr">
        <is>
          <t>air::urban air close to ground</t>
        </is>
      </c>
      <c r="F3137" t="inlineStr">
        <is>
          <t>biosphere</t>
        </is>
      </c>
      <c r="I3137">
        <v>0</v>
      </c>
    </row>
    <row r="3138">
      <c r="A3138" t="inlineStr">
        <is>
          <t>Methane, fossil</t>
        </is>
      </c>
      <c r="B3138">
        <v>8.05322854210204e-06</v>
      </c>
      <c r="D3138" t="inlineStr">
        <is>
          <t>kilogram</t>
        </is>
      </c>
      <c r="E3138" t="inlineStr">
        <is>
          <t>air::non-urban air or from high stacks</t>
        </is>
      </c>
      <c r="F3138" t="inlineStr">
        <is>
          <t>biosphere</t>
        </is>
      </c>
      <c r="I3138">
        <v>0</v>
      </c>
    </row>
    <row r="3139">
      <c r="A3139" t="inlineStr">
        <is>
          <t>Nitrogen oxides</t>
        </is>
      </c>
      <c r="B3139">
        <v>2.1930022791785066e-05</v>
      </c>
      <c r="D3139" t="inlineStr">
        <is>
          <t>kilogram</t>
        </is>
      </c>
      <c r="E3139" t="inlineStr">
        <is>
          <t>air::non-urban air or from high stacks</t>
        </is>
      </c>
      <c r="F3139" t="inlineStr">
        <is>
          <t>biosphere</t>
        </is>
      </c>
      <c r="I3139">
        <v>0</v>
      </c>
    </row>
    <row r="3140">
      <c r="A3140" t="inlineStr">
        <is>
          <t>Carbon monoxide, fossil</t>
        </is>
      </c>
      <c r="B3140">
        <v>3.3035310195534865e-05</v>
      </c>
      <c r="D3140" t="inlineStr">
        <is>
          <t>kilogram</t>
        </is>
      </c>
      <c r="E3140" t="inlineStr">
        <is>
          <t>air::non-urban air or from high stacks</t>
        </is>
      </c>
      <c r="F3140" t="inlineStr">
        <is>
          <t>biosphere</t>
        </is>
      </c>
      <c r="I3140">
        <v>0</v>
      </c>
    </row>
    <row r="3141">
      <c r="A3141" t="inlineStr">
        <is>
          <t>Methane, fossil</t>
        </is>
      </c>
      <c r="B3141">
        <v>3.0166182213661613e-06</v>
      </c>
      <c r="D3141" t="inlineStr">
        <is>
          <t>kilogram</t>
        </is>
      </c>
      <c r="E3141" t="inlineStr">
        <is>
          <t>air::urban air close to ground</t>
        </is>
      </c>
      <c r="F3141" t="inlineStr">
        <is>
          <t>biosphere</t>
        </is>
      </c>
      <c r="I3141">
        <v>0</v>
      </c>
    </row>
    <row r="3142">
      <c r="A3142" t="inlineStr">
        <is>
          <t>NMVOC, non-methane volatile organic compounds</t>
        </is>
      </c>
      <c r="B3142">
        <v>2.623145506397058e-07</v>
      </c>
      <c r="D3142" t="inlineStr">
        <is>
          <t>kilogram</t>
        </is>
      </c>
      <c r="E3142" t="inlineStr">
        <is>
          <t>air::urban air close to ground</t>
        </is>
      </c>
      <c r="F3142" t="inlineStr">
        <is>
          <t>biosphere</t>
        </is>
      </c>
      <c r="I3142">
        <v>0</v>
      </c>
    </row>
    <row r="3143">
      <c r="A3143" t="inlineStr">
        <is>
          <t>Nitrogen oxides</t>
        </is>
      </c>
      <c r="B3143">
        <v>8.21465715815002e-06</v>
      </c>
      <c r="D3143" t="inlineStr">
        <is>
          <t>kilogram</t>
        </is>
      </c>
      <c r="E3143" t="inlineStr">
        <is>
          <t>air::urban air close to ground</t>
        </is>
      </c>
      <c r="F3143" t="inlineStr">
        <is>
          <t>biosphere</t>
        </is>
      </c>
      <c r="I3143">
        <v>0</v>
      </c>
    </row>
    <row r="3144">
      <c r="A3144" t="inlineStr">
        <is>
          <t>Carbon monoxide, fossil</t>
        </is>
      </c>
      <c r="B3144">
        <v>1.2374529757351063e-05</v>
      </c>
      <c r="D3144" t="inlineStr">
        <is>
          <t>kilogram</t>
        </is>
      </c>
      <c r="E3144" t="inlineStr">
        <is>
          <t>air::urban air close to ground</t>
        </is>
      </c>
      <c r="F3144" t="inlineStr">
        <is>
          <t>biosphere</t>
        </is>
      </c>
      <c r="I3144">
        <v>0</v>
      </c>
    </row>
    <row r="3145">
      <c r="A3145" t="inlineStr">
        <is>
          <t>Particulate Matter, &lt; 2.5 um</t>
        </is>
      </c>
      <c r="B3145">
        <v>2.9567109392771765e-07</v>
      </c>
      <c r="D3145" t="inlineStr">
        <is>
          <t>kilogram</t>
        </is>
      </c>
      <c r="E3145" t="inlineStr">
        <is>
          <t>air::non-urban air or from high stacks</t>
        </is>
      </c>
      <c r="F3145" t="inlineStr">
        <is>
          <t>biosphere</t>
        </is>
      </c>
      <c r="I3145">
        <v>0</v>
      </c>
    </row>
    <row r="3146">
      <c r="A3146" t="inlineStr">
        <is>
          <t>1,1,1,2-Tetrafluoroethane</t>
        </is>
      </c>
      <c r="B3146">
        <v>9.411808273034042e-08</v>
      </c>
      <c r="D3146" t="inlineStr">
        <is>
          <t>kilogram</t>
        </is>
      </c>
      <c r="E3146" t="inlineStr">
        <is>
          <t>air</t>
        </is>
      </c>
      <c r="F3146" t="inlineStr">
        <is>
          <t>biosphere</t>
        </is>
      </c>
      <c r="I3146">
        <v>0</v>
      </c>
    </row>
    <row r="3147">
      <c r="A3147" t="inlineStr">
        <is>
          <t>exhaust system, for lorry</t>
        </is>
      </c>
      <c r="B3147">
        <v>2.202763490831916e-05</v>
      </c>
      <c r="C3147" t="inlineStr">
        <is>
          <t>RER</t>
        </is>
      </c>
      <c r="D3147" t="inlineStr">
        <is>
          <t>kilogram</t>
        </is>
      </c>
      <c r="F3147" t="inlineStr">
        <is>
          <t>technosphere</t>
        </is>
      </c>
      <c r="G3147" t="inlineStr">
        <is>
          <t>exhaust system, for lorry</t>
        </is>
      </c>
      <c r="H3147" t="inlineStr">
        <is>
          <t> Energy-use allocation: 220 * 1.367427797431765e-07 / 1.3657122822630972 MJ per ton kilometer.</t>
        </is>
      </c>
      <c r="I3147">
        <v>0</v>
      </c>
    </row>
    <row r="3148">
      <c r="A3148" t="inlineStr">
        <is>
          <t>fuel tank assembly, compressed natural gas, 200 bar</t>
        </is>
      </c>
      <c r="B3148">
        <v>2.3228537259892443e-05</v>
      </c>
      <c r="C3148" t="inlineStr">
        <is>
          <t>RER</t>
        </is>
      </c>
      <c r="D3148" t="inlineStr">
        <is>
          <t>kilogram</t>
        </is>
      </c>
      <c r="F3148" t="inlineStr">
        <is>
          <t>technosphere</t>
        </is>
      </c>
      <c r="G3148" t="inlineStr">
        <is>
          <t>fuel tank, compressed natural gas, 200 bar</t>
        </is>
      </c>
      <c r="H3148" t="inlineStr">
        <is>
          <t> Energy-use allocation: 231.9939575195312 * 1.367427797431765e-07 / 1.3657122822630972 MJ per ton kilometer.</t>
        </is>
      </c>
      <c r="I3148">
        <v>0</v>
      </c>
    </row>
    <row r="3149">
      <c r="A3149" t="inlineStr">
        <is>
          <t>gearbox, for lorry</t>
        </is>
      </c>
      <c r="B3149">
        <v>2.0185324236196164e-05</v>
      </c>
      <c r="C3149" t="inlineStr">
        <is>
          <t>RER</t>
        </is>
      </c>
      <c r="D3149" t="inlineStr">
        <is>
          <t>kilogram</t>
        </is>
      </c>
      <c r="F3149" t="inlineStr">
        <is>
          <t>technosphere</t>
        </is>
      </c>
      <c r="G3149" t="inlineStr">
        <is>
          <t>gearbox, for lorry</t>
        </is>
      </c>
      <c r="H3149" t="inlineStr">
        <is>
          <t> Energy-use allocation: 201.6000061035156 * 1.367427797431765e-07 / 1.3657122822630972 MJ per ton kilometer.</t>
        </is>
      </c>
      <c r="I3149">
        <v>0</v>
      </c>
    </row>
    <row r="3150">
      <c r="A3150" t="inlineStr">
        <is>
          <t>internal combustion engine, for lorry</t>
        </is>
      </c>
      <c r="B3150">
        <v>0.00012525019983449998</v>
      </c>
      <c r="C3150" t="inlineStr">
        <is>
          <t>RER</t>
        </is>
      </c>
      <c r="D3150" t="inlineStr">
        <is>
          <t>kilogram</t>
        </is>
      </c>
      <c r="F3150" t="inlineStr">
        <is>
          <t>technosphere</t>
        </is>
      </c>
      <c r="G3150" t="inlineStr">
        <is>
          <t>internal combustion engine, for lorry</t>
        </is>
      </c>
      <c r="H3150" t="inlineStr">
        <is>
          <t> Energy-use allocation: 1250.9306640625 * 1.367427797431765e-07 / 1.3657122822630972 MJ per ton kilometer.</t>
        </is>
      </c>
      <c r="I3150">
        <v>0</v>
      </c>
    </row>
    <row r="3151">
      <c r="A3151" t="inlineStr">
        <is>
          <t>lead acid battery, for lorry</t>
        </is>
      </c>
      <c r="B3151">
        <v>3.345373564732041e-06</v>
      </c>
      <c r="C3151" t="inlineStr">
        <is>
          <t>RER</t>
        </is>
      </c>
      <c r="D3151" t="inlineStr">
        <is>
          <t>kilogram</t>
        </is>
      </c>
      <c r="F3151" t="inlineStr">
        <is>
          <t>technosphere</t>
        </is>
      </c>
      <c r="G3151" t="inlineStr">
        <is>
          <t>lead acid battery, for lorry</t>
        </is>
      </c>
      <c r="H3151" t="inlineStr">
        <is>
          <t> Energy-use allocation: 33.41176605224609 * 1.367427797431765e-07 / 1.3657122822630972 MJ per ton kilometer.</t>
        </is>
      </c>
      <c r="I3151">
        <v>0</v>
      </c>
    </row>
    <row r="3152">
      <c r="A3152" t="inlineStr">
        <is>
          <t>power electronics, for lorry</t>
        </is>
      </c>
      <c r="B3152">
        <v>2.6533287503202626e-05</v>
      </c>
      <c r="C3152" t="inlineStr">
        <is>
          <t>RER</t>
        </is>
      </c>
      <c r="D3152" t="inlineStr">
        <is>
          <t>kilogram</t>
        </is>
      </c>
      <c r="F3152" t="inlineStr">
        <is>
          <t>technosphere</t>
        </is>
      </c>
      <c r="G3152" t="inlineStr">
        <is>
          <t>power electronics, for lorry</t>
        </is>
      </c>
      <c r="H3152" t="inlineStr">
        <is>
          <t> Energy-use allocation: 265 * 1.367427797431765e-07 / 1.3657122822630972 MJ per ton kilometer.</t>
        </is>
      </c>
      <c r="I3152">
        <v>0</v>
      </c>
    </row>
    <row r="3153">
      <c r="A3153" t="inlineStr">
        <is>
          <t>retarder, for lorry</t>
        </is>
      </c>
      <c r="B3153">
        <v>6.728440902800185e-06</v>
      </c>
      <c r="C3153" t="inlineStr">
        <is>
          <t>RER</t>
        </is>
      </c>
      <c r="D3153" t="inlineStr">
        <is>
          <t>kilogram</t>
        </is>
      </c>
      <c r="F3153" t="inlineStr">
        <is>
          <t>technosphere</t>
        </is>
      </c>
      <c r="G3153" t="inlineStr">
        <is>
          <t>retarder, for lorry</t>
        </is>
      </c>
      <c r="H3153" t="inlineStr">
        <is>
          <t> Energy-use allocation: 67.19999694824219 * 1.367427797431765e-07 / 1.3657122822630972 MJ per ton kilometer.</t>
        </is>
      </c>
      <c r="I3153">
        <v>0</v>
      </c>
    </row>
    <row r="3154">
      <c r="A3154" t="inlineStr">
        <is>
          <t>transmission, for lorry</t>
        </is>
      </c>
      <c r="B3154">
        <v>2.9156576736202266e-05</v>
      </c>
      <c r="C3154" t="inlineStr">
        <is>
          <t>RER</t>
        </is>
      </c>
      <c r="D3154" t="inlineStr">
        <is>
          <t>kilogram</t>
        </is>
      </c>
      <c r="F3154" t="inlineStr">
        <is>
          <t>technosphere</t>
        </is>
      </c>
      <c r="G3154" t="inlineStr">
        <is>
          <t>transmission, for lorry</t>
        </is>
      </c>
      <c r="H3154" t="inlineStr">
        <is>
          <t> Energy-use allocation: 291.1999816894531 * 1.367427797431765e-07 / 1.3657122822630972 MJ per ton kilometer.</t>
        </is>
      </c>
      <c r="I3154">
        <v>0</v>
      </c>
    </row>
    <row r="3155">
      <c r="A3155" t="inlineStr">
        <is>
          <t>Carbon dioxide, non-fossil</t>
        </is>
      </c>
      <c r="B3155">
        <v>0.06</v>
      </c>
      <c r="D3155" t="inlineStr">
        <is>
          <t>kilogram</t>
        </is>
      </c>
      <c r="E3155" t="inlineStr">
        <is>
          <t>air</t>
        </is>
      </c>
      <c r="F3155" t="inlineStr">
        <is>
          <t>biosphere</t>
        </is>
      </c>
      <c r="I3155">
        <v>0</v>
      </c>
    </row>
    <row r="3156"/>
    <row r="3157" spans="1:12" ns3:dyDescent="0.2">
      <c r="A3157" s="17" t="s">
        <v>2</v>
      </c>
      <c r="B3157" s="17" t="s">
        <v>95</v>
      </c>
    </row>
    <row r="3158" spans="1:12" customFormat="1" ht="16" ns3:dyDescent="0.2">
      <c r="A3158" s="2" t="s">
        <v>3</v>
      </c>
      <c r="B3158" s="2" t="s">
        <v>18</v>
      </c>
      <c r="C3158" s="2"/>
      <c r="D3158" s="2"/>
      <c r="E3158" s="2"/>
      <c r="F3158" s="2"/>
      <c r="G3158" s="2"/>
      <c r="H3158" s="2"/>
      <c r="I3158" s="2"/>
      <c r="J3158" s="2"/>
      <c r="K3158" s="2"/>
      <c r="L3158" s="2"/>
    </row>
    <row r="3159" spans="1:12" customFormat="1" ht="16" ns3:dyDescent="0.2">
      <c r="A3159" s="2" t="s">
        <v>4</v>
      </c>
      <c r="B3159" s="2">
        <v>1</v>
      </c>
      <c r="C3159" s="2"/>
      <c r="D3159" s="2"/>
      <c r="E3159" s="2"/>
      <c r="F3159" s="2"/>
      <c r="G3159" s="2"/>
      <c r="H3159" s="2"/>
      <c r="I3159" s="2"/>
      <c r="J3159" s="2"/>
      <c r="K3159" s="2"/>
      <c r="L3159" s="2"/>
    </row>
    <row r="3160" spans="1:12" customFormat="1" ht="16" ns3:dyDescent="0.2">
      <c r="A3160" s="2" t="s">
        <v>5</v>
      </c>
      <c r="B3160" s="2" t="s">
        <v>1</v>
      </c>
      <c r="C3160" s="2"/>
      <c r="D3160" s="2"/>
      <c r="E3160" s="2"/>
      <c r="F3160" s="2"/>
      <c r="G3160" s="2"/>
      <c r="H3160" s="2"/>
      <c r="I3160" s="2"/>
      <c r="J3160" s="2"/>
    </row>
    <row r="3161" spans="1:12" customFormat="1" ht="16" ns3:dyDescent="0.2">
      <c r="A3161" s="2" t="s">
        <v>6</v>
      </c>
      <c r="B3161" s="2" t="s">
        <v>7</v>
      </c>
      <c r="C3161" s="2"/>
      <c r="D3161" s="2"/>
      <c r="E3161" s="2"/>
      <c r="F3161" s="2"/>
      <c r="G3161" s="2"/>
      <c r="H3161" s="2"/>
      <c r="I3161" s="2"/>
      <c r="J3161" s="2"/>
      <c r="K3161" s="2"/>
      <c r="L3161" s="2"/>
    </row>
    <row r="3162" spans="1:12" customFormat="1" ht="16" ns3:dyDescent="0.2">
      <c r="A3162" s="2" t="s">
        <v>8</v>
      </c>
      <c r="B3162" s="2" t="s">
        <v>17</v>
      </c>
      <c r="C3162" s="2"/>
      <c r="D3162" s="2"/>
      <c r="E3162" s="2"/>
      <c r="F3162" s="2"/>
      <c r="G3162" s="2"/>
      <c r="H3162" s="2"/>
      <c r="I3162" s="2"/>
      <c r="J3162" s="2"/>
      <c r="K3162" s="2"/>
      <c r="L3162" s="2"/>
    </row>
    <row r="3163" spans="1:12" customFormat="1" ht="16" ns3:dyDescent="0.2">
      <c r="A3163" s="1" t="s">
        <v>10</v>
      </c>
      <c r="B3163" s="2"/>
      <c r="C3163" s="2"/>
      <c r="D3163" s="2"/>
      <c r="E3163" s="2"/>
      <c r="F3163" s="2"/>
      <c r="G3163" s="2"/>
      <c r="H3163" s="2"/>
      <c r="I3163" s="2"/>
      <c r="J3163" s="2"/>
      <c r="K3163" s="2"/>
      <c r="L3163" s="2"/>
    </row>
    <row r="3164" spans="1:12" ns3:dyDescent="0.2">
      <c r="A3164" s="17" t="s">
        <v>11</v>
      </c>
      <c r="B3164" s="17" t="s">
        <v>12</v>
      </c>
      <c r="C3164" s="17" t="s">
        <v>3</v>
      </c>
      <c r="D3164" s="17" t="s">
        <v>13</v>
      </c>
      <c r="E3164" s="17" t="s">
        <v>8</v>
      </c>
      <c r="F3164" s="17" t="s">
        <v>6</v>
      </c>
      <c r="G3164" s="17" t="s">
        <v>5</v>
      </c>
      <c r="H3164" s="17"/>
      <c r="J3164" s="17"/>
      <c r="K3164" s="17"/>
    </row>
    <row r="3165" spans="1:12" customFormat="1" ht="16" ns3:dyDescent="0.2">
      <c r="A3165" s="2" t="str">
        <f>B3157</f>
        <v>kerosene, burned in aircraft</v>
      </c>
      <c r="B3165" s="2">
        <v>1</v>
      </c>
      <c r="C3165" s="2" t="str">
        <f>B3158</f>
        <v>RER</v>
      </c>
      <c r="D3165" s="2"/>
      <c r="E3165" s="2" t="str">
        <f>B3162</f>
        <v>megajoule</v>
      </c>
      <c r="F3165" s="2" t="s">
        <v>19</v>
      </c>
      <c r="G3165" s="2" t="str">
        <f>B3160</f>
        <v>heat</v>
      </c>
      <c r="H3165" s="2"/>
      <c r="I3165" s="2"/>
      <c r="J3165" s="2"/>
      <c r="K3165" s="2"/>
      <c r="L3165" s="2"/>
    </row>
    <row r="3166" spans="1:12" customFormat="1" ht="16" ns3:dyDescent="0.2">
      <c r="A3166" t="s">
        <v>96</v>
      </c>
      <c r="B3166">
        <f>1/43</f>
        <v>2.3255813953488372E-2</v>
      </c>
      <c r="C3166" t="s">
        <v>27</v>
      </c>
      <c r="E3166" t="s">
        <v>9</v>
      </c>
      <c r="F3166" t="s">
        <v>23</v>
      </c>
      <c r="G3166" t="s">
        <v>97</v>
      </c>
      <c r="I3166" s="2"/>
    </row>
    <row r="3167" spans="1:12" customFormat="1" ht="16" ns3:dyDescent="0.2">
      <c r="A3167" t="s">
        <v>52</v>
      </c>
      <c r="B3167" s="3">
        <v>2.1198518564846293E-10</v>
      </c>
      <c r="D3167" t="s">
        <v>99</v>
      </c>
      <c r="E3167" t="s">
        <v>9</v>
      </c>
      <c r="F3167" s="2" t="s">
        <v>15</v>
      </c>
      <c r="I3167" s="2"/>
    </row>
    <row r="3168" spans="1:12" customFormat="1" ht="16" ns3:dyDescent="0.2">
      <c r="A3168" t="s">
        <v>52</v>
      </c>
      <c r="B3168" s="3">
        <v>2.0573376279857471E-11</v>
      </c>
      <c r="D3168" t="s">
        <v>100</v>
      </c>
      <c r="E3168" t="s">
        <v>9</v>
      </c>
      <c r="F3168" s="2" t="s">
        <v>15</v>
      </c>
      <c r="I3168" s="2"/>
    </row>
    <row r="3169" spans="1:12" customFormat="1" ht="16" ns3:dyDescent="0.2">
      <c r="A3169" t="s">
        <v>53</v>
      </c>
      <c r="B3169" s="30">
        <v>6.6068583902493483E-2</v>
      </c>
      <c r="D3169" t="s">
        <v>99</v>
      </c>
      <c r="E3169" t="s">
        <v>9</v>
      </c>
      <c r="F3169" s="2" t="s">
        <v>15</v>
      </c>
      <c r="I3169" s="2"/>
    </row>
    <row r="3170" spans="1:12" customFormat="1" ht="16" ns3:dyDescent="0.2">
      <c r="A3170" t="s">
        <v>53</v>
      </c>
      <c r="B3170" s="30">
        <v>6.4120361938797945E-3</v>
      </c>
      <c r="D3170" t="s">
        <v>100</v>
      </c>
      <c r="E3170" t="s">
        <v>9</v>
      </c>
      <c r="F3170" s="2" t="s">
        <v>15</v>
      </c>
      <c r="I3170" s="2"/>
    </row>
    <row r="3171" spans="1:12" customFormat="1" ht="16" ns3:dyDescent="0.2">
      <c r="A3171" t="s">
        <v>54</v>
      </c>
      <c r="B3171" s="3">
        <v>4.9620580872355555E-5</v>
      </c>
      <c r="D3171" t="s">
        <v>99</v>
      </c>
      <c r="E3171" t="s">
        <v>9</v>
      </c>
      <c r="F3171" s="2" t="s">
        <v>15</v>
      </c>
      <c r="I3171" s="2"/>
    </row>
    <row r="3172" spans="1:9" customFormat="1" ht="16" ns3:dyDescent="0.2">
      <c r="A3172" t="s">
        <v>54</v>
      </c>
      <c r="B3172" s="3">
        <v>4.8157339611827094E-6</v>
      </c>
      <c r="D3172" t="s">
        <v>100</v>
      </c>
      <c r="E3172" t="s">
        <v>9</v>
      </c>
      <c r="F3172" s="2" t="s">
        <v>15</v>
      </c>
      <c r="I3172" s="2"/>
    </row>
    <row r="3173" spans="1:9" customFormat="1" ht="16" ns3:dyDescent="0.2">
      <c r="A3173" t="s">
        <v>55</v>
      </c>
      <c r="B3173" s="3">
        <v>1.0599259282423148E-9</v>
      </c>
      <c r="D3173" t="s">
        <v>99</v>
      </c>
      <c r="E3173" t="s">
        <v>9</v>
      </c>
      <c r="F3173" s="2" t="s">
        <v>15</v>
      </c>
      <c r="I3173" s="2"/>
    </row>
    <row r="3174" spans="1:9" customFormat="1" ht="16" ns3:dyDescent="0.2">
      <c r="A3174" t="s">
        <v>55</v>
      </c>
      <c r="B3174" s="3">
        <v>1.0286688139928735E-10</v>
      </c>
      <c r="D3174" t="s">
        <v>100</v>
      </c>
      <c r="E3174" t="s">
        <v>9</v>
      </c>
      <c r="F3174" s="2" t="s">
        <v>15</v>
      </c>
      <c r="I3174" s="2"/>
    </row>
    <row r="3175" spans="1:9" customFormat="1" ht="16" ns3:dyDescent="0.2">
      <c r="A3175" t="s">
        <v>57</v>
      </c>
      <c r="B3175" s="3">
        <v>3.6037375961879753E-8</v>
      </c>
      <c r="D3175" t="s">
        <v>99</v>
      </c>
      <c r="E3175" t="s">
        <v>9</v>
      </c>
      <c r="F3175" s="2" t="s">
        <v>15</v>
      </c>
      <c r="I3175" s="2"/>
    </row>
    <row r="3176" spans="1:9" customFormat="1" ht="16" ns3:dyDescent="0.2">
      <c r="A3176" t="s">
        <v>57</v>
      </c>
      <c r="B3176" s="3">
        <v>3.4974704476304713E-9</v>
      </c>
      <c r="D3176" t="s">
        <v>100</v>
      </c>
      <c r="E3176" t="s">
        <v>9</v>
      </c>
      <c r="F3176" s="2" t="s">
        <v>15</v>
      </c>
      <c r="I3176" s="2"/>
    </row>
    <row r="3177" spans="1:9" customFormat="1" ht="16" ns3:dyDescent="0.2">
      <c r="A3177" t="s">
        <v>63</v>
      </c>
      <c r="B3177" s="3">
        <v>4.2396949131060127E-7</v>
      </c>
      <c r="D3177" t="s">
        <v>99</v>
      </c>
      <c r="E3177" t="s">
        <v>9</v>
      </c>
      <c r="F3177" s="2" t="s">
        <v>15</v>
      </c>
      <c r="I3177" s="2"/>
    </row>
    <row r="3178" spans="1:9" customFormat="1" ht="16" ns3:dyDescent="0.2">
      <c r="A3178" t="s">
        <v>63</v>
      </c>
      <c r="B3178" s="3">
        <v>4.1146752559714943E-8</v>
      </c>
      <c r="D3178" t="s">
        <v>100</v>
      </c>
      <c r="E3178" t="s">
        <v>9</v>
      </c>
      <c r="F3178" s="2" t="s">
        <v>15</v>
      </c>
      <c r="I3178" s="2"/>
    </row>
    <row r="3179" spans="1:9" customFormat="1" ht="16" ns3:dyDescent="0.2">
      <c r="A3179" t="s">
        <v>64</v>
      </c>
      <c r="B3179" s="3">
        <v>1.4838945395665915E-12</v>
      </c>
      <c r="D3179" t="s">
        <v>99</v>
      </c>
      <c r="E3179" t="s">
        <v>9</v>
      </c>
      <c r="F3179" s="2" t="s">
        <v>15</v>
      </c>
      <c r="I3179" s="2"/>
    </row>
    <row r="3180" spans="1:9" customFormat="1" ht="16" ns3:dyDescent="0.2">
      <c r="A3180" t="s">
        <v>64</v>
      </c>
      <c r="B3180" s="3">
        <v>1.4401328196447244E-13</v>
      </c>
      <c r="D3180" t="s">
        <v>100</v>
      </c>
      <c r="E3180" t="s">
        <v>9</v>
      </c>
      <c r="F3180" s="2" t="s">
        <v>15</v>
      </c>
      <c r="I3180" s="2"/>
    </row>
    <row r="3181" spans="1:9" customFormat="1" ht="16" ns3:dyDescent="0.2">
      <c r="A3181" t="s">
        <v>67</v>
      </c>
      <c r="B3181" s="3">
        <v>4.9290146007471967E-6</v>
      </c>
      <c r="D3181" t="s">
        <v>99</v>
      </c>
      <c r="E3181" t="s">
        <v>9</v>
      </c>
      <c r="F3181" s="2" t="s">
        <v>15</v>
      </c>
      <c r="I3181" s="2"/>
    </row>
    <row r="3182" spans="1:9" customFormat="1" ht="16" ns3:dyDescent="0.2">
      <c r="A3182" t="s">
        <v>67</v>
      </c>
      <c r="B3182" s="3">
        <v>4.7836672595146453E-7</v>
      </c>
      <c r="D3182" t="s">
        <v>100</v>
      </c>
      <c r="E3182" t="s">
        <v>9</v>
      </c>
      <c r="F3182" s="2" t="s">
        <v>15</v>
      </c>
      <c r="I3182" s="2"/>
    </row>
    <row r="3183" spans="1:9" customFormat="1" ht="16" ns3:dyDescent="0.2">
      <c r="A3183" t="s">
        <v>68</v>
      </c>
      <c r="B3183" s="3">
        <v>1.4838945395665916E-9</v>
      </c>
      <c r="D3183" t="s">
        <v>99</v>
      </c>
      <c r="E3183" t="s">
        <v>9</v>
      </c>
      <c r="F3183" s="2" t="s">
        <v>15</v>
      </c>
      <c r="I3183" s="2"/>
    </row>
    <row r="3184" spans="1:9" customFormat="1" ht="16" ns3:dyDescent="0.2">
      <c r="A3184" t="s">
        <v>68</v>
      </c>
      <c r="B3184" s="3">
        <v>1.4401328196447246E-10</v>
      </c>
      <c r="D3184" t="s">
        <v>100</v>
      </c>
      <c r="E3184" t="s">
        <v>9</v>
      </c>
      <c r="F3184" s="2" t="s">
        <v>15</v>
      </c>
      <c r="I3184" s="2"/>
    </row>
    <row r="3185" spans="1:9" customFormat="1" ht="16" ns3:dyDescent="0.2">
      <c r="A3185" t="s">
        <v>69</v>
      </c>
      <c r="B3185" s="9">
        <v>3.0006653682198702E-4</v>
      </c>
      <c r="D3185" t="s">
        <v>99</v>
      </c>
      <c r="E3185" t="s">
        <v>9</v>
      </c>
      <c r="F3185" s="2" t="s">
        <v>15</v>
      </c>
      <c r="I3185" s="2"/>
    </row>
    <row r="3186" spans="1:9" customFormat="1" ht="16" ns3:dyDescent="0.2">
      <c r="A3186" t="s">
        <v>69</v>
      </c>
      <c r="B3186" s="3">
        <v>2.9121827432823326E-5</v>
      </c>
      <c r="D3186" t="s">
        <v>100</v>
      </c>
      <c r="E3186" t="s">
        <v>9</v>
      </c>
      <c r="F3186" s="2" t="s">
        <v>15</v>
      </c>
      <c r="I3186" s="2"/>
    </row>
    <row r="3187" spans="1:9" customFormat="1" ht="16" ns3:dyDescent="0.2">
      <c r="A3187" t="s">
        <v>71</v>
      </c>
      <c r="B3187" s="3">
        <v>3.8963858482936672E-6</v>
      </c>
      <c r="D3187" t="s">
        <v>99</v>
      </c>
      <c r="E3187" t="s">
        <v>9</v>
      </c>
      <c r="F3187" s="2" t="s">
        <v>15</v>
      </c>
      <c r="I3187" s="2"/>
    </row>
    <row r="3188" spans="1:12" customFormat="1" ht="16" ns3:dyDescent="0.2">
      <c r="A3188" t="s">
        <v>71</v>
      </c>
      <c r="B3188" s="3">
        <v>3.7814860338919342E-7</v>
      </c>
      <c r="D3188" t="s">
        <v>100</v>
      </c>
      <c r="E3188" t="s">
        <v>9</v>
      </c>
      <c r="F3188" s="2" t="s">
        <v>15</v>
      </c>
      <c r="I3188" s="2"/>
    </row>
    <row r="3189" spans="1:12" customFormat="1" ht="16" ns3:dyDescent="0.2">
      <c r="A3189" t="s">
        <v>75</v>
      </c>
      <c r="B3189" s="3">
        <v>2.1198518564846293E-10</v>
      </c>
      <c r="D3189" t="s">
        <v>99</v>
      </c>
      <c r="E3189" t="s">
        <v>9</v>
      </c>
      <c r="F3189" s="2" t="s">
        <v>15</v>
      </c>
      <c r="I3189" s="2"/>
    </row>
    <row r="3190" spans="1:12" customFormat="1" ht="16" ns3:dyDescent="0.2">
      <c r="A3190" t="s">
        <v>75</v>
      </c>
      <c r="B3190" s="3">
        <v>2.0573376279857471E-11</v>
      </c>
      <c r="D3190" t="s">
        <v>100</v>
      </c>
      <c r="E3190" t="s">
        <v>9</v>
      </c>
      <c r="F3190" s="2" t="s">
        <v>15</v>
      </c>
      <c r="I3190" s="2"/>
    </row>
    <row r="3191" spans="1:12" customFormat="1" ht="16" ns3:dyDescent="0.2">
      <c r="A3191" t="s">
        <v>77</v>
      </c>
      <c r="B3191" s="3">
        <v>1.7806699275346112E-5</v>
      </c>
      <c r="D3191" t="s">
        <v>99</v>
      </c>
      <c r="E3191" t="s">
        <v>9</v>
      </c>
      <c r="F3191" s="2" t="s">
        <v>15</v>
      </c>
      <c r="I3191" s="2"/>
    </row>
    <row r="3192" spans="1:12" customFormat="1" ht="16" ns3:dyDescent="0.2">
      <c r="A3192" t="s">
        <v>77</v>
      </c>
      <c r="B3192" s="3">
        <v>1.7281611435463185E-6</v>
      </c>
      <c r="D3192" t="s">
        <v>100</v>
      </c>
      <c r="E3192" t="s">
        <v>9</v>
      </c>
      <c r="F3192" s="2" t="s">
        <v>15</v>
      </c>
      <c r="I3192" s="2"/>
    </row>
    <row r="3193" spans="1:12" customFormat="1" ht="16" ns3:dyDescent="0.2">
      <c r="A3193" t="s">
        <v>98</v>
      </c>
      <c r="B3193" s="3">
        <v>1.6219731937580282E-7</v>
      </c>
      <c r="D3193" t="s">
        <v>99</v>
      </c>
      <c r="E3193" s="2" t="s">
        <v>94</v>
      </c>
      <c r="F3193" s="2" t="s">
        <v>15</v>
      </c>
      <c r="I3193" s="2"/>
    </row>
    <row r="3194" spans="1:12" customFormat="1" ht="16" ns3:dyDescent="0.2">
      <c r="A3194" t="s">
        <v>98</v>
      </c>
      <c r="B3194" s="3">
        <v>1.574145937016555E-8</v>
      </c>
      <c r="D3194" t="s">
        <v>100</v>
      </c>
      <c r="E3194" s="2" t="s">
        <v>94</v>
      </c>
      <c r="F3194" s="2" t="s">
        <v>15</v>
      </c>
      <c r="I3194" s="2"/>
    </row>
    <row r="3195" spans="1:12" customFormat="1" ht="16" ns3:dyDescent="0.2">
      <c r="A3195" t="s">
        <v>79</v>
      </c>
      <c r="B3195" s="3">
        <v>2.1198518564846295E-7</v>
      </c>
      <c r="D3195" t="s">
        <v>99</v>
      </c>
      <c r="E3195" t="s">
        <v>9</v>
      </c>
      <c r="F3195" s="2" t="s">
        <v>15</v>
      </c>
      <c r="I3195" s="2"/>
    </row>
    <row r="3196" spans="1:12" customFormat="1" ht="16" ns3:dyDescent="0.2">
      <c r="A3196" t="s">
        <v>79</v>
      </c>
      <c r="B3196" s="3">
        <v>2.0573376279857471E-8</v>
      </c>
      <c r="D3196" t="s">
        <v>100</v>
      </c>
      <c r="E3196" t="s">
        <v>9</v>
      </c>
      <c r="F3196" s="2" t="s">
        <v>15</v>
      </c>
      <c r="I3196" s="2"/>
    </row>
    <row r="3197" spans="1:12" customFormat="1" ht="16" ns3:dyDescent="0.2"/>
    <row r="3198" spans="1:12" ns3:dyDescent="0.2">
      <c r="A3198" s="17" t="s">
        <v>2</v>
      </c>
      <c r="B3198" s="17" t="s">
        <v>301</v>
      </c>
    </row>
    <row r="3199" spans="1:12" customFormat="1" ht="16" ns3:dyDescent="0.2">
      <c r="A3199" s="2" t="s">
        <v>3</v>
      </c>
      <c r="B3199" s="2" t="s">
        <v>18</v>
      </c>
      <c r="C3199" s="2"/>
      <c r="D3199" s="2"/>
      <c r="E3199" s="2"/>
      <c r="F3199" s="2"/>
      <c r="G3199" s="2"/>
      <c r="H3199" s="2"/>
      <c r="I3199" s="2"/>
      <c r="J3199" s="2"/>
      <c r="K3199" s="2"/>
      <c r="L3199" s="2"/>
    </row>
    <row r="3200" spans="1:12" customFormat="1" ht="16" ns3:dyDescent="0.2">
      <c r="A3200" s="2" t="s">
        <v>4</v>
      </c>
      <c r="B3200" s="2">
        <v>1</v>
      </c>
      <c r="C3200" s="2"/>
      <c r="D3200" s="2"/>
      <c r="E3200" s="2"/>
      <c r="F3200" s="2"/>
      <c r="G3200" s="2"/>
      <c r="H3200" s="2"/>
      <c r="I3200" s="2"/>
      <c r="J3200" s="2"/>
      <c r="K3200" s="2"/>
      <c r="L3200" s="2"/>
    </row>
    <row r="3201" spans="1:12" customFormat="1" ht="16" ns3:dyDescent="0.2">
      <c r="A3201" s="2" t="s">
        <v>5</v>
      </c>
      <c r="B3201" s="2" t="s">
        <v>1</v>
      </c>
      <c r="C3201" s="2"/>
      <c r="D3201" s="2"/>
      <c r="E3201" s="2"/>
      <c r="F3201" s="2"/>
      <c r="G3201" s="2"/>
      <c r="H3201" s="2"/>
      <c r="I3201" s="2"/>
      <c r="J3201" s="2"/>
    </row>
    <row r="3202" spans="1:12" customFormat="1" ht="16" ns3:dyDescent="0.2">
      <c r="A3202" s="2" t="s">
        <v>6</v>
      </c>
      <c r="B3202" s="2" t="s">
        <v>7</v>
      </c>
      <c r="C3202" s="2"/>
      <c r="D3202" s="2"/>
      <c r="E3202" s="2"/>
      <c r="F3202" s="2"/>
      <c r="G3202" s="2"/>
      <c r="H3202" s="2"/>
      <c r="I3202" s="2"/>
      <c r="J3202" s="2"/>
      <c r="K3202" s="2"/>
      <c r="L3202" s="2"/>
    </row>
    <row r="3203" spans="1:12" customFormat="1" ht="16" ns3:dyDescent="0.2">
      <c r="A3203" s="2" t="s">
        <v>8</v>
      </c>
      <c r="B3203" s="2" t="s">
        <v>17</v>
      </c>
      <c r="C3203" s="2"/>
      <c r="D3203" s="2"/>
      <c r="E3203" s="2"/>
      <c r="F3203" s="2"/>
      <c r="G3203" s="2"/>
      <c r="H3203" s="2"/>
      <c r="I3203" s="2"/>
      <c r="J3203" s="2"/>
      <c r="K3203" s="2"/>
      <c r="L3203" s="2"/>
    </row>
    <row r="3204" spans="1:12" customFormat="1" ht="16" ns3:dyDescent="0.2">
      <c r="A3204" s="1" t="s">
        <v>10</v>
      </c>
      <c r="B3204" s="2"/>
      <c r="C3204" s="2"/>
      <c r="D3204" s="2"/>
      <c r="E3204" s="2"/>
      <c r="F3204" s="2"/>
      <c r="G3204" s="2"/>
      <c r="H3204" s="2"/>
      <c r="I3204" s="2"/>
      <c r="J3204" s="2"/>
      <c r="K3204" s="2"/>
      <c r="L3204" s="2"/>
    </row>
    <row r="3205" spans="1:12" ns3:dyDescent="0.2">
      <c r="A3205" s="17" t="s">
        <v>11</v>
      </c>
      <c r="B3205" s="17" t="s">
        <v>12</v>
      </c>
      <c r="C3205" s="17" t="s">
        <v>3</v>
      </c>
      <c r="D3205" s="17" t="s">
        <v>13</v>
      </c>
      <c r="E3205" s="17" t="s">
        <v>8</v>
      </c>
      <c r="F3205" s="17" t="s">
        <v>6</v>
      </c>
      <c r="G3205" s="17" t="s">
        <v>5</v>
      </c>
      <c r="H3205" s="17"/>
      <c r="J3205" s="17"/>
      <c r="K3205" s="17"/>
    </row>
    <row r="3206" spans="1:12" customFormat="1" ht="16" ns3:dyDescent="0.2">
      <c r="A3206" s="2" t="str">
        <f>B3198</f>
        <v>kerosene, from biomass, burned in aircraft</v>
      </c>
      <c r="B3206" s="2">
        <v>1</v>
      </c>
      <c r="C3206" s="2" t="str">
        <f>B3199</f>
        <v>RER</v>
      </c>
      <c r="D3206" s="2"/>
      <c r="E3206" s="2" t="str">
        <f>B3203</f>
        <v>megajoule</v>
      </c>
      <c r="F3206" s="2" t="s">
        <v>19</v>
      </c>
      <c r="G3206" s="2" t="str">
        <f>B3201</f>
        <v>heat</v>
      </c>
      <c r="H3206" s="2"/>
      <c r="I3206" s="2"/>
      <c r="J3206" s="2"/>
      <c r="K3206" s="2"/>
      <c r="L3206" s="2"/>
    </row>
    <row r="3207" spans="1:12" customFormat="1" ht="16" ns3:dyDescent="0.2">
      <c r="A3207" t="s">
        <v>129</v>
      </c>
      <c r="B3207">
        <f>1/43</f>
        <v>2.3255813953488372E-2</v>
      </c>
      <c r="C3207" t="s">
        <v>18</v>
      </c>
      <c r="E3207" t="s">
        <v>9</v>
      </c>
      <c r="F3207" t="s">
        <v>23</v>
      </c>
      <c r="G3207" t="s">
        <v>130</v>
      </c>
      <c r="I3207" s="2"/>
    </row>
    <row r="3208" spans="1:12" customFormat="1" ht="16" ns3:dyDescent="0.2">
      <c r="A3208" t="s">
        <v>52</v>
      </c>
      <c r="B3208" s="3">
        <v>2.1198518564846293E-10</v>
      </c>
      <c r="D3208" t="s">
        <v>99</v>
      </c>
      <c r="E3208" t="s">
        <v>9</v>
      </c>
      <c r="F3208" s="2" t="s">
        <v>15</v>
      </c>
      <c r="I3208" s="2"/>
    </row>
    <row r="3209" spans="1:12" customFormat="1" ht="16" ns3:dyDescent="0.2">
      <c r="A3209" t="s">
        <v>52</v>
      </c>
      <c r="B3209" s="3">
        <v>2.0573376279857471E-11</v>
      </c>
      <c r="D3209" t="s">
        <v>100</v>
      </c>
      <c r="E3209" t="s">
        <v>9</v>
      </c>
      <c r="F3209" s="2" t="s">
        <v>15</v>
      </c>
      <c r="I3209" s="2"/>
    </row>
    <row r="3210" spans="1:12" customFormat="1" ht="16" ns3:dyDescent="0.2">
      <c r="A3210" t="s">
        <v>122</v>
      </c>
      <c r="B3210" s="25">
        <f>0.0660685839024935+0.00641203619387979</f>
        <v>7.2480620096373294E-2</v>
      </c>
      <c r="D3210" t="s">
        <v>116</v>
      </c>
      <c r="E3210" t="s">
        <v>9</v>
      </c>
      <c r="F3210" s="2" t="s">
        <v>15</v>
      </c>
      <c r="I3210" s="2"/>
    </row>
    <row r="3211" spans="1:12" customFormat="1" ht="16" ns3:dyDescent="0.2">
      <c r="A3211" t="s">
        <v>123</v>
      </c>
      <c r="B3211" s="3">
        <f>0.0000496205808723556+4.81573396118271E-06</f>
        <v>5.4436314833538314E-5</v>
      </c>
      <c r="D3211" t="s">
        <v>116</v>
      </c>
      <c r="E3211" t="s">
        <v>9</v>
      </c>
      <c r="F3211" s="2" t="s">
        <v>15</v>
      </c>
      <c r="I3211" s="2"/>
    </row>
    <row r="3212" spans="1:12" customFormat="1" ht="16" ns3:dyDescent="0.2">
      <c r="A3212" t="s">
        <v>55</v>
      </c>
      <c r="B3212" s="3">
        <v>1.0599259282423148E-9</v>
      </c>
      <c r="D3212" t="s">
        <v>99</v>
      </c>
      <c r="E3212" t="s">
        <v>9</v>
      </c>
      <c r="F3212" s="2" t="s">
        <v>15</v>
      </c>
      <c r="I3212" s="2"/>
    </row>
    <row r="3213" spans="1:12" customFormat="1" ht="16" ns3:dyDescent="0.2">
      <c r="A3213" t="s">
        <v>55</v>
      </c>
      <c r="B3213" s="3">
        <v>1.0286688139928735E-10</v>
      </c>
      <c r="D3213" t="s">
        <v>100</v>
      </c>
      <c r="E3213" t="s">
        <v>9</v>
      </c>
      <c r="F3213" s="2" t="s">
        <v>15</v>
      </c>
      <c r="I3213" s="2"/>
    </row>
    <row r="3214" spans="1:12" customFormat="1" ht="16" ns3:dyDescent="0.2">
      <c r="A3214" t="s">
        <v>57</v>
      </c>
      <c r="B3214" s="3">
        <v>3.6037375961879753E-8</v>
      </c>
      <c r="D3214" t="s">
        <v>99</v>
      </c>
      <c r="E3214" t="s">
        <v>9</v>
      </c>
      <c r="F3214" s="2" t="s">
        <v>15</v>
      </c>
      <c r="I3214" s="2"/>
    </row>
    <row r="3215" spans="1:12" customFormat="1" ht="16" ns3:dyDescent="0.2">
      <c r="A3215" t="s">
        <v>57</v>
      </c>
      <c r="B3215" s="3">
        <v>3.4974704476304713E-9</v>
      </c>
      <c r="D3215" t="s">
        <v>100</v>
      </c>
      <c r="E3215" t="s">
        <v>9</v>
      </c>
      <c r="F3215" s="2" t="s">
        <v>15</v>
      </c>
      <c r="I3215" s="2"/>
    </row>
    <row r="3216" spans="1:12" customFormat="1" ht="16" ns3:dyDescent="0.2">
      <c r="A3216" t="s">
        <v>63</v>
      </c>
      <c r="B3216" s="3">
        <v>4.2396949131060127E-7</v>
      </c>
      <c r="D3216" t="s">
        <v>99</v>
      </c>
      <c r="E3216" t="s">
        <v>9</v>
      </c>
      <c r="F3216" s="2" t="s">
        <v>15</v>
      </c>
      <c r="I3216" s="2"/>
    </row>
    <row r="3217" spans="1:12" customFormat="1" ht="16" ns3:dyDescent="0.2">
      <c r="A3217" t="s">
        <v>63</v>
      </c>
      <c r="B3217" s="3">
        <v>4.1146752559714943E-8</v>
      </c>
      <c r="D3217" t="s">
        <v>100</v>
      </c>
      <c r="E3217" t="s">
        <v>9</v>
      </c>
      <c r="F3217" s="2" t="s">
        <v>15</v>
      </c>
      <c r="I3217" s="2"/>
    </row>
    <row r="3218" spans="1:12" customFormat="1" ht="16" ns3:dyDescent="0.2">
      <c r="A3218" t="s">
        <v>64</v>
      </c>
      <c r="B3218" s="3">
        <v>1.4838945395665915E-12</v>
      </c>
      <c r="D3218" t="s">
        <v>99</v>
      </c>
      <c r="E3218" t="s">
        <v>9</v>
      </c>
      <c r="F3218" s="2" t="s">
        <v>15</v>
      </c>
      <c r="I3218" s="2"/>
    </row>
    <row r="3219" spans="1:12" customFormat="1" ht="16" ns3:dyDescent="0.2">
      <c r="A3219" t="s">
        <v>64</v>
      </c>
      <c r="B3219" s="3">
        <v>1.4401328196447244E-13</v>
      </c>
      <c r="D3219" t="s">
        <v>100</v>
      </c>
      <c r="E3219" t="s">
        <v>9</v>
      </c>
      <c r="F3219" s="2" t="s">
        <v>15</v>
      </c>
      <c r="I3219" s="2"/>
    </row>
    <row r="3220" spans="1:9" customFormat="1" ht="16" ns3:dyDescent="0.2">
      <c r="A3220" t="s">
        <v>67</v>
      </c>
      <c r="B3220" s="3">
        <v>4.9290146007471967E-6</v>
      </c>
      <c r="D3220" t="s">
        <v>99</v>
      </c>
      <c r="E3220" t="s">
        <v>9</v>
      </c>
      <c r="F3220" s="2" t="s">
        <v>15</v>
      </c>
      <c r="I3220" s="2"/>
    </row>
    <row r="3221" spans="1:9" customFormat="1" ht="16" ns3:dyDescent="0.2">
      <c r="A3221" t="s">
        <v>67</v>
      </c>
      <c r="B3221" s="3">
        <v>4.7836672595146453E-7</v>
      </c>
      <c r="D3221" t="s">
        <v>100</v>
      </c>
      <c r="E3221" t="s">
        <v>9</v>
      </c>
      <c r="F3221" s="2" t="s">
        <v>15</v>
      </c>
      <c r="I3221" s="2"/>
    </row>
    <row r="3222" spans="1:9" customFormat="1" ht="16" ns3:dyDescent="0.2">
      <c r="A3222" t="s">
        <v>68</v>
      </c>
      <c r="B3222" s="3">
        <v>1.4838945395665916E-9</v>
      </c>
      <c r="D3222" t="s">
        <v>99</v>
      </c>
      <c r="E3222" t="s">
        <v>9</v>
      </c>
      <c r="F3222" s="2" t="s">
        <v>15</v>
      </c>
      <c r="I3222" s="2"/>
    </row>
    <row r="3223" spans="1:9" customFormat="1" ht="16" ns3:dyDescent="0.2">
      <c r="A3223" t="s">
        <v>68</v>
      </c>
      <c r="B3223" s="3">
        <v>1.4401328196447246E-10</v>
      </c>
      <c r="D3223" t="s">
        <v>100</v>
      </c>
      <c r="E3223" t="s">
        <v>9</v>
      </c>
      <c r="F3223" s="2" t="s">
        <v>15</v>
      </c>
      <c r="I3223" s="2"/>
    </row>
    <row r="3224" spans="1:9" customFormat="1" ht="16" ns3:dyDescent="0.2">
      <c r="A3224" t="s">
        <v>69</v>
      </c>
      <c r="B3224" s="25">
        <v>3.0006653682198702E-4</v>
      </c>
      <c r="D3224" t="s">
        <v>99</v>
      </c>
      <c r="E3224" t="s">
        <v>9</v>
      </c>
      <c r="F3224" s="2" t="s">
        <v>15</v>
      </c>
      <c r="I3224" s="2"/>
    </row>
    <row r="3225" spans="1:9" customFormat="1" ht="16" ns3:dyDescent="0.2">
      <c r="A3225" t="s">
        <v>69</v>
      </c>
      <c r="B3225" s="3">
        <v>2.9121827432823326E-5</v>
      </c>
      <c r="D3225" t="s">
        <v>100</v>
      </c>
      <c r="E3225" t="s">
        <v>9</v>
      </c>
      <c r="F3225" s="2" t="s">
        <v>15</v>
      </c>
      <c r="I3225" s="2"/>
    </row>
    <row r="3226" spans="1:9" customFormat="1" ht="16" ns3:dyDescent="0.2">
      <c r="A3226" t="s">
        <v>71</v>
      </c>
      <c r="B3226" s="3">
        <v>3.8963858482936672E-6</v>
      </c>
      <c r="D3226" t="s">
        <v>99</v>
      </c>
      <c r="E3226" t="s">
        <v>9</v>
      </c>
      <c r="F3226" s="2" t="s">
        <v>15</v>
      </c>
      <c r="I3226" s="2"/>
    </row>
    <row r="3227" spans="1:9" customFormat="1" ht="16" ns3:dyDescent="0.2">
      <c r="A3227" t="s">
        <v>71</v>
      </c>
      <c r="B3227" s="3">
        <v>3.7814860338919342E-7</v>
      </c>
      <c r="D3227" t="s">
        <v>100</v>
      </c>
      <c r="E3227" t="s">
        <v>9</v>
      </c>
      <c r="F3227" s="2" t="s">
        <v>15</v>
      </c>
      <c r="I3227" s="2"/>
    </row>
    <row r="3228" spans="1:9" customFormat="1" ht="16" ns3:dyDescent="0.2">
      <c r="A3228" t="s">
        <v>75</v>
      </c>
      <c r="B3228" s="3">
        <v>2.1198518564846293E-10</v>
      </c>
      <c r="D3228" t="s">
        <v>99</v>
      </c>
      <c r="E3228" t="s">
        <v>9</v>
      </c>
      <c r="F3228" s="2" t="s">
        <v>15</v>
      </c>
      <c r="I3228" s="2"/>
    </row>
    <row r="3229" spans="1:9" customFormat="1" ht="16" ns3:dyDescent="0.2">
      <c r="A3229" t="s">
        <v>75</v>
      </c>
      <c r="B3229" s="3">
        <v>2.0573376279857471E-11</v>
      </c>
      <c r="D3229" t="s">
        <v>100</v>
      </c>
      <c r="E3229" t="s">
        <v>9</v>
      </c>
      <c r="F3229" s="2" t="s">
        <v>15</v>
      </c>
      <c r="I3229" s="2"/>
    </row>
    <row r="3230" spans="1:9" customFormat="1" ht="16" ns3:dyDescent="0.2">
      <c r="A3230" t="s">
        <v>77</v>
      </c>
      <c r="B3230" s="3">
        <v>1.7806699275346112E-5</v>
      </c>
      <c r="D3230" t="s">
        <v>99</v>
      </c>
      <c r="E3230" t="s">
        <v>9</v>
      </c>
      <c r="F3230" s="2" t="s">
        <v>15</v>
      </c>
      <c r="I3230" s="2"/>
    </row>
    <row r="3231" spans="1:9" customFormat="1" ht="16" ns3:dyDescent="0.2">
      <c r="A3231" t="s">
        <v>77</v>
      </c>
      <c r="B3231" s="3">
        <v>1.7281611435463185E-6</v>
      </c>
      <c r="D3231" t="s">
        <v>100</v>
      </c>
      <c r="E3231" t="s">
        <v>9</v>
      </c>
      <c r="F3231" s="2" t="s">
        <v>15</v>
      </c>
      <c r="I3231" s="2"/>
    </row>
    <row r="3232" spans="1:9" customFormat="1" ht="16" ns3:dyDescent="0.2">
      <c r="A3232" t="s">
        <v>98</v>
      </c>
      <c r="B3232" s="3">
        <v>1.6219731937580282E-7</v>
      </c>
      <c r="D3232" t="s">
        <v>99</v>
      </c>
      <c r="E3232" s="2" t="s">
        <v>94</v>
      </c>
      <c r="F3232" s="2" t="s">
        <v>15</v>
      </c>
      <c r="I3232" s="2"/>
    </row>
    <row r="3233" spans="1:9" customFormat="1" ht="16" ns3:dyDescent="0.2">
      <c r="A3233" t="s">
        <v>98</v>
      </c>
      <c r="B3233" s="3">
        <v>1.574145937016555E-8</v>
      </c>
      <c r="D3233" t="s">
        <v>100</v>
      </c>
      <c r="E3233" s="2" t="s">
        <v>94</v>
      </c>
      <c r="F3233" s="2" t="s">
        <v>15</v>
      </c>
      <c r="I3233" s="2"/>
    </row>
    <row r="3234" spans="1:9" customFormat="1" ht="16" ns3:dyDescent="0.2">
      <c r="A3234" t="s">
        <v>79</v>
      </c>
      <c r="B3234" s="3">
        <v>2.1198518564846295E-7</v>
      </c>
      <c r="D3234" t="s">
        <v>99</v>
      </c>
      <c r="E3234" t="s">
        <v>9</v>
      </c>
      <c r="F3234" s="2" t="s">
        <v>15</v>
      </c>
      <c r="I3234" s="2"/>
    </row>
    <row r="3235" spans="1:9" customFormat="1" ht="16" ns3:dyDescent="0.2">
      <c r="A3235" t="s">
        <v>79</v>
      </c>
      <c r="B3235" s="3">
        <v>2.0573376279857471E-8</v>
      </c>
      <c r="D3235" t="s">
        <v>100</v>
      </c>
      <c r="E3235" t="s">
        <v>9</v>
      </c>
      <c r="F3235" s="2" t="s">
        <v>15</v>
      </c>
      <c r="I3235" s="2"/>
    </row>
    <row r="3236" spans="1:12" customFormat="1" ht="16" ns3:dyDescent="0.2"/>
    <row r="3237" spans="1:12" ns3:dyDescent="0.2">
      <c r="A3237" s="17" t="s">
        <v>2</v>
      </c>
      <c r="B3237" s="17" t="s">
        <v>491</v>
      </c>
    </row>
    <row r="3238" spans="1:12" customFormat="1" ht="16" ns3:dyDescent="0.2">
      <c r="A3238" s="2" t="s">
        <v>3</v>
      </c>
      <c r="B3238" s="2" t="s">
        <v>18</v>
      </c>
      <c r="C3238" s="2"/>
      <c r="D3238" s="2"/>
      <c r="E3238" s="2"/>
      <c r="F3238" s="2"/>
      <c r="G3238" s="2"/>
      <c r="H3238" s="2"/>
      <c r="I3238" s="2"/>
      <c r="J3238" s="2"/>
      <c r="K3238" s="2"/>
      <c r="L3238" s="2"/>
    </row>
    <row r="3239" spans="1:12" customFormat="1" ht="16" ns3:dyDescent="0.2">
      <c r="A3239" s="2" t="s">
        <v>4</v>
      </c>
      <c r="B3239" s="2">
        <v>1</v>
      </c>
      <c r="C3239" s="2"/>
      <c r="D3239" s="2"/>
      <c r="E3239" s="2"/>
      <c r="F3239" s="2"/>
      <c r="G3239" s="2"/>
      <c r="H3239" s="2"/>
      <c r="I3239" s="2"/>
      <c r="J3239" s="2"/>
      <c r="K3239" s="2"/>
      <c r="L3239" s="2"/>
    </row>
    <row r="3240" spans="1:12" customFormat="1" ht="16" ns3:dyDescent="0.2">
      <c r="A3240" s="2" t="s">
        <v>5</v>
      </c>
      <c r="B3240" s="2" t="s">
        <v>1</v>
      </c>
      <c r="C3240" s="2"/>
      <c r="D3240" s="2"/>
      <c r="E3240" s="2"/>
      <c r="F3240" s="2"/>
      <c r="G3240" s="2"/>
      <c r="H3240" s="2"/>
      <c r="I3240" s="2"/>
      <c r="J3240" s="2"/>
    </row>
    <row r="3241" spans="1:12" customFormat="1" ht="16" ns3:dyDescent="0.2">
      <c r="A3241" s="2" t="s">
        <v>6</v>
      </c>
      <c r="B3241" s="2" t="s">
        <v>7</v>
      </c>
      <c r="C3241" s="2"/>
      <c r="D3241" s="2"/>
      <c r="E3241" s="2"/>
      <c r="F3241" s="2"/>
      <c r="G3241" s="2"/>
      <c r="H3241" s="2"/>
      <c r="I3241" s="2"/>
      <c r="J3241" s="2"/>
      <c r="K3241" s="2"/>
      <c r="L3241" s="2"/>
    </row>
    <row r="3242" spans="1:12" customFormat="1" ht="16" ns3:dyDescent="0.2">
      <c r="A3242" s="2" t="s">
        <v>8</v>
      </c>
      <c r="B3242" s="2" t="s">
        <v>17</v>
      </c>
      <c r="C3242" s="2"/>
      <c r="D3242" s="2"/>
      <c r="E3242" s="2"/>
      <c r="F3242" s="2"/>
      <c r="G3242" s="2"/>
      <c r="H3242" s="2"/>
      <c r="I3242" s="2"/>
      <c r="J3242" s="2"/>
      <c r="K3242" s="2"/>
      <c r="L3242" s="2"/>
    </row>
    <row r="3243" spans="1:12" customFormat="1" ht="16" ns3:dyDescent="0.2">
      <c r="A3243" s="1" t="s">
        <v>10</v>
      </c>
      <c r="B3243" s="2"/>
      <c r="C3243" s="2"/>
      <c r="D3243" s="2"/>
      <c r="E3243" s="2"/>
      <c r="F3243" s="2"/>
      <c r="G3243" s="2"/>
      <c r="H3243" s="2"/>
      <c r="I3243" s="2"/>
      <c r="J3243" s="2"/>
      <c r="K3243" s="2"/>
      <c r="L3243" s="2"/>
    </row>
    <row r="3244" spans="1:12" ns3:dyDescent="0.2">
      <c r="A3244" s="17" t="s">
        <v>11</v>
      </c>
      <c r="B3244" s="17" t="s">
        <v>12</v>
      </c>
      <c r="C3244" s="17" t="s">
        <v>3</v>
      </c>
      <c r="D3244" s="17" t="s">
        <v>13</v>
      </c>
      <c r="E3244" s="17" t="s">
        <v>8</v>
      </c>
      <c r="F3244" s="17" t="s">
        <v>6</v>
      </c>
      <c r="G3244" s="17" t="s">
        <v>5</v>
      </c>
      <c r="H3244" s="17"/>
      <c r="J3244" s="17"/>
      <c r="K3244" s="17"/>
    </row>
    <row r="3245" spans="1:12" customFormat="1" ht="16" ns3:dyDescent="0.2">
      <c r="A3245" s="2" t="str">
        <f>B3237</f>
        <v>kerosene, from cellulosic non-residual biomass, burned in aircraft</v>
      </c>
      <c r="B3245" s="2">
        <v>1</v>
      </c>
      <c r="C3245" s="2" t="str">
        <f>B3238</f>
        <v>RER</v>
      </c>
      <c r="D3245" s="2"/>
      <c r="E3245" s="2" t="str">
        <f>B3242</f>
        <v>megajoule</v>
      </c>
      <c r="F3245" s="2" t="s">
        <v>19</v>
      </c>
      <c r="G3245" s="2" t="str">
        <f>B3240</f>
        <v>heat</v>
      </c>
      <c r="H3245" s="2"/>
      <c r="I3245" s="2"/>
      <c r="J3245" s="2"/>
      <c r="K3245" s="2"/>
      <c r="L3245" s="2"/>
    </row>
    <row r="3246" spans="1:12" customFormat="1" ht="16" ns3:dyDescent="0.2">
      <c r="A3246" t="s">
        <v>129</v>
      </c>
      <c r="B3246">
        <f>1/43</f>
        <v>2.3255813953488372E-2</v>
      </c>
      <c r="C3246" t="s">
        <v>18</v>
      </c>
      <c r="E3246" t="s">
        <v>9</v>
      </c>
      <c r="F3246" t="s">
        <v>23</v>
      </c>
      <c r="G3246" t="s">
        <v>130</v>
      </c>
      <c r="I3246" s="2"/>
    </row>
    <row r="3247" spans="1:12" customFormat="1" ht="16" ns3:dyDescent="0.2">
      <c r="A3247" t="s">
        <v>52</v>
      </c>
      <c r="B3247" s="3">
        <v>2.1198518564846293E-10</v>
      </c>
      <c r="D3247" t="s">
        <v>99</v>
      </c>
      <c r="E3247" t="s">
        <v>9</v>
      </c>
      <c r="F3247" s="2" t="s">
        <v>15</v>
      </c>
      <c r="I3247" s="2"/>
    </row>
    <row r="3248" spans="1:12" customFormat="1" ht="16" ns3:dyDescent="0.2">
      <c r="A3248" t="s">
        <v>52</v>
      </c>
      <c r="B3248" s="3">
        <v>2.0573376279857471E-11</v>
      </c>
      <c r="D3248" t="s">
        <v>100</v>
      </c>
      <c r="E3248" t="s">
        <v>9</v>
      </c>
      <c r="F3248" s="2" t="s">
        <v>15</v>
      </c>
      <c r="I3248" s="2"/>
    </row>
    <row r="3249" spans="1:12" customFormat="1" ht="16" ns3:dyDescent="0.2">
      <c r="A3249" t="s">
        <v>122</v>
      </c>
      <c r="B3249" s="25">
        <f>0.0660685839024935+0.00641203619387979</f>
        <v>7.2480620096373294E-2</v>
      </c>
      <c r="D3249" t="s">
        <v>116</v>
      </c>
      <c r="E3249" t="s">
        <v>9</v>
      </c>
      <c r="F3249" s="2" t="s">
        <v>15</v>
      </c>
      <c r="I3249" s="2"/>
    </row>
    <row r="3250" spans="1:12" customFormat="1" ht="16" ns3:dyDescent="0.2">
      <c r="A3250" t="s">
        <v>123</v>
      </c>
      <c r="B3250" s="3">
        <f>0.0000496205808723556+4.81573396118271E-06</f>
        <v>5.4436314833538314E-5</v>
      </c>
      <c r="D3250" t="s">
        <v>116</v>
      </c>
      <c r="E3250" t="s">
        <v>9</v>
      </c>
      <c r="F3250" s="2" t="s">
        <v>15</v>
      </c>
      <c r="I3250" s="2"/>
    </row>
    <row r="3251" spans="1:12" customFormat="1" ht="16" ns3:dyDescent="0.2">
      <c r="A3251" t="s">
        <v>55</v>
      </c>
      <c r="B3251" s="3">
        <v>1.0599259282423148E-9</v>
      </c>
      <c r="D3251" t="s">
        <v>99</v>
      </c>
      <c r="E3251" t="s">
        <v>9</v>
      </c>
      <c r="F3251" s="2" t="s">
        <v>15</v>
      </c>
      <c r="I3251" s="2"/>
    </row>
    <row r="3252" spans="1:9" customFormat="1" ht="16" ns3:dyDescent="0.2">
      <c r="A3252" t="s">
        <v>55</v>
      </c>
      <c r="B3252" s="3">
        <v>1.0286688139928735E-10</v>
      </c>
      <c r="D3252" t="s">
        <v>100</v>
      </c>
      <c r="E3252" t="s">
        <v>9</v>
      </c>
      <c r="F3252" s="2" t="s">
        <v>15</v>
      </c>
      <c r="I3252" s="2"/>
    </row>
    <row r="3253" spans="1:9" customFormat="1" ht="16" ns3:dyDescent="0.2">
      <c r="A3253" t="s">
        <v>57</v>
      </c>
      <c r="B3253" s="3">
        <v>3.6037375961879753E-8</v>
      </c>
      <c r="D3253" t="s">
        <v>99</v>
      </c>
      <c r="E3253" t="s">
        <v>9</v>
      </c>
      <c r="F3253" s="2" t="s">
        <v>15</v>
      </c>
      <c r="I3253" s="2"/>
    </row>
    <row r="3254" spans="1:9" customFormat="1" ht="16" ns3:dyDescent="0.2">
      <c r="A3254" t="s">
        <v>57</v>
      </c>
      <c r="B3254" s="3">
        <v>3.4974704476304713E-9</v>
      </c>
      <c r="D3254" t="s">
        <v>100</v>
      </c>
      <c r="E3254" t="s">
        <v>9</v>
      </c>
      <c r="F3254" s="2" t="s">
        <v>15</v>
      </c>
      <c r="I3254" s="2"/>
    </row>
    <row r="3255" spans="1:9" customFormat="1" ht="16" ns3:dyDescent="0.2">
      <c r="A3255" t="s">
        <v>63</v>
      </c>
      <c r="B3255" s="3">
        <v>4.2396949131060127E-7</v>
      </c>
      <c r="D3255" t="s">
        <v>99</v>
      </c>
      <c r="E3255" t="s">
        <v>9</v>
      </c>
      <c r="F3255" s="2" t="s">
        <v>15</v>
      </c>
      <c r="I3255" s="2"/>
    </row>
    <row r="3256" spans="1:9" customFormat="1" ht="16" ns3:dyDescent="0.2">
      <c r="A3256" t="s">
        <v>63</v>
      </c>
      <c r="B3256" s="3">
        <v>4.1146752559714943E-8</v>
      </c>
      <c r="D3256" t="s">
        <v>100</v>
      </c>
      <c r="E3256" t="s">
        <v>9</v>
      </c>
      <c r="F3256" s="2" t="s">
        <v>15</v>
      </c>
      <c r="I3256" s="2"/>
    </row>
    <row r="3257" spans="1:9" customFormat="1" ht="16" ns3:dyDescent="0.2">
      <c r="A3257" t="s">
        <v>64</v>
      </c>
      <c r="B3257" s="3">
        <v>1.4838945395665915E-12</v>
      </c>
      <c r="D3257" t="s">
        <v>99</v>
      </c>
      <c r="E3257" t="s">
        <v>9</v>
      </c>
      <c r="F3257" s="2" t="s">
        <v>15</v>
      </c>
      <c r="I3257" s="2"/>
    </row>
    <row r="3258" spans="1:9" customFormat="1" ht="16" ns3:dyDescent="0.2">
      <c r="A3258" t="s">
        <v>64</v>
      </c>
      <c r="B3258" s="3">
        <v>1.4401328196447244E-13</v>
      </c>
      <c r="D3258" t="s">
        <v>100</v>
      </c>
      <c r="E3258" t="s">
        <v>9</v>
      </c>
      <c r="F3258" s="2" t="s">
        <v>15</v>
      </c>
      <c r="I3258" s="2"/>
    </row>
    <row r="3259" spans="1:9" customFormat="1" ht="16" ns3:dyDescent="0.2">
      <c r="A3259" t="s">
        <v>67</v>
      </c>
      <c r="B3259" s="3">
        <v>4.9290146007471967E-6</v>
      </c>
      <c r="D3259" t="s">
        <v>99</v>
      </c>
      <c r="E3259" t="s">
        <v>9</v>
      </c>
      <c r="F3259" s="2" t="s">
        <v>15</v>
      </c>
      <c r="I3259" s="2"/>
    </row>
    <row r="3260" spans="1:9" customFormat="1" ht="16" ns3:dyDescent="0.2">
      <c r="A3260" t="s">
        <v>67</v>
      </c>
      <c r="B3260" s="3">
        <v>4.7836672595146453E-7</v>
      </c>
      <c r="D3260" t="s">
        <v>100</v>
      </c>
      <c r="E3260" t="s">
        <v>9</v>
      </c>
      <c r="F3260" s="2" t="s">
        <v>15</v>
      </c>
      <c r="I3260" s="2"/>
    </row>
    <row r="3261" spans="1:9" customFormat="1" ht="16" ns3:dyDescent="0.2">
      <c r="A3261" t="s">
        <v>68</v>
      </c>
      <c r="B3261" s="3">
        <v>1.4838945395665916E-9</v>
      </c>
      <c r="D3261" t="s">
        <v>99</v>
      </c>
      <c r="E3261" t="s">
        <v>9</v>
      </c>
      <c r="F3261" s="2" t="s">
        <v>15</v>
      </c>
      <c r="I3261" s="2"/>
    </row>
    <row r="3262" spans="1:9" customFormat="1" ht="16" ns3:dyDescent="0.2">
      <c r="A3262" t="s">
        <v>68</v>
      </c>
      <c r="B3262" s="3">
        <v>1.4401328196447246E-10</v>
      </c>
      <c r="D3262" t="s">
        <v>100</v>
      </c>
      <c r="E3262" t="s">
        <v>9</v>
      </c>
      <c r="F3262" s="2" t="s">
        <v>15</v>
      </c>
      <c r="I3262" s="2"/>
    </row>
    <row r="3263" spans="1:9" customFormat="1" ht="16" ns3:dyDescent="0.2">
      <c r="A3263" t="s">
        <v>69</v>
      </c>
      <c r="B3263" s="25">
        <v>3.0006653682198702E-4</v>
      </c>
      <c r="D3263" t="s">
        <v>99</v>
      </c>
      <c r="E3263" t="s">
        <v>9</v>
      </c>
      <c r="F3263" s="2" t="s">
        <v>15</v>
      </c>
      <c r="I3263" s="2"/>
    </row>
    <row r="3264" spans="1:9" customFormat="1" ht="16" ns3:dyDescent="0.2">
      <c r="A3264" t="s">
        <v>69</v>
      </c>
      <c r="B3264" s="3">
        <v>2.9121827432823326E-5</v>
      </c>
      <c r="D3264" t="s">
        <v>100</v>
      </c>
      <c r="E3264" t="s">
        <v>9</v>
      </c>
      <c r="F3264" s="2" t="s">
        <v>15</v>
      </c>
      <c r="I3264" s="2"/>
    </row>
    <row r="3265" spans="1:9" customFormat="1" ht="16" ns3:dyDescent="0.2">
      <c r="A3265" t="s">
        <v>71</v>
      </c>
      <c r="B3265" s="3">
        <v>3.8963858482936672E-6</v>
      </c>
      <c r="D3265" t="s">
        <v>99</v>
      </c>
      <c r="E3265" t="s">
        <v>9</v>
      </c>
      <c r="F3265" s="2" t="s">
        <v>15</v>
      </c>
      <c r="I3265" s="2"/>
    </row>
    <row r="3266" spans="1:9" customFormat="1" ht="16" ns3:dyDescent="0.2">
      <c r="A3266" t="s">
        <v>71</v>
      </c>
      <c r="B3266" s="3">
        <v>3.7814860338919342E-7</v>
      </c>
      <c r="D3266" t="s">
        <v>100</v>
      </c>
      <c r="E3266" t="s">
        <v>9</v>
      </c>
      <c r="F3266" s="2" t="s">
        <v>15</v>
      </c>
      <c r="I3266" s="2"/>
    </row>
    <row r="3267" spans="1:9" customFormat="1" ht="16" ns3:dyDescent="0.2">
      <c r="A3267" t="s">
        <v>75</v>
      </c>
      <c r="B3267" s="3">
        <v>2.1198518564846293E-10</v>
      </c>
      <c r="D3267" t="s">
        <v>99</v>
      </c>
      <c r="E3267" t="s">
        <v>9</v>
      </c>
      <c r="F3267" s="2" t="s">
        <v>15</v>
      </c>
      <c r="I3267" s="2"/>
    </row>
    <row r="3268" spans="1:12" customFormat="1" ht="16" ns3:dyDescent="0.2">
      <c r="A3268" t="s">
        <v>75</v>
      </c>
      <c r="B3268" s="3">
        <v>2.0573376279857471E-11</v>
      </c>
      <c r="D3268" t="s">
        <v>100</v>
      </c>
      <c r="E3268" t="s">
        <v>9</v>
      </c>
      <c r="F3268" s="2" t="s">
        <v>15</v>
      </c>
      <c r="I3268" s="2"/>
    </row>
    <row r="3269" spans="1:12" customFormat="1" ht="16" ns3:dyDescent="0.2">
      <c r="A3269" t="s">
        <v>77</v>
      </c>
      <c r="B3269" s="3">
        <v>1.7806699275346112E-5</v>
      </c>
      <c r="D3269" t="s">
        <v>99</v>
      </c>
      <c r="E3269" t="s">
        <v>9</v>
      </c>
      <c r="F3269" s="2" t="s">
        <v>15</v>
      </c>
      <c r="I3269" s="2"/>
    </row>
    <row r="3270" spans="1:12" customFormat="1" ht="16" ns3:dyDescent="0.2">
      <c r="A3270" t="s">
        <v>77</v>
      </c>
      <c r="B3270" s="3">
        <v>1.7281611435463185E-6</v>
      </c>
      <c r="D3270" t="s">
        <v>100</v>
      </c>
      <c r="E3270" t="s">
        <v>9</v>
      </c>
      <c r="F3270" s="2" t="s">
        <v>15</v>
      </c>
      <c r="I3270" s="2"/>
    </row>
    <row r="3271" spans="1:12" customFormat="1" ht="16" ns3:dyDescent="0.2">
      <c r="A3271" t="s">
        <v>98</v>
      </c>
      <c r="B3271" s="3">
        <v>1.6219731937580282E-7</v>
      </c>
      <c r="D3271" t="s">
        <v>99</v>
      </c>
      <c r="E3271" s="2" t="s">
        <v>94</v>
      </c>
      <c r="F3271" s="2" t="s">
        <v>15</v>
      </c>
      <c r="I3271" s="2"/>
    </row>
    <row r="3272" spans="1:12" customFormat="1" ht="16" ns3:dyDescent="0.2">
      <c r="A3272" t="s">
        <v>98</v>
      </c>
      <c r="B3272" s="3">
        <v>1.574145937016555E-8</v>
      </c>
      <c r="D3272" t="s">
        <v>100</v>
      </c>
      <c r="E3272" s="2" t="s">
        <v>94</v>
      </c>
      <c r="F3272" s="2" t="s">
        <v>15</v>
      </c>
      <c r="I3272" s="2"/>
    </row>
    <row r="3273" spans="1:12" customFormat="1" ht="16" ns3:dyDescent="0.2">
      <c r="A3273" t="s">
        <v>79</v>
      </c>
      <c r="B3273" s="3">
        <v>2.1198518564846295E-7</v>
      </c>
      <c r="D3273" t="s">
        <v>99</v>
      </c>
      <c r="E3273" t="s">
        <v>9</v>
      </c>
      <c r="F3273" s="2" t="s">
        <v>15</v>
      </c>
      <c r="I3273" s="2"/>
    </row>
    <row r="3274" spans="1:12" customFormat="1" ht="16" ns3:dyDescent="0.2">
      <c r="A3274" t="s">
        <v>79</v>
      </c>
      <c r="B3274" s="3">
        <v>2.0573376279857471E-8</v>
      </c>
      <c r="D3274" t="s">
        <v>100</v>
      </c>
      <c r="E3274" t="s">
        <v>9</v>
      </c>
      <c r="F3274" s="2" t="s">
        <v>15</v>
      </c>
      <c r="I3274" s="2"/>
    </row>
    <row r="3275" spans="1:12" customFormat="1" ht="16" ns3:dyDescent="0.2"/>
    <row r="3276" spans="1:12" ns3:dyDescent="0.2">
      <c r="A3276" s="17" t="s">
        <v>2</v>
      </c>
      <c r="B3276" s="17" t="s">
        <v>492</v>
      </c>
    </row>
    <row r="3277" spans="1:12" customFormat="1" ht="16" ns3:dyDescent="0.2">
      <c r="A3277" s="2" t="s">
        <v>3</v>
      </c>
      <c r="B3277" s="2" t="s">
        <v>18</v>
      </c>
      <c r="C3277" s="2"/>
      <c r="D3277" s="2"/>
      <c r="E3277" s="2"/>
      <c r="F3277" s="2"/>
      <c r="G3277" s="2"/>
      <c r="H3277" s="2"/>
      <c r="I3277" s="2"/>
      <c r="J3277" s="2"/>
      <c r="K3277" s="2"/>
      <c r="L3277" s="2"/>
    </row>
    <row r="3278" spans="1:12" customFormat="1" ht="16" ns3:dyDescent="0.2">
      <c r="A3278" s="2" t="s">
        <v>4</v>
      </c>
      <c r="B3278" s="2">
        <v>1</v>
      </c>
      <c r="C3278" s="2"/>
      <c r="D3278" s="2"/>
      <c r="E3278" s="2"/>
      <c r="F3278" s="2"/>
      <c r="G3278" s="2"/>
      <c r="H3278" s="2"/>
      <c r="I3278" s="2"/>
      <c r="J3278" s="2"/>
      <c r="K3278" s="2"/>
      <c r="L3278" s="2"/>
    </row>
    <row r="3279" spans="1:12" customFormat="1" ht="16" ns3:dyDescent="0.2">
      <c r="A3279" s="2" t="s">
        <v>5</v>
      </c>
      <c r="B3279" s="2" t="s">
        <v>1</v>
      </c>
      <c r="C3279" s="2"/>
      <c r="D3279" s="2"/>
      <c r="E3279" s="2"/>
      <c r="F3279" s="2"/>
      <c r="G3279" s="2"/>
      <c r="H3279" s="2"/>
      <c r="I3279" s="2"/>
      <c r="J3279" s="2"/>
    </row>
    <row r="3280" spans="1:12" customFormat="1" ht="16" ns3:dyDescent="0.2">
      <c r="A3280" s="2" t="s">
        <v>6</v>
      </c>
      <c r="B3280" s="2" t="s">
        <v>7</v>
      </c>
      <c r="C3280" s="2"/>
      <c r="D3280" s="2"/>
      <c r="E3280" s="2"/>
      <c r="F3280" s="2"/>
      <c r="G3280" s="2"/>
      <c r="H3280" s="2"/>
      <c r="I3280" s="2"/>
      <c r="J3280" s="2"/>
      <c r="K3280" s="2"/>
      <c r="L3280" s="2"/>
    </row>
    <row r="3281" spans="1:12" customFormat="1" ht="16" ns3:dyDescent="0.2">
      <c r="A3281" s="2" t="s">
        <v>8</v>
      </c>
      <c r="B3281" s="2" t="s">
        <v>17</v>
      </c>
      <c r="C3281" s="2"/>
      <c r="D3281" s="2"/>
      <c r="E3281" s="2"/>
      <c r="F3281" s="2"/>
      <c r="G3281" s="2"/>
      <c r="H3281" s="2"/>
      <c r="I3281" s="2"/>
      <c r="J3281" s="2"/>
      <c r="K3281" s="2"/>
      <c r="L3281" s="2"/>
    </row>
    <row r="3282" spans="1:12" customFormat="1" ht="16" ns3:dyDescent="0.2">
      <c r="A3282" s="1" t="s">
        <v>10</v>
      </c>
      <c r="B3282" s="2"/>
      <c r="C3282" s="2"/>
      <c r="D3282" s="2"/>
      <c r="E3282" s="2"/>
      <c r="F3282" s="2"/>
      <c r="G3282" s="2"/>
      <c r="H3282" s="2"/>
      <c r="I3282" s="2"/>
      <c r="J3282" s="2"/>
      <c r="K3282" s="2"/>
      <c r="L3282" s="2"/>
    </row>
    <row r="3283" spans="1:12" ns3:dyDescent="0.2">
      <c r="A3283" s="17" t="s">
        <v>11</v>
      </c>
      <c r="B3283" s="17" t="s">
        <v>12</v>
      </c>
      <c r="C3283" s="17" t="s">
        <v>3</v>
      </c>
      <c r="D3283" s="17" t="s">
        <v>13</v>
      </c>
      <c r="E3283" s="17" t="s">
        <v>8</v>
      </c>
      <c r="F3283" s="17" t="s">
        <v>6</v>
      </c>
      <c r="G3283" s="17" t="s">
        <v>5</v>
      </c>
      <c r="H3283" s="17"/>
      <c r="J3283" s="17"/>
      <c r="K3283" s="17"/>
    </row>
    <row r="3284" spans="1:12" customFormat="1" ht="16" ns3:dyDescent="0.2">
      <c r="A3284" s="2" t="str">
        <f>B3276</f>
        <v>kerosene, from cellulosic residual biomass, burned in aircraft</v>
      </c>
      <c r="B3284" s="2">
        <v>1</v>
      </c>
      <c r="C3284" s="2" t="str">
        <f>B3277</f>
        <v>RER</v>
      </c>
      <c r="D3284" s="2"/>
      <c r="E3284" s="2" t="str">
        <f>B3281</f>
        <v>megajoule</v>
      </c>
      <c r="F3284" s="2" t="s">
        <v>19</v>
      </c>
      <c r="G3284" s="2" t="str">
        <f>B3279</f>
        <v>heat</v>
      </c>
      <c r="H3284" s="2"/>
      <c r="I3284" s="2"/>
      <c r="J3284" s="2"/>
      <c r="K3284" s="2"/>
      <c r="L3284" s="2"/>
    </row>
    <row r="3285" spans="1:12" customFormat="1" ht="16" ns3:dyDescent="0.2">
      <c r="A3285" t="s">
        <v>493</v>
      </c>
      <c r="B3285">
        <f>1/43</f>
        <v>2.3255813953488372E-2</v>
      </c>
      <c r="C3285" t="s">
        <v>18</v>
      </c>
      <c r="E3285" t="s">
        <v>9</v>
      </c>
      <c r="F3285" t="s">
        <v>23</v>
      </c>
      <c r="G3285" t="s">
        <v>130</v>
      </c>
      <c r="I3285" s="2"/>
    </row>
    <row r="3286" spans="1:12" customFormat="1" ht="16" ns3:dyDescent="0.2">
      <c r="A3286" t="s">
        <v>52</v>
      </c>
      <c r="B3286" s="3">
        <v>2.1198518564846293E-10</v>
      </c>
      <c r="D3286" t="s">
        <v>99</v>
      </c>
      <c r="E3286" t="s">
        <v>9</v>
      </c>
      <c r="F3286" s="2" t="s">
        <v>15</v>
      </c>
      <c r="I3286" s="2"/>
    </row>
    <row r="3287" spans="1:12" customFormat="1" ht="16" ns3:dyDescent="0.2">
      <c r="A3287" t="s">
        <v>52</v>
      </c>
      <c r="B3287" s="3">
        <v>2.0573376279857471E-11</v>
      </c>
      <c r="D3287" t="s">
        <v>100</v>
      </c>
      <c r="E3287" t="s">
        <v>9</v>
      </c>
      <c r="F3287" s="2" t="s">
        <v>15</v>
      </c>
      <c r="I3287" s="2"/>
    </row>
    <row r="3288" spans="1:12" customFormat="1" ht="16" ns3:dyDescent="0.2">
      <c r="A3288" t="s">
        <v>122</v>
      </c>
      <c r="B3288" s="25">
        <f>0.0660685839024935+0.00641203619387979</f>
        <v>7.2480620096373294E-2</v>
      </c>
      <c r="D3288" t="s">
        <v>116</v>
      </c>
      <c r="E3288" t="s">
        <v>9</v>
      </c>
      <c r="F3288" s="2" t="s">
        <v>15</v>
      </c>
      <c r="I3288" s="2"/>
    </row>
    <row r="3289" spans="1:12" customFormat="1" ht="16" ns3:dyDescent="0.2">
      <c r="A3289" t="s">
        <v>123</v>
      </c>
      <c r="B3289" s="3">
        <f>0.0000496205808723556+4.81573396118271E-06</f>
        <v>5.4436314833538314E-5</v>
      </c>
      <c r="D3289" t="s">
        <v>116</v>
      </c>
      <c r="E3289" t="s">
        <v>9</v>
      </c>
      <c r="F3289" s="2" t="s">
        <v>15</v>
      </c>
      <c r="I3289" s="2"/>
    </row>
    <row r="3290" spans="1:12" customFormat="1" ht="16" ns3:dyDescent="0.2">
      <c r="A3290" t="s">
        <v>55</v>
      </c>
      <c r="B3290" s="3">
        <v>1.0599259282423148E-9</v>
      </c>
      <c r="D3290" t="s">
        <v>99</v>
      </c>
      <c r="E3290" t="s">
        <v>9</v>
      </c>
      <c r="F3290" s="2" t="s">
        <v>15</v>
      </c>
      <c r="I3290" s="2"/>
    </row>
    <row r="3291" spans="1:12" customFormat="1" ht="16" ns3:dyDescent="0.2">
      <c r="A3291" t="s">
        <v>55</v>
      </c>
      <c r="B3291" s="3">
        <v>1.0286688139928735E-10</v>
      </c>
      <c r="D3291" t="s">
        <v>100</v>
      </c>
      <c r="E3291" t="s">
        <v>9</v>
      </c>
      <c r="F3291" s="2" t="s">
        <v>15</v>
      </c>
      <c r="I3291" s="2"/>
    </row>
    <row r="3292" spans="1:12" customFormat="1" ht="16" ns3:dyDescent="0.2">
      <c r="A3292" t="s">
        <v>57</v>
      </c>
      <c r="B3292" s="3">
        <v>3.6037375961879753E-8</v>
      </c>
      <c r="D3292" t="s">
        <v>99</v>
      </c>
      <c r="E3292" t="s">
        <v>9</v>
      </c>
      <c r="F3292" s="2" t="s">
        <v>15</v>
      </c>
      <c r="I3292" s="2"/>
    </row>
    <row r="3293" spans="1:12" customFormat="1" ht="16" ns3:dyDescent="0.2">
      <c r="A3293" t="s">
        <v>57</v>
      </c>
      <c r="B3293" s="3">
        <v>3.4974704476304713E-9</v>
      </c>
      <c r="D3293" t="s">
        <v>100</v>
      </c>
      <c r="E3293" t="s">
        <v>9</v>
      </c>
      <c r="F3293" s="2" t="s">
        <v>15</v>
      </c>
      <c r="I3293" s="2"/>
    </row>
    <row r="3294" spans="1:12" customFormat="1" ht="16" ns3:dyDescent="0.2">
      <c r="A3294" t="s">
        <v>63</v>
      </c>
      <c r="B3294" s="3">
        <v>4.2396949131060127E-7</v>
      </c>
      <c r="D3294" t="s">
        <v>99</v>
      </c>
      <c r="E3294" t="s">
        <v>9</v>
      </c>
      <c r="F3294" s="2" t="s">
        <v>15</v>
      </c>
      <c r="I3294" s="2"/>
    </row>
    <row r="3295" spans="1:12" customFormat="1" ht="16" ns3:dyDescent="0.2">
      <c r="A3295" t="s">
        <v>63</v>
      </c>
      <c r="B3295" s="3">
        <v>4.1146752559714943E-8</v>
      </c>
      <c r="D3295" t="s">
        <v>100</v>
      </c>
      <c r="E3295" t="s">
        <v>9</v>
      </c>
      <c r="F3295" s="2" t="s">
        <v>15</v>
      </c>
      <c r="I3295" s="2"/>
    </row>
    <row r="3296" spans="1:12" customFormat="1" ht="16" ns3:dyDescent="0.2">
      <c r="A3296" t="s">
        <v>64</v>
      </c>
      <c r="B3296" s="3">
        <v>1.4838945395665915E-12</v>
      </c>
      <c r="D3296" t="s">
        <v>99</v>
      </c>
      <c r="E3296" t="s">
        <v>9</v>
      </c>
      <c r="F3296" s="2" t="s">
        <v>15</v>
      </c>
      <c r="I3296" s="2"/>
    </row>
    <row r="3297" spans="1:12" customFormat="1" ht="16" ns3:dyDescent="0.2">
      <c r="A3297" t="s">
        <v>64</v>
      </c>
      <c r="B3297" s="3">
        <v>1.4401328196447244E-13</v>
      </c>
      <c r="D3297" t="s">
        <v>100</v>
      </c>
      <c r="E3297" t="s">
        <v>9</v>
      </c>
      <c r="F3297" s="2" t="s">
        <v>15</v>
      </c>
      <c r="I3297" s="2"/>
    </row>
    <row r="3298" spans="1:12" customFormat="1" ht="16" ns3:dyDescent="0.2">
      <c r="A3298" t="s">
        <v>67</v>
      </c>
      <c r="B3298" s="3">
        <v>4.9290146007471967E-6</v>
      </c>
      <c r="D3298" t="s">
        <v>99</v>
      </c>
      <c r="E3298" t="s">
        <v>9</v>
      </c>
      <c r="F3298" s="2" t="s">
        <v>15</v>
      </c>
      <c r="I3298" s="2"/>
    </row>
    <row r="3299" spans="1:12" customFormat="1" ht="16" ns3:dyDescent="0.2">
      <c r="A3299" t="s">
        <v>67</v>
      </c>
      <c r="B3299" s="3">
        <v>4.7836672595146453E-7</v>
      </c>
      <c r="D3299" t="s">
        <v>100</v>
      </c>
      <c r="E3299" t="s">
        <v>9</v>
      </c>
      <c r="F3299" s="2" t="s">
        <v>15</v>
      </c>
      <c r="I3299" s="2"/>
    </row>
    <row r="3300" spans="1:9" customFormat="1" ht="16" ns3:dyDescent="0.2">
      <c r="A3300" t="s">
        <v>68</v>
      </c>
      <c r="B3300" s="3">
        <v>1.4838945395665916E-9</v>
      </c>
      <c r="D3300" t="s">
        <v>99</v>
      </c>
      <c r="E3300" t="s">
        <v>9</v>
      </c>
      <c r="F3300" s="2" t="s">
        <v>15</v>
      </c>
      <c r="I3300" s="2"/>
    </row>
    <row r="3301" spans="1:9" customFormat="1" ht="16" ns3:dyDescent="0.2">
      <c r="A3301" t="s">
        <v>68</v>
      </c>
      <c r="B3301" s="3">
        <v>1.4401328196447246E-10</v>
      </c>
      <c r="D3301" t="s">
        <v>100</v>
      </c>
      <c r="E3301" t="s">
        <v>9</v>
      </c>
      <c r="F3301" s="2" t="s">
        <v>15</v>
      </c>
      <c r="I3301" s="2"/>
    </row>
    <row r="3302" spans="1:9" customFormat="1" ht="16" ns3:dyDescent="0.2">
      <c r="A3302" t="s">
        <v>69</v>
      </c>
      <c r="B3302" s="25">
        <v>3.0006653682198702E-4</v>
      </c>
      <c r="D3302" t="s">
        <v>99</v>
      </c>
      <c r="E3302" t="s">
        <v>9</v>
      </c>
      <c r="F3302" s="2" t="s">
        <v>15</v>
      </c>
      <c r="I3302" s="2"/>
    </row>
    <row r="3303" spans="1:9" customFormat="1" ht="16" ns3:dyDescent="0.2">
      <c r="A3303" t="s">
        <v>69</v>
      </c>
      <c r="B3303" s="3">
        <v>2.9121827432823326E-5</v>
      </c>
      <c r="D3303" t="s">
        <v>100</v>
      </c>
      <c r="E3303" t="s">
        <v>9</v>
      </c>
      <c r="F3303" s="2" t="s">
        <v>15</v>
      </c>
      <c r="I3303" s="2"/>
    </row>
    <row r="3304" spans="1:9" customFormat="1" ht="16" ns3:dyDescent="0.2">
      <c r="A3304" t="s">
        <v>71</v>
      </c>
      <c r="B3304" s="3">
        <v>3.8963858482936672E-6</v>
      </c>
      <c r="D3304" t="s">
        <v>99</v>
      </c>
      <c r="E3304" t="s">
        <v>9</v>
      </c>
      <c r="F3304" s="2" t="s">
        <v>15</v>
      </c>
      <c r="I3304" s="2"/>
    </row>
    <row r="3305" spans="1:9" customFormat="1" ht="16" ns3:dyDescent="0.2">
      <c r="A3305" t="s">
        <v>71</v>
      </c>
      <c r="B3305" s="3">
        <v>3.7814860338919342E-7</v>
      </c>
      <c r="D3305" t="s">
        <v>100</v>
      </c>
      <c r="E3305" t="s">
        <v>9</v>
      </c>
      <c r="F3305" s="2" t="s">
        <v>15</v>
      </c>
      <c r="I3305" s="2"/>
    </row>
    <row r="3306" spans="1:9" customFormat="1" ht="16" ns3:dyDescent="0.2">
      <c r="A3306" t="s">
        <v>75</v>
      </c>
      <c r="B3306" s="3">
        <v>2.1198518564846293E-10</v>
      </c>
      <c r="D3306" t="s">
        <v>99</v>
      </c>
      <c r="E3306" t="s">
        <v>9</v>
      </c>
      <c r="F3306" s="2" t="s">
        <v>15</v>
      </c>
      <c r="I3306" s="2"/>
    </row>
    <row r="3307" spans="1:9" customFormat="1" ht="16" ns3:dyDescent="0.2">
      <c r="A3307" t="s">
        <v>75</v>
      </c>
      <c r="B3307" s="3">
        <v>2.0573376279857471E-11</v>
      </c>
      <c r="D3307" t="s">
        <v>100</v>
      </c>
      <c r="E3307" t="s">
        <v>9</v>
      </c>
      <c r="F3307" s="2" t="s">
        <v>15</v>
      </c>
      <c r="I3307" s="2"/>
    </row>
    <row r="3308" spans="1:9" customFormat="1" ht="16" ns3:dyDescent="0.2">
      <c r="A3308" t="s">
        <v>77</v>
      </c>
      <c r="B3308" s="3">
        <v>1.7806699275346112E-5</v>
      </c>
      <c r="D3308" t="s">
        <v>99</v>
      </c>
      <c r="E3308" t="s">
        <v>9</v>
      </c>
      <c r="F3308" s="2" t="s">
        <v>15</v>
      </c>
      <c r="I3308" s="2"/>
    </row>
    <row r="3309" spans="1:9" customFormat="1" ht="16" ns3:dyDescent="0.2">
      <c r="A3309" t="s">
        <v>77</v>
      </c>
      <c r="B3309" s="3">
        <v>1.7281611435463185E-6</v>
      </c>
      <c r="D3309" t="s">
        <v>100</v>
      </c>
      <c r="E3309" t="s">
        <v>9</v>
      </c>
      <c r="F3309" s="2" t="s">
        <v>15</v>
      </c>
      <c r="I3309" s="2"/>
    </row>
    <row r="3310" spans="1:9" customFormat="1" ht="16" ns3:dyDescent="0.2">
      <c r="A3310" t="s">
        <v>98</v>
      </c>
      <c r="B3310" s="3">
        <v>1.6219731937580282E-7</v>
      </c>
      <c r="D3310" t="s">
        <v>99</v>
      </c>
      <c r="E3310" s="2" t="s">
        <v>94</v>
      </c>
      <c r="F3310" s="2" t="s">
        <v>15</v>
      </c>
      <c r="I3310" s="2"/>
    </row>
    <row r="3311" spans="1:9" customFormat="1" ht="16" ns3:dyDescent="0.2">
      <c r="A3311" t="s">
        <v>98</v>
      </c>
      <c r="B3311" s="3">
        <v>1.574145937016555E-8</v>
      </c>
      <c r="D3311" t="s">
        <v>100</v>
      </c>
      <c r="E3311" s="2" t="s">
        <v>94</v>
      </c>
      <c r="F3311" s="2" t="s">
        <v>15</v>
      </c>
      <c r="I3311" s="2"/>
    </row>
    <row r="3312" spans="1:9" customFormat="1" ht="16" ns3:dyDescent="0.2">
      <c r="A3312" t="s">
        <v>79</v>
      </c>
      <c r="B3312" s="3">
        <v>2.1198518564846295E-7</v>
      </c>
      <c r="D3312" t="s">
        <v>99</v>
      </c>
      <c r="E3312" t="s">
        <v>9</v>
      </c>
      <c r="F3312" s="2" t="s">
        <v>15</v>
      </c>
      <c r="I3312" s="2"/>
    </row>
    <row r="3313" spans="1:9" customFormat="1" ht="16" ns3:dyDescent="0.2">
      <c r="A3313" t="s">
        <v>79</v>
      </c>
      <c r="B3313" s="3">
        <v>2.0573376279857471E-8</v>
      </c>
      <c r="D3313" t="s">
        <v>100</v>
      </c>
      <c r="E3313" t="s">
        <v>9</v>
      </c>
      <c r="F3313" s="2" t="s">
        <v>15</v>
      </c>
      <c r="I3313" s="2"/>
    </row>
    <row r="3314" spans="1:9" customFormat="1" ht="16" ns3:dyDescent="0.2"/>
    <row r="3315" spans="1:9" ns3:dyDescent="0.2">
      <c r="A3315" s="17" t="s">
        <v>2</v>
      </c>
      <c r="B3315" s="17" t="s">
        <v>490</v>
      </c>
    </row>
    <row r="3316" spans="1:12" customFormat="1" ht="16" ns3:dyDescent="0.2">
      <c r="A3316" s="2" t="s">
        <v>3</v>
      </c>
      <c r="B3316" s="2" t="s">
        <v>18</v>
      </c>
      <c r="C3316" s="2"/>
      <c r="D3316" s="2"/>
      <c r="E3316" s="2"/>
      <c r="F3316" s="2"/>
      <c r="G3316" s="2"/>
      <c r="H3316" s="2"/>
      <c r="I3316" s="2"/>
      <c r="J3316" s="2"/>
      <c r="K3316" s="2"/>
      <c r="L3316" s="2"/>
    </row>
    <row r="3317" spans="1:12" customFormat="1" ht="16" ns3:dyDescent="0.2">
      <c r="A3317" s="2" t="s">
        <v>4</v>
      </c>
      <c r="B3317" s="2">
        <v>1</v>
      </c>
      <c r="C3317" s="2"/>
      <c r="D3317" s="2"/>
      <c r="E3317" s="2"/>
      <c r="F3317" s="2"/>
      <c r="G3317" s="2"/>
      <c r="H3317" s="2"/>
      <c r="I3317" s="2"/>
      <c r="J3317" s="2"/>
      <c r="K3317" s="2"/>
      <c r="L3317" s="2"/>
    </row>
    <row r="3318" spans="1:12" customFormat="1" ht="16" ns3:dyDescent="0.2">
      <c r="A3318" s="2" t="s">
        <v>5</v>
      </c>
      <c r="B3318" s="2" t="s">
        <v>1</v>
      </c>
      <c r="C3318" s="2"/>
      <c r="D3318" s="2"/>
      <c r="E3318" s="2"/>
      <c r="F3318" s="2"/>
      <c r="G3318" s="2"/>
      <c r="H3318" s="2"/>
      <c r="I3318" s="2"/>
      <c r="J3318" s="2"/>
    </row>
    <row r="3319" spans="1:12" customFormat="1" ht="16" ns3:dyDescent="0.2">
      <c r="A3319" s="2" t="s">
        <v>6</v>
      </c>
      <c r="B3319" s="2" t="s">
        <v>7</v>
      </c>
      <c r="C3319" s="2"/>
      <c r="D3319" s="2"/>
      <c r="E3319" s="2"/>
      <c r="F3319" s="2"/>
      <c r="G3319" s="2"/>
      <c r="H3319" s="2"/>
      <c r="I3319" s="2"/>
      <c r="J3319" s="2"/>
      <c r="K3319" s="2"/>
      <c r="L3319" s="2"/>
    </row>
    <row r="3320" spans="1:12" customFormat="1" ht="16" ns3:dyDescent="0.2">
      <c r="A3320" s="2" t="s">
        <v>8</v>
      </c>
      <c r="B3320" s="2" t="s">
        <v>17</v>
      </c>
      <c r="C3320" s="2"/>
      <c r="D3320" s="2"/>
      <c r="E3320" s="2"/>
      <c r="F3320" s="2"/>
      <c r="G3320" s="2"/>
      <c r="H3320" s="2"/>
      <c r="I3320" s="2"/>
      <c r="J3320" s="2"/>
      <c r="K3320" s="2"/>
      <c r="L3320" s="2"/>
    </row>
    <row r="3321" spans="1:12" customFormat="1" ht="16" ns3:dyDescent="0.2">
      <c r="A3321" s="1" t="s">
        <v>10</v>
      </c>
      <c r="B3321" s="2"/>
      <c r="C3321" s="2"/>
      <c r="D3321" s="2"/>
      <c r="E3321" s="2"/>
      <c r="F3321" s="2"/>
      <c r="G3321" s="2"/>
      <c r="H3321" s="2"/>
      <c r="I3321" s="2"/>
      <c r="J3321" s="2"/>
      <c r="K3321" s="2"/>
      <c r="L3321" s="2"/>
    </row>
    <row r="3322" spans="1:12" ns3:dyDescent="0.2">
      <c r="A3322" s="17" t="s">
        <v>11</v>
      </c>
      <c r="B3322" s="17" t="s">
        <v>12</v>
      </c>
      <c r="C3322" s="17" t="s">
        <v>3</v>
      </c>
      <c r="D3322" s="17" t="s">
        <v>13</v>
      </c>
      <c r="E3322" s="17" t="s">
        <v>8</v>
      </c>
      <c r="F3322" s="17" t="s">
        <v>6</v>
      </c>
      <c r="G3322" s="17" t="s">
        <v>5</v>
      </c>
      <c r="H3322" s="17"/>
      <c r="J3322" s="17"/>
      <c r="K3322" s="17"/>
    </row>
    <row r="3323" spans="1:12" customFormat="1" ht="16" ns3:dyDescent="0.2">
      <c r="A3323" s="2" t="str">
        <f>B3315</f>
        <v>kerosene, from non-residual oily biomass, burned in aircraft</v>
      </c>
      <c r="B3323" s="2">
        <v>1</v>
      </c>
      <c r="C3323" s="2" t="str">
        <f>B3316</f>
        <v>RER</v>
      </c>
      <c r="D3323" s="2"/>
      <c r="E3323" s="2" t="str">
        <f>B3320</f>
        <v>megajoule</v>
      </c>
      <c r="F3323" s="2" t="s">
        <v>19</v>
      </c>
      <c r="G3323" s="2" t="str">
        <f>B3318</f>
        <v>heat</v>
      </c>
      <c r="H3323" s="2"/>
      <c r="I3323" s="2"/>
      <c r="J3323" s="2"/>
      <c r="K3323" s="2"/>
      <c r="L3323" s="2"/>
    </row>
    <row r="3324" spans="1:12" customFormat="1" ht="16" ns3:dyDescent="0.2">
      <c r="A3324" s="2" t="s">
        <v>417</v>
      </c>
      <c r="B3324" s="9">
        <f>1/43</f>
        <v>2.3255813953488372E-2</v>
      </c>
      <c r="C3324" t="s">
        <v>18</v>
      </c>
      <c r="E3324" t="s">
        <v>9</v>
      </c>
      <c r="F3324" t="s">
        <v>23</v>
      </c>
      <c r="G3324" t="s">
        <v>418</v>
      </c>
      <c r="I3324" s="2"/>
    </row>
    <row r="3325" spans="1:12" customFormat="1" ht="16" ns3:dyDescent="0.2">
      <c r="A3325" t="s">
        <v>52</v>
      </c>
      <c r="B3325" s="3">
        <v>2.1198518564846293E-10</v>
      </c>
      <c r="D3325" t="s">
        <v>99</v>
      </c>
      <c r="E3325" t="s">
        <v>9</v>
      </c>
      <c r="F3325" s="2" t="s">
        <v>15</v>
      </c>
      <c r="I3325" s="2"/>
    </row>
    <row r="3326" spans="1:12" customFormat="1" ht="16" ns3:dyDescent="0.2">
      <c r="A3326" t="s">
        <v>52</v>
      </c>
      <c r="B3326" s="3">
        <v>2.0573376279857471E-11</v>
      </c>
      <c r="D3326" t="s">
        <v>100</v>
      </c>
      <c r="E3326" t="s">
        <v>9</v>
      </c>
      <c r="F3326" s="2" t="s">
        <v>15</v>
      </c>
      <c r="I3326" s="2"/>
    </row>
    <row r="3327" spans="1:12" customFormat="1" ht="16" ns3:dyDescent="0.2">
      <c r="A3327" t="s">
        <v>122</v>
      </c>
      <c r="B3327" s="25">
        <f>0.0660685839024935+0.00641203619387979</f>
        <v>7.2480620096373294E-2</v>
      </c>
      <c r="D3327" t="s">
        <v>116</v>
      </c>
      <c r="E3327" t="s">
        <v>9</v>
      </c>
      <c r="F3327" s="2" t="s">
        <v>15</v>
      </c>
      <c r="I3327" s="2"/>
    </row>
    <row r="3328" spans="1:12" customFormat="1" ht="16" ns3:dyDescent="0.2">
      <c r="A3328" t="s">
        <v>123</v>
      </c>
      <c r="B3328" s="3">
        <f>0.0000496205808723556+4.81573396118271E-06</f>
        <v>5.4436314833538314E-5</v>
      </c>
      <c r="D3328" t="s">
        <v>116</v>
      </c>
      <c r="E3328" t="s">
        <v>9</v>
      </c>
      <c r="F3328" s="2" t="s">
        <v>15</v>
      </c>
      <c r="I3328" s="2"/>
    </row>
    <row r="3329" spans="1:12" customFormat="1" ht="16" ns3:dyDescent="0.2">
      <c r="A3329" t="s">
        <v>55</v>
      </c>
      <c r="B3329" s="3">
        <v>1.0599259282423148E-9</v>
      </c>
      <c r="D3329" t="s">
        <v>99</v>
      </c>
      <c r="E3329" t="s">
        <v>9</v>
      </c>
      <c r="F3329" s="2" t="s">
        <v>15</v>
      </c>
      <c r="I3329" s="2"/>
    </row>
    <row r="3330" spans="1:12" customFormat="1" ht="16" ns3:dyDescent="0.2">
      <c r="A3330" t="s">
        <v>55</v>
      </c>
      <c r="B3330" s="3">
        <v>1.0286688139928735E-10</v>
      </c>
      <c r="D3330" t="s">
        <v>100</v>
      </c>
      <c r="E3330" t="s">
        <v>9</v>
      </c>
      <c r="F3330" s="2" t="s">
        <v>15</v>
      </c>
      <c r="I3330" s="2"/>
    </row>
    <row r="3331" spans="1:12" customFormat="1" ht="16" ns3:dyDescent="0.2">
      <c r="A3331" t="s">
        <v>57</v>
      </c>
      <c r="B3331" s="3">
        <v>3.6037375961879753E-8</v>
      </c>
      <c r="D3331" t="s">
        <v>99</v>
      </c>
      <c r="E3331" t="s">
        <v>9</v>
      </c>
      <c r="F3331" s="2" t="s">
        <v>15</v>
      </c>
      <c r="I3331" s="2"/>
    </row>
    <row r="3332" spans="1:9" customFormat="1" ht="16" ns3:dyDescent="0.2">
      <c r="A3332" t="s">
        <v>57</v>
      </c>
      <c r="B3332" s="3">
        <v>3.4974704476304713E-9</v>
      </c>
      <c r="D3332" t="s">
        <v>100</v>
      </c>
      <c r="E3332" t="s">
        <v>9</v>
      </c>
      <c r="F3332" s="2" t="s">
        <v>15</v>
      </c>
      <c r="I3332" s="2"/>
    </row>
    <row r="3333" spans="1:9" customFormat="1" ht="16" ns3:dyDescent="0.2">
      <c r="A3333" t="s">
        <v>63</v>
      </c>
      <c r="B3333" s="3">
        <v>4.2396949131060127E-7</v>
      </c>
      <c r="D3333" t="s">
        <v>99</v>
      </c>
      <c r="E3333" t="s">
        <v>9</v>
      </c>
      <c r="F3333" s="2" t="s">
        <v>15</v>
      </c>
      <c r="I3333" s="2"/>
    </row>
    <row r="3334" spans="1:9" customFormat="1" ht="16" ns3:dyDescent="0.2">
      <c r="A3334" t="s">
        <v>63</v>
      </c>
      <c r="B3334" s="3">
        <v>4.1146752559714943E-8</v>
      </c>
      <c r="D3334" t="s">
        <v>100</v>
      </c>
      <c r="E3334" t="s">
        <v>9</v>
      </c>
      <c r="F3334" s="2" t="s">
        <v>15</v>
      </c>
      <c r="I3334" s="2"/>
    </row>
    <row r="3335" spans="1:9" customFormat="1" ht="16" ns3:dyDescent="0.2">
      <c r="A3335" t="s">
        <v>64</v>
      </c>
      <c r="B3335" s="3">
        <v>1.4838945395665915E-12</v>
      </c>
      <c r="D3335" t="s">
        <v>99</v>
      </c>
      <c r="E3335" t="s">
        <v>9</v>
      </c>
      <c r="F3335" s="2" t="s">
        <v>15</v>
      </c>
      <c r="I3335" s="2"/>
    </row>
    <row r="3336" spans="1:9" customFormat="1" ht="16" ns3:dyDescent="0.2">
      <c r="A3336" t="s">
        <v>64</v>
      </c>
      <c r="B3336" s="3">
        <v>1.4401328196447244E-13</v>
      </c>
      <c r="D3336" t="s">
        <v>100</v>
      </c>
      <c r="E3336" t="s">
        <v>9</v>
      </c>
      <c r="F3336" s="2" t="s">
        <v>15</v>
      </c>
      <c r="I3336" s="2"/>
    </row>
    <row r="3337" spans="1:9" customFormat="1" ht="16" ns3:dyDescent="0.2">
      <c r="A3337" t="s">
        <v>67</v>
      </c>
      <c r="B3337" s="3">
        <v>4.9290146007471967E-6</v>
      </c>
      <c r="D3337" t="s">
        <v>99</v>
      </c>
      <c r="E3337" t="s">
        <v>9</v>
      </c>
      <c r="F3337" s="2" t="s">
        <v>15</v>
      </c>
      <c r="I3337" s="2"/>
    </row>
    <row r="3338" spans="1:9" customFormat="1" ht="16" ns3:dyDescent="0.2">
      <c r="A3338" t="s">
        <v>67</v>
      </c>
      <c r="B3338" s="3">
        <v>4.7836672595146453E-7</v>
      </c>
      <c r="D3338" t="s">
        <v>100</v>
      </c>
      <c r="E3338" t="s">
        <v>9</v>
      </c>
      <c r="F3338" s="2" t="s">
        <v>15</v>
      </c>
      <c r="I3338" s="2"/>
    </row>
    <row r="3339" spans="1:9" customFormat="1" ht="16" ns3:dyDescent="0.2">
      <c r="A3339" t="s">
        <v>68</v>
      </c>
      <c r="B3339" s="3">
        <v>1.4838945395665916E-9</v>
      </c>
      <c r="D3339" t="s">
        <v>99</v>
      </c>
      <c r="E3339" t="s">
        <v>9</v>
      </c>
      <c r="F3339" s="2" t="s">
        <v>15</v>
      </c>
      <c r="I3339" s="2"/>
    </row>
    <row r="3340" spans="1:9" customFormat="1" ht="16" ns3:dyDescent="0.2">
      <c r="A3340" t="s">
        <v>68</v>
      </c>
      <c r="B3340" s="3">
        <v>1.4401328196447246E-10</v>
      </c>
      <c r="D3340" t="s">
        <v>100</v>
      </c>
      <c r="E3340" t="s">
        <v>9</v>
      </c>
      <c r="F3340" s="2" t="s">
        <v>15</v>
      </c>
      <c r="I3340" s="2"/>
    </row>
    <row r="3341" spans="1:9" customFormat="1" ht="16" ns3:dyDescent="0.2">
      <c r="A3341" t="s">
        <v>69</v>
      </c>
      <c r="B3341" s="25">
        <v>3.0006653682198702E-4</v>
      </c>
      <c r="D3341" t="s">
        <v>99</v>
      </c>
      <c r="E3341" t="s">
        <v>9</v>
      </c>
      <c r="F3341" s="2" t="s">
        <v>15</v>
      </c>
      <c r="I3341" s="2"/>
    </row>
    <row r="3342" spans="1:9" customFormat="1" ht="16" ns3:dyDescent="0.2">
      <c r="A3342" t="s">
        <v>69</v>
      </c>
      <c r="B3342" s="3">
        <v>2.9121827432823326E-5</v>
      </c>
      <c r="D3342" t="s">
        <v>100</v>
      </c>
      <c r="E3342" t="s">
        <v>9</v>
      </c>
      <c r="F3342" s="2" t="s">
        <v>15</v>
      </c>
      <c r="I3342" s="2"/>
    </row>
    <row r="3343" spans="1:9" customFormat="1" ht="16" ns3:dyDescent="0.2">
      <c r="A3343" t="s">
        <v>71</v>
      </c>
      <c r="B3343" s="3">
        <v>3.8963858482936672E-6</v>
      </c>
      <c r="D3343" t="s">
        <v>99</v>
      </c>
      <c r="E3343" t="s">
        <v>9</v>
      </c>
      <c r="F3343" s="2" t="s">
        <v>15</v>
      </c>
      <c r="I3343" s="2"/>
    </row>
    <row r="3344" spans="1:9" customFormat="1" ht="16" ns3:dyDescent="0.2">
      <c r="A3344" t="s">
        <v>71</v>
      </c>
      <c r="B3344" s="3">
        <v>3.7814860338919342E-7</v>
      </c>
      <c r="D3344" t="s">
        <v>100</v>
      </c>
      <c r="E3344" t="s">
        <v>9</v>
      </c>
      <c r="F3344" s="2" t="s">
        <v>15</v>
      </c>
      <c r="I3344" s="2"/>
    </row>
    <row r="3345" spans="1:9" customFormat="1" ht="16" ns3:dyDescent="0.2">
      <c r="A3345" t="s">
        <v>75</v>
      </c>
      <c r="B3345" s="3">
        <v>2.1198518564846293E-10</v>
      </c>
      <c r="D3345" t="s">
        <v>99</v>
      </c>
      <c r="E3345" t="s">
        <v>9</v>
      </c>
      <c r="F3345" s="2" t="s">
        <v>15</v>
      </c>
      <c r="I3345" s="2"/>
    </row>
    <row r="3346" spans="1:9" customFormat="1" ht="16" ns3:dyDescent="0.2">
      <c r="A3346" t="s">
        <v>75</v>
      </c>
      <c r="B3346" s="3">
        <v>2.0573376279857471E-11</v>
      </c>
      <c r="D3346" t="s">
        <v>100</v>
      </c>
      <c r="E3346" t="s">
        <v>9</v>
      </c>
      <c r="F3346" s="2" t="s">
        <v>15</v>
      </c>
      <c r="I3346" s="2"/>
    </row>
    <row r="3347" spans="1:9" customFormat="1" ht="16" ns3:dyDescent="0.2">
      <c r="A3347" t="s">
        <v>77</v>
      </c>
      <c r="B3347" s="3">
        <v>1.7806699275346112E-5</v>
      </c>
      <c r="D3347" t="s">
        <v>99</v>
      </c>
      <c r="E3347" t="s">
        <v>9</v>
      </c>
      <c r="F3347" s="2" t="s">
        <v>15</v>
      </c>
      <c r="I3347" s="2"/>
    </row>
    <row r="3348" spans="1:12" customFormat="1" ht="16" ns3:dyDescent="0.2">
      <c r="A3348" t="s">
        <v>77</v>
      </c>
      <c r="B3348" s="3">
        <v>1.7281611435463185E-6</v>
      </c>
      <c r="D3348" t="s">
        <v>100</v>
      </c>
      <c r="E3348" t="s">
        <v>9</v>
      </c>
      <c r="F3348" s="2" t="s">
        <v>15</v>
      </c>
      <c r="I3348" s="2"/>
    </row>
    <row r="3349" spans="1:12" customFormat="1" ht="16" ns3:dyDescent="0.2">
      <c r="A3349" t="s">
        <v>98</v>
      </c>
      <c r="B3349" s="3">
        <v>1.6219731937580282E-7</v>
      </c>
      <c r="D3349" t="s">
        <v>99</v>
      </c>
      <c r="E3349" s="2" t="s">
        <v>94</v>
      </c>
      <c r="F3349" s="2" t="s">
        <v>15</v>
      </c>
      <c r="I3349" s="2"/>
    </row>
    <row r="3350" spans="1:12" customFormat="1" ht="16" ns3:dyDescent="0.2">
      <c r="A3350" t="s">
        <v>98</v>
      </c>
      <c r="B3350" s="3">
        <v>1.574145937016555E-8</v>
      </c>
      <c r="D3350" t="s">
        <v>100</v>
      </c>
      <c r="E3350" s="2" t="s">
        <v>94</v>
      </c>
      <c r="F3350" s="2" t="s">
        <v>15</v>
      </c>
      <c r="I3350" s="2"/>
    </row>
    <row r="3351" spans="1:12" customFormat="1" ht="16" ns3:dyDescent="0.2">
      <c r="A3351" t="s">
        <v>79</v>
      </c>
      <c r="B3351" s="3">
        <v>2.1198518564846295E-7</v>
      </c>
      <c r="D3351" t="s">
        <v>99</v>
      </c>
      <c r="E3351" t="s">
        <v>9</v>
      </c>
      <c r="F3351" s="2" t="s">
        <v>15</v>
      </c>
      <c r="I3351" s="2"/>
    </row>
    <row r="3352" spans="1:12" customFormat="1" ht="16" ns3:dyDescent="0.2">
      <c r="A3352" t="s">
        <v>79</v>
      </c>
      <c r="B3352" s="3">
        <v>2.0573376279857471E-8</v>
      </c>
      <c r="D3352" t="s">
        <v>100</v>
      </c>
      <c r="E3352" t="s">
        <v>9</v>
      </c>
      <c r="F3352" s="2" t="s">
        <v>15</v>
      </c>
      <c r="I3352" s="2"/>
    </row>
    <row r="3353" spans="1:12" customFormat="1" ht="16" ns3:dyDescent="0.2"/>
    <row r="3354" spans="1:12" ns3:dyDescent="0.2">
      <c r="A3354" s="17" t="s">
        <v>2</v>
      </c>
      <c r="B3354" s="17" t="s">
        <v>279</v>
      </c>
    </row>
    <row r="3355" spans="1:12" customFormat="1" ht="16" ns3:dyDescent="0.2">
      <c r="A3355" s="2" t="s">
        <v>3</v>
      </c>
      <c r="B3355" s="2" t="s">
        <v>18</v>
      </c>
      <c r="C3355" s="2"/>
      <c r="D3355" s="2"/>
      <c r="E3355" s="2"/>
      <c r="F3355" s="2"/>
      <c r="G3355" s="2"/>
      <c r="H3355" s="2"/>
      <c r="I3355" s="2"/>
      <c r="J3355" s="2"/>
      <c r="K3355" s="2"/>
      <c r="L3355" s="2"/>
    </row>
    <row r="3356" spans="1:12" customFormat="1" ht="16" ns3:dyDescent="0.2">
      <c r="A3356" s="2" t="s">
        <v>4</v>
      </c>
      <c r="B3356" s="2">
        <v>1</v>
      </c>
      <c r="C3356" s="2"/>
      <c r="D3356" s="2"/>
      <c r="E3356" s="2"/>
      <c r="F3356" s="2"/>
      <c r="G3356" s="2"/>
      <c r="H3356" s="2"/>
      <c r="I3356" s="2"/>
      <c r="J3356" s="2"/>
      <c r="K3356" s="2"/>
      <c r="L3356" s="2"/>
    </row>
    <row r="3357" spans="1:12" customFormat="1" ht="16" ns3:dyDescent="0.2">
      <c r="A3357" s="2" t="s">
        <v>5</v>
      </c>
      <c r="B3357" s="2" t="s">
        <v>1</v>
      </c>
      <c r="C3357" s="2"/>
      <c r="D3357" s="2"/>
      <c r="E3357" s="2"/>
      <c r="F3357" s="2"/>
      <c r="G3357" s="2"/>
      <c r="H3357" s="2"/>
      <c r="I3357" s="2"/>
      <c r="J3357" s="2"/>
    </row>
    <row r="3358" spans="1:12" customFormat="1" ht="16" ns3:dyDescent="0.2">
      <c r="A3358" s="2" t="s">
        <v>6</v>
      </c>
      <c r="B3358" s="2" t="s">
        <v>7</v>
      </c>
      <c r="C3358" s="2"/>
      <c r="D3358" s="2"/>
      <c r="E3358" s="2"/>
      <c r="F3358" s="2"/>
      <c r="G3358" s="2"/>
      <c r="H3358" s="2"/>
      <c r="I3358" s="2"/>
      <c r="J3358" s="2"/>
      <c r="K3358" s="2"/>
      <c r="L3358" s="2"/>
    </row>
    <row r="3359" spans="1:12" customFormat="1" ht="16" ns3:dyDescent="0.2">
      <c r="A3359" s="2" t="s">
        <v>8</v>
      </c>
      <c r="B3359" s="2" t="s">
        <v>17</v>
      </c>
      <c r="C3359" s="2"/>
      <c r="D3359" s="2"/>
      <c r="E3359" s="2"/>
      <c r="F3359" s="2"/>
      <c r="G3359" s="2"/>
      <c r="H3359" s="2"/>
      <c r="I3359" s="2"/>
      <c r="J3359" s="2"/>
      <c r="K3359" s="2"/>
      <c r="L3359" s="2"/>
    </row>
    <row r="3360" spans="1:12" customFormat="1" ht="16" ns3:dyDescent="0.2">
      <c r="A3360" s="1" t="s">
        <v>10</v>
      </c>
      <c r="B3360" s="2"/>
      <c r="C3360" s="2"/>
      <c r="D3360" s="2"/>
      <c r="E3360" s="2"/>
      <c r="F3360" s="2"/>
      <c r="G3360" s="2"/>
      <c r="H3360" s="2"/>
      <c r="I3360" s="2"/>
      <c r="J3360" s="2"/>
      <c r="K3360" s="2"/>
      <c r="L3360" s="2"/>
    </row>
    <row r="3361" spans="1:12" ns3:dyDescent="0.2">
      <c r="A3361" s="17" t="s">
        <v>11</v>
      </c>
      <c r="B3361" s="17" t="s">
        <v>12</v>
      </c>
      <c r="C3361" s="17" t="s">
        <v>3</v>
      </c>
      <c r="D3361" s="17" t="s">
        <v>13</v>
      </c>
      <c r="E3361" s="17" t="s">
        <v>8</v>
      </c>
      <c r="F3361" s="17" t="s">
        <v>6</v>
      </c>
      <c r="G3361" s="17" t="s">
        <v>5</v>
      </c>
      <c r="H3361" s="17"/>
      <c r="I3361" s="17"/>
      <c r="K3361" s="17"/>
    </row>
    <row r="3362" spans="1:12" customFormat="1" ht="16" ns3:dyDescent="0.2">
      <c r="A3362" s="2" t="str">
        <f>B3354</f>
        <v>kerosene, synthetic, burned in aircraft</v>
      </c>
      <c r="B3362" s="2">
        <v>1</v>
      </c>
      <c r="C3362" s="2" t="str">
        <f>B3355</f>
        <v>RER</v>
      </c>
      <c r="D3362" s="2"/>
      <c r="E3362" s="2" t="str">
        <f>B3359</f>
        <v>megajoule</v>
      </c>
      <c r="F3362" s="2" t="s">
        <v>19</v>
      </c>
      <c r="G3362" s="2" t="str">
        <f>B3357</f>
        <v>heat</v>
      </c>
      <c r="H3362" s="2"/>
      <c r="I3362" s="2"/>
      <c r="J3362" s="2"/>
      <c r="K3362" s="2"/>
      <c r="L3362" s="2"/>
    </row>
    <row r="3363" spans="1:12" customFormat="1" ht="16" ns3:dyDescent="0.2">
      <c r="A3363" t="s">
        <v>502</v>
      </c>
      <c r="B3363">
        <f>1/43</f>
        <v>2.3255813953488372E-2</v>
      </c>
      <c r="C3363" t="s">
        <v>18</v>
      </c>
      <c r="E3363" t="s">
        <v>9</v>
      </c>
      <c r="F3363" t="s">
        <v>23</v>
      </c>
      <c r="G3363" t="s">
        <v>280</v>
      </c>
      <c r="J3363" s="2"/>
    </row>
    <row r="3364" spans="1:10" customFormat="1" ht="16" ns3:dyDescent="0.2">
      <c r="A3364" t="s">
        <v>52</v>
      </c>
      <c r="B3364" s="3">
        <v>2.1198518564846293E-10</v>
      </c>
      <c r="D3364" t="s">
        <v>99</v>
      </c>
      <c r="E3364" t="s">
        <v>9</v>
      </c>
      <c r="F3364" s="2" t="s">
        <v>15</v>
      </c>
      <c r="J3364" s="2"/>
    </row>
    <row r="3365" spans="1:10" customFormat="1" ht="16" ns3:dyDescent="0.2">
      <c r="A3365" t="s">
        <v>52</v>
      </c>
      <c r="B3365" s="3">
        <v>2.0573376279857471E-11</v>
      </c>
      <c r="D3365" t="s">
        <v>100</v>
      </c>
      <c r="E3365" t="s">
        <v>9</v>
      </c>
      <c r="F3365" s="2" t="s">
        <v>15</v>
      </c>
      <c r="J3365" s="2"/>
    </row>
    <row r="3366" spans="1:10" customFormat="1" ht="16" ns3:dyDescent="0.2">
      <c r="A3366" t="s">
        <v>122</v>
      </c>
      <c r="B3366" s="25">
        <f>0.0660685839024935+0.00641203619387979</f>
        <v>7.2480620096373294E-2</v>
      </c>
      <c r="D3366" t="s">
        <v>116</v>
      </c>
      <c r="E3366" t="s">
        <v>9</v>
      </c>
      <c r="F3366" s="2" t="s">
        <v>15</v>
      </c>
      <c r="J3366" s="2"/>
    </row>
    <row r="3367" spans="1:10" customFormat="1" ht="16" ns3:dyDescent="0.2">
      <c r="A3367" t="s">
        <v>123</v>
      </c>
      <c r="B3367" s="3">
        <f>0.0000496205808723556+4.81573396118271E-06</f>
        <v>5.4436314833538314E-5</v>
      </c>
      <c r="D3367" t="s">
        <v>116</v>
      </c>
      <c r="E3367" t="s">
        <v>9</v>
      </c>
      <c r="F3367" s="2" t="s">
        <v>15</v>
      </c>
      <c r="J3367" s="2"/>
    </row>
    <row r="3368" spans="1:10" customFormat="1" ht="16" ns3:dyDescent="0.2">
      <c r="A3368" t="s">
        <v>55</v>
      </c>
      <c r="B3368" s="3">
        <v>1.0599259282423148E-9</v>
      </c>
      <c r="D3368" t="s">
        <v>99</v>
      </c>
      <c r="E3368" t="s">
        <v>9</v>
      </c>
      <c r="F3368" s="2" t="s">
        <v>15</v>
      </c>
      <c r="J3368" s="2"/>
    </row>
    <row r="3369" spans="1:10" customFormat="1" ht="16" ns3:dyDescent="0.2">
      <c r="A3369" t="s">
        <v>55</v>
      </c>
      <c r="B3369" s="3">
        <v>1.0286688139928735E-10</v>
      </c>
      <c r="D3369" t="s">
        <v>100</v>
      </c>
      <c r="E3369" t="s">
        <v>9</v>
      </c>
      <c r="F3369" s="2" t="s">
        <v>15</v>
      </c>
      <c r="J3369" s="2"/>
    </row>
    <row r="3370" spans="1:10" customFormat="1" ht="16" ns3:dyDescent="0.2">
      <c r="A3370" t="s">
        <v>57</v>
      </c>
      <c r="B3370" s="3">
        <v>3.6037375961879753E-8</v>
      </c>
      <c r="D3370" t="s">
        <v>99</v>
      </c>
      <c r="E3370" t="s">
        <v>9</v>
      </c>
      <c r="F3370" s="2" t="s">
        <v>15</v>
      </c>
      <c r="J3370" s="2"/>
    </row>
    <row r="3371" spans="1:10" customFormat="1" ht="16" ns3:dyDescent="0.2">
      <c r="A3371" t="s">
        <v>57</v>
      </c>
      <c r="B3371" s="3">
        <v>3.4974704476304713E-9</v>
      </c>
      <c r="D3371" t="s">
        <v>100</v>
      </c>
      <c r="E3371" t="s">
        <v>9</v>
      </c>
      <c r="F3371" s="2" t="s">
        <v>15</v>
      </c>
      <c r="J3371" s="2"/>
    </row>
    <row r="3372" spans="1:10" customFormat="1" ht="16" ns3:dyDescent="0.2">
      <c r="A3372" t="s">
        <v>63</v>
      </c>
      <c r="B3372" s="3">
        <v>4.2396949131060127E-7</v>
      </c>
      <c r="D3372" t="s">
        <v>99</v>
      </c>
      <c r="E3372" t="s">
        <v>9</v>
      </c>
      <c r="F3372" s="2" t="s">
        <v>15</v>
      </c>
      <c r="J3372" s="2"/>
    </row>
    <row r="3373" spans="1:10" customFormat="1" ht="16" ns3:dyDescent="0.2">
      <c r="A3373" t="s">
        <v>63</v>
      </c>
      <c r="B3373" s="3">
        <v>4.1146752559714943E-8</v>
      </c>
      <c r="D3373" t="s">
        <v>100</v>
      </c>
      <c r="E3373" t="s">
        <v>9</v>
      </c>
      <c r="F3373" s="2" t="s">
        <v>15</v>
      </c>
      <c r="J3373" s="2"/>
    </row>
    <row r="3374" spans="1:10" customFormat="1" ht="16" ns3:dyDescent="0.2">
      <c r="A3374" t="s">
        <v>64</v>
      </c>
      <c r="B3374" s="3">
        <v>1.4838945395665915E-12</v>
      </c>
      <c r="D3374" t="s">
        <v>99</v>
      </c>
      <c r="E3374" t="s">
        <v>9</v>
      </c>
      <c r="F3374" s="2" t="s">
        <v>15</v>
      </c>
      <c r="J3374" s="2"/>
    </row>
    <row r="3375" spans="1:10" customFormat="1" ht="16" ns3:dyDescent="0.2">
      <c r="A3375" t="s">
        <v>64</v>
      </c>
      <c r="B3375" s="3">
        <v>1.4401328196447244E-13</v>
      </c>
      <c r="D3375" t="s">
        <v>100</v>
      </c>
      <c r="E3375" t="s">
        <v>9</v>
      </c>
      <c r="F3375" s="2" t="s">
        <v>15</v>
      </c>
      <c r="J3375" s="2"/>
    </row>
    <row r="3376" spans="1:10" customFormat="1" ht="16" ns3:dyDescent="0.2">
      <c r="A3376" t="s">
        <v>67</v>
      </c>
      <c r="B3376" s="3">
        <v>4.9290146007471967E-6</v>
      </c>
      <c r="D3376" t="s">
        <v>99</v>
      </c>
      <c r="E3376" t="s">
        <v>9</v>
      </c>
      <c r="F3376" s="2" t="s">
        <v>15</v>
      </c>
      <c r="J3376" s="2"/>
    </row>
    <row r="3377" spans="1:10" customFormat="1" ht="16" ns3:dyDescent="0.2">
      <c r="A3377" t="s">
        <v>67</v>
      </c>
      <c r="B3377" s="3">
        <v>4.7836672595146453E-7</v>
      </c>
      <c r="D3377" t="s">
        <v>100</v>
      </c>
      <c r="E3377" t="s">
        <v>9</v>
      </c>
      <c r="F3377" s="2" t="s">
        <v>15</v>
      </c>
      <c r="J3377" s="2"/>
    </row>
    <row r="3378" spans="1:10" customFormat="1" ht="16" ns3:dyDescent="0.2">
      <c r="A3378" t="s">
        <v>68</v>
      </c>
      <c r="B3378" s="3">
        <v>1.4838945395665916E-9</v>
      </c>
      <c r="D3378" t="s">
        <v>99</v>
      </c>
      <c r="E3378" t="s">
        <v>9</v>
      </c>
      <c r="F3378" s="2" t="s">
        <v>15</v>
      </c>
      <c r="J3378" s="2"/>
    </row>
    <row r="3379" spans="1:10" customFormat="1" ht="16" ns3:dyDescent="0.2">
      <c r="A3379" t="s">
        <v>68</v>
      </c>
      <c r="B3379" s="3">
        <v>1.4401328196447246E-10</v>
      </c>
      <c r="D3379" t="s">
        <v>100</v>
      </c>
      <c r="E3379" t="s">
        <v>9</v>
      </c>
      <c r="F3379" s="2" t="s">
        <v>15</v>
      </c>
      <c r="J3379" s="2"/>
    </row>
    <row r="3380" spans="1:12" customFormat="1" ht="16" ns3:dyDescent="0.2">
      <c r="A3380" t="s">
        <v>69</v>
      </c>
      <c r="B3380" s="25">
        <v>3.0006653682198702E-4</v>
      </c>
      <c r="D3380" t="s">
        <v>99</v>
      </c>
      <c r="E3380" t="s">
        <v>9</v>
      </c>
      <c r="F3380" s="2" t="s">
        <v>15</v>
      </c>
      <c r="J3380" s="2"/>
    </row>
    <row r="3381" spans="1:12" customFormat="1" ht="16" ns3:dyDescent="0.2">
      <c r="A3381" t="s">
        <v>69</v>
      </c>
      <c r="B3381" s="3">
        <v>2.9121827432823326E-5</v>
      </c>
      <c r="D3381" t="s">
        <v>100</v>
      </c>
      <c r="E3381" t="s">
        <v>9</v>
      </c>
      <c r="F3381" s="2" t="s">
        <v>15</v>
      </c>
      <c r="J3381" s="2"/>
    </row>
    <row r="3382" spans="1:12" customFormat="1" ht="16" ns3:dyDescent="0.2">
      <c r="A3382" t="s">
        <v>71</v>
      </c>
      <c r="B3382" s="3">
        <v>3.8963858482936672E-6</v>
      </c>
      <c r="D3382" t="s">
        <v>99</v>
      </c>
      <c r="E3382" t="s">
        <v>9</v>
      </c>
      <c r="F3382" s="2" t="s">
        <v>15</v>
      </c>
      <c r="J3382" s="2"/>
    </row>
    <row r="3383" spans="1:12" customFormat="1" ht="16" ns3:dyDescent="0.2">
      <c r="A3383" t="s">
        <v>71</v>
      </c>
      <c r="B3383" s="3">
        <v>3.7814860338919342E-7</v>
      </c>
      <c r="D3383" t="s">
        <v>100</v>
      </c>
      <c r="E3383" t="s">
        <v>9</v>
      </c>
      <c r="F3383" s="2" t="s">
        <v>15</v>
      </c>
      <c r="J3383" s="2"/>
    </row>
    <row r="3384" spans="1:12" customFormat="1" ht="16" ns3:dyDescent="0.2">
      <c r="A3384" t="s">
        <v>75</v>
      </c>
      <c r="B3384" s="3">
        <v>2.1198518564846293E-10</v>
      </c>
      <c r="D3384" t="s">
        <v>99</v>
      </c>
      <c r="E3384" t="s">
        <v>9</v>
      </c>
      <c r="F3384" s="2" t="s">
        <v>15</v>
      </c>
      <c r="J3384" s="2"/>
    </row>
    <row r="3385" spans="1:12" customFormat="1" ht="16" ns3:dyDescent="0.2">
      <c r="A3385" t="s">
        <v>75</v>
      </c>
      <c r="B3385" s="3">
        <v>2.0573376279857471E-11</v>
      </c>
      <c r="D3385" t="s">
        <v>100</v>
      </c>
      <c r="E3385" t="s">
        <v>9</v>
      </c>
      <c r="F3385" s="2" t="s">
        <v>15</v>
      </c>
      <c r="J3385" s="2"/>
    </row>
    <row r="3386" spans="1:12" customFormat="1" ht="16" ns3:dyDescent="0.2">
      <c r="A3386" t="s">
        <v>77</v>
      </c>
      <c r="B3386" s="3">
        <v>1.7806699275346112E-5</v>
      </c>
      <c r="D3386" t="s">
        <v>99</v>
      </c>
      <c r="E3386" t="s">
        <v>9</v>
      </c>
      <c r="F3386" s="2" t="s">
        <v>15</v>
      </c>
      <c r="J3386" s="2"/>
    </row>
    <row r="3387" spans="1:12" customFormat="1" ht="16" ns3:dyDescent="0.2">
      <c r="A3387" t="s">
        <v>77</v>
      </c>
      <c r="B3387" s="3">
        <v>1.7281611435463185E-6</v>
      </c>
      <c r="D3387" t="s">
        <v>100</v>
      </c>
      <c r="E3387" t="s">
        <v>9</v>
      </c>
      <c r="F3387" s="2" t="s">
        <v>15</v>
      </c>
      <c r="J3387" s="2"/>
    </row>
    <row r="3388" spans="1:12" customFormat="1" ht="16" ns3:dyDescent="0.2">
      <c r="A3388" t="s">
        <v>98</v>
      </c>
      <c r="B3388" s="3">
        <v>1.6219731937580282E-7</v>
      </c>
      <c r="D3388" t="s">
        <v>99</v>
      </c>
      <c r="E3388" s="2" t="s">
        <v>94</v>
      </c>
      <c r="F3388" s="2" t="s">
        <v>15</v>
      </c>
      <c r="J3388" s="2"/>
    </row>
    <row r="3389" spans="1:12" customFormat="1" ht="16" ns3:dyDescent="0.2">
      <c r="A3389" t="s">
        <v>98</v>
      </c>
      <c r="B3389" s="3">
        <v>1.574145937016555E-8</v>
      </c>
      <c r="D3389" t="s">
        <v>100</v>
      </c>
      <c r="E3389" s="2" t="s">
        <v>94</v>
      </c>
      <c r="F3389" s="2" t="s">
        <v>15</v>
      </c>
      <c r="J3389" s="2"/>
    </row>
    <row r="3390" spans="1:12" customFormat="1" ht="16" ns3:dyDescent="0.2">
      <c r="A3390" t="s">
        <v>79</v>
      </c>
      <c r="B3390" s="3">
        <v>2.1198518564846295E-7</v>
      </c>
      <c r="D3390" t="s">
        <v>99</v>
      </c>
      <c r="E3390" t="s">
        <v>9</v>
      </c>
      <c r="F3390" s="2" t="s">
        <v>15</v>
      </c>
      <c r="J3390" s="2"/>
    </row>
    <row r="3391" spans="1:12" customFormat="1" ht="16" ns3:dyDescent="0.2">
      <c r="A3391" t="s">
        <v>79</v>
      </c>
      <c r="B3391" s="3">
        <v>2.0573376279857471E-8</v>
      </c>
      <c r="D3391" t="s">
        <v>100</v>
      </c>
      <c r="E3391" t="s">
        <v>9</v>
      </c>
      <c r="F3391" s="2" t="s">
        <v>15</v>
      </c>
      <c r="J3391" s="2"/>
    </row>
    <row r="3392" spans="1:12" customFormat="1" ht="16" ns3:dyDescent="0.2">
      <c r="J3392" s="2"/>
    </row>
    <row r="3393" spans="1:12" ns3:dyDescent="0.2">
      <c r="A3393" s="17" t="s">
        <v>2</v>
      </c>
      <c r="B3393" s="17" t="s">
        <v>375</v>
      </c>
    </row>
    <row r="3394" spans="1:12" customFormat="1" ht="16" ns3:dyDescent="0.2">
      <c r="A3394" s="2" t="s">
        <v>3</v>
      </c>
      <c r="B3394" s="2" t="s">
        <v>18</v>
      </c>
      <c r="C3394" s="2"/>
      <c r="D3394" s="2"/>
      <c r="E3394" s="2"/>
      <c r="F3394" s="2"/>
      <c r="G3394" s="2"/>
      <c r="H3394" s="2"/>
      <c r="I3394" s="2"/>
      <c r="J3394" s="2"/>
      <c r="K3394" s="2"/>
      <c r="L3394" s="2"/>
    </row>
    <row r="3395" spans="1:12" customFormat="1" ht="16" ns3:dyDescent="0.2">
      <c r="A3395" s="2" t="s">
        <v>4</v>
      </c>
      <c r="B3395" s="2">
        <v>1</v>
      </c>
      <c r="C3395" s="2"/>
      <c r="D3395" s="2"/>
      <c r="E3395" s="2"/>
      <c r="F3395" s="2"/>
      <c r="G3395" s="2"/>
      <c r="H3395" s="2"/>
      <c r="I3395" s="2"/>
      <c r="J3395" s="2"/>
      <c r="K3395" s="2"/>
      <c r="L3395" s="2"/>
    </row>
    <row r="3396" spans="1:12" customFormat="1" ht="16" ns3:dyDescent="0.2">
      <c r="A3396" s="2" t="s">
        <v>5</v>
      </c>
      <c r="B3396" s="2" t="s">
        <v>142</v>
      </c>
      <c r="C3396" s="2"/>
      <c r="D3396" s="2"/>
      <c r="E3396" s="2"/>
      <c r="F3396" s="2"/>
      <c r="G3396" s="2"/>
      <c r="H3396" s="2"/>
      <c r="I3396" s="2"/>
      <c r="J3396" s="2"/>
    </row>
    <row r="3397" spans="1:12" customFormat="1" ht="16" ns3:dyDescent="0.2">
      <c r="A3397" s="2" t="s">
        <v>6</v>
      </c>
      <c r="B3397" s="2" t="s">
        <v>7</v>
      </c>
      <c r="C3397" s="2"/>
      <c r="D3397" s="2"/>
      <c r="E3397" s="2"/>
      <c r="F3397" s="2"/>
      <c r="G3397" s="2"/>
      <c r="H3397" s="2"/>
      <c r="I3397" s="2"/>
      <c r="J3397" s="2"/>
      <c r="K3397" s="2"/>
      <c r="L3397" s="2"/>
    </row>
    <row r="3398" spans="1:12" customFormat="1" ht="16" ns3:dyDescent="0.2">
      <c r="A3398" s="2" t="s">
        <v>8</v>
      </c>
      <c r="B3398" s="2" t="s">
        <v>17</v>
      </c>
      <c r="C3398" s="2"/>
      <c r="D3398" s="2"/>
      <c r="E3398" s="2"/>
      <c r="F3398" s="2"/>
      <c r="G3398" s="2"/>
      <c r="H3398" s="2"/>
      <c r="I3398" s="2"/>
      <c r="J3398" s="2"/>
      <c r="K3398" s="2"/>
      <c r="L3398" s="2"/>
    </row>
    <row r="3399" spans="1:12" customFormat="1" ht="16" ns3:dyDescent="0.2">
      <c r="A3399" s="2" t="s">
        <v>151</v>
      </c>
      <c r="B3399" s="2" t="s">
        <v>384</v>
      </c>
      <c r="C3399" s="2"/>
      <c r="D3399" s="2"/>
      <c r="E3399" s="2"/>
      <c r="F3399" s="2"/>
      <c r="G3399" s="2"/>
      <c r="H3399" s="2"/>
      <c r="I3399" s="2"/>
      <c r="J3399" s="2"/>
      <c r="K3399" s="2"/>
      <c r="L3399" s="2"/>
    </row>
    <row r="3400" spans="1:12" customFormat="1" ht="16" ns3:dyDescent="0.2">
      <c r="A3400" t="s">
        <v>349</v>
      </c>
      <c r="B3400" s="2">
        <f>INDEX(Parameters!$B$6:$AL$57,MATCH(Inventories!$B$3393,Parameters!$A$6:$A$57,0),MATCH(Inventories!$A3400,Parameters!$B$4:$AL$4,0))</f>
        <v>0</v>
      </c>
      <c r="C3400" t="s">
        <v>309</v>
      </c>
      <c r="D3400" s="2"/>
      <c r="E3400" s="2"/>
      <c r="F3400" s="2"/>
      <c r="G3400" s="2"/>
      <c r="H3400" s="2"/>
      <c r="I3400" s="2"/>
      <c r="J3400" s="2"/>
      <c r="K3400" s="2"/>
      <c r="L3400" s="2"/>
    </row>
    <row r="3401" spans="1:12" customFormat="1" ht="16" ns3:dyDescent="0.2">
      <c r="A3401" t="s">
        <v>350</v>
      </c>
      <c r="B3401" s="2">
        <f>INDEX(Parameters!$B$6:$AL$57,MATCH(Inventories!$B$3393,Parameters!$A$6:$A$57,0),MATCH(Inventories!$A3401,Parameters!$B$4:$AL$4,0))</f>
        <v>0</v>
      </c>
      <c r="C3401" t="s">
        <v>309</v>
      </c>
      <c r="D3401" s="2"/>
      <c r="E3401" s="2"/>
      <c r="F3401" s="2"/>
      <c r="G3401" s="2"/>
      <c r="H3401" s="2"/>
      <c r="I3401" s="2"/>
      <c r="J3401" s="2"/>
      <c r="K3401" s="2"/>
      <c r="L3401" s="2"/>
    </row>
    <row r="3402" spans="1:12" customFormat="1" ht="16" ns3:dyDescent="0.2">
      <c r="A3402" t="s">
        <v>351</v>
      </c>
      <c r="B3402" s="2">
        <f>INDEX(Parameters!$B$6:$AL$57,MATCH(Inventories!$B$3393,Parameters!$A$6:$A$57,0),MATCH(Inventories!$A3402,Parameters!$B$4:$AL$4,0))</f>
        <v>0</v>
      </c>
      <c r="C3402" t="s">
        <v>309</v>
      </c>
      <c r="D3402" s="2"/>
      <c r="E3402" s="2"/>
      <c r="F3402" s="2"/>
      <c r="G3402" s="2"/>
      <c r="H3402" s="2"/>
      <c r="I3402" s="2"/>
      <c r="J3402" s="2"/>
      <c r="K3402" s="2"/>
      <c r="L3402" s="2"/>
    </row>
    <row r="3403" spans="1:12" customFormat="1" ht="16" ns3:dyDescent="0.2">
      <c r="A3403" t="s">
        <v>313</v>
      </c>
      <c r="B3403" s="24">
        <f>INDEX(Parameters!$B$6:$AL$57,MATCH(Inventories!$B$3393,Parameters!$A$6:$A$57,0),MATCH(Inventories!$A3403,Parameters!$B$4:$AL$4,0))</f>
        <v>90000000</v>
      </c>
      <c r="C3403" t="s">
        <v>310</v>
      </c>
      <c r="D3403" s="2"/>
      <c r="E3403" s="2"/>
      <c r="F3403" s="2"/>
      <c r="G3403" s="2"/>
      <c r="H3403" s="2"/>
      <c r="I3403" s="2"/>
      <c r="J3403" s="2"/>
      <c r="K3403" s="2"/>
      <c r="L3403" s="2"/>
    </row>
    <row r="3404" spans="1:12" customFormat="1" ht="16" ns3:dyDescent="0.2">
      <c r="A3404" t="s">
        <v>314</v>
      </c>
      <c r="B3404" s="24">
        <f>INDEX(Parameters!$B$6:$AL$57,MATCH(Inventories!$B$3393,Parameters!$A$6:$A$57,0),MATCH(Inventories!$A3404,Parameters!$B$4:$AL$4,0))</f>
        <v>50000000</v>
      </c>
      <c r="C3404" t="s">
        <v>310</v>
      </c>
      <c r="D3404" s="2"/>
      <c r="E3404" s="2"/>
      <c r="F3404" s="2"/>
      <c r="G3404" s="2"/>
      <c r="H3404" s="2"/>
      <c r="I3404" s="2"/>
      <c r="J3404" s="2"/>
      <c r="K3404" s="2"/>
      <c r="L3404" s="2"/>
    </row>
    <row r="3405" spans="1:12" customFormat="1" ht="16" ns3:dyDescent="0.2">
      <c r="A3405" t="s">
        <v>315</v>
      </c>
      <c r="B3405" s="24">
        <f>INDEX(Parameters!$B$6:$AL$57,MATCH(Inventories!$B$3393,Parameters!$A$6:$A$57,0),MATCH(Inventories!$A3405,Parameters!$B$4:$AL$4,0))</f>
        <v>115000000</v>
      </c>
      <c r="C3405" t="s">
        <v>310</v>
      </c>
      <c r="D3405" s="2"/>
      <c r="E3405" s="2"/>
      <c r="F3405" s="2"/>
      <c r="G3405" s="2"/>
      <c r="H3405" s="2"/>
      <c r="I3405" s="2"/>
      <c r="J3405" s="2"/>
      <c r="K3405" s="2"/>
      <c r="L3405" s="2"/>
    </row>
    <row r="3406" spans="1:12" customFormat="1" ht="16" ns3:dyDescent="0.2">
      <c r="A3406" t="s">
        <v>316</v>
      </c>
      <c r="B3406" s="24">
        <f>INDEX(Parameters!$B$6:$AL$57,MATCH(Inventories!$B$3393,Parameters!$A$6:$A$57,0),MATCH(Inventories!$A3406,Parameters!$B$4:$AL$4,0))</f>
        <v>38400</v>
      </c>
      <c r="C3406" t="s">
        <v>311</v>
      </c>
      <c r="D3406" s="2"/>
      <c r="E3406" s="2"/>
      <c r="F3406" s="2"/>
      <c r="G3406" s="2"/>
      <c r="H3406" s="2"/>
      <c r="I3406" s="2"/>
      <c r="J3406" s="2"/>
      <c r="K3406" s="2"/>
      <c r="L3406" s="2"/>
    </row>
    <row r="3407" spans="1:12" customFormat="1" ht="16" ns3:dyDescent="0.2">
      <c r="A3407" t="s">
        <v>317</v>
      </c>
      <c r="B3407" s="24">
        <f>INDEX(Parameters!$B$6:$AL$57,MATCH(Inventories!$B$3393,Parameters!$A$6:$A$57,0),MATCH(Inventories!$A3407,Parameters!$B$4:$AL$4,0))</f>
        <v>32400</v>
      </c>
      <c r="C3407" t="s">
        <v>311</v>
      </c>
      <c r="D3407" s="2"/>
      <c r="E3407" s="2"/>
      <c r="F3407" s="2"/>
      <c r="G3407" s="2"/>
      <c r="H3407" s="2"/>
      <c r="I3407" s="2"/>
      <c r="J3407" s="2"/>
      <c r="K3407" s="2"/>
      <c r="L3407" s="2"/>
    </row>
    <row r="3408" spans="1:12" customFormat="1" ht="16" ns3:dyDescent="0.2">
      <c r="A3408" t="s">
        <v>318</v>
      </c>
      <c r="B3408" s="24">
        <f>INDEX(Parameters!$B$6:$AL$57,MATCH(Inventories!$B$3393,Parameters!$A$6:$A$57,0),MATCH(Inventories!$A3408,Parameters!$B$4:$AL$4,0))</f>
        <v>166800</v>
      </c>
      <c r="C3408" t="s">
        <v>311</v>
      </c>
      <c r="D3408" s="2"/>
      <c r="E3408" s="2"/>
      <c r="F3408" s="2"/>
      <c r="G3408" s="2"/>
      <c r="H3408" s="2"/>
      <c r="I3408" s="2"/>
      <c r="J3408" s="2"/>
      <c r="K3408" s="2"/>
      <c r="L3408" s="2"/>
    </row>
    <row r="3409" spans="1:12" customFormat="1" ht="16" ns3:dyDescent="0.2">
      <c r="A3409" t="s">
        <v>334</v>
      </c>
      <c r="B3409" s="2">
        <f>INDEX(Parameters!$B$6:$AL$57,MATCH(Inventories!$B$3393,Parameters!$A$6:$A$57,0),MATCH(Inventories!$A3409,Parameters!$B$4:$AL$4,0))</f>
        <v>0</v>
      </c>
      <c r="C3409" t="s">
        <v>333</v>
      </c>
      <c r="D3409" s="2"/>
      <c r="E3409" s="2"/>
      <c r="F3409" s="2"/>
      <c r="G3409" s="2"/>
      <c r="H3409" s="2"/>
      <c r="I3409" s="2"/>
      <c r="J3409" s="2"/>
      <c r="K3409" s="2"/>
      <c r="L3409" s="2"/>
    </row>
    <row r="3410" spans="1:12" customFormat="1" ht="16" ns3:dyDescent="0.2">
      <c r="A3410" t="s">
        <v>335</v>
      </c>
      <c r="B3410" s="2">
        <f>INDEX(Parameters!$B$6:$AL$57,MATCH(Inventories!$B$3393,Parameters!$A$6:$A$57,0),MATCH(Inventories!$A3410,Parameters!$B$4:$AL$4,0))</f>
        <v>0</v>
      </c>
      <c r="C3410" t="s">
        <v>333</v>
      </c>
      <c r="D3410" s="2"/>
      <c r="E3410" s="2"/>
      <c r="F3410" s="2"/>
      <c r="G3410" s="2"/>
      <c r="H3410" s="2"/>
      <c r="I3410" s="2"/>
      <c r="J3410" s="2"/>
      <c r="K3410" s="2"/>
      <c r="L3410" s="2"/>
    </row>
    <row r="3411" spans="1:12" customFormat="1" ht="16" ns3:dyDescent="0.2">
      <c r="A3411" t="s">
        <v>336</v>
      </c>
      <c r="B3411" s="2">
        <f>INDEX(Parameters!$B$6:$AL$57,MATCH(Inventories!$B$3393,Parameters!$A$6:$A$57,0),MATCH(Inventories!$A3411,Parameters!$B$4:$AL$4,0))</f>
        <v>0</v>
      </c>
      <c r="C3411" t="s">
        <v>333</v>
      </c>
      <c r="D3411" s="2"/>
      <c r="E3411" s="2"/>
      <c r="F3411" s="2"/>
      <c r="G3411" s="2"/>
      <c r="H3411" s="2"/>
      <c r="I3411" s="2"/>
      <c r="J3411" s="2"/>
      <c r="K3411" s="2"/>
      <c r="L3411" s="2"/>
    </row>
    <row r="3412" spans="1:12" customFormat="1" ht="16" ns3:dyDescent="0.2">
      <c r="A3412" t="s">
        <v>337</v>
      </c>
      <c r="B3412" s="2">
        <f>INDEX(Parameters!$B$6:$AL$57,MATCH(Inventories!$B$3393,Parameters!$A$6:$A$57,0),MATCH(Inventories!$A3412,Parameters!$B$4:$AL$4,0))</f>
        <v>0</v>
      </c>
      <c r="C3412" t="s">
        <v>333</v>
      </c>
      <c r="D3412" s="2"/>
      <c r="E3412" s="2"/>
      <c r="F3412" s="2"/>
      <c r="G3412" s="2"/>
      <c r="H3412" s="2"/>
      <c r="I3412" s="2"/>
      <c r="J3412" s="2"/>
      <c r="K3412" s="2"/>
      <c r="L3412" s="2"/>
    </row>
    <row r="3413" spans="1:12" customFormat="1" ht="16" ns3:dyDescent="0.2">
      <c r="A3413" t="s">
        <v>338</v>
      </c>
      <c r="B3413" s="2">
        <f>INDEX(Parameters!$B$6:$AL$57,MATCH(Inventories!$B$3393,Parameters!$A$6:$A$57,0),MATCH(Inventories!$A3413,Parameters!$B$4:$AL$4,0))</f>
        <v>0</v>
      </c>
      <c r="C3413" t="s">
        <v>333</v>
      </c>
      <c r="D3413" s="2"/>
      <c r="E3413" s="2"/>
      <c r="F3413" s="2"/>
      <c r="G3413" s="2"/>
      <c r="H3413" s="2"/>
      <c r="I3413" s="2"/>
      <c r="J3413" s="2"/>
      <c r="K3413" s="2"/>
      <c r="L3413" s="2"/>
    </row>
    <row r="3414" spans="1:12" customFormat="1" ht="16" ns3:dyDescent="0.2">
      <c r="A3414" t="s">
        <v>339</v>
      </c>
      <c r="B3414" s="2">
        <f>INDEX(Parameters!$B$6:$AL$57,MATCH(Inventories!$B$3393,Parameters!$A$6:$A$57,0),MATCH(Inventories!$A3414,Parameters!$B$4:$AL$4,0))</f>
        <v>0</v>
      </c>
      <c r="C3414" t="s">
        <v>333</v>
      </c>
      <c r="D3414" s="2"/>
      <c r="E3414" s="2"/>
      <c r="F3414" s="2"/>
      <c r="G3414" s="2"/>
      <c r="H3414" s="2"/>
      <c r="I3414" s="2"/>
      <c r="J3414" s="2"/>
      <c r="K3414" s="2"/>
      <c r="L3414" s="2"/>
    </row>
    <row r="3415" spans="1:12" customFormat="1" ht="16" ns3:dyDescent="0.2">
      <c r="A3415" t="s">
        <v>330</v>
      </c>
      <c r="B3415" s="24">
        <f>INDEX(Parameters!$B$6:$AL$57,MATCH(Inventories!$B$3393,Parameters!$A$6:$A$57,0),MATCH(Inventories!$A3415,Parameters!$B$4:$AL$4,0))</f>
        <v>0</v>
      </c>
      <c r="C3415" t="s">
        <v>333</v>
      </c>
      <c r="D3415" s="2"/>
      <c r="E3415" s="2"/>
      <c r="F3415" s="2"/>
      <c r="G3415" s="2"/>
      <c r="H3415" s="2"/>
      <c r="I3415" s="2"/>
      <c r="J3415" s="2"/>
      <c r="K3415" s="2"/>
      <c r="L3415" s="2"/>
    </row>
    <row r="3416" spans="1:12" customFormat="1" ht="16" ns3:dyDescent="0.2">
      <c r="A3416" t="s">
        <v>331</v>
      </c>
      <c r="B3416" s="24">
        <f>INDEX(Parameters!$B$6:$AL$57,MATCH(Inventories!$B$3393,Parameters!$A$6:$A$57,0),MATCH(Inventories!$A3416,Parameters!$B$4:$AL$4,0))</f>
        <v>0</v>
      </c>
      <c r="C3416" t="s">
        <v>333</v>
      </c>
      <c r="D3416" s="2"/>
      <c r="E3416" s="2"/>
      <c r="F3416" s="2"/>
      <c r="G3416" s="2"/>
      <c r="H3416" s="2"/>
      <c r="I3416" s="2"/>
      <c r="J3416" s="2"/>
      <c r="K3416" s="2"/>
      <c r="L3416" s="2"/>
    </row>
    <row r="3417" spans="1:12" customFormat="1" ht="16" ns3:dyDescent="0.2">
      <c r="A3417" t="s">
        <v>332</v>
      </c>
      <c r="B3417" s="24">
        <f>INDEX(Parameters!$B$6:$AL$57,MATCH(Inventories!$B$3393,Parameters!$A$6:$A$57,0),MATCH(Inventories!$A3417,Parameters!$B$4:$AL$4,0))</f>
        <v>0</v>
      </c>
      <c r="C3417" t="s">
        <v>333</v>
      </c>
      <c r="D3417" s="2"/>
      <c r="E3417" s="2"/>
      <c r="F3417" s="2"/>
      <c r="G3417" s="2"/>
      <c r="H3417" s="2"/>
      <c r="I3417" s="2"/>
      <c r="J3417" s="2"/>
      <c r="K3417" s="2"/>
      <c r="L3417" s="2"/>
    </row>
    <row r="3418" spans="1:12" customFormat="1" ht="16" ns3:dyDescent="0.2">
      <c r="A3418" t="s">
        <v>319</v>
      </c>
      <c r="B3418" s="2">
        <f>INDEX(Parameters!$B$6:$AL$57,MATCH(Inventories!$B$3393,Parameters!$A$6:$A$57,0),MATCH(Inventories!$A3418,Parameters!$B$4:$AL$4,0))</f>
        <v>10000</v>
      </c>
      <c r="C3418" t="s">
        <v>312</v>
      </c>
      <c r="D3418" s="2"/>
      <c r="E3418" s="2"/>
      <c r="F3418" s="2"/>
      <c r="G3418" s="2"/>
      <c r="H3418" s="2"/>
      <c r="I3418" s="2"/>
      <c r="J3418" s="2"/>
      <c r="K3418" s="2"/>
      <c r="L3418" s="2"/>
    </row>
    <row r="3419" spans="1:12" customFormat="1" ht="16" ns3:dyDescent="0.2">
      <c r="A3419" t="s">
        <v>320</v>
      </c>
      <c r="B3419" s="2">
        <f>INDEX(Parameters!$B$6:$AL$57,MATCH(Inventories!$B$3393,Parameters!$A$6:$A$57,0),MATCH(Inventories!$A3419,Parameters!$B$4:$AL$4,0))</f>
        <v>8000</v>
      </c>
      <c r="C3419" t="s">
        <v>312</v>
      </c>
      <c r="D3419" s="2"/>
      <c r="E3419" s="2"/>
      <c r="F3419" s="2"/>
      <c r="G3419" s="2"/>
      <c r="H3419" s="2"/>
      <c r="I3419" s="2"/>
      <c r="J3419" s="2"/>
      <c r="K3419" s="2"/>
      <c r="L3419" s="2"/>
    </row>
    <row r="3420" spans="1:12" customFormat="1" ht="16" ns3:dyDescent="0.2">
      <c r="A3420" t="s">
        <v>321</v>
      </c>
      <c r="B3420" s="2">
        <f>INDEX(Parameters!$B$6:$AL$57,MATCH(Inventories!$B$3393,Parameters!$A$6:$A$57,0),MATCH(Inventories!$A3420,Parameters!$B$4:$AL$4,0))</f>
        <v>12500</v>
      </c>
      <c r="C3420" t="s">
        <v>312</v>
      </c>
      <c r="D3420" s="2"/>
      <c r="E3420" s="2"/>
      <c r="F3420" s="2"/>
      <c r="G3420" s="2"/>
      <c r="H3420" s="2"/>
      <c r="I3420" s="2"/>
      <c r="J3420" s="2"/>
      <c r="K3420" s="2"/>
      <c r="L3420" s="2"/>
    </row>
    <row r="3421" spans="1:12" customFormat="1" ht="16" ns3:dyDescent="0.2">
      <c r="A3421" t="s">
        <v>327</v>
      </c>
      <c r="B3421" s="2">
        <f>INDEX(Parameters!$B$6:$AL$57,MATCH(Inventories!$B$3393,Parameters!$A$6:$A$57,0),MATCH(Inventories!$A3421,Parameters!$B$4:$AL$4,0))</f>
        <v>10</v>
      </c>
      <c r="C3421" t="s">
        <v>8</v>
      </c>
      <c r="D3421" s="2"/>
      <c r="E3421" s="2"/>
      <c r="F3421" s="2"/>
      <c r="G3421" s="2"/>
      <c r="H3421" s="2"/>
      <c r="I3421" s="2"/>
      <c r="J3421" s="2"/>
      <c r="K3421" s="2"/>
      <c r="L3421" s="2"/>
    </row>
    <row r="3422" spans="1:12" customFormat="1" ht="16" ns3:dyDescent="0.2">
      <c r="A3422" t="s">
        <v>328</v>
      </c>
      <c r="B3422" s="2">
        <f>INDEX(Parameters!$B$6:$AL$57,MATCH(Inventories!$B$3393,Parameters!$A$6:$A$57,0),MATCH(Inventories!$A3422,Parameters!$B$4:$AL$4,0))</f>
        <v>5</v>
      </c>
      <c r="C3422" t="s">
        <v>8</v>
      </c>
      <c r="D3422" s="2"/>
      <c r="E3422" s="2"/>
      <c r="F3422" s="2"/>
      <c r="G3422" s="2"/>
      <c r="H3422" s="2"/>
      <c r="I3422" s="2"/>
      <c r="J3422" s="2"/>
      <c r="K3422" s="2"/>
      <c r="L3422" s="2"/>
    </row>
    <row r="3423" spans="1:12" customFormat="1" ht="16" ns3:dyDescent="0.2">
      <c r="A3423" t="s">
        <v>329</v>
      </c>
      <c r="B3423" s="2">
        <f>INDEX(Parameters!$B$6:$AL$57,MATCH(Inventories!$B$3393,Parameters!$A$6:$A$57,0),MATCH(Inventories!$A3423,Parameters!$B$4:$AL$4,0))</f>
        <v>30</v>
      </c>
      <c r="C3423" t="s">
        <v>8</v>
      </c>
      <c r="D3423" s="2"/>
      <c r="E3423" s="2"/>
      <c r="F3423" s="2"/>
      <c r="G3423" s="2"/>
      <c r="H3423" s="2"/>
      <c r="I3423" s="2"/>
      <c r="J3423" s="2"/>
      <c r="K3423" s="2"/>
      <c r="L3423" s="2"/>
    </row>
    <row r="3424" spans="1:12" customFormat="1" ht="16" ns3:dyDescent="0.2">
      <c r="A3424" t="s">
        <v>343</v>
      </c>
      <c r="B3424" s="2">
        <f>INDEX(Parameters!$B$6:$AL$57,MATCH(Inventories!$B$3393,Parameters!$A$6:$A$57,0),MATCH(Inventories!$A3424,Parameters!$B$4:$AL$4,0))</f>
        <v>0</v>
      </c>
      <c r="C3424" t="s">
        <v>309</v>
      </c>
      <c r="D3424" s="2"/>
      <c r="E3424" s="2"/>
      <c r="F3424" s="2"/>
      <c r="G3424" s="2"/>
      <c r="H3424" s="2"/>
      <c r="I3424" s="2"/>
      <c r="J3424" s="2"/>
      <c r="K3424" s="2"/>
      <c r="L3424" s="2"/>
    </row>
    <row r="3425" spans="1:12" customFormat="1" ht="16" ns3:dyDescent="0.2">
      <c r="A3425" t="s">
        <v>344</v>
      </c>
      <c r="B3425" s="2">
        <f>INDEX(Parameters!$B$6:$AL$57,MATCH(Inventories!$B$3393,Parameters!$A$6:$A$57,0),MATCH(Inventories!$A3425,Parameters!$B$4:$AL$4,0))</f>
        <v>0</v>
      </c>
      <c r="C3425" t="s">
        <v>309</v>
      </c>
      <c r="D3425" s="2"/>
      <c r="E3425" s="12"/>
      <c r="F3425" s="2"/>
      <c r="G3425" s="2"/>
      <c r="H3425" s="2"/>
      <c r="I3425" s="2"/>
      <c r="J3425" s="2"/>
      <c r="K3425" s="2"/>
      <c r="L3425" s="2"/>
    </row>
    <row r="3426" spans="1:12" customFormat="1" ht="16" ns3:dyDescent="0.2">
      <c r="A3426" t="s">
        <v>345</v>
      </c>
      <c r="B3426" s="2">
        <f>INDEX(Parameters!$B$6:$AL$57,MATCH(Inventories!$B$3393,Parameters!$A$6:$A$57,0),MATCH(Inventories!$A3426,Parameters!$B$4:$AL$4,0))</f>
        <v>0</v>
      </c>
      <c r="C3426" t="s">
        <v>309</v>
      </c>
      <c r="D3426" s="2"/>
      <c r="E3426" s="2"/>
      <c r="F3426" s="2"/>
      <c r="G3426" s="2"/>
      <c r="H3426" s="2"/>
      <c r="I3426" s="2"/>
      <c r="J3426" s="2"/>
      <c r="K3426" s="2"/>
      <c r="L3426" s="2"/>
    </row>
    <row r="3427" spans="1:12" customFormat="1" ht="16" ns3:dyDescent="0.2">
      <c r="A3427" t="s">
        <v>346</v>
      </c>
      <c r="B3427" s="2">
        <f>INDEX(Parameters!$B$6:$AL$57,MATCH(Inventories!$B$3393,Parameters!$A$6:$A$57,0),MATCH(Inventories!$A3427,Parameters!$B$4:$AL$4,0))</f>
        <v>0</v>
      </c>
      <c r="C3427" t="s">
        <v>8</v>
      </c>
      <c r="D3427" s="2"/>
      <c r="E3427" s="2"/>
      <c r="F3427" s="2"/>
      <c r="G3427" s="2"/>
      <c r="H3427" s="2"/>
      <c r="I3427" s="2"/>
      <c r="J3427" s="2"/>
      <c r="K3427" s="2"/>
      <c r="L3427" s="2"/>
    </row>
    <row r="3428" spans="1:12" customFormat="1" ht="16" ns3:dyDescent="0.2">
      <c r="A3428" t="s">
        <v>347</v>
      </c>
      <c r="B3428" s="2">
        <f>INDEX(Parameters!$B$6:$AL$57,MATCH(Inventories!$B$3393,Parameters!$A$6:$A$57,0),MATCH(Inventories!$A3428,Parameters!$B$4:$AL$4,0))</f>
        <v>0</v>
      </c>
      <c r="C3428" t="s">
        <v>8</v>
      </c>
      <c r="D3428" s="2"/>
      <c r="E3428" s="2"/>
      <c r="F3428" s="2"/>
      <c r="G3428" s="2"/>
      <c r="H3428" s="2"/>
      <c r="I3428" s="2"/>
      <c r="J3428" s="2"/>
      <c r="K3428" s="2"/>
      <c r="L3428" s="2"/>
    </row>
    <row r="3429" spans="1:12" customFormat="1" ht="16" ns3:dyDescent="0.2">
      <c r="A3429" t="s">
        <v>348</v>
      </c>
      <c r="B3429" s="2">
        <f>INDEX(Parameters!$B$6:$AL$57,MATCH(Inventories!$B$3393,Parameters!$A$6:$A$57,0),MATCH(Inventories!$A3429,Parameters!$B$4:$AL$4,0))</f>
        <v>0</v>
      </c>
      <c r="C3429" t="s">
        <v>8</v>
      </c>
      <c r="D3429" s="2"/>
      <c r="E3429" s="2"/>
      <c r="F3429" s="2"/>
      <c r="G3429" s="2"/>
      <c r="H3429" s="2"/>
      <c r="I3429" s="2"/>
      <c r="J3429" s="2"/>
      <c r="K3429" s="2"/>
      <c r="L3429" s="2"/>
    </row>
    <row r="3430" spans="1:12" customFormat="1" ht="16" ns3:dyDescent="0.2">
      <c r="A3430" t="s">
        <v>362</v>
      </c>
      <c r="B3430" s="2">
        <f>INDEX(Parameters!$B$6:$AL$57,MATCH(Inventories!$B$3393,Parameters!$A$6:$A$57,0),MATCH(Inventories!$A3430,Parameters!$B$4:$AL$4,0))</f>
        <v>0</v>
      </c>
      <c r="C3430" t="s">
        <v>333</v>
      </c>
      <c r="D3430" s="2"/>
      <c r="E3430" s="2"/>
      <c r="F3430" s="2"/>
      <c r="G3430" s="2"/>
      <c r="H3430" s="2"/>
      <c r="I3430" s="2"/>
      <c r="J3430" s="2"/>
      <c r="K3430" s="2"/>
      <c r="L3430" s="2"/>
    </row>
    <row r="3431" spans="1:12" customFormat="1" ht="16" ns3:dyDescent="0.2">
      <c r="A3431" t="s">
        <v>363</v>
      </c>
      <c r="B3431" s="2">
        <f>INDEX(Parameters!$B$6:$AL$57,MATCH(Inventories!$B$3393,Parameters!$A$6:$A$57,0),MATCH(Inventories!$A3431,Parameters!$B$4:$AL$4,0))</f>
        <v>0</v>
      </c>
      <c r="C3431" t="s">
        <v>333</v>
      </c>
      <c r="D3431" s="2"/>
      <c r="E3431" s="2"/>
      <c r="F3431" s="2"/>
      <c r="G3431" s="2"/>
      <c r="H3431" s="2"/>
      <c r="I3431" s="2"/>
      <c r="J3431" s="2"/>
      <c r="K3431" s="2"/>
      <c r="L3431" s="2"/>
    </row>
    <row r="3432" spans="1:12" customFormat="1" ht="16" ns3:dyDescent="0.2">
      <c r="A3432" t="s">
        <v>364</v>
      </c>
      <c r="B3432" s="2">
        <f>INDEX(Parameters!$B$6:$AL$57,MATCH(Inventories!$B$3393,Parameters!$A$6:$A$57,0),MATCH(Inventories!$A3432,Parameters!$B$4:$AL$4,0))</f>
        <v>0</v>
      </c>
      <c r="C3432" t="s">
        <v>333</v>
      </c>
      <c r="D3432" s="2"/>
      <c r="E3432" s="2"/>
      <c r="F3432" s="2"/>
      <c r="G3432" s="2"/>
      <c r="H3432" s="2"/>
      <c r="I3432" s="2"/>
      <c r="J3432" s="2"/>
      <c r="K3432" s="2"/>
      <c r="L3432" s="2"/>
    </row>
    <row r="3433" spans="1:12" customFormat="1" ht="16" ns3:dyDescent="0.2">
      <c r="A3433" t="s">
        <v>365</v>
      </c>
      <c r="B3433" s="2">
        <f>INDEX(Parameters!$B$6:$AL$57,MATCH(Inventories!$B$3393,Parameters!$A$6:$A$57,0),MATCH(Inventories!$A3433,Parameters!$B$4:$AL$4,0))</f>
        <v>0</v>
      </c>
      <c r="C3433" t="s">
        <v>333</v>
      </c>
      <c r="D3433" s="2"/>
      <c r="E3433" s="2"/>
      <c r="F3433" s="2"/>
      <c r="G3433" s="2"/>
      <c r="H3433" s="2"/>
      <c r="I3433" s="2"/>
      <c r="J3433" s="2"/>
      <c r="K3433" s="2"/>
      <c r="L3433" s="2"/>
    </row>
    <row r="3434" spans="1:12" customFormat="1" ht="16" ns3:dyDescent="0.2">
      <c r="A3434" t="s">
        <v>366</v>
      </c>
      <c r="B3434" s="2">
        <f>INDEX(Parameters!$B$6:$AL$57,MATCH(Inventories!$B$3393,Parameters!$A$6:$A$57,0),MATCH(Inventories!$A3434,Parameters!$B$4:$AL$4,0))</f>
        <v>0</v>
      </c>
      <c r="C3434" t="s">
        <v>333</v>
      </c>
      <c r="D3434" s="2"/>
      <c r="E3434" s="2"/>
      <c r="F3434" s="2"/>
      <c r="G3434" s="2"/>
      <c r="H3434" s="2"/>
      <c r="I3434" s="2"/>
      <c r="J3434" s="2"/>
      <c r="K3434" s="2"/>
      <c r="L3434" s="2"/>
    </row>
    <row r="3435" spans="1:12" customFormat="1" ht="16" ns3:dyDescent="0.2">
      <c r="A3435" t="s">
        <v>341</v>
      </c>
      <c r="B3435" s="32">
        <f>INDEX(Parameters!$B$6:$AL$57,MATCH(Inventories!$B$3393,Parameters!$A$6:$A$57,0),MATCH(Inventories!$A3435,Parameters!$B$4:$AL$4,0))</f>
        <v>0</v>
      </c>
      <c r="C3435" t="s">
        <v>342</v>
      </c>
      <c r="D3435" s="2"/>
      <c r="E3435" s="2"/>
      <c r="F3435" s="2"/>
      <c r="G3435" s="2"/>
      <c r="H3435" s="2"/>
      <c r="I3435" s="2"/>
      <c r="J3435" s="2"/>
      <c r="K3435" s="2"/>
      <c r="L3435" s="2"/>
    </row>
    <row r="3436" spans="1:12" customFormat="1" ht="16" ns3:dyDescent="0.2">
      <c r="A3436" t="s">
        <v>340</v>
      </c>
      <c r="B3436" s="32">
        <f>INDEX(Parameters!$B$6:$AL$57,MATCH(Inventories!$B$3393,Parameters!$A$6:$A$57,0),MATCH(Inventories!$A3436,Parameters!$B$4:$AL$4,0))</f>
        <v>0</v>
      </c>
      <c r="C3436" t="s">
        <v>342</v>
      </c>
      <c r="D3436" s="2"/>
      <c r="E3436" s="2"/>
      <c r="F3436" s="2"/>
      <c r="G3436" s="2"/>
      <c r="H3436" s="2"/>
      <c r="I3436" s="2"/>
      <c r="J3436" s="2"/>
      <c r="K3436" s="2"/>
      <c r="L3436" s="2"/>
    </row>
    <row r="3437" spans="1:12" customFormat="1" ht="16" ns3:dyDescent="0.2">
      <c r="A3437" s="1" t="s">
        <v>10</v>
      </c>
      <c r="B3437" s="2"/>
      <c r="C3437" s="2"/>
      <c r="D3437" s="2"/>
      <c r="E3437" s="2"/>
      <c r="F3437" s="2"/>
      <c r="G3437" s="2"/>
      <c r="H3437" s="2"/>
      <c r="I3437" s="2"/>
      <c r="J3437" s="2"/>
      <c r="K3437" s="2"/>
      <c r="L3437" s="2"/>
    </row>
    <row r="3438" spans="1:12" ns3:dyDescent="0.2">
      <c r="A3438" s="17" t="s">
        <v>11</v>
      </c>
      <c r="B3438" s="17" t="s">
        <v>12</v>
      </c>
      <c r="C3438" s="17" t="s">
        <v>3</v>
      </c>
      <c r="D3438" s="17" t="s">
        <v>13</v>
      </c>
      <c r="E3438" s="17" t="s">
        <v>8</v>
      </c>
      <c r="F3438" s="17" t="s">
        <v>6</v>
      </c>
      <c r="G3438" s="17" t="s">
        <v>5</v>
      </c>
      <c r="H3438" s="17" t="s">
        <v>151</v>
      </c>
      <c r="I3438" s="17" t="s">
        <v>179</v>
      </c>
      <c r="J3438" s="17" t="s">
        <v>180</v>
      </c>
      <c r="K3438" s="17" t="s">
        <v>181</v>
      </c>
      <c r="L3438" s="17" t="s">
        <v>182</v>
      </c>
    </row>
    <row r="3439" spans="1:12" customFormat="1" ht="16" ns3:dyDescent="0.2">
      <c r="A3439" s="2" t="str">
        <f>B3393</f>
        <v>electricity, used in aircraft</v>
      </c>
      <c r="B3439" s="2">
        <v>1</v>
      </c>
      <c r="C3439" s="2" t="str">
        <f>B3394</f>
        <v>RER</v>
      </c>
      <c r="D3439" s="2"/>
      <c r="E3439" s="2" t="str">
        <f>B3398</f>
        <v>megajoule</v>
      </c>
      <c r="F3439" s="2" t="s">
        <v>19</v>
      </c>
      <c r="G3439" s="2" t="str">
        <f>B3396</f>
        <v>electricity, low voltage</v>
      </c>
      <c r="H3439" s="2"/>
      <c r="I3439" s="2"/>
      <c r="J3439" s="2"/>
      <c r="K3439" s="2"/>
      <c r="L3439" s="2"/>
    </row>
    <row r="3440" spans="1:12" customFormat="1" ht="16" ns3:dyDescent="0.2">
      <c r="A3440" t="s">
        <v>140</v>
      </c>
      <c r="B3440" s="33">
        <f>1/3.6</f>
        <v>0.27777777777777779</v>
      </c>
      <c r="C3440" t="s">
        <v>18</v>
      </c>
      <c r="E3440" t="s">
        <v>141</v>
      </c>
      <c r="F3440" t="s">
        <v>23</v>
      </c>
      <c r="G3440" t="s">
        <v>142</v>
      </c>
      <c r="H3440" s="2"/>
      <c r="I3440" s="2"/>
    </row>
    <row r="3441" spans="1:12" customFormat="1" ht="16" ns3:dyDescent="0.2">
      <c r="A3441" t="s">
        <v>189</v>
      </c>
      <c r="B3441" s="3">
        <f>((B3418*(1+B3421))/B3403)/(B3406/1000)</f>
        <v>3.1828703703703708E-5</v>
      </c>
      <c r="C3441" s="2" t="s">
        <v>114</v>
      </c>
      <c r="E3441" t="s">
        <v>141</v>
      </c>
      <c r="F3441" t="s">
        <v>23</v>
      </c>
      <c r="G3441" t="s">
        <v>190</v>
      </c>
      <c r="H3441" s="2"/>
      <c r="I3441">
        <v>5</v>
      </c>
      <c r="J3441" s="3">
        <f>B3441</f>
        <v>3.1828703703703708E-5</v>
      </c>
      <c r="K3441" s="3">
        <f>((B3419*(1*B3422))/B3405)/(B3408/1000)</f>
        <v>2.0852882911062456E-6</v>
      </c>
      <c r="L3441" s="3">
        <f>((B3420*(1+B3423))/B3404)/(B3407/1000)</f>
        <v>2.3919753086419754E-4</v>
      </c>
    </row>
    <row r="3442" spans="1:12" customFormat="1" ht="16" ns3:dyDescent="0.2">
      <c r="A3442" s="2"/>
      <c r="B3442" s="2"/>
      <c r="C3442" s="2"/>
      <c r="D3442" s="2"/>
      <c r="E3442" s="2"/>
      <c r="F3442" s="2"/>
      <c r="G3442" s="2"/>
      <c r="H3442" s="2"/>
      <c r="I3442" s="2"/>
      <c r="J3442" s="2"/>
      <c r="K3442" s="2"/>
      <c r="L3442" s="2"/>
    </row>
    <row r="3443" spans="1:12" ns3:dyDescent="0.2">
      <c r="A3443" s="17" t="s">
        <v>2</v>
      </c>
      <c r="B3443" s="17" t="s">
        <v>379</v>
      </c>
    </row>
    <row r="3444" spans="1:12" customFormat="1" ht="16" ns3:dyDescent="0.2">
      <c r="A3444" s="2" t="s">
        <v>3</v>
      </c>
      <c r="B3444" s="2" t="s">
        <v>18</v>
      </c>
      <c r="C3444" s="2"/>
      <c r="D3444" s="2"/>
      <c r="E3444" s="2"/>
      <c r="F3444" s="2"/>
      <c r="G3444" s="2"/>
      <c r="H3444" s="2"/>
      <c r="I3444" s="2"/>
      <c r="J3444" s="2"/>
      <c r="K3444" s="2"/>
      <c r="L3444" s="2"/>
    </row>
    <row r="3445" spans="1:12" customFormat="1" ht="16" ns3:dyDescent="0.2">
      <c r="A3445" s="2" t="s">
        <v>4</v>
      </c>
      <c r="B3445" s="2">
        <v>1</v>
      </c>
      <c r="C3445" s="2"/>
      <c r="D3445" s="2"/>
      <c r="E3445" s="2"/>
      <c r="F3445" s="2"/>
      <c r="G3445" s="2"/>
      <c r="H3445" s="2"/>
      <c r="I3445" s="2"/>
      <c r="J3445" s="2"/>
      <c r="K3445" s="2"/>
      <c r="L3445" s="2"/>
    </row>
    <row r="3446" spans="1:12" customFormat="1" ht="16" ns3:dyDescent="0.2">
      <c r="A3446" s="2" t="s">
        <v>5</v>
      </c>
      <c r="B3446" s="2" t="s">
        <v>1</v>
      </c>
      <c r="C3446" s="2"/>
      <c r="D3446" s="2"/>
      <c r="E3446" s="2"/>
      <c r="F3446" s="2"/>
      <c r="G3446" s="2"/>
      <c r="H3446" s="2"/>
      <c r="I3446" s="2"/>
      <c r="J3446" s="2"/>
    </row>
    <row r="3447" spans="1:12" customFormat="1" ht="16" ns3:dyDescent="0.2">
      <c r="A3447" s="2" t="s">
        <v>6</v>
      </c>
      <c r="B3447" s="2" t="s">
        <v>7</v>
      </c>
      <c r="C3447" s="2"/>
      <c r="D3447" s="2"/>
      <c r="E3447" s="2"/>
      <c r="F3447" s="2"/>
      <c r="G3447" s="2"/>
      <c r="H3447" s="2"/>
      <c r="I3447" s="2"/>
      <c r="J3447" s="2"/>
      <c r="K3447" s="2"/>
      <c r="L3447" s="2"/>
    </row>
    <row r="3448" spans="1:12" customFormat="1" ht="16" ns3:dyDescent="0.2">
      <c r="A3448" s="2" t="s">
        <v>8</v>
      </c>
      <c r="B3448" s="2" t="s">
        <v>17</v>
      </c>
      <c r="C3448" s="2"/>
      <c r="D3448" s="2"/>
      <c r="E3448" s="2"/>
      <c r="F3448" s="2"/>
      <c r="G3448" s="2"/>
      <c r="H3448" s="2"/>
      <c r="I3448" s="2"/>
      <c r="J3448" s="2"/>
      <c r="K3448" s="2"/>
      <c r="L3448" s="2"/>
    </row>
    <row r="3449" spans="1:12" customFormat="1" ht="16" ns3:dyDescent="0.2">
      <c r="A3449" s="2" t="s">
        <v>151</v>
      </c>
      <c r="B3449" s="2" t="s">
        <v>382</v>
      </c>
      <c r="C3449" s="2"/>
      <c r="D3449" s="2"/>
      <c r="E3449" s="2"/>
      <c r="F3449" s="2"/>
      <c r="G3449" s="2"/>
      <c r="H3449" s="2"/>
      <c r="I3449" s="2"/>
      <c r="J3449" s="2"/>
      <c r="K3449" s="2"/>
      <c r="L3449" s="2"/>
    </row>
    <row r="3450" spans="1:12" customFormat="1" ht="16" ns3:dyDescent="0.2">
      <c r="A3450" t="s">
        <v>349</v>
      </c>
      <c r="B3450" s="2">
        <f>INDEX(Parameters!$B$6:$AL$57,MATCH(Inventories!$B$3443,Parameters!$A$6:$A$57,0),MATCH(Inventories!$A3450,Parameters!$B$4:$AL$4,0))</f>
        <v>0</v>
      </c>
      <c r="C3450" t="s">
        <v>309</v>
      </c>
      <c r="D3450" s="2"/>
      <c r="E3450" s="2"/>
      <c r="F3450" s="2"/>
      <c r="G3450" s="2"/>
      <c r="H3450" s="2"/>
      <c r="I3450" s="2"/>
      <c r="J3450" s="2"/>
      <c r="K3450" s="2"/>
      <c r="L3450" s="2"/>
    </row>
    <row r="3451" spans="1:12" customFormat="1" ht="16" ns3:dyDescent="0.2">
      <c r="A3451" t="s">
        <v>350</v>
      </c>
      <c r="B3451" s="2">
        <f>INDEX(Parameters!$B$6:$AL$57,MATCH(Inventories!$B$3443,Parameters!$A$6:$A$57,0),MATCH(Inventories!$A3451,Parameters!$B$4:$AL$4,0))</f>
        <v>0</v>
      </c>
      <c r="C3451" t="s">
        <v>309</v>
      </c>
      <c r="D3451" s="2"/>
      <c r="E3451" s="2"/>
      <c r="F3451" s="2"/>
      <c r="G3451" s="2"/>
      <c r="H3451" s="2"/>
      <c r="I3451" s="2"/>
      <c r="J3451" s="2"/>
      <c r="K3451" s="2"/>
      <c r="L3451" s="2"/>
    </row>
    <row r="3452" spans="1:12" customFormat="1" ht="16" ns3:dyDescent="0.2">
      <c r="A3452" t="s">
        <v>351</v>
      </c>
      <c r="B3452" s="2">
        <f>INDEX(Parameters!$B$6:$AL$57,MATCH(Inventories!$B$3443,Parameters!$A$6:$A$57,0),MATCH(Inventories!$A3452,Parameters!$B$4:$AL$4,0))</f>
        <v>0</v>
      </c>
      <c r="C3452" t="s">
        <v>309</v>
      </c>
      <c r="D3452" s="2"/>
      <c r="E3452" s="2"/>
      <c r="F3452" s="2"/>
      <c r="G3452" s="2"/>
      <c r="H3452" s="2"/>
      <c r="I3452" s="2"/>
      <c r="J3452" s="2"/>
      <c r="K3452" s="2"/>
      <c r="L3452" s="2"/>
    </row>
    <row r="3453" spans="1:12" customFormat="1" ht="16" ns3:dyDescent="0.2">
      <c r="A3453" t="s">
        <v>313</v>
      </c>
      <c r="B3453" s="24">
        <f>INDEX(Parameters!$B$6:$AL$57,MATCH(Inventories!$B$3443,Parameters!$A$6:$A$57,0),MATCH(Inventories!$A3453,Parameters!$B$4:$AL$4,0))</f>
        <v>90000000</v>
      </c>
      <c r="C3453" t="s">
        <v>310</v>
      </c>
      <c r="D3453" s="2"/>
      <c r="E3453" s="2"/>
      <c r="F3453" s="2"/>
      <c r="G3453" s="2"/>
      <c r="H3453" s="2"/>
      <c r="I3453" s="2"/>
      <c r="J3453" s="2"/>
      <c r="K3453" s="2"/>
      <c r="L3453" s="2"/>
    </row>
    <row r="3454" spans="1:12" customFormat="1" ht="16" ns3:dyDescent="0.2">
      <c r="A3454" t="s">
        <v>314</v>
      </c>
      <c r="B3454" s="24">
        <f>INDEX(Parameters!$B$6:$AL$57,MATCH(Inventories!$B$3443,Parameters!$A$6:$A$57,0),MATCH(Inventories!$A3454,Parameters!$B$4:$AL$4,0))</f>
        <v>50000000</v>
      </c>
      <c r="C3454" t="s">
        <v>310</v>
      </c>
      <c r="D3454" s="2"/>
      <c r="E3454" s="2"/>
      <c r="F3454" s="2"/>
      <c r="G3454" s="2"/>
      <c r="H3454" s="2"/>
      <c r="I3454" s="2"/>
      <c r="J3454" s="2"/>
      <c r="K3454" s="2"/>
      <c r="L3454" s="2"/>
    </row>
    <row r="3455" spans="1:12" customFormat="1" ht="16" ns3:dyDescent="0.2">
      <c r="A3455" t="s">
        <v>315</v>
      </c>
      <c r="B3455" s="24">
        <f>INDEX(Parameters!$B$6:$AL$57,MATCH(Inventories!$B$3443,Parameters!$A$6:$A$57,0),MATCH(Inventories!$A3455,Parameters!$B$4:$AL$4,0))</f>
        <v>115000000</v>
      </c>
      <c r="C3455" t="s">
        <v>310</v>
      </c>
      <c r="D3455" s="2"/>
      <c r="E3455" s="2"/>
      <c r="F3455" s="2"/>
      <c r="G3455" s="2"/>
      <c r="H3455" s="2"/>
      <c r="I3455" s="2"/>
      <c r="J3455" s="2"/>
      <c r="K3455" s="2"/>
      <c r="L3455" s="2"/>
    </row>
    <row r="3456" spans="1:12" customFormat="1" ht="16" ns3:dyDescent="0.2">
      <c r="A3456" t="s">
        <v>316</v>
      </c>
      <c r="B3456" s="24">
        <f>INDEX(Parameters!$B$6:$AL$57,MATCH(Inventories!$B$3443,Parameters!$A$6:$A$57,0),MATCH(Inventories!$A3456,Parameters!$B$4:$AL$4,0))</f>
        <v>120000</v>
      </c>
      <c r="C3456" t="s">
        <v>311</v>
      </c>
      <c r="D3456" s="2"/>
      <c r="E3456" s="2"/>
      <c r="F3456" s="2"/>
      <c r="G3456" s="2"/>
      <c r="H3456" s="2"/>
      <c r="I3456" s="2"/>
      <c r="J3456" s="2"/>
      <c r="K3456" s="2"/>
      <c r="L3456" s="2"/>
    </row>
    <row r="3457" spans="1:12" customFormat="1" ht="16" ns3:dyDescent="0.2">
      <c r="A3457" t="s">
        <v>317</v>
      </c>
      <c r="B3457" s="24">
        <f>INDEX(Parameters!$B$6:$AL$57,MATCH(Inventories!$B$3443,Parameters!$A$6:$A$57,0),MATCH(Inventories!$A3457,Parameters!$B$4:$AL$4,0))</f>
        <v>101000</v>
      </c>
      <c r="C3457" t="s">
        <v>311</v>
      </c>
      <c r="D3457" s="2"/>
      <c r="E3457" s="2"/>
      <c r="F3457" s="2"/>
      <c r="G3457" s="2"/>
      <c r="H3457" s="2"/>
      <c r="I3457" s="2"/>
      <c r="J3457" s="2"/>
      <c r="K3457" s="2"/>
      <c r="L3457" s="2"/>
    </row>
    <row r="3458" spans="1:12" customFormat="1" ht="16" ns3:dyDescent="0.2">
      <c r="A3458" t="s">
        <v>318</v>
      </c>
      <c r="B3458" s="24">
        <f>INDEX(Parameters!$B$6:$AL$57,MATCH(Inventories!$B$3443,Parameters!$A$6:$A$57,0),MATCH(Inventories!$A3458,Parameters!$B$4:$AL$4,0))</f>
        <v>165000</v>
      </c>
      <c r="C3458" t="s">
        <v>311</v>
      </c>
      <c r="D3458" s="2"/>
      <c r="E3458" s="2"/>
      <c r="F3458" s="2"/>
      <c r="G3458" s="2"/>
      <c r="H3458" s="2"/>
      <c r="I3458" s="2"/>
      <c r="J3458" s="2"/>
      <c r="K3458" s="2"/>
      <c r="L3458" s="2"/>
    </row>
    <row r="3459" spans="1:12" customFormat="1" ht="16" ns3:dyDescent="0.2">
      <c r="A3459" t="s">
        <v>334</v>
      </c>
      <c r="B3459" s="2">
        <f>INDEX(Parameters!$B$6:$AL$57,MATCH(Inventories!$B$3443,Parameters!$A$6:$A$57,0),MATCH(Inventories!$A3459,Parameters!$B$4:$AL$4,0))</f>
        <v>0</v>
      </c>
      <c r="C3459" t="s">
        <v>333</v>
      </c>
      <c r="D3459" s="2"/>
      <c r="E3459" s="2"/>
      <c r="F3459" s="2"/>
      <c r="G3459" s="2"/>
      <c r="H3459" s="2"/>
      <c r="I3459" s="2"/>
      <c r="J3459" s="2"/>
      <c r="K3459" s="2"/>
      <c r="L3459" s="2"/>
    </row>
    <row r="3460" spans="1:12" customFormat="1" ht="16" ns3:dyDescent="0.2">
      <c r="A3460" t="s">
        <v>335</v>
      </c>
      <c r="B3460" s="2">
        <f>INDEX(Parameters!$B$6:$AL$57,MATCH(Inventories!$B$3443,Parameters!$A$6:$A$57,0),MATCH(Inventories!$A3460,Parameters!$B$4:$AL$4,0))</f>
        <v>0</v>
      </c>
      <c r="C3460" t="s">
        <v>333</v>
      </c>
      <c r="D3460" s="2"/>
      <c r="E3460" s="2"/>
      <c r="F3460" s="2"/>
      <c r="G3460" s="2"/>
      <c r="H3460" s="2"/>
      <c r="I3460" s="2"/>
      <c r="J3460" s="2"/>
      <c r="K3460" s="2"/>
      <c r="L3460" s="2"/>
    </row>
    <row r="3461" spans="1:12" customFormat="1" ht="16" ns3:dyDescent="0.2">
      <c r="A3461" t="s">
        <v>336</v>
      </c>
      <c r="B3461" s="2">
        <f>INDEX(Parameters!$B$6:$AL$57,MATCH(Inventories!$B$3443,Parameters!$A$6:$A$57,0),MATCH(Inventories!$A3461,Parameters!$B$4:$AL$4,0))</f>
        <v>0</v>
      </c>
      <c r="C3461" t="s">
        <v>333</v>
      </c>
      <c r="D3461" s="2"/>
      <c r="E3461" s="2"/>
      <c r="F3461" s="2"/>
      <c r="G3461" s="2"/>
      <c r="H3461" s="2"/>
      <c r="I3461" s="2"/>
      <c r="J3461" s="2"/>
      <c r="K3461" s="2"/>
      <c r="L3461" s="2"/>
    </row>
    <row r="3462" spans="1:12" customFormat="1" ht="16" ns3:dyDescent="0.2">
      <c r="A3462" t="s">
        <v>337</v>
      </c>
      <c r="B3462" s="2">
        <f>INDEX(Parameters!$B$6:$AL$57,MATCH(Inventories!$B$3443,Parameters!$A$6:$A$57,0),MATCH(Inventories!$A3462,Parameters!$B$4:$AL$4,0))</f>
        <v>0</v>
      </c>
      <c r="C3462" t="s">
        <v>333</v>
      </c>
      <c r="D3462" s="2"/>
      <c r="E3462" s="2"/>
      <c r="F3462" s="2"/>
      <c r="G3462" s="2"/>
      <c r="H3462" s="2"/>
      <c r="I3462" s="2"/>
      <c r="J3462" s="2"/>
      <c r="K3462" s="2"/>
      <c r="L3462" s="2"/>
    </row>
    <row r="3463" spans="1:12" customFormat="1" ht="16" ns3:dyDescent="0.2">
      <c r="A3463" t="s">
        <v>338</v>
      </c>
      <c r="B3463" s="2">
        <f>INDEX(Parameters!$B$6:$AL$57,MATCH(Inventories!$B$3443,Parameters!$A$6:$A$57,0),MATCH(Inventories!$A3463,Parameters!$B$4:$AL$4,0))</f>
        <v>0</v>
      </c>
      <c r="C3463" t="s">
        <v>333</v>
      </c>
      <c r="D3463" s="2"/>
      <c r="E3463" s="2"/>
      <c r="F3463" s="2"/>
      <c r="G3463" s="2"/>
      <c r="H3463" s="2"/>
      <c r="I3463" s="2"/>
      <c r="J3463" s="2"/>
      <c r="K3463" s="2"/>
      <c r="L3463" s="2"/>
    </row>
    <row r="3464" spans="1:12" customFormat="1" ht="16" ns3:dyDescent="0.2">
      <c r="A3464" t="s">
        <v>339</v>
      </c>
      <c r="B3464" s="2">
        <f>INDEX(Parameters!$B$6:$AL$57,MATCH(Inventories!$B$3443,Parameters!$A$6:$A$57,0),MATCH(Inventories!$A3464,Parameters!$B$4:$AL$4,0))</f>
        <v>0</v>
      </c>
      <c r="C3464" t="s">
        <v>333</v>
      </c>
      <c r="D3464" s="2"/>
      <c r="E3464" s="2"/>
      <c r="F3464" s="2"/>
      <c r="G3464" s="2"/>
      <c r="H3464" s="2"/>
      <c r="I3464" s="2"/>
      <c r="J3464" s="2"/>
      <c r="K3464" s="2"/>
      <c r="L3464" s="2"/>
    </row>
    <row r="3465" spans="1:12" customFormat="1" ht="16" ns3:dyDescent="0.2">
      <c r="A3465" t="s">
        <v>330</v>
      </c>
      <c r="B3465" s="24">
        <f>INDEX(Parameters!$B$6:$AL$57,MATCH(Inventories!$B$3443,Parameters!$A$6:$A$57,0),MATCH(Inventories!$A3465,Parameters!$B$4:$AL$4,0))</f>
        <v>1700</v>
      </c>
      <c r="C3465" t="s">
        <v>333</v>
      </c>
      <c r="D3465" s="2"/>
      <c r="E3465" s="2"/>
      <c r="F3465" s="2"/>
      <c r="G3465" s="2"/>
      <c r="H3465" s="2"/>
      <c r="I3465" s="2"/>
      <c r="J3465" s="2"/>
      <c r="K3465" s="2"/>
      <c r="L3465" s="2"/>
    </row>
    <row r="3466" spans="1:12" customFormat="1" ht="16" ns3:dyDescent="0.2">
      <c r="A3466" t="s">
        <v>331</v>
      </c>
      <c r="B3466" s="24">
        <f>INDEX(Parameters!$B$6:$AL$57,MATCH(Inventories!$B$3443,Parameters!$A$6:$A$57,0),MATCH(Inventories!$A3466,Parameters!$B$4:$AL$4,0))</f>
        <v>1000</v>
      </c>
      <c r="C3466" t="s">
        <v>333</v>
      </c>
      <c r="D3466" s="2"/>
      <c r="E3466" s="2"/>
      <c r="F3466" s="2"/>
      <c r="G3466" s="2"/>
      <c r="H3466" s="2"/>
      <c r="I3466" s="2"/>
      <c r="J3466" s="2"/>
      <c r="K3466" s="2"/>
      <c r="L3466" s="2"/>
    </row>
    <row r="3467" spans="1:12" customFormat="1" ht="16" ns3:dyDescent="0.2">
      <c r="A3467" t="s">
        <v>332</v>
      </c>
      <c r="B3467" s="24">
        <f>INDEX(Parameters!$B$6:$AL$57,MATCH(Inventories!$B$3443,Parameters!$A$6:$A$57,0),MATCH(Inventories!$A3467,Parameters!$B$4:$AL$4,0))</f>
        <v>3000</v>
      </c>
      <c r="C3467" t="s">
        <v>333</v>
      </c>
      <c r="D3467" s="2"/>
      <c r="E3467" s="2"/>
      <c r="F3467" s="2"/>
      <c r="G3467" s="2"/>
      <c r="H3467" s="2"/>
      <c r="I3467" s="2"/>
      <c r="J3467" s="2"/>
      <c r="K3467" s="2"/>
      <c r="L3467" s="2"/>
    </row>
    <row r="3468" spans="1:12" customFormat="1" ht="16" ns3:dyDescent="0.2">
      <c r="A3468" t="s">
        <v>319</v>
      </c>
      <c r="B3468" s="2">
        <f>INDEX(Parameters!$B$6:$AL$57,MATCH(Inventories!$B$3443,Parameters!$A$6:$A$57,0),MATCH(Inventories!$A3468,Parameters!$B$4:$AL$4,0))</f>
        <v>0</v>
      </c>
      <c r="C3468" t="s">
        <v>312</v>
      </c>
      <c r="D3468" s="2"/>
      <c r="E3468" s="2"/>
      <c r="F3468" s="2"/>
      <c r="G3468" s="2"/>
      <c r="H3468" s="2"/>
      <c r="I3468" s="2"/>
      <c r="J3468" s="2"/>
      <c r="K3468" s="2"/>
      <c r="L3468" s="2"/>
    </row>
    <row r="3469" spans="1:12" customFormat="1" ht="16" ns3:dyDescent="0.2">
      <c r="A3469" t="s">
        <v>320</v>
      </c>
      <c r="B3469" s="2">
        <f>INDEX(Parameters!$B$6:$AL$57,MATCH(Inventories!$B$3443,Parameters!$A$6:$A$57,0),MATCH(Inventories!$A3469,Parameters!$B$4:$AL$4,0))</f>
        <v>0</v>
      </c>
      <c r="C3469" t="s">
        <v>312</v>
      </c>
      <c r="D3469" s="2"/>
      <c r="E3469" s="2"/>
      <c r="F3469" s="2"/>
      <c r="G3469" s="2"/>
      <c r="H3469" s="2"/>
      <c r="I3469" s="2"/>
      <c r="J3469" s="2"/>
      <c r="K3469" s="2"/>
      <c r="L3469" s="2"/>
    </row>
    <row r="3470" spans="1:12" customFormat="1" ht="16" ns3:dyDescent="0.2">
      <c r="A3470" t="s">
        <v>321</v>
      </c>
      <c r="B3470" s="2">
        <f>INDEX(Parameters!$B$6:$AL$57,MATCH(Inventories!$B$3443,Parameters!$A$6:$A$57,0),MATCH(Inventories!$A3470,Parameters!$B$4:$AL$4,0))</f>
        <v>0</v>
      </c>
      <c r="C3470" t="s">
        <v>312</v>
      </c>
      <c r="D3470" s="2"/>
      <c r="E3470" s="2"/>
      <c r="F3470" s="2"/>
      <c r="G3470" s="2"/>
      <c r="H3470" s="2"/>
      <c r="I3470" s="2"/>
      <c r="J3470" s="2"/>
      <c r="K3470" s="2"/>
      <c r="L3470" s="2"/>
    </row>
    <row r="3471" spans="1:12" customFormat="1" ht="16" ns3:dyDescent="0.2">
      <c r="A3471" t="s">
        <v>327</v>
      </c>
      <c r="B3471" s="2">
        <f>INDEX(Parameters!$B$6:$AL$57,MATCH(Inventories!$B$3443,Parameters!$A$6:$A$57,0),MATCH(Inventories!$A3471,Parameters!$B$4:$AL$4,0))</f>
        <v>0</v>
      </c>
      <c r="C3471" t="s">
        <v>8</v>
      </c>
      <c r="D3471" s="2"/>
      <c r="E3471" s="2"/>
      <c r="F3471" s="2"/>
      <c r="G3471" s="2"/>
      <c r="H3471" s="2"/>
      <c r="I3471" s="2"/>
      <c r="J3471" s="2"/>
      <c r="K3471" s="2"/>
      <c r="L3471" s="2"/>
    </row>
    <row r="3472" spans="1:12" customFormat="1" ht="16" ns3:dyDescent="0.2">
      <c r="A3472" t="s">
        <v>328</v>
      </c>
      <c r="B3472" s="2">
        <f>INDEX(Parameters!$B$6:$AL$57,MATCH(Inventories!$B$3443,Parameters!$A$6:$A$57,0),MATCH(Inventories!$A3472,Parameters!$B$4:$AL$4,0))</f>
        <v>0</v>
      </c>
      <c r="C3472" t="s">
        <v>8</v>
      </c>
      <c r="D3472" s="2"/>
      <c r="E3472" s="2"/>
      <c r="F3472" s="2"/>
      <c r="G3472" s="2"/>
      <c r="H3472" s="2"/>
      <c r="I3472" s="2"/>
      <c r="J3472" s="2"/>
      <c r="K3472" s="2"/>
      <c r="L3472" s="2"/>
    </row>
    <row r="3473" spans="1:12" customFormat="1" ht="16" ns3:dyDescent="0.2">
      <c r="A3473" t="s">
        <v>329</v>
      </c>
      <c r="B3473" s="2">
        <f>INDEX(Parameters!$B$6:$AL$57,MATCH(Inventories!$B$3443,Parameters!$A$6:$A$57,0),MATCH(Inventories!$A3473,Parameters!$B$4:$AL$4,0))</f>
        <v>0</v>
      </c>
      <c r="C3473" t="s">
        <v>8</v>
      </c>
      <c r="D3473" s="2"/>
      <c r="E3473" s="2"/>
      <c r="F3473" s="2"/>
      <c r="G3473" s="2"/>
      <c r="H3473" s="2"/>
      <c r="I3473" s="2"/>
      <c r="J3473" s="2"/>
      <c r="K3473" s="2"/>
      <c r="L3473" s="2"/>
    </row>
    <row r="3474" spans="1:12" customFormat="1" ht="16" ns3:dyDescent="0.2">
      <c r="A3474" t="s">
        <v>343</v>
      </c>
      <c r="B3474" s="2">
        <f>INDEX(Parameters!$B$6:$AL$57,MATCH(Inventories!$B$3443,Parameters!$A$6:$A$57,0),MATCH(Inventories!$A3474,Parameters!$B$4:$AL$4,0))</f>
        <v>0</v>
      </c>
      <c r="C3474" t="s">
        <v>309</v>
      </c>
      <c r="D3474" s="2"/>
      <c r="E3474" s="2"/>
      <c r="F3474" s="2"/>
      <c r="G3474" s="2"/>
      <c r="H3474" s="2"/>
      <c r="I3474" s="2"/>
      <c r="J3474" s="2"/>
      <c r="K3474" s="2"/>
      <c r="L3474" s="2"/>
    </row>
    <row r="3475" spans="1:12" customFormat="1" ht="16" ns3:dyDescent="0.2">
      <c r="A3475" t="s">
        <v>344</v>
      </c>
      <c r="B3475" s="2">
        <f>INDEX(Parameters!$B$6:$AL$57,MATCH(Inventories!$B$3443,Parameters!$A$6:$A$57,0),MATCH(Inventories!$A3475,Parameters!$B$4:$AL$4,0))</f>
        <v>0</v>
      </c>
      <c r="C3475" t="s">
        <v>309</v>
      </c>
      <c r="D3475" s="2"/>
      <c r="E3475" s="12"/>
      <c r="F3475" s="2"/>
      <c r="G3475" s="2"/>
      <c r="H3475" s="2"/>
      <c r="I3475" s="2"/>
      <c r="J3475" s="2"/>
      <c r="K3475" s="2"/>
      <c r="L3475" s="2"/>
    </row>
    <row r="3476" spans="1:12" customFormat="1" ht="16" ns3:dyDescent="0.2">
      <c r="A3476" t="s">
        <v>345</v>
      </c>
      <c r="B3476" s="2">
        <f>INDEX(Parameters!$B$6:$AL$57,MATCH(Inventories!$B$3443,Parameters!$A$6:$A$57,0),MATCH(Inventories!$A3476,Parameters!$B$4:$AL$4,0))</f>
        <v>0</v>
      </c>
      <c r="C3476" t="s">
        <v>309</v>
      </c>
      <c r="D3476" s="2"/>
      <c r="E3476" s="2"/>
      <c r="F3476" s="2"/>
      <c r="G3476" s="2"/>
      <c r="H3476" s="2"/>
      <c r="I3476" s="2"/>
      <c r="J3476" s="2"/>
      <c r="K3476" s="2"/>
      <c r="L3476" s="2"/>
    </row>
    <row r="3477" spans="1:12" customFormat="1" ht="16" ns3:dyDescent="0.2">
      <c r="A3477" t="s">
        <v>346</v>
      </c>
      <c r="B3477" s="2">
        <f>INDEX(Parameters!$B$6:$AL$57,MATCH(Inventories!$B$3443,Parameters!$A$6:$A$57,0),MATCH(Inventories!$A3477,Parameters!$B$4:$AL$4,0))</f>
        <v>0</v>
      </c>
      <c r="C3477" t="s">
        <v>8</v>
      </c>
      <c r="D3477" s="2"/>
      <c r="E3477" s="2"/>
      <c r="F3477" s="2"/>
      <c r="G3477" s="2"/>
      <c r="H3477" s="2"/>
      <c r="I3477" s="2"/>
      <c r="J3477" s="2"/>
      <c r="K3477" s="2"/>
      <c r="L3477" s="2"/>
    </row>
    <row r="3478" spans="1:12" customFormat="1" ht="16" ns3:dyDescent="0.2">
      <c r="A3478" t="s">
        <v>347</v>
      </c>
      <c r="B3478" s="2">
        <f>INDEX(Parameters!$B$6:$AL$57,MATCH(Inventories!$B$3443,Parameters!$A$6:$A$57,0),MATCH(Inventories!$A3478,Parameters!$B$4:$AL$4,0))</f>
        <v>0</v>
      </c>
      <c r="C3478" t="s">
        <v>8</v>
      </c>
      <c r="D3478" s="2"/>
      <c r="E3478" s="2"/>
      <c r="F3478" s="2"/>
      <c r="G3478" s="2"/>
      <c r="H3478" s="2"/>
      <c r="I3478" s="2"/>
      <c r="J3478" s="2"/>
      <c r="K3478" s="2"/>
      <c r="L3478" s="2"/>
    </row>
    <row r="3479" spans="1:12" customFormat="1" ht="16" ns3:dyDescent="0.2">
      <c r="A3479" t="s">
        <v>348</v>
      </c>
      <c r="B3479" s="2">
        <f>INDEX(Parameters!$B$6:$AL$57,MATCH(Inventories!$B$3443,Parameters!$A$6:$A$57,0),MATCH(Inventories!$A3479,Parameters!$B$4:$AL$4,0))</f>
        <v>0</v>
      </c>
      <c r="C3479" t="s">
        <v>8</v>
      </c>
      <c r="D3479" s="2"/>
      <c r="E3479" s="2"/>
      <c r="F3479" s="2"/>
      <c r="G3479" s="2"/>
      <c r="H3479" s="2"/>
      <c r="I3479" s="2"/>
      <c r="J3479" s="2"/>
      <c r="K3479" s="2"/>
      <c r="L3479" s="2"/>
    </row>
    <row r="3480" spans="1:12" customFormat="1" ht="16" ns3:dyDescent="0.2">
      <c r="A3480" t="s">
        <v>362</v>
      </c>
      <c r="B3480" s="2">
        <f>INDEX(Parameters!$B$6:$AL$57,MATCH(Inventories!$B$3443,Parameters!$A$6:$A$57,0),MATCH(Inventories!$A3480,Parameters!$B$4:$AL$4,0))</f>
        <v>0</v>
      </c>
      <c r="C3480" t="s">
        <v>333</v>
      </c>
      <c r="D3480" s="2"/>
      <c r="E3480" s="2"/>
      <c r="F3480" s="2"/>
      <c r="G3480" s="2"/>
      <c r="H3480" s="2"/>
      <c r="I3480" s="2"/>
      <c r="J3480" s="2"/>
      <c r="K3480" s="2"/>
      <c r="L3480" s="2"/>
    </row>
    <row r="3481" spans="1:12" customFormat="1" ht="16" ns3:dyDescent="0.2">
      <c r="A3481" t="s">
        <v>363</v>
      </c>
      <c r="B3481" s="2">
        <f>INDEX(Parameters!$B$6:$AL$57,MATCH(Inventories!$B$3443,Parameters!$A$6:$A$57,0),MATCH(Inventories!$A3481,Parameters!$B$4:$AL$4,0))</f>
        <v>0</v>
      </c>
      <c r="C3481" t="s">
        <v>333</v>
      </c>
      <c r="D3481" s="2"/>
      <c r="E3481" s="2"/>
      <c r="F3481" s="2"/>
      <c r="G3481" s="2"/>
      <c r="H3481" s="2"/>
      <c r="I3481" s="2"/>
      <c r="J3481" s="2"/>
      <c r="K3481" s="2"/>
      <c r="L3481" s="2"/>
    </row>
    <row r="3482" spans="1:12" customFormat="1" ht="16" ns3:dyDescent="0.2">
      <c r="A3482" t="s">
        <v>364</v>
      </c>
      <c r="B3482" s="2">
        <f>INDEX(Parameters!$B$6:$AL$57,MATCH(Inventories!$B$3443,Parameters!$A$6:$A$57,0),MATCH(Inventories!$A3482,Parameters!$B$4:$AL$4,0))</f>
        <v>0</v>
      </c>
      <c r="C3482" t="s">
        <v>333</v>
      </c>
      <c r="D3482" s="2"/>
      <c r="E3482" s="2"/>
      <c r="F3482" s="2"/>
      <c r="G3482" s="2"/>
      <c r="H3482" s="2"/>
      <c r="I3482" s="2"/>
      <c r="J3482" s="2"/>
      <c r="K3482" s="2"/>
      <c r="L3482" s="2"/>
    </row>
    <row r="3483" spans="1:12" customFormat="1" ht="16" ns3:dyDescent="0.2">
      <c r="A3483" t="s">
        <v>365</v>
      </c>
      <c r="B3483" s="2">
        <f>INDEX(Parameters!$B$6:$AL$57,MATCH(Inventories!$B$3443,Parameters!$A$6:$A$57,0),MATCH(Inventories!$A3483,Parameters!$B$4:$AL$4,0))</f>
        <v>0</v>
      </c>
      <c r="C3483" t="s">
        <v>333</v>
      </c>
      <c r="D3483" s="2"/>
      <c r="E3483" s="2"/>
      <c r="F3483" s="2"/>
      <c r="G3483" s="2"/>
      <c r="H3483" s="2"/>
      <c r="I3483" s="2"/>
      <c r="J3483" s="2"/>
      <c r="K3483" s="2"/>
      <c r="L3483" s="2"/>
    </row>
    <row r="3484" spans="1:12" customFormat="1" ht="16" ns3:dyDescent="0.2">
      <c r="A3484" t="s">
        <v>366</v>
      </c>
      <c r="B3484" s="2">
        <f>INDEX(Parameters!$B$6:$AL$57,MATCH(Inventories!$B$3443,Parameters!$A$6:$A$57,0),MATCH(Inventories!$A3484,Parameters!$B$4:$AL$4,0))</f>
        <v>0</v>
      </c>
      <c r="C3484" t="s">
        <v>333</v>
      </c>
      <c r="D3484" s="2"/>
      <c r="E3484" s="2"/>
      <c r="F3484" s="2"/>
      <c r="G3484" s="2"/>
      <c r="H3484" s="2"/>
      <c r="I3484" s="2"/>
      <c r="J3484" s="2"/>
      <c r="K3484" s="2"/>
      <c r="L3484" s="2"/>
    </row>
    <row r="3485" spans="1:12" customFormat="1" ht="16" ns3:dyDescent="0.2">
      <c r="A3485" t="s">
        <v>341</v>
      </c>
      <c r="B3485" s="32">
        <f>INDEX(Parameters!$B$6:$AL$57,MATCH(Inventories!$B$3443,Parameters!$A$6:$A$57,0),MATCH(Inventories!$A3485,Parameters!$B$4:$AL$4,0))</f>
        <v>0</v>
      </c>
      <c r="C3485" t="s">
        <v>342</v>
      </c>
      <c r="D3485" s="2"/>
      <c r="E3485" s="2"/>
      <c r="F3485" s="2"/>
      <c r="G3485" s="2"/>
      <c r="H3485" s="2"/>
      <c r="I3485" s="2"/>
      <c r="J3485" s="2"/>
      <c r="K3485" s="2"/>
      <c r="L3485" s="2"/>
    </row>
    <row r="3486" spans="1:12" customFormat="1" ht="16" ns3:dyDescent="0.2">
      <c r="A3486" t="s">
        <v>340</v>
      </c>
      <c r="B3486" s="32">
        <f>INDEX(Parameters!$B$6:$AL$57,MATCH(Inventories!$B$3443,Parameters!$A$6:$A$57,0),MATCH(Inventories!$A3486,Parameters!$B$4:$AL$4,0))</f>
        <v>0</v>
      </c>
      <c r="C3486" t="s">
        <v>342</v>
      </c>
      <c r="D3486" s="2"/>
      <c r="E3486" s="2"/>
      <c r="F3486" s="2"/>
      <c r="G3486" s="2"/>
      <c r="H3486" s="2"/>
      <c r="I3486" s="2"/>
      <c r="J3486" s="2"/>
      <c r="K3486" s="2"/>
      <c r="L3486" s="2"/>
    </row>
    <row r="3487" spans="1:12" customFormat="1" ht="16" ns3:dyDescent="0.2">
      <c r="A3487" s="1" t="s">
        <v>10</v>
      </c>
      <c r="B3487" s="2"/>
      <c r="C3487" s="2"/>
      <c r="D3487" s="2"/>
      <c r="E3487" s="2"/>
      <c r="F3487" s="2"/>
      <c r="G3487" s="2"/>
      <c r="H3487" s="2"/>
      <c r="I3487" s="2"/>
      <c r="J3487" s="2"/>
      <c r="K3487" s="2"/>
      <c r="L3487" s="2"/>
    </row>
    <row r="3488" spans="1:12" ns3:dyDescent="0.2">
      <c r="A3488" s="17" t="s">
        <v>11</v>
      </c>
      <c r="B3488" s="17" t="s">
        <v>12</v>
      </c>
      <c r="C3488" s="17" t="s">
        <v>3</v>
      </c>
      <c r="D3488" s="17" t="s">
        <v>13</v>
      </c>
      <c r="E3488" s="17" t="s">
        <v>8</v>
      </c>
      <c r="F3488" s="17" t="s">
        <v>6</v>
      </c>
      <c r="G3488" s="17" t="s">
        <v>5</v>
      </c>
      <c r="H3488" s="17" t="s">
        <v>151</v>
      </c>
      <c r="I3488" s="17" t="s">
        <v>179</v>
      </c>
      <c r="J3488" s="17" t="s">
        <v>180</v>
      </c>
      <c r="K3488" s="17" t="s">
        <v>181</v>
      </c>
      <c r="L3488" s="17" t="s">
        <v>182</v>
      </c>
    </row>
    <row r="3489" spans="1:12" customFormat="1" ht="16" ns3:dyDescent="0.2">
      <c r="A3489" s="2" t="str">
        <f>B3443</f>
        <v>hydrogen, burned in aircraft</v>
      </c>
      <c r="B3489" s="2">
        <v>1</v>
      </c>
      <c r="C3489" s="2" t="str">
        <f>B3444</f>
        <v>RER</v>
      </c>
      <c r="D3489" s="2"/>
      <c r="E3489" s="2" t="str">
        <f>B3448</f>
        <v>megajoule</v>
      </c>
      <c r="F3489" s="2" t="s">
        <v>19</v>
      </c>
      <c r="G3489" s="2" t="str">
        <f>B3446</f>
        <v>heat</v>
      </c>
      <c r="H3489" s="2"/>
      <c r="I3489" s="2"/>
      <c r="J3489" s="2"/>
      <c r="K3489" s="2"/>
      <c r="L3489" s="2"/>
    </row>
    <row r="3490" spans="1:12" customFormat="1" ht="16" ns3:dyDescent="0.2">
      <c r="A3490" s="2" t="s">
        <v>158</v>
      </c>
      <c r="B3490" s="19">
        <f>1/120</f>
        <v>8.3333333333333332E-3</v>
      </c>
      <c r="C3490" s="4" t="s">
        <v>18</v>
      </c>
      <c r="E3490" s="4" t="s">
        <v>9</v>
      </c>
      <c r="F3490" s="4" t="s">
        <v>23</v>
      </c>
      <c r="G3490" s="2" t="s">
        <v>159</v>
      </c>
      <c r="H3490" s="2"/>
    </row>
    <row r="3491" spans="1:12" customFormat="1" ht="16" ns3:dyDescent="0.2">
      <c r="A3491" t="s">
        <v>194</v>
      </c>
      <c r="B3491" s="16">
        <f>(B3465/B3453)/(B3456/1000)</f>
        <v>1.5740740740740741E-7</v>
      </c>
      <c r="C3491" t="s">
        <v>18</v>
      </c>
      <c r="E3491" t="s">
        <v>9</v>
      </c>
      <c r="F3491" t="s">
        <v>23</v>
      </c>
      <c r="G3491" t="s">
        <v>195</v>
      </c>
      <c r="H3491" s="2"/>
      <c r="I3491">
        <v>5</v>
      </c>
      <c r="J3491">
        <f>B3491</f>
        <v>1.5740740740740741E-7</v>
      </c>
      <c r="K3491" s="16">
        <f>(B3466/B3455)/(B3458/1000)</f>
        <v>5.2700922266139656E-8</v>
      </c>
      <c r="L3491" s="16">
        <f>(B3467/B3454)/(B3457/1000)</f>
        <v>5.9405940594059406E-7</v>
      </c>
    </row>
    <row r="3492" spans="1:12" customFormat="1" ht="16" ns3:dyDescent="0.2">
      <c r="A3492" t="s">
        <v>98</v>
      </c>
      <c r="B3492" s="16">
        <f>B3490*9/1000</f>
        <v>7.4999999999999993E-5</v>
      </c>
      <c r="D3492" t="s">
        <v>116</v>
      </c>
      <c r="E3492" t="s">
        <v>94</v>
      </c>
      <c r="F3492" t="s">
        <v>15</v>
      </c>
      <c r="H3492" s="2"/>
      <c r="K3492" s="16"/>
      <c r="L3492" s="16"/>
    </row>
    <row r="3493" spans="1:12" customFormat="1" ht="16" ns3:dyDescent="0.2">
      <c r="A3493" t="s">
        <v>69</v>
      </c>
      <c r="B3493" s="16">
        <f>(10.8/1000)*B3490</f>
        <v>9.0000000000000006E-5</v>
      </c>
      <c r="D3493" t="s">
        <v>116</v>
      </c>
      <c r="E3493" t="s">
        <v>9</v>
      </c>
      <c r="F3493" t="s">
        <v>15</v>
      </c>
      <c r="H3493" s="2" t="s">
        <v>383</v>
      </c>
      <c r="K3493" s="16"/>
      <c r="L3493" s="16"/>
    </row>
    <row r="3494" spans="1:12" customFormat="1" ht="16" ns3:dyDescent="0.2">
      <c r="A3494" s="2"/>
      <c r="B3494" s="2"/>
      <c r="C3494" s="2"/>
      <c r="D3494" s="2"/>
      <c r="E3494" s="2"/>
      <c r="F3494" s="2"/>
      <c r="G3494" s="2"/>
      <c r="H3494" s="2"/>
      <c r="I3494" s="2"/>
      <c r="J3494" s="2"/>
      <c r="K3494" s="2"/>
      <c r="L3494" s="2"/>
    </row>
    <row r="3495" spans="1:12" ns3:dyDescent="0.2">
      <c r="A3495" s="17" t="s">
        <v>2</v>
      </c>
      <c r="B3495" s="17" t="s">
        <v>101</v>
      </c>
    </row>
    <row r="3496" spans="1:12" customFormat="1" ht="16" ns3:dyDescent="0.2">
      <c r="A3496" s="2" t="s">
        <v>3</v>
      </c>
      <c r="B3496" s="2" t="s">
        <v>18</v>
      </c>
      <c r="C3496" s="2"/>
      <c r="D3496" s="2"/>
      <c r="E3496" s="2"/>
      <c r="F3496" s="2"/>
      <c r="G3496" s="2"/>
      <c r="H3496" s="2"/>
      <c r="I3496" s="2"/>
      <c r="J3496" s="2"/>
      <c r="K3496" s="2"/>
      <c r="L3496" s="2"/>
    </row>
    <row r="3497" spans="1:12" customFormat="1" ht="16" ns3:dyDescent="0.2">
      <c r="A3497" s="2" t="s">
        <v>4</v>
      </c>
      <c r="B3497" s="2">
        <v>1</v>
      </c>
      <c r="C3497" s="2"/>
      <c r="D3497" s="2"/>
      <c r="E3497" s="2"/>
      <c r="F3497" s="2"/>
      <c r="G3497" s="2"/>
      <c r="H3497" s="2"/>
      <c r="I3497" s="2"/>
      <c r="J3497" s="2"/>
      <c r="K3497" s="2"/>
      <c r="L3497" s="2"/>
    </row>
    <row r="3498" spans="1:12" customFormat="1" ht="16" ns3:dyDescent="0.2">
      <c r="A3498" s="2" t="s">
        <v>5</v>
      </c>
      <c r="B3498" s="2" t="s">
        <v>1</v>
      </c>
      <c r="C3498" s="2"/>
      <c r="D3498" s="2"/>
      <c r="E3498" s="2"/>
      <c r="F3498" s="2"/>
      <c r="G3498" s="2"/>
      <c r="H3498" s="2"/>
      <c r="I3498" s="2"/>
      <c r="J3498" s="2"/>
    </row>
    <row r="3499" spans="1:12" customFormat="1" ht="16" ns3:dyDescent="0.2">
      <c r="A3499" s="2" t="s">
        <v>151</v>
      </c>
      <c r="B3499" s="2" t="s">
        <v>398</v>
      </c>
      <c r="C3499" s="2"/>
      <c r="D3499" s="2"/>
      <c r="E3499" s="2"/>
      <c r="F3499" s="2"/>
      <c r="G3499" s="2"/>
      <c r="H3499" s="2"/>
      <c r="I3499" s="2"/>
      <c r="J3499" s="2"/>
    </row>
    <row r="3500" spans="1:12" customFormat="1" ht="16" ns3:dyDescent="0.2">
      <c r="A3500" s="2" t="s">
        <v>6</v>
      </c>
      <c r="B3500" s="2" t="s">
        <v>7</v>
      </c>
      <c r="C3500" s="2"/>
      <c r="D3500" s="2"/>
      <c r="E3500" s="2"/>
      <c r="F3500" s="2"/>
      <c r="G3500" s="2"/>
      <c r="H3500" s="2"/>
      <c r="I3500" s="2"/>
      <c r="J3500" s="2"/>
      <c r="K3500" s="2"/>
      <c r="L3500" s="2"/>
    </row>
    <row r="3501" spans="1:12" customFormat="1" ht="16" ns3:dyDescent="0.2">
      <c r="A3501" s="2" t="s">
        <v>8</v>
      </c>
      <c r="B3501" s="2" t="s">
        <v>17</v>
      </c>
      <c r="C3501" s="2"/>
      <c r="D3501" s="2"/>
      <c r="E3501" s="2"/>
      <c r="F3501" s="2"/>
      <c r="G3501" s="2"/>
      <c r="H3501" s="2"/>
      <c r="I3501" s="2"/>
      <c r="J3501" s="2"/>
      <c r="K3501" s="2"/>
      <c r="L3501" s="2"/>
    </row>
    <row r="3502" spans="1:12" customFormat="1" ht="16" ns3:dyDescent="0.2">
      <c r="A3502" s="1" t="s">
        <v>10</v>
      </c>
      <c r="B3502" s="2"/>
      <c r="C3502" s="2"/>
      <c r="D3502" s="2"/>
      <c r="E3502" s="2"/>
      <c r="F3502" s="2"/>
      <c r="G3502" s="2"/>
      <c r="H3502" s="2"/>
      <c r="I3502" s="2"/>
      <c r="J3502" s="2"/>
      <c r="K3502" s="2"/>
      <c r="L3502" s="2"/>
    </row>
    <row r="3503" spans="1:12" ns3:dyDescent="0.2">
      <c r="A3503" s="17" t="s">
        <v>11</v>
      </c>
      <c r="B3503" s="17" t="s">
        <v>12</v>
      </c>
      <c r="C3503" s="17" t="s">
        <v>3</v>
      </c>
      <c r="D3503" s="17" t="s">
        <v>13</v>
      </c>
      <c r="E3503" s="17" t="s">
        <v>8</v>
      </c>
      <c r="F3503" s="17" t="s">
        <v>6</v>
      </c>
      <c r="G3503" s="17" t="s">
        <v>5</v>
      </c>
      <c r="I3503" s="17"/>
      <c r="J3503" s="17"/>
      <c r="K3503" s="17"/>
    </row>
    <row r="3504" spans="1:12" customFormat="1" ht="16" ns3:dyDescent="0.2">
      <c r="A3504" s="2" t="str">
        <f>B3495</f>
        <v>heavy fuel oil, burned in container ship</v>
      </c>
      <c r="B3504" s="2">
        <v>1</v>
      </c>
      <c r="C3504" s="2" t="str">
        <f>B3496</f>
        <v>RER</v>
      </c>
      <c r="D3504" s="2"/>
      <c r="E3504" s="2" t="str">
        <f>B3501</f>
        <v>megajoule</v>
      </c>
      <c r="F3504" s="2" t="s">
        <v>19</v>
      </c>
      <c r="G3504" s="2" t="str">
        <f>B3498</f>
        <v>heat</v>
      </c>
      <c r="H3504" s="2"/>
      <c r="I3504" s="2"/>
      <c r="J3504" s="2"/>
      <c r="K3504" s="2"/>
      <c r="L3504" s="2"/>
    </row>
    <row r="3505" spans="1:12" customFormat="1" ht="16" ns3:dyDescent="0.2">
      <c r="A3505" t="s">
        <v>125</v>
      </c>
      <c r="B3505">
        <f>1/39</f>
        <v>2.564102564102564E-2</v>
      </c>
      <c r="C3505" t="s">
        <v>27</v>
      </c>
      <c r="E3505" t="s">
        <v>9</v>
      </c>
      <c r="F3505" t="s">
        <v>23</v>
      </c>
      <c r="G3505" t="s">
        <v>102</v>
      </c>
      <c r="H3505" s="2"/>
    </row>
    <row r="3506" spans="1:12" customFormat="1" ht="16" ns3:dyDescent="0.2">
      <c r="A3506" t="s">
        <v>48</v>
      </c>
      <c r="B3506" s="3">
        <v>1.0256365433645409E-5</v>
      </c>
      <c r="D3506" t="s">
        <v>100</v>
      </c>
      <c r="E3506" t="s">
        <v>9</v>
      </c>
      <c r="F3506" s="2" t="s">
        <v>15</v>
      </c>
      <c r="H3506" s="2"/>
    </row>
    <row r="3507" spans="1:12" customFormat="1" ht="16" ns3:dyDescent="0.2">
      <c r="A3507" t="s">
        <v>90</v>
      </c>
      <c r="B3507" s="3">
        <v>9.6449727337009339E-9</v>
      </c>
      <c r="D3507" t="s">
        <v>100</v>
      </c>
      <c r="E3507" t="s">
        <v>9</v>
      </c>
      <c r="F3507" s="2" t="s">
        <v>15</v>
      </c>
      <c r="H3507" s="2"/>
    </row>
    <row r="3508" spans="1:11" customFormat="1" ht="16" ns3:dyDescent="0.2">
      <c r="A3508" t="s">
        <v>52</v>
      </c>
      <c r="B3508" s="3">
        <v>6.2721921074364377E-10</v>
      </c>
      <c r="D3508" t="s">
        <v>100</v>
      </c>
      <c r="E3508" t="s">
        <v>9</v>
      </c>
      <c r="F3508" s="2" t="s">
        <v>15</v>
      </c>
      <c r="H3508" s="2"/>
    </row>
    <row r="3509" spans="1:11" customFormat="1" ht="16" ns3:dyDescent="0.2">
      <c r="A3509" t="s">
        <v>53</v>
      </c>
      <c r="B3509">
        <v>7.9939098901879183E-2</v>
      </c>
      <c r="D3509" t="s">
        <v>100</v>
      </c>
      <c r="E3509" t="s">
        <v>9</v>
      </c>
      <c r="F3509" s="2" t="s">
        <v>15</v>
      </c>
      <c r="H3509" s="2"/>
    </row>
    <row r="3510" spans="1:11" customFormat="1" ht="16" ns3:dyDescent="0.2">
      <c r="A3510" t="s">
        <v>54</v>
      </c>
      <c r="B3510" s="3">
        <v>6.8728477177939384E-5</v>
      </c>
      <c r="D3510" t="s">
        <v>100</v>
      </c>
      <c r="E3510" t="s">
        <v>9</v>
      </c>
      <c r="F3510" s="2" t="s">
        <v>15</v>
      </c>
      <c r="H3510" s="2"/>
      <c r="K3510" s="3"/>
    </row>
    <row r="3511" spans="1:11" customFormat="1" ht="16" ns3:dyDescent="0.2">
      <c r="A3511" t="s">
        <v>55</v>
      </c>
      <c r="B3511" s="3">
        <v>4.0039462777159148E-9</v>
      </c>
      <c r="D3511" t="s">
        <v>100</v>
      </c>
      <c r="E3511" t="s">
        <v>9</v>
      </c>
      <c r="F3511" s="2" t="s">
        <v>15</v>
      </c>
      <c r="H3511" s="2"/>
      <c r="K3511" s="3"/>
    </row>
    <row r="3512" spans="1:11" customFormat="1" ht="16" ns3:dyDescent="0.2">
      <c r="A3512" t="s">
        <v>57</v>
      </c>
      <c r="B3512" s="3">
        <v>9.6449727337009339E-9</v>
      </c>
      <c r="D3512" t="s">
        <v>100</v>
      </c>
      <c r="E3512" t="s">
        <v>9</v>
      </c>
      <c r="F3512" s="2" t="s">
        <v>15</v>
      </c>
      <c r="H3512" s="2"/>
      <c r="K3512" s="3"/>
    </row>
    <row r="3513" spans="1:11" customFormat="1" ht="16" ns3:dyDescent="0.2">
      <c r="A3513" t="s">
        <v>58</v>
      </c>
      <c r="B3513" s="3">
        <v>4.0793809536092252E-6</v>
      </c>
      <c r="D3513" t="s">
        <v>100</v>
      </c>
      <c r="E3513" t="s">
        <v>9</v>
      </c>
      <c r="F3513" s="2" t="s">
        <v>15</v>
      </c>
      <c r="H3513" s="2"/>
      <c r="K3513" s="3"/>
    </row>
    <row r="3514" spans="1:11" customFormat="1" ht="16" ns3:dyDescent="0.2">
      <c r="A3514" t="s">
        <v>103</v>
      </c>
      <c r="B3514" s="3">
        <v>2.5641066388993793E-14</v>
      </c>
      <c r="D3514" t="s">
        <v>100</v>
      </c>
      <c r="E3514" t="s">
        <v>9</v>
      </c>
      <c r="F3514" s="2" t="s">
        <v>15</v>
      </c>
      <c r="H3514" s="2"/>
    </row>
    <row r="3515" spans="1:11" customFormat="1" ht="16" ns3:dyDescent="0.2">
      <c r="A3515" t="s">
        <v>104</v>
      </c>
      <c r="B3515" s="3">
        <v>1.4988121356087533E-6</v>
      </c>
      <c r="D3515" t="s">
        <v>100</v>
      </c>
      <c r="E3515" t="s">
        <v>9</v>
      </c>
      <c r="F3515" s="2" t="s">
        <v>15</v>
      </c>
      <c r="H3515" s="2"/>
    </row>
    <row r="3516" spans="1:11" customFormat="1" ht="16" ns3:dyDescent="0.2">
      <c r="A3516" t="s">
        <v>105</v>
      </c>
      <c r="B3516" s="3">
        <v>1.4988121356087536E-7</v>
      </c>
      <c r="D3516" t="s">
        <v>100</v>
      </c>
      <c r="E3516" t="s">
        <v>9</v>
      </c>
      <c r="F3516" s="2" t="s">
        <v>15</v>
      </c>
      <c r="H3516" s="2"/>
    </row>
    <row r="3517" spans="1:11" customFormat="1" ht="16" ns3:dyDescent="0.2">
      <c r="A3517" t="s">
        <v>63</v>
      </c>
      <c r="B3517" s="3">
        <v>4.4181493731679086E-9</v>
      </c>
      <c r="D3517" t="s">
        <v>100</v>
      </c>
      <c r="E3517" t="s">
        <v>9</v>
      </c>
      <c r="F3517" s="2" t="s">
        <v>15</v>
      </c>
      <c r="H3517" s="2"/>
    </row>
    <row r="3518" spans="1:11" customFormat="1" ht="16" ns3:dyDescent="0.2">
      <c r="A3518" t="s">
        <v>64</v>
      </c>
      <c r="B3518" s="3">
        <v>7.2386626011604185E-10</v>
      </c>
      <c r="D3518" t="s">
        <v>100</v>
      </c>
      <c r="E3518" t="s">
        <v>9</v>
      </c>
      <c r="F3518" s="2" t="s">
        <v>15</v>
      </c>
      <c r="H3518" s="2"/>
    </row>
    <row r="3519" spans="1:11" customFormat="1" ht="16" ns3:dyDescent="0.2">
      <c r="A3519" t="s">
        <v>65</v>
      </c>
      <c r="B3519" s="3">
        <v>1.3879471014768287E-6</v>
      </c>
      <c r="D3519" t="s">
        <v>100</v>
      </c>
      <c r="E3519" t="s">
        <v>9</v>
      </c>
      <c r="F3519" s="2" t="s">
        <v>15</v>
      </c>
      <c r="H3519" s="2"/>
    </row>
    <row r="3520" spans="1:11" customFormat="1" ht="16" ns3:dyDescent="0.2">
      <c r="A3520" t="s">
        <v>67</v>
      </c>
      <c r="B3520" s="3">
        <v>6.9408357025220894E-5</v>
      </c>
      <c r="D3520" t="s">
        <v>100</v>
      </c>
      <c r="E3520" t="s">
        <v>9</v>
      </c>
      <c r="F3520" s="2" t="s">
        <v>15</v>
      </c>
      <c r="H3520" s="2"/>
    </row>
    <row r="3521" spans="1:11" customFormat="1" ht="16" ns3:dyDescent="0.2">
      <c r="A3521" t="s">
        <v>68</v>
      </c>
      <c r="B3521" s="3">
        <v>5.5818502193524422E-7</v>
      </c>
      <c r="D3521" t="s">
        <v>100</v>
      </c>
      <c r="E3521" t="s">
        <v>9</v>
      </c>
      <c r="F3521" s="2" t="s">
        <v>15</v>
      </c>
      <c r="H3521" s="2"/>
    </row>
    <row r="3522" spans="1:11" customFormat="1" ht="16" ns3:dyDescent="0.2">
      <c r="A3522" t="s">
        <v>69</v>
      </c>
      <c r="B3522">
        <v>1.9128828001645137E-3</v>
      </c>
      <c r="D3522" t="s">
        <v>100</v>
      </c>
      <c r="E3522" t="s">
        <v>9</v>
      </c>
      <c r="F3522" s="2" t="s">
        <v>15</v>
      </c>
      <c r="H3522" s="2"/>
    </row>
    <row r="3523" spans="1:11" customFormat="1" ht="16" ns3:dyDescent="0.2">
      <c r="A3523" t="s">
        <v>70</v>
      </c>
      <c r="B3523" s="3">
        <v>5.12820309080674E-8</v>
      </c>
      <c r="D3523" t="s">
        <v>100</v>
      </c>
      <c r="E3523" t="s">
        <v>9</v>
      </c>
      <c r="F3523" s="2" t="s">
        <v>15</v>
      </c>
      <c r="H3523" s="2"/>
    </row>
    <row r="3524" spans="1:12" customFormat="1" ht="16" ns3:dyDescent="0.2">
      <c r="A3524" t="s">
        <v>71</v>
      </c>
      <c r="B3524" s="3">
        <f>0.00695*B3505</f>
        <v>1.782051282051282E-4</v>
      </c>
      <c r="D3524" t="s">
        <v>100</v>
      </c>
      <c r="E3524" t="s">
        <v>9</v>
      </c>
      <c r="F3524" s="2" t="s">
        <v>15</v>
      </c>
      <c r="H3524" s="2"/>
    </row>
    <row r="3525" spans="1:12" customFormat="1" ht="16" ns3:dyDescent="0.2">
      <c r="A3525" t="s">
        <v>107</v>
      </c>
      <c r="B3525" s="3">
        <f>0.0006*B3505</f>
        <v>1.5384615384615384E-5</v>
      </c>
      <c r="D3525" t="s">
        <v>100</v>
      </c>
      <c r="E3525" t="s">
        <v>9</v>
      </c>
      <c r="F3525" s="2" t="s">
        <v>15</v>
      </c>
      <c r="H3525" s="2"/>
    </row>
    <row r="3526" spans="1:12" customFormat="1" ht="16" ns3:dyDescent="0.2">
      <c r="A3526" t="s">
        <v>75</v>
      </c>
      <c r="B3526" s="3">
        <v>8.8362885593437998E-9</v>
      </c>
      <c r="D3526" t="s">
        <v>100</v>
      </c>
      <c r="E3526" t="s">
        <v>9</v>
      </c>
      <c r="F3526" s="2" t="s">
        <v>15</v>
      </c>
      <c r="H3526" s="2"/>
    </row>
    <row r="3527" spans="1:12" customFormat="1" ht="16" ns3:dyDescent="0.2">
      <c r="A3527" t="s">
        <v>77</v>
      </c>
      <c r="B3527">
        <f>2*97.54%*0.5%*B3505</f>
        <v>2.5010256410256412E-4</v>
      </c>
      <c r="D3527" t="s">
        <v>100</v>
      </c>
      <c r="E3527" t="s">
        <v>9</v>
      </c>
      <c r="F3527" s="2" t="s">
        <v>15</v>
      </c>
      <c r="H3527" s="2"/>
    </row>
    <row r="3528" spans="1:12" customFormat="1" ht="16" ns3:dyDescent="0.2">
      <c r="A3528" t="s">
        <v>79</v>
      </c>
      <c r="B3528" s="3">
        <v>2.0260399075004886E-8</v>
      </c>
      <c r="D3528" t="s">
        <v>100</v>
      </c>
      <c r="E3528" t="s">
        <v>9</v>
      </c>
      <c r="F3528" s="2" t="s">
        <v>15</v>
      </c>
      <c r="H3528" s="2"/>
    </row>
    <row r="3529" spans="1:12" customFormat="1" ht="16" ns3:dyDescent="0.2">
      <c r="A3529" t="s">
        <v>57</v>
      </c>
      <c r="B3529" s="3">
        <v>1.6520143085674979E-9</v>
      </c>
      <c r="D3529" t="s">
        <v>112</v>
      </c>
      <c r="E3529" t="s">
        <v>9</v>
      </c>
      <c r="F3529" s="2" t="s">
        <v>15</v>
      </c>
      <c r="H3529" s="2"/>
    </row>
    <row r="3530" spans="1:12" customFormat="1" ht="16" ns3:dyDescent="0.2">
      <c r="A3530" t="s">
        <v>108</v>
      </c>
      <c r="B3530" s="3">
        <v>1.5836494051346807E-10</v>
      </c>
      <c r="D3530" t="s">
        <v>112</v>
      </c>
      <c r="E3530" t="s">
        <v>9</v>
      </c>
      <c r="F3530" s="2" t="s">
        <v>15</v>
      </c>
      <c r="H3530" s="2"/>
    </row>
    <row r="3531" spans="1:12" customFormat="1" ht="16" ns3:dyDescent="0.2">
      <c r="A3531" t="s">
        <v>109</v>
      </c>
      <c r="B3531" s="3">
        <v>4.5524750499172942E-7</v>
      </c>
      <c r="D3531" t="s">
        <v>112</v>
      </c>
      <c r="E3531" t="s">
        <v>9</v>
      </c>
      <c r="F3531" s="2" t="s">
        <v>15</v>
      </c>
      <c r="H3531" s="2"/>
    </row>
    <row r="3532" spans="1:12" customFormat="1" ht="16" ns3:dyDescent="0.2">
      <c r="A3532" t="s">
        <v>110</v>
      </c>
      <c r="B3532" s="3">
        <v>2.6394088838964563E-11</v>
      </c>
      <c r="D3532" t="s">
        <v>112</v>
      </c>
      <c r="E3532" t="s">
        <v>9</v>
      </c>
      <c r="F3532" s="2" t="s">
        <v>15</v>
      </c>
      <c r="H3532" s="2"/>
    </row>
    <row r="3533" spans="1:12" customFormat="1" ht="16" ns3:dyDescent="0.2">
      <c r="A3533" t="s">
        <v>111</v>
      </c>
      <c r="B3533" s="3">
        <v>2.4156210432449703E-10</v>
      </c>
      <c r="D3533" t="s">
        <v>112</v>
      </c>
      <c r="E3533" t="s">
        <v>9</v>
      </c>
      <c r="F3533" s="2" t="s">
        <v>15</v>
      </c>
      <c r="H3533" s="2"/>
    </row>
    <row r="3534" spans="1:12" customFormat="1" ht="16" ns3:dyDescent="0.2">
      <c r="H3534" s="2"/>
    </row>
    <row r="3535" spans="1:12" ns3:dyDescent="0.2">
      <c r="A3535" s="17" t="s">
        <v>2</v>
      </c>
      <c r="B3535" s="17" t="s">
        <v>394</v>
      </c>
    </row>
    <row r="3536" spans="1:12" customFormat="1" ht="16" ns3:dyDescent="0.2">
      <c r="A3536" s="2" t="s">
        <v>3</v>
      </c>
      <c r="B3536" s="2" t="s">
        <v>18</v>
      </c>
      <c r="C3536" s="2"/>
      <c r="D3536" s="2"/>
      <c r="E3536" s="2"/>
      <c r="F3536" s="2"/>
      <c r="G3536" s="2"/>
      <c r="H3536" s="2"/>
      <c r="I3536" s="2"/>
      <c r="J3536" s="2"/>
      <c r="K3536" s="2"/>
      <c r="L3536" s="2"/>
    </row>
    <row r="3537" spans="1:12" customFormat="1" ht="16" ns3:dyDescent="0.2">
      <c r="A3537" s="2" t="s">
        <v>4</v>
      </c>
      <c r="B3537" s="2">
        <v>1</v>
      </c>
      <c r="C3537" s="2"/>
      <c r="D3537" s="2"/>
      <c r="E3537" s="2"/>
      <c r="F3537" s="2"/>
      <c r="G3537" s="2"/>
      <c r="H3537" s="2"/>
      <c r="I3537" s="2"/>
      <c r="J3537" s="2"/>
      <c r="K3537" s="2"/>
      <c r="L3537" s="2"/>
    </row>
    <row r="3538" spans="1:12" customFormat="1" ht="16" ns3:dyDescent="0.2">
      <c r="A3538" s="2" t="s">
        <v>5</v>
      </c>
      <c r="B3538" s="2" t="s">
        <v>1</v>
      </c>
      <c r="C3538" s="2"/>
      <c r="D3538" s="2"/>
      <c r="E3538" s="2"/>
      <c r="F3538" s="2"/>
      <c r="G3538" s="2"/>
      <c r="H3538" s="2"/>
      <c r="I3538" s="2"/>
      <c r="J3538" s="2"/>
    </row>
    <row r="3539" spans="1:12" customFormat="1" ht="16" ns3:dyDescent="0.2">
      <c r="A3539" s="2" t="s">
        <v>6</v>
      </c>
      <c r="B3539" s="2" t="s">
        <v>7</v>
      </c>
      <c r="C3539" s="2"/>
      <c r="D3539" s="2"/>
      <c r="E3539" s="2"/>
      <c r="F3539" s="2"/>
      <c r="G3539" s="2"/>
      <c r="H3539" s="2"/>
      <c r="I3539" s="2"/>
      <c r="J3539" s="2"/>
      <c r="K3539" s="2"/>
      <c r="L3539" s="2"/>
    </row>
    <row r="3540" spans="1:12" customFormat="1" ht="16" ns3:dyDescent="0.2">
      <c r="A3540" s="2" t="s">
        <v>151</v>
      </c>
      <c r="B3540" s="2" t="s">
        <v>399</v>
      </c>
      <c r="C3540" s="2"/>
      <c r="D3540" s="2"/>
      <c r="E3540" s="2"/>
      <c r="F3540" s="2"/>
      <c r="G3540" s="2"/>
      <c r="H3540" s="2"/>
      <c r="I3540" s="2"/>
      <c r="J3540" s="2"/>
      <c r="K3540" s="2"/>
      <c r="L3540" s="2"/>
    </row>
    <row r="3541" spans="1:12" customFormat="1" ht="16" ns3:dyDescent="0.2">
      <c r="A3541" s="2" t="s">
        <v>8</v>
      </c>
      <c r="B3541" s="2" t="s">
        <v>17</v>
      </c>
      <c r="C3541" s="2"/>
      <c r="D3541" s="2"/>
      <c r="E3541" s="2"/>
      <c r="F3541" s="2"/>
      <c r="G3541" s="2"/>
      <c r="H3541" s="2"/>
      <c r="I3541" s="2"/>
      <c r="J3541" s="2"/>
      <c r="K3541" s="2"/>
      <c r="L3541" s="2"/>
    </row>
    <row r="3542" spans="1:12" customFormat="1" ht="16" ns3:dyDescent="0.2">
      <c r="A3542" s="1" t="s">
        <v>10</v>
      </c>
      <c r="B3542" s="2"/>
      <c r="C3542" s="2"/>
      <c r="D3542" s="2"/>
      <c r="E3542" s="2"/>
      <c r="F3542" s="2"/>
      <c r="G3542" s="2"/>
      <c r="H3542" s="2"/>
      <c r="I3542" s="2"/>
      <c r="J3542" s="2"/>
      <c r="K3542" s="2"/>
      <c r="L3542" s="2"/>
    </row>
    <row r="3543" spans="1:12" ns3:dyDescent="0.2">
      <c r="A3543" s="17" t="s">
        <v>11</v>
      </c>
      <c r="B3543" s="17" t="s">
        <v>12</v>
      </c>
      <c r="C3543" s="17" t="s">
        <v>3</v>
      </c>
      <c r="D3543" s="17" t="s">
        <v>13</v>
      </c>
      <c r="E3543" s="17" t="s">
        <v>8</v>
      </c>
      <c r="F3543" s="17" t="s">
        <v>6</v>
      </c>
      <c r="G3543" s="17" t="s">
        <v>5</v>
      </c>
      <c r="I3543" s="17"/>
      <c r="J3543" s="17"/>
      <c r="K3543" s="17"/>
    </row>
    <row r="3544" spans="1:12" customFormat="1" ht="16" ns3:dyDescent="0.2">
      <c r="A3544" s="2" t="str">
        <f>B3535</f>
        <v>diesel, synthetic, burned in container ship</v>
      </c>
      <c r="B3544" s="2">
        <v>1</v>
      </c>
      <c r="C3544" s="2" t="str">
        <f>B3536</f>
        <v>RER</v>
      </c>
      <c r="D3544" s="2"/>
      <c r="E3544" s="2" t="str">
        <f>B3541</f>
        <v>megajoule</v>
      </c>
      <c r="F3544" s="2" t="s">
        <v>19</v>
      </c>
      <c r="G3544" s="2" t="str">
        <f>B3538</f>
        <v>heat</v>
      </c>
      <c r="H3544" s="2"/>
      <c r="I3544" s="2"/>
      <c r="J3544" s="2"/>
      <c r="K3544" s="2"/>
      <c r="L3544" s="2"/>
    </row>
    <row r="3545" spans="1:12" customFormat="1" ht="16" ns3:dyDescent="0.2">
      <c r="A3545" t="s">
        <v>503</v>
      </c>
      <c r="B3545">
        <f>1/39</f>
        <v>2.564102564102564E-2</v>
      </c>
      <c r="C3545" t="s">
        <v>18</v>
      </c>
      <c r="E3545" t="s">
        <v>9</v>
      </c>
      <c r="F3545" t="s">
        <v>23</v>
      </c>
      <c r="G3545" t="s">
        <v>133</v>
      </c>
      <c r="H3545" s="2"/>
    </row>
    <row r="3546" spans="1:12" customFormat="1" ht="16" ns3:dyDescent="0.2">
      <c r="A3546" t="s">
        <v>48</v>
      </c>
      <c r="B3546" s="3">
        <v>1.0256365433645409E-5</v>
      </c>
      <c r="D3546" t="s">
        <v>100</v>
      </c>
      <c r="E3546" t="s">
        <v>9</v>
      </c>
      <c r="F3546" s="2" t="s">
        <v>15</v>
      </c>
      <c r="H3546" s="2"/>
    </row>
    <row r="3547" spans="1:12" customFormat="1" ht="16" ns3:dyDescent="0.2">
      <c r="A3547" t="s">
        <v>90</v>
      </c>
      <c r="B3547" s="3">
        <v>9.6449727337009339E-9</v>
      </c>
      <c r="D3547" t="s">
        <v>100</v>
      </c>
      <c r="E3547" t="s">
        <v>9</v>
      </c>
      <c r="F3547" s="2" t="s">
        <v>15</v>
      </c>
      <c r="H3547" s="2"/>
    </row>
    <row r="3548" spans="1:12" customFormat="1" ht="16" ns3:dyDescent="0.2">
      <c r="A3548" t="s">
        <v>52</v>
      </c>
      <c r="B3548" s="3">
        <v>6.2721921074364377E-10</v>
      </c>
      <c r="D3548" t="s">
        <v>100</v>
      </c>
      <c r="E3548" t="s">
        <v>9</v>
      </c>
      <c r="F3548" s="2" t="s">
        <v>15</v>
      </c>
      <c r="H3548" s="2"/>
    </row>
    <row r="3549" spans="1:12" customFormat="1" ht="16" ns3:dyDescent="0.2">
      <c r="A3549" t="s">
        <v>122</v>
      </c>
      <c r="B3549" s="9">
        <f>3.15*B3545</f>
        <v>8.076923076923076E-2</v>
      </c>
      <c r="D3549" t="s">
        <v>100</v>
      </c>
      <c r="E3549" t="s">
        <v>9</v>
      </c>
      <c r="F3549" s="2" t="s">
        <v>15</v>
      </c>
      <c r="H3549" s="2"/>
    </row>
    <row r="3550" spans="1:12" customFormat="1" ht="16" ns3:dyDescent="0.2">
      <c r="A3550" t="s">
        <v>123</v>
      </c>
      <c r="B3550" s="3">
        <v>6.8728477177939384E-5</v>
      </c>
      <c r="D3550" t="s">
        <v>100</v>
      </c>
      <c r="E3550" t="s">
        <v>9</v>
      </c>
      <c r="F3550" s="2" t="s">
        <v>15</v>
      </c>
      <c r="H3550" s="2"/>
      <c r="K3550" s="3"/>
    </row>
    <row r="3551" spans="1:12" customFormat="1" ht="16" ns3:dyDescent="0.2">
      <c r="A3551" t="s">
        <v>55</v>
      </c>
      <c r="B3551" s="3">
        <v>4.0039462777159148E-9</v>
      </c>
      <c r="D3551" t="s">
        <v>100</v>
      </c>
      <c r="E3551" t="s">
        <v>9</v>
      </c>
      <c r="F3551" s="2" t="s">
        <v>15</v>
      </c>
      <c r="H3551" s="2"/>
      <c r="K3551" s="3"/>
    </row>
    <row r="3552" spans="1:12" customFormat="1" ht="16" ns3:dyDescent="0.2">
      <c r="A3552" t="s">
        <v>57</v>
      </c>
      <c r="B3552" s="3">
        <v>9.6449727337009339E-9</v>
      </c>
      <c r="D3552" t="s">
        <v>100</v>
      </c>
      <c r="E3552" t="s">
        <v>9</v>
      </c>
      <c r="F3552" s="2" t="s">
        <v>15</v>
      </c>
      <c r="H3552" s="2"/>
      <c r="K3552" s="3"/>
    </row>
    <row r="3553" spans="1:12" customFormat="1" ht="16" ns3:dyDescent="0.2">
      <c r="A3553" t="s">
        <v>58</v>
      </c>
      <c r="B3553" s="3">
        <v>4.0793809536092252E-6</v>
      </c>
      <c r="D3553" t="s">
        <v>100</v>
      </c>
      <c r="E3553" t="s">
        <v>9</v>
      </c>
      <c r="F3553" s="2" t="s">
        <v>15</v>
      </c>
      <c r="H3553" s="2"/>
      <c r="K3553" s="3"/>
    </row>
    <row r="3554" spans="1:12" customFormat="1" ht="16" ns3:dyDescent="0.2">
      <c r="A3554" t="s">
        <v>103</v>
      </c>
      <c r="B3554" s="3">
        <v>2.5641066388993793E-14</v>
      </c>
      <c r="D3554" t="s">
        <v>100</v>
      </c>
      <c r="E3554" t="s">
        <v>9</v>
      </c>
      <c r="F3554" s="2" t="s">
        <v>15</v>
      </c>
      <c r="H3554" s="2"/>
    </row>
    <row r="3555" spans="1:12" customFormat="1" ht="16" ns3:dyDescent="0.2">
      <c r="A3555" t="s">
        <v>104</v>
      </c>
      <c r="B3555" s="3">
        <v>1.4988121356087533E-6</v>
      </c>
      <c r="D3555" t="s">
        <v>100</v>
      </c>
      <c r="E3555" t="s">
        <v>9</v>
      </c>
      <c r="F3555" s="2" t="s">
        <v>15</v>
      </c>
      <c r="H3555" s="2"/>
    </row>
    <row r="3556" spans="1:8" customFormat="1" ht="16" ns3:dyDescent="0.2">
      <c r="A3556" t="s">
        <v>105</v>
      </c>
      <c r="B3556" s="3">
        <v>1.4988121356087536E-7</v>
      </c>
      <c r="D3556" t="s">
        <v>100</v>
      </c>
      <c r="E3556" t="s">
        <v>9</v>
      </c>
      <c r="F3556" s="2" t="s">
        <v>15</v>
      </c>
      <c r="H3556" s="2"/>
    </row>
    <row r="3557" spans="1:8" customFormat="1" ht="16" ns3:dyDescent="0.2">
      <c r="A3557" t="s">
        <v>63</v>
      </c>
      <c r="B3557" s="3">
        <v>4.4181493731679086E-9</v>
      </c>
      <c r="D3557" t="s">
        <v>100</v>
      </c>
      <c r="E3557" t="s">
        <v>9</v>
      </c>
      <c r="F3557" s="2" t="s">
        <v>15</v>
      </c>
      <c r="H3557" s="2"/>
    </row>
    <row r="3558" spans="1:8" customFormat="1" ht="16" ns3:dyDescent="0.2">
      <c r="A3558" t="s">
        <v>64</v>
      </c>
      <c r="B3558" s="3">
        <v>7.2386626011604185E-10</v>
      </c>
      <c r="D3558" t="s">
        <v>100</v>
      </c>
      <c r="E3558" t="s">
        <v>9</v>
      </c>
      <c r="F3558" s="2" t="s">
        <v>15</v>
      </c>
      <c r="H3558" s="2"/>
    </row>
    <row r="3559" spans="1:8" customFormat="1" ht="16" ns3:dyDescent="0.2">
      <c r="A3559" t="s">
        <v>177</v>
      </c>
      <c r="B3559" s="3">
        <v>1.3879471014768287E-6</v>
      </c>
      <c r="D3559" t="s">
        <v>100</v>
      </c>
      <c r="E3559" t="s">
        <v>9</v>
      </c>
      <c r="F3559" s="2" t="s">
        <v>15</v>
      </c>
      <c r="H3559" s="2"/>
    </row>
    <row r="3560" spans="1:8" customFormat="1" ht="16" ns3:dyDescent="0.2">
      <c r="A3560" t="s">
        <v>67</v>
      </c>
      <c r="B3560" s="3">
        <v>6.9408357025220894E-5</v>
      </c>
      <c r="D3560" t="s">
        <v>100</v>
      </c>
      <c r="E3560" t="s">
        <v>9</v>
      </c>
      <c r="F3560" s="2" t="s">
        <v>15</v>
      </c>
      <c r="H3560" s="2"/>
    </row>
    <row r="3561" spans="1:8" customFormat="1" ht="16" ns3:dyDescent="0.2">
      <c r="A3561" t="s">
        <v>68</v>
      </c>
      <c r="B3561" s="3">
        <v>5.5818502193524422E-7</v>
      </c>
      <c r="D3561" t="s">
        <v>100</v>
      </c>
      <c r="E3561" t="s">
        <v>9</v>
      </c>
      <c r="F3561" s="2" t="s">
        <v>15</v>
      </c>
      <c r="H3561" s="2"/>
    </row>
    <row r="3562" spans="1:8" customFormat="1" ht="16" ns3:dyDescent="0.2">
      <c r="A3562" t="s">
        <v>69</v>
      </c>
      <c r="B3562">
        <v>1.9128828001645137E-3</v>
      </c>
      <c r="D3562" t="s">
        <v>100</v>
      </c>
      <c r="E3562" t="s">
        <v>9</v>
      </c>
      <c r="F3562" s="2" t="s">
        <v>15</v>
      </c>
      <c r="H3562" s="2"/>
    </row>
    <row r="3563" spans="1:8" customFormat="1" ht="16" ns3:dyDescent="0.2">
      <c r="A3563" t="s">
        <v>70</v>
      </c>
      <c r="B3563" s="3">
        <v>5.12820309080674E-8</v>
      </c>
      <c r="D3563" t="s">
        <v>100</v>
      </c>
      <c r="E3563" t="s">
        <v>9</v>
      </c>
      <c r="F3563" s="2" t="s">
        <v>15</v>
      </c>
      <c r="H3563" s="2"/>
    </row>
    <row r="3564" spans="1:8" customFormat="1" ht="16" ns3:dyDescent="0.2">
      <c r="A3564" t="s">
        <v>71</v>
      </c>
      <c r="B3564" s="3">
        <f>0.00695*B3545*(1-0.8)</f>
        <v>3.5641025641025632E-5</v>
      </c>
      <c r="D3564" t="s">
        <v>100</v>
      </c>
      <c r="E3564" t="s">
        <v>9</v>
      </c>
      <c r="F3564" s="2" t="s">
        <v>15</v>
      </c>
      <c r="H3564" s="2"/>
    </row>
    <row r="3565" spans="1:8" customFormat="1" ht="16" ns3:dyDescent="0.2">
      <c r="A3565" t="s">
        <v>107</v>
      </c>
      <c r="B3565" s="3">
        <f>0.0006*B3545*(1-0.8)</f>
        <v>3.0769230769230762E-6</v>
      </c>
      <c r="D3565" t="s">
        <v>100</v>
      </c>
      <c r="E3565" t="s">
        <v>9</v>
      </c>
      <c r="F3565" s="2" t="s">
        <v>15</v>
      </c>
      <c r="H3565" s="2"/>
    </row>
    <row r="3566" spans="1:8" customFormat="1" ht="16" ns3:dyDescent="0.2">
      <c r="A3566" t="s">
        <v>75</v>
      </c>
      <c r="B3566" s="3">
        <v>8.8362885593437998E-9</v>
      </c>
      <c r="D3566" t="s">
        <v>100</v>
      </c>
      <c r="E3566" t="s">
        <v>9</v>
      </c>
      <c r="F3566" s="2" t="s">
        <v>15</v>
      </c>
      <c r="H3566" s="2"/>
    </row>
    <row r="3567" spans="1:8" customFormat="1" ht="16" ns3:dyDescent="0.2">
      <c r="A3567" t="s">
        <v>79</v>
      </c>
      <c r="B3567" s="3">
        <v>2.0260399075004886E-8</v>
      </c>
      <c r="D3567" t="s">
        <v>100</v>
      </c>
      <c r="E3567" t="s">
        <v>9</v>
      </c>
      <c r="F3567" s="2" t="s">
        <v>15</v>
      </c>
      <c r="H3567" s="2"/>
    </row>
    <row r="3568" spans="1:8" customFormat="1" ht="16" ns3:dyDescent="0.2">
      <c r="A3568" t="s">
        <v>57</v>
      </c>
      <c r="B3568" s="3">
        <v>1.6520143085674979E-9</v>
      </c>
      <c r="D3568" t="s">
        <v>112</v>
      </c>
      <c r="E3568" t="s">
        <v>9</v>
      </c>
      <c r="F3568" s="2" t="s">
        <v>15</v>
      </c>
      <c r="H3568" s="2"/>
    </row>
    <row r="3569" spans="1:8" customFormat="1" ht="16" ns3:dyDescent="0.2">
      <c r="A3569" t="s">
        <v>108</v>
      </c>
      <c r="B3569" s="3">
        <v>1.5836494051346807E-10</v>
      </c>
      <c r="D3569" t="s">
        <v>112</v>
      </c>
      <c r="E3569" t="s">
        <v>9</v>
      </c>
      <c r="F3569" s="2" t="s">
        <v>15</v>
      </c>
      <c r="H3569" s="2"/>
    </row>
    <row r="3570" spans="1:8" customFormat="1" ht="16" ns3:dyDescent="0.2">
      <c r="A3570" t="s">
        <v>109</v>
      </c>
      <c r="B3570" s="3">
        <v>4.5524750499172942E-7</v>
      </c>
      <c r="D3570" t="s">
        <v>112</v>
      </c>
      <c r="E3570" t="s">
        <v>9</v>
      </c>
      <c r="F3570" s="2" t="s">
        <v>15</v>
      </c>
      <c r="H3570" s="2"/>
    </row>
    <row r="3571" spans="1:8" customFormat="1" ht="16" ns3:dyDescent="0.2">
      <c r="A3571" t="s">
        <v>110</v>
      </c>
      <c r="B3571" s="3">
        <v>2.6394088838964563E-11</v>
      </c>
      <c r="D3571" t="s">
        <v>112</v>
      </c>
      <c r="E3571" t="s">
        <v>9</v>
      </c>
      <c r="F3571" s="2" t="s">
        <v>15</v>
      </c>
      <c r="H3571" s="2"/>
    </row>
    <row r="3572" spans="1:12" customFormat="1" ht="16" ns3:dyDescent="0.2">
      <c r="A3572" t="s">
        <v>111</v>
      </c>
      <c r="B3572" s="3">
        <v>2.4156210432449703E-10</v>
      </c>
      <c r="D3572" t="s">
        <v>112</v>
      </c>
      <c r="E3572" t="s">
        <v>9</v>
      </c>
      <c r="F3572" s="2" t="s">
        <v>15</v>
      </c>
      <c r="H3572" s="2"/>
    </row>
    <row r="3573" spans="1:12" customFormat="1" ht="16" ns3:dyDescent="0.2"/>
    <row r="3574" spans="1:12" ns3:dyDescent="0.2">
      <c r="A3574" s="17" t="s">
        <v>2</v>
      </c>
      <c r="B3574" s="17" t="s">
        <v>495</v>
      </c>
    </row>
    <row r="3575" spans="1:12" customFormat="1" ht="16" ns3:dyDescent="0.2">
      <c r="A3575" s="2" t="s">
        <v>3</v>
      </c>
      <c r="B3575" s="2" t="s">
        <v>18</v>
      </c>
      <c r="C3575" s="2"/>
      <c r="D3575" s="2"/>
      <c r="E3575" s="2"/>
      <c r="F3575" s="2"/>
      <c r="G3575" s="2"/>
      <c r="H3575" s="2"/>
      <c r="I3575" s="2"/>
      <c r="J3575" s="2"/>
      <c r="K3575" s="2"/>
      <c r="L3575" s="2"/>
    </row>
    <row r="3576" spans="1:12" customFormat="1" ht="16" ns3:dyDescent="0.2">
      <c r="A3576" s="2" t="s">
        <v>4</v>
      </c>
      <c r="B3576" s="2">
        <v>1</v>
      </c>
      <c r="C3576" s="2"/>
      <c r="D3576" s="2"/>
      <c r="E3576" s="2"/>
      <c r="F3576" s="2"/>
      <c r="G3576" s="2"/>
      <c r="H3576" s="2"/>
      <c r="I3576" s="2"/>
      <c r="J3576" s="2"/>
      <c r="K3576" s="2"/>
      <c r="L3576" s="2"/>
    </row>
    <row r="3577" spans="1:12" customFormat="1" ht="16" ns3:dyDescent="0.2">
      <c r="A3577" s="2" t="s">
        <v>5</v>
      </c>
      <c r="B3577" s="2" t="s">
        <v>1</v>
      </c>
      <c r="C3577" s="2"/>
      <c r="D3577" s="2"/>
      <c r="E3577" s="2"/>
      <c r="F3577" s="2"/>
      <c r="G3577" s="2"/>
      <c r="H3577" s="2"/>
      <c r="I3577" s="2"/>
      <c r="J3577" s="2"/>
    </row>
    <row r="3578" spans="1:12" customFormat="1" ht="16" ns3:dyDescent="0.2">
      <c r="A3578" s="2" t="s">
        <v>6</v>
      </c>
      <c r="B3578" s="2" t="s">
        <v>7</v>
      </c>
      <c r="C3578" s="2"/>
      <c r="D3578" s="2"/>
      <c r="E3578" s="2"/>
      <c r="F3578" s="2"/>
      <c r="G3578" s="2"/>
      <c r="H3578" s="2"/>
      <c r="I3578" s="2"/>
      <c r="J3578" s="2"/>
      <c r="K3578" s="2"/>
      <c r="L3578" s="2"/>
    </row>
    <row r="3579" spans="1:12" customFormat="1" ht="16" ns3:dyDescent="0.2">
      <c r="A3579" s="2" t="s">
        <v>151</v>
      </c>
      <c r="B3579" s="2" t="s">
        <v>399</v>
      </c>
      <c r="C3579" s="2"/>
      <c r="D3579" s="2"/>
      <c r="E3579" s="2"/>
      <c r="F3579" s="2"/>
      <c r="G3579" s="2"/>
      <c r="H3579" s="2"/>
      <c r="I3579" s="2"/>
      <c r="J3579" s="2"/>
      <c r="K3579" s="2"/>
      <c r="L3579" s="2"/>
    </row>
    <row r="3580" spans="1:12" customFormat="1" ht="16" ns3:dyDescent="0.2">
      <c r="A3580" s="2" t="s">
        <v>8</v>
      </c>
      <c r="B3580" s="2" t="s">
        <v>17</v>
      </c>
      <c r="C3580" s="2"/>
      <c r="D3580" s="2"/>
      <c r="E3580" s="2"/>
      <c r="F3580" s="2"/>
      <c r="G3580" s="2"/>
      <c r="H3580" s="2"/>
      <c r="I3580" s="2"/>
      <c r="J3580" s="2"/>
      <c r="K3580" s="2"/>
      <c r="L3580" s="2"/>
    </row>
    <row r="3581" spans="1:12" customFormat="1" ht="16" ns3:dyDescent="0.2">
      <c r="A3581" s="1" t="s">
        <v>10</v>
      </c>
      <c r="B3581" s="2"/>
      <c r="C3581" s="2"/>
      <c r="D3581" s="2"/>
      <c r="E3581" s="2"/>
      <c r="F3581" s="2"/>
      <c r="G3581" s="2"/>
      <c r="H3581" s="2"/>
      <c r="I3581" s="2"/>
      <c r="J3581" s="2"/>
      <c r="K3581" s="2"/>
      <c r="L3581" s="2"/>
    </row>
    <row r="3582" spans="1:12" ns3:dyDescent="0.2">
      <c r="A3582" s="17" t="s">
        <v>11</v>
      </c>
      <c r="B3582" s="17" t="s">
        <v>12</v>
      </c>
      <c r="C3582" s="17" t="s">
        <v>3</v>
      </c>
      <c r="D3582" s="17" t="s">
        <v>13</v>
      </c>
      <c r="E3582" s="17" t="s">
        <v>8</v>
      </c>
      <c r="F3582" s="17" t="s">
        <v>6</v>
      </c>
      <c r="G3582" s="17" t="s">
        <v>5</v>
      </c>
      <c r="I3582" s="17"/>
      <c r="J3582" s="17"/>
      <c r="K3582" s="17"/>
    </row>
    <row r="3583" spans="1:12" customFormat="1" ht="16" ns3:dyDescent="0.2">
      <c r="A3583" s="2" t="str">
        <f>B3574</f>
        <v>biodiesel, from residual cellulosic biomass, burned in container ship</v>
      </c>
      <c r="B3583" s="2">
        <v>1</v>
      </c>
      <c r="C3583" s="2" t="str">
        <f>B3575</f>
        <v>RER</v>
      </c>
      <c r="D3583" s="2"/>
      <c r="E3583" s="2" t="str">
        <f>B3580</f>
        <v>megajoule</v>
      </c>
      <c r="F3583" s="2" t="s">
        <v>19</v>
      </c>
      <c r="G3583" s="2" t="str">
        <f>B3577</f>
        <v>heat</v>
      </c>
      <c r="H3583" s="2"/>
      <c r="I3583" s="2"/>
      <c r="J3583" s="2"/>
      <c r="K3583" s="2"/>
      <c r="L3583" s="2"/>
    </row>
    <row r="3584" spans="1:12" customFormat="1" ht="16" ns3:dyDescent="0.2">
      <c r="A3584" s="2" t="s">
        <v>412</v>
      </c>
      <c r="B3584" s="9">
        <f>1/39</f>
        <v>2.564102564102564E-2</v>
      </c>
      <c r="C3584" t="s">
        <v>18</v>
      </c>
      <c r="E3584" t="s">
        <v>9</v>
      </c>
      <c r="F3584" t="s">
        <v>23</v>
      </c>
      <c r="G3584" t="s">
        <v>404</v>
      </c>
      <c r="I3584" s="2"/>
    </row>
    <row r="3585" spans="1:12" customFormat="1" ht="16" ns3:dyDescent="0.2">
      <c r="A3585" t="s">
        <v>48</v>
      </c>
      <c r="B3585" s="3">
        <v>1.0256365433645409E-5</v>
      </c>
      <c r="D3585" t="s">
        <v>100</v>
      </c>
      <c r="E3585" t="s">
        <v>9</v>
      </c>
      <c r="F3585" s="2" t="s">
        <v>15</v>
      </c>
      <c r="H3585" s="2"/>
    </row>
    <row r="3586" spans="1:12" customFormat="1" ht="16" ns3:dyDescent="0.2">
      <c r="A3586" t="s">
        <v>90</v>
      </c>
      <c r="B3586" s="3">
        <v>9.6449727337009339E-9</v>
      </c>
      <c r="D3586" t="s">
        <v>100</v>
      </c>
      <c r="E3586" t="s">
        <v>9</v>
      </c>
      <c r="F3586" s="2" t="s">
        <v>15</v>
      </c>
      <c r="H3586" s="2"/>
    </row>
    <row r="3587" spans="1:12" customFormat="1" ht="16" ns3:dyDescent="0.2">
      <c r="A3587" t="s">
        <v>52</v>
      </c>
      <c r="B3587" s="3">
        <v>6.2721921074364377E-10</v>
      </c>
      <c r="D3587" t="s">
        <v>100</v>
      </c>
      <c r="E3587" t="s">
        <v>9</v>
      </c>
      <c r="F3587" s="2" t="s">
        <v>15</v>
      </c>
      <c r="H3587" s="2"/>
    </row>
    <row r="3588" spans="1:11" customFormat="1" ht="16" ns3:dyDescent="0.2">
      <c r="A3588" t="s">
        <v>122</v>
      </c>
      <c r="B3588" s="9">
        <f>3.15*B3584</f>
        <v>8.076923076923076E-2</v>
      </c>
      <c r="D3588" t="s">
        <v>100</v>
      </c>
      <c r="E3588" t="s">
        <v>9</v>
      </c>
      <c r="F3588" s="2" t="s">
        <v>15</v>
      </c>
      <c r="H3588" s="2"/>
    </row>
    <row r="3589" spans="1:11" customFormat="1" ht="16" ns3:dyDescent="0.2">
      <c r="A3589" t="s">
        <v>123</v>
      </c>
      <c r="B3589" s="3">
        <v>6.8728477177939384E-5</v>
      </c>
      <c r="D3589" t="s">
        <v>100</v>
      </c>
      <c r="E3589" t="s">
        <v>9</v>
      </c>
      <c r="F3589" s="2" t="s">
        <v>15</v>
      </c>
      <c r="H3589" s="2"/>
      <c r="K3589" s="3"/>
    </row>
    <row r="3590" spans="1:11" customFormat="1" ht="16" ns3:dyDescent="0.2">
      <c r="A3590" t="s">
        <v>55</v>
      </c>
      <c r="B3590" s="3">
        <v>4.0039462777159148E-9</v>
      </c>
      <c r="D3590" t="s">
        <v>100</v>
      </c>
      <c r="E3590" t="s">
        <v>9</v>
      </c>
      <c r="F3590" s="2" t="s">
        <v>15</v>
      </c>
      <c r="H3590" s="2"/>
      <c r="K3590" s="3"/>
    </row>
    <row r="3591" spans="1:11" customFormat="1" ht="16" ns3:dyDescent="0.2">
      <c r="A3591" t="s">
        <v>57</v>
      </c>
      <c r="B3591" s="3">
        <v>9.6449727337009339E-9</v>
      </c>
      <c r="D3591" t="s">
        <v>100</v>
      </c>
      <c r="E3591" t="s">
        <v>9</v>
      </c>
      <c r="F3591" s="2" t="s">
        <v>15</v>
      </c>
      <c r="H3591" s="2"/>
      <c r="K3591" s="3"/>
    </row>
    <row r="3592" spans="1:11" customFormat="1" ht="16" ns3:dyDescent="0.2">
      <c r="A3592" t="s">
        <v>58</v>
      </c>
      <c r="B3592" s="3">
        <v>4.0793809536092252E-6</v>
      </c>
      <c r="D3592" t="s">
        <v>100</v>
      </c>
      <c r="E3592" t="s">
        <v>9</v>
      </c>
      <c r="F3592" s="2" t="s">
        <v>15</v>
      </c>
      <c r="H3592" s="2"/>
      <c r="K3592" s="3"/>
    </row>
    <row r="3593" spans="1:11" customFormat="1" ht="16" ns3:dyDescent="0.2">
      <c r="A3593" t="s">
        <v>103</v>
      </c>
      <c r="B3593" s="3">
        <v>2.5641066388993793E-14</v>
      </c>
      <c r="D3593" t="s">
        <v>100</v>
      </c>
      <c r="E3593" t="s">
        <v>9</v>
      </c>
      <c r="F3593" s="2" t="s">
        <v>15</v>
      </c>
      <c r="H3593" s="2"/>
    </row>
    <row r="3594" spans="1:11" customFormat="1" ht="16" ns3:dyDescent="0.2">
      <c r="A3594" t="s">
        <v>104</v>
      </c>
      <c r="B3594" s="3">
        <v>1.4988121356087533E-6</v>
      </c>
      <c r="D3594" t="s">
        <v>100</v>
      </c>
      <c r="E3594" t="s">
        <v>9</v>
      </c>
      <c r="F3594" s="2" t="s">
        <v>15</v>
      </c>
      <c r="H3594" s="2"/>
    </row>
    <row r="3595" spans="1:11" customFormat="1" ht="16" ns3:dyDescent="0.2">
      <c r="A3595" t="s">
        <v>105</v>
      </c>
      <c r="B3595" s="3">
        <v>1.4988121356087536E-7</v>
      </c>
      <c r="D3595" t="s">
        <v>100</v>
      </c>
      <c r="E3595" t="s">
        <v>9</v>
      </c>
      <c r="F3595" s="2" t="s">
        <v>15</v>
      </c>
      <c r="H3595" s="2"/>
    </row>
    <row r="3596" spans="1:11" customFormat="1" ht="16" ns3:dyDescent="0.2">
      <c r="A3596" t="s">
        <v>63</v>
      </c>
      <c r="B3596" s="3">
        <v>4.4181493731679086E-9</v>
      </c>
      <c r="D3596" t="s">
        <v>100</v>
      </c>
      <c r="E3596" t="s">
        <v>9</v>
      </c>
      <c r="F3596" s="2" t="s">
        <v>15</v>
      </c>
      <c r="H3596" s="2"/>
    </row>
    <row r="3597" spans="1:11" customFormat="1" ht="16" ns3:dyDescent="0.2">
      <c r="A3597" t="s">
        <v>64</v>
      </c>
      <c r="B3597" s="3">
        <v>7.2386626011604185E-10</v>
      </c>
      <c r="D3597" t="s">
        <v>100</v>
      </c>
      <c r="E3597" t="s">
        <v>9</v>
      </c>
      <c r="F3597" s="2" t="s">
        <v>15</v>
      </c>
      <c r="H3597" s="2"/>
    </row>
    <row r="3598" spans="1:11" customFormat="1" ht="16" ns3:dyDescent="0.2">
      <c r="A3598" t="s">
        <v>177</v>
      </c>
      <c r="B3598" s="3">
        <v>1.3879471014768287E-6</v>
      </c>
      <c r="D3598" t="s">
        <v>100</v>
      </c>
      <c r="E3598" t="s">
        <v>9</v>
      </c>
      <c r="F3598" s="2" t="s">
        <v>15</v>
      </c>
      <c r="H3598" s="2"/>
    </row>
    <row r="3599" spans="1:11" customFormat="1" ht="16" ns3:dyDescent="0.2">
      <c r="A3599" t="s">
        <v>67</v>
      </c>
      <c r="B3599" s="3">
        <v>6.9408357025220894E-5</v>
      </c>
      <c r="D3599" t="s">
        <v>100</v>
      </c>
      <c r="E3599" t="s">
        <v>9</v>
      </c>
      <c r="F3599" s="2" t="s">
        <v>15</v>
      </c>
      <c r="H3599" s="2"/>
    </row>
    <row r="3600" spans="1:11" customFormat="1" ht="16" ns3:dyDescent="0.2">
      <c r="A3600" t="s">
        <v>68</v>
      </c>
      <c r="B3600" s="3">
        <v>5.5818502193524422E-7</v>
      </c>
      <c r="D3600" t="s">
        <v>100</v>
      </c>
      <c r="E3600" t="s">
        <v>9</v>
      </c>
      <c r="F3600" s="2" t="s">
        <v>15</v>
      </c>
      <c r="H3600" s="2"/>
    </row>
    <row r="3601" spans="1:11" customFormat="1" ht="16" ns3:dyDescent="0.2">
      <c r="A3601" t="s">
        <v>69</v>
      </c>
      <c r="B3601">
        <v>1.9128828001645137E-3</v>
      </c>
      <c r="D3601" t="s">
        <v>100</v>
      </c>
      <c r="E3601" t="s">
        <v>9</v>
      </c>
      <c r="F3601" s="2" t="s">
        <v>15</v>
      </c>
      <c r="H3601" s="2"/>
    </row>
    <row r="3602" spans="1:11" customFormat="1" ht="16" ns3:dyDescent="0.2">
      <c r="A3602" t="s">
        <v>70</v>
      </c>
      <c r="B3602" s="3">
        <v>5.12820309080674E-8</v>
      </c>
      <c r="D3602" t="s">
        <v>100</v>
      </c>
      <c r="E3602" t="s">
        <v>9</v>
      </c>
      <c r="F3602" s="2" t="s">
        <v>15</v>
      </c>
      <c r="H3602" s="2"/>
    </row>
    <row r="3603" spans="1:11" customFormat="1" ht="16" ns3:dyDescent="0.2">
      <c r="A3603" t="s">
        <v>71</v>
      </c>
      <c r="B3603" s="3">
        <v>3.5641025641025632E-5</v>
      </c>
      <c r="D3603" t="s">
        <v>100</v>
      </c>
      <c r="E3603" t="s">
        <v>9</v>
      </c>
      <c r="F3603" s="2" t="s">
        <v>15</v>
      </c>
      <c r="H3603" s="2"/>
    </row>
    <row r="3604" spans="1:12" customFormat="1" ht="16" ns3:dyDescent="0.2">
      <c r="A3604" t="s">
        <v>107</v>
      </c>
      <c r="B3604" s="3">
        <v>3.0769230769230762E-6</v>
      </c>
      <c r="D3604" t="s">
        <v>100</v>
      </c>
      <c r="E3604" t="s">
        <v>9</v>
      </c>
      <c r="F3604" s="2" t="s">
        <v>15</v>
      </c>
      <c r="H3604" s="2"/>
    </row>
    <row r="3605" spans="1:12" customFormat="1" ht="16" ns3:dyDescent="0.2">
      <c r="A3605" t="s">
        <v>75</v>
      </c>
      <c r="B3605" s="3">
        <v>8.8362885593437998E-9</v>
      </c>
      <c r="D3605" t="s">
        <v>100</v>
      </c>
      <c r="E3605" t="s">
        <v>9</v>
      </c>
      <c r="F3605" s="2" t="s">
        <v>15</v>
      </c>
      <c r="H3605" s="2"/>
    </row>
    <row r="3606" spans="1:12" customFormat="1" ht="16" ns3:dyDescent="0.2">
      <c r="A3606" t="s">
        <v>79</v>
      </c>
      <c r="B3606" s="3">
        <v>2.0260399075004886E-8</v>
      </c>
      <c r="D3606" t="s">
        <v>100</v>
      </c>
      <c r="E3606" t="s">
        <v>9</v>
      </c>
      <c r="F3606" s="2" t="s">
        <v>15</v>
      </c>
      <c r="H3606" s="2"/>
    </row>
    <row r="3607" spans="1:12" customFormat="1" ht="16" ns3:dyDescent="0.2">
      <c r="A3607" t="s">
        <v>57</v>
      </c>
      <c r="B3607" s="3">
        <v>1.6520143085674979E-9</v>
      </c>
      <c r="D3607" t="s">
        <v>112</v>
      </c>
      <c r="E3607" t="s">
        <v>9</v>
      </c>
      <c r="F3607" s="2" t="s">
        <v>15</v>
      </c>
      <c r="H3607" s="2"/>
    </row>
    <row r="3608" spans="1:12" customFormat="1" ht="16" ns3:dyDescent="0.2">
      <c r="A3608" t="s">
        <v>108</v>
      </c>
      <c r="B3608" s="3">
        <v>1.5836494051346807E-10</v>
      </c>
      <c r="D3608" t="s">
        <v>112</v>
      </c>
      <c r="E3608" t="s">
        <v>9</v>
      </c>
      <c r="F3608" s="2" t="s">
        <v>15</v>
      </c>
      <c r="H3608" s="2"/>
    </row>
    <row r="3609" spans="1:12" customFormat="1" ht="16" ns3:dyDescent="0.2">
      <c r="A3609" t="s">
        <v>109</v>
      </c>
      <c r="B3609" s="3">
        <v>4.5524750499172942E-7</v>
      </c>
      <c r="D3609" t="s">
        <v>112</v>
      </c>
      <c r="E3609" t="s">
        <v>9</v>
      </c>
      <c r="F3609" s="2" t="s">
        <v>15</v>
      </c>
      <c r="H3609" s="2"/>
    </row>
    <row r="3610" spans="1:12" customFormat="1" ht="16" ns3:dyDescent="0.2">
      <c r="A3610" t="s">
        <v>110</v>
      </c>
      <c r="B3610" s="3">
        <v>2.6394088838964563E-11</v>
      </c>
      <c r="D3610" t="s">
        <v>112</v>
      </c>
      <c r="E3610" t="s">
        <v>9</v>
      </c>
      <c r="F3610" s="2" t="s">
        <v>15</v>
      </c>
      <c r="H3610" s="2"/>
    </row>
    <row r="3611" spans="1:12" customFormat="1" ht="16" ns3:dyDescent="0.2">
      <c r="A3611" t="s">
        <v>111</v>
      </c>
      <c r="B3611" s="3">
        <v>2.4156210432449703E-10</v>
      </c>
      <c r="D3611" t="s">
        <v>112</v>
      </c>
      <c r="E3611" t="s">
        <v>9</v>
      </c>
      <c r="F3611" s="2" t="s">
        <v>15</v>
      </c>
      <c r="H3611" s="2"/>
    </row>
    <row r="3612" spans="1:12" customFormat="1" ht="16" ns3:dyDescent="0.2"/>
    <row r="3613" spans="1:12" ns3:dyDescent="0.2">
      <c r="A3613" s="17" t="s">
        <v>2</v>
      </c>
      <c r="B3613" s="17" t="s">
        <v>496</v>
      </c>
    </row>
    <row r="3614" spans="1:12" customFormat="1" ht="16" ns3:dyDescent="0.2">
      <c r="A3614" s="2" t="s">
        <v>3</v>
      </c>
      <c r="B3614" s="2" t="s">
        <v>18</v>
      </c>
      <c r="C3614" s="2"/>
      <c r="D3614" s="2"/>
      <c r="E3614" s="2"/>
      <c r="F3614" s="2"/>
      <c r="G3614" s="2"/>
      <c r="H3614" s="2"/>
      <c r="I3614" s="2"/>
      <c r="J3614" s="2"/>
      <c r="K3614" s="2"/>
      <c r="L3614" s="2"/>
    </row>
    <row r="3615" spans="1:12" customFormat="1" ht="16" ns3:dyDescent="0.2">
      <c r="A3615" s="2" t="s">
        <v>4</v>
      </c>
      <c r="B3615" s="2">
        <v>1</v>
      </c>
      <c r="C3615" s="2"/>
      <c r="D3615" s="2"/>
      <c r="E3615" s="2"/>
      <c r="F3615" s="2"/>
      <c r="G3615" s="2"/>
      <c r="H3615" s="2"/>
      <c r="I3615" s="2"/>
      <c r="J3615" s="2"/>
      <c r="K3615" s="2"/>
      <c r="L3615" s="2"/>
    </row>
    <row r="3616" spans="1:12" customFormat="1" ht="16" ns3:dyDescent="0.2">
      <c r="A3616" s="2" t="s">
        <v>5</v>
      </c>
      <c r="B3616" s="2" t="s">
        <v>1</v>
      </c>
      <c r="C3616" s="2"/>
      <c r="D3616" s="2"/>
      <c r="E3616" s="2"/>
      <c r="F3616" s="2"/>
      <c r="G3616" s="2"/>
      <c r="H3616" s="2"/>
      <c r="I3616" s="2"/>
      <c r="J3616" s="2"/>
    </row>
    <row r="3617" spans="1:12" customFormat="1" ht="16" ns3:dyDescent="0.2">
      <c r="A3617" s="2" t="s">
        <v>6</v>
      </c>
      <c r="B3617" s="2" t="s">
        <v>7</v>
      </c>
      <c r="C3617" s="2"/>
      <c r="D3617" s="2"/>
      <c r="E3617" s="2"/>
      <c r="F3617" s="2"/>
      <c r="G3617" s="2"/>
      <c r="H3617" s="2"/>
      <c r="I3617" s="2"/>
      <c r="J3617" s="2"/>
      <c r="K3617" s="2"/>
      <c r="L3617" s="2"/>
    </row>
    <row r="3618" spans="1:12" customFormat="1" ht="16" ns3:dyDescent="0.2">
      <c r="A3618" s="2" t="s">
        <v>151</v>
      </c>
      <c r="B3618" s="2" t="s">
        <v>399</v>
      </c>
      <c r="C3618" s="2"/>
      <c r="D3618" s="2"/>
      <c r="E3618" s="2"/>
      <c r="F3618" s="2"/>
      <c r="G3618" s="2"/>
      <c r="H3618" s="2"/>
      <c r="I3618" s="2"/>
      <c r="J3618" s="2"/>
      <c r="K3618" s="2"/>
      <c r="L3618" s="2"/>
    </row>
    <row r="3619" spans="1:12" customFormat="1" ht="16" ns3:dyDescent="0.2">
      <c r="A3619" s="2" t="s">
        <v>8</v>
      </c>
      <c r="B3619" s="2" t="s">
        <v>17</v>
      </c>
      <c r="C3619" s="2"/>
      <c r="D3619" s="2"/>
      <c r="E3619" s="2"/>
      <c r="F3619" s="2"/>
      <c r="G3619" s="2"/>
      <c r="H3619" s="2"/>
      <c r="I3619" s="2"/>
      <c r="J3619" s="2"/>
      <c r="K3619" s="2"/>
      <c r="L3619" s="2"/>
    </row>
    <row r="3620" spans="1:12" customFormat="1" ht="16" ns3:dyDescent="0.2">
      <c r="A3620" s="1" t="s">
        <v>10</v>
      </c>
      <c r="B3620" s="2"/>
      <c r="C3620" s="2"/>
      <c r="D3620" s="2"/>
      <c r="E3620" s="2"/>
      <c r="F3620" s="2"/>
      <c r="G3620" s="2"/>
      <c r="H3620" s="2"/>
      <c r="I3620" s="2"/>
      <c r="J3620" s="2"/>
      <c r="K3620" s="2"/>
      <c r="L3620" s="2"/>
    </row>
    <row r="3621" spans="1:12" ns3:dyDescent="0.2">
      <c r="A3621" s="17" t="s">
        <v>11</v>
      </c>
      <c r="B3621" s="17" t="s">
        <v>12</v>
      </c>
      <c r="C3621" s="17" t="s">
        <v>3</v>
      </c>
      <c r="D3621" s="17" t="s">
        <v>13</v>
      </c>
      <c r="E3621" s="17" t="s">
        <v>8</v>
      </c>
      <c r="F3621" s="17" t="s">
        <v>6</v>
      </c>
      <c r="G3621" s="17" t="s">
        <v>5</v>
      </c>
      <c r="I3621" s="17"/>
      <c r="J3621" s="17"/>
      <c r="K3621" s="17"/>
    </row>
    <row r="3622" spans="1:12" customFormat="1" ht="16" ns3:dyDescent="0.2">
      <c r="A3622" s="2" t="str">
        <f>B3613</f>
        <v>biodiesel, from non-residual cellulosic biomass, burned in container ship</v>
      </c>
      <c r="B3622" s="2">
        <v>1</v>
      </c>
      <c r="C3622" s="2" t="str">
        <f>B3614</f>
        <v>RER</v>
      </c>
      <c r="D3622" s="2"/>
      <c r="E3622" s="2" t="str">
        <f>B3619</f>
        <v>megajoule</v>
      </c>
      <c r="F3622" s="2" t="s">
        <v>19</v>
      </c>
      <c r="G3622" s="2" t="str">
        <f>B3616</f>
        <v>heat</v>
      </c>
      <c r="H3622" s="2"/>
      <c r="I3622" s="2"/>
      <c r="J3622" s="2"/>
      <c r="K3622" s="2"/>
      <c r="L3622" s="2"/>
    </row>
    <row r="3623" spans="1:12" customFormat="1" ht="16" ns3:dyDescent="0.2">
      <c r="A3623" s="2" t="s">
        <v>402</v>
      </c>
      <c r="B3623" s="9">
        <f>1/39</f>
        <v>2.564102564102564E-2</v>
      </c>
      <c r="C3623" t="s">
        <v>18</v>
      </c>
      <c r="E3623" t="s">
        <v>9</v>
      </c>
      <c r="F3623" t="s">
        <v>23</v>
      </c>
      <c r="G3623" t="s">
        <v>404</v>
      </c>
      <c r="I3623" s="2"/>
    </row>
    <row r="3624" spans="1:12" customFormat="1" ht="16" ns3:dyDescent="0.2">
      <c r="A3624" t="s">
        <v>48</v>
      </c>
      <c r="B3624" s="3">
        <v>1.0256365433645409E-5</v>
      </c>
      <c r="D3624" t="s">
        <v>100</v>
      </c>
      <c r="E3624" t="s">
        <v>9</v>
      </c>
      <c r="F3624" s="2" t="s">
        <v>15</v>
      </c>
      <c r="H3624" s="2"/>
    </row>
    <row r="3625" spans="1:12" customFormat="1" ht="16" ns3:dyDescent="0.2">
      <c r="A3625" t="s">
        <v>90</v>
      </c>
      <c r="B3625" s="3">
        <v>9.6449727337009339E-9</v>
      </c>
      <c r="D3625" t="s">
        <v>100</v>
      </c>
      <c r="E3625" t="s">
        <v>9</v>
      </c>
      <c r="F3625" s="2" t="s">
        <v>15</v>
      </c>
      <c r="H3625" s="2"/>
    </row>
    <row r="3626" spans="1:12" customFormat="1" ht="16" ns3:dyDescent="0.2">
      <c r="A3626" t="s">
        <v>52</v>
      </c>
      <c r="B3626" s="3">
        <v>6.2721921074364377E-10</v>
      </c>
      <c r="D3626" t="s">
        <v>100</v>
      </c>
      <c r="E3626" t="s">
        <v>9</v>
      </c>
      <c r="F3626" s="2" t="s">
        <v>15</v>
      </c>
      <c r="H3626" s="2"/>
    </row>
    <row r="3627" spans="1:12" customFormat="1" ht="16" ns3:dyDescent="0.2">
      <c r="A3627" t="s">
        <v>122</v>
      </c>
      <c r="B3627" s="9">
        <f>3.15*B3623</f>
        <v>8.076923076923076E-2</v>
      </c>
      <c r="D3627" t="s">
        <v>100</v>
      </c>
      <c r="E3627" t="s">
        <v>9</v>
      </c>
      <c r="F3627" s="2" t="s">
        <v>15</v>
      </c>
      <c r="H3627" s="2"/>
    </row>
    <row r="3628" spans="1:12" customFormat="1" ht="16" ns3:dyDescent="0.2">
      <c r="A3628" t="s">
        <v>123</v>
      </c>
      <c r="B3628" s="3">
        <v>6.8728477177939384E-5</v>
      </c>
      <c r="D3628" t="s">
        <v>100</v>
      </c>
      <c r="E3628" t="s">
        <v>9</v>
      </c>
      <c r="F3628" s="2" t="s">
        <v>15</v>
      </c>
      <c r="H3628" s="2"/>
      <c r="K3628" s="3"/>
    </row>
    <row r="3629" spans="1:12" customFormat="1" ht="16" ns3:dyDescent="0.2">
      <c r="A3629" t="s">
        <v>55</v>
      </c>
      <c r="B3629" s="3">
        <v>4.0039462777159148E-9</v>
      </c>
      <c r="D3629" t="s">
        <v>100</v>
      </c>
      <c r="E3629" t="s">
        <v>9</v>
      </c>
      <c r="F3629" s="2" t="s">
        <v>15</v>
      </c>
      <c r="H3629" s="2"/>
      <c r="K3629" s="3"/>
    </row>
    <row r="3630" spans="1:12" customFormat="1" ht="16" ns3:dyDescent="0.2">
      <c r="A3630" t="s">
        <v>57</v>
      </c>
      <c r="B3630" s="3">
        <v>9.6449727337009339E-9</v>
      </c>
      <c r="D3630" t="s">
        <v>100</v>
      </c>
      <c r="E3630" t="s">
        <v>9</v>
      </c>
      <c r="F3630" s="2" t="s">
        <v>15</v>
      </c>
      <c r="H3630" s="2"/>
      <c r="K3630" s="3"/>
    </row>
    <row r="3631" spans="1:12" customFormat="1" ht="16" ns3:dyDescent="0.2">
      <c r="A3631" t="s">
        <v>58</v>
      </c>
      <c r="B3631" s="3">
        <v>4.0793809536092252E-6</v>
      </c>
      <c r="D3631" t="s">
        <v>100</v>
      </c>
      <c r="E3631" t="s">
        <v>9</v>
      </c>
      <c r="F3631" s="2" t="s">
        <v>15</v>
      </c>
      <c r="H3631" s="2"/>
      <c r="K3631" s="3"/>
    </row>
    <row r="3632" spans="1:12" customFormat="1" ht="16" ns3:dyDescent="0.2">
      <c r="A3632" t="s">
        <v>103</v>
      </c>
      <c r="B3632" s="3">
        <v>2.5641066388993793E-14</v>
      </c>
      <c r="D3632" t="s">
        <v>100</v>
      </c>
      <c r="E3632" t="s">
        <v>9</v>
      </c>
      <c r="F3632" s="2" t="s">
        <v>15</v>
      </c>
      <c r="H3632" s="2"/>
    </row>
    <row r="3633" spans="1:12" customFormat="1" ht="16" ns3:dyDescent="0.2">
      <c r="A3633" t="s">
        <v>104</v>
      </c>
      <c r="B3633" s="3">
        <v>1.4988121356087533E-6</v>
      </c>
      <c r="D3633" t="s">
        <v>100</v>
      </c>
      <c r="E3633" t="s">
        <v>9</v>
      </c>
      <c r="F3633" s="2" t="s">
        <v>15</v>
      </c>
      <c r="H3633" s="2"/>
    </row>
    <row r="3634" spans="1:12" customFormat="1" ht="16" ns3:dyDescent="0.2">
      <c r="A3634" t="s">
        <v>105</v>
      </c>
      <c r="B3634" s="3">
        <v>1.4988121356087536E-7</v>
      </c>
      <c r="D3634" t="s">
        <v>100</v>
      </c>
      <c r="E3634" t="s">
        <v>9</v>
      </c>
      <c r="F3634" s="2" t="s">
        <v>15</v>
      </c>
      <c r="H3634" s="2"/>
    </row>
    <row r="3635" spans="1:12" customFormat="1" ht="16" ns3:dyDescent="0.2">
      <c r="A3635" t="s">
        <v>63</v>
      </c>
      <c r="B3635" s="3">
        <v>4.4181493731679086E-9</v>
      </c>
      <c r="D3635" t="s">
        <v>100</v>
      </c>
      <c r="E3635" t="s">
        <v>9</v>
      </c>
      <c r="F3635" s="2" t="s">
        <v>15</v>
      </c>
      <c r="H3635" s="2"/>
    </row>
    <row r="3636" spans="1:8" customFormat="1" ht="16" ns3:dyDescent="0.2">
      <c r="A3636" t="s">
        <v>64</v>
      </c>
      <c r="B3636" s="3">
        <v>7.2386626011604185E-10</v>
      </c>
      <c r="D3636" t="s">
        <v>100</v>
      </c>
      <c r="E3636" t="s">
        <v>9</v>
      </c>
      <c r="F3636" s="2" t="s">
        <v>15</v>
      </c>
      <c r="H3636" s="2"/>
    </row>
    <row r="3637" spans="1:8" customFormat="1" ht="16" ns3:dyDescent="0.2">
      <c r="A3637" t="s">
        <v>177</v>
      </c>
      <c r="B3637" s="3">
        <v>1.3879471014768287E-6</v>
      </c>
      <c r="D3637" t="s">
        <v>100</v>
      </c>
      <c r="E3637" t="s">
        <v>9</v>
      </c>
      <c r="F3637" s="2" t="s">
        <v>15</v>
      </c>
      <c r="H3637" s="2"/>
    </row>
    <row r="3638" spans="1:8" customFormat="1" ht="16" ns3:dyDescent="0.2">
      <c r="A3638" t="s">
        <v>67</v>
      </c>
      <c r="B3638" s="3">
        <v>6.9408357025220894E-5</v>
      </c>
      <c r="D3638" t="s">
        <v>100</v>
      </c>
      <c r="E3638" t="s">
        <v>9</v>
      </c>
      <c r="F3638" s="2" t="s">
        <v>15</v>
      </c>
      <c r="H3638" s="2"/>
    </row>
    <row r="3639" spans="1:8" customFormat="1" ht="16" ns3:dyDescent="0.2">
      <c r="A3639" t="s">
        <v>68</v>
      </c>
      <c r="B3639" s="3">
        <v>5.5818502193524422E-7</v>
      </c>
      <c r="D3639" t="s">
        <v>100</v>
      </c>
      <c r="E3639" t="s">
        <v>9</v>
      </c>
      <c r="F3639" s="2" t="s">
        <v>15</v>
      </c>
      <c r="H3639" s="2"/>
    </row>
    <row r="3640" spans="1:8" customFormat="1" ht="16" ns3:dyDescent="0.2">
      <c r="A3640" t="s">
        <v>69</v>
      </c>
      <c r="B3640">
        <v>1.9128828001645137E-3</v>
      </c>
      <c r="D3640" t="s">
        <v>100</v>
      </c>
      <c r="E3640" t="s">
        <v>9</v>
      </c>
      <c r="F3640" s="2" t="s">
        <v>15</v>
      </c>
      <c r="H3640" s="2"/>
    </row>
    <row r="3641" spans="1:8" customFormat="1" ht="16" ns3:dyDescent="0.2">
      <c r="A3641" t="s">
        <v>70</v>
      </c>
      <c r="B3641" s="3">
        <v>5.12820309080674E-8</v>
      </c>
      <c r="D3641" t="s">
        <v>100</v>
      </c>
      <c r="E3641" t="s">
        <v>9</v>
      </c>
      <c r="F3641" s="2" t="s">
        <v>15</v>
      </c>
      <c r="H3641" s="2"/>
    </row>
    <row r="3642" spans="1:8" customFormat="1" ht="16" ns3:dyDescent="0.2">
      <c r="A3642" t="s">
        <v>71</v>
      </c>
      <c r="B3642" s="3">
        <v>3.5641025641025632E-5</v>
      </c>
      <c r="D3642" t="s">
        <v>100</v>
      </c>
      <c r="E3642" t="s">
        <v>9</v>
      </c>
      <c r="F3642" s="2" t="s">
        <v>15</v>
      </c>
      <c r="H3642" s="2"/>
    </row>
    <row r="3643" spans="1:8" customFormat="1" ht="16" ns3:dyDescent="0.2">
      <c r="A3643" t="s">
        <v>107</v>
      </c>
      <c r="B3643" s="3">
        <v>3.0769230769230762E-6</v>
      </c>
      <c r="D3643" t="s">
        <v>100</v>
      </c>
      <c r="E3643" t="s">
        <v>9</v>
      </c>
      <c r="F3643" s="2" t="s">
        <v>15</v>
      </c>
      <c r="H3643" s="2"/>
    </row>
    <row r="3644" spans="1:8" customFormat="1" ht="16" ns3:dyDescent="0.2">
      <c r="A3644" t="s">
        <v>75</v>
      </c>
      <c r="B3644" s="3">
        <v>8.8362885593437998E-9</v>
      </c>
      <c r="D3644" t="s">
        <v>100</v>
      </c>
      <c r="E3644" t="s">
        <v>9</v>
      </c>
      <c r="F3644" s="2" t="s">
        <v>15</v>
      </c>
      <c r="H3644" s="2"/>
    </row>
    <row r="3645" spans="1:8" customFormat="1" ht="16" ns3:dyDescent="0.2">
      <c r="A3645" t="s">
        <v>79</v>
      </c>
      <c r="B3645" s="3">
        <v>2.0260399075004886E-8</v>
      </c>
      <c r="D3645" t="s">
        <v>100</v>
      </c>
      <c r="E3645" t="s">
        <v>9</v>
      </c>
      <c r="F3645" s="2" t="s">
        <v>15</v>
      </c>
      <c r="H3645" s="2"/>
    </row>
    <row r="3646" spans="1:8" customFormat="1" ht="16" ns3:dyDescent="0.2">
      <c r="A3646" t="s">
        <v>57</v>
      </c>
      <c r="B3646" s="3">
        <v>1.6520143085674979E-9</v>
      </c>
      <c r="D3646" t="s">
        <v>112</v>
      </c>
      <c r="E3646" t="s">
        <v>9</v>
      </c>
      <c r="F3646" s="2" t="s">
        <v>15</v>
      </c>
      <c r="H3646" s="2"/>
    </row>
    <row r="3647" spans="1:8" customFormat="1" ht="16" ns3:dyDescent="0.2">
      <c r="A3647" t="s">
        <v>108</v>
      </c>
      <c r="B3647" s="3">
        <v>1.5836494051346807E-10</v>
      </c>
      <c r="D3647" t="s">
        <v>112</v>
      </c>
      <c r="E3647" t="s">
        <v>9</v>
      </c>
      <c r="F3647" s="2" t="s">
        <v>15</v>
      </c>
      <c r="H3647" s="2"/>
    </row>
    <row r="3648" spans="1:8" customFormat="1" ht="16" ns3:dyDescent="0.2">
      <c r="A3648" t="s">
        <v>109</v>
      </c>
      <c r="B3648" s="3">
        <v>4.5524750499172942E-7</v>
      </c>
      <c r="D3648" t="s">
        <v>112</v>
      </c>
      <c r="E3648" t="s">
        <v>9</v>
      </c>
      <c r="F3648" s="2" t="s">
        <v>15</v>
      </c>
      <c r="H3648" s="2"/>
    </row>
    <row r="3649" spans="1:8" customFormat="1" ht="16" ns3:dyDescent="0.2">
      <c r="A3649" t="s">
        <v>110</v>
      </c>
      <c r="B3649" s="3">
        <v>2.6394088838964563E-11</v>
      </c>
      <c r="D3649" t="s">
        <v>112</v>
      </c>
      <c r="E3649" t="s">
        <v>9</v>
      </c>
      <c r="F3649" s="2" t="s">
        <v>15</v>
      </c>
      <c r="H3649" s="2"/>
    </row>
    <row r="3650" spans="1:8" customFormat="1" ht="16" ns3:dyDescent="0.2">
      <c r="A3650" t="s">
        <v>111</v>
      </c>
      <c r="B3650" s="3">
        <v>2.4156210432449703E-10</v>
      </c>
      <c r="D3650" t="s">
        <v>112</v>
      </c>
      <c r="E3650" t="s">
        <v>9</v>
      </c>
      <c r="F3650" s="2" t="s">
        <v>15</v>
      </c>
      <c r="H3650" s="2"/>
    </row>
    <row r="3651" spans="1:8" customFormat="1" ht="16" ns3:dyDescent="0.2"/>
    <row r="3652" spans="1:12" ns3:dyDescent="0.2">
      <c r="A3652" s="17" t="s">
        <v>2</v>
      </c>
      <c r="B3652" s="17" t="s">
        <v>497</v>
      </c>
    </row>
    <row r="3653" spans="1:12" customFormat="1" ht="16" ns3:dyDescent="0.2">
      <c r="A3653" s="2" t="s">
        <v>3</v>
      </c>
      <c r="B3653" s="2" t="s">
        <v>18</v>
      </c>
      <c r="C3653" s="2"/>
      <c r="D3653" s="2"/>
      <c r="E3653" s="2"/>
      <c r="F3653" s="2"/>
      <c r="G3653" s="2"/>
      <c r="H3653" s="2"/>
      <c r="I3653" s="2"/>
      <c r="J3653" s="2"/>
      <c r="K3653" s="2"/>
      <c r="L3653" s="2"/>
    </row>
    <row r="3654" spans="1:12" customFormat="1" ht="16" ns3:dyDescent="0.2">
      <c r="A3654" s="2" t="s">
        <v>4</v>
      </c>
      <c r="B3654" s="2">
        <v>1</v>
      </c>
      <c r="C3654" s="2"/>
      <c r="D3654" s="2"/>
      <c r="E3654" s="2"/>
      <c r="F3654" s="2"/>
      <c r="G3654" s="2"/>
      <c r="H3654" s="2"/>
      <c r="I3654" s="2"/>
      <c r="J3654" s="2"/>
      <c r="K3654" s="2"/>
      <c r="L3654" s="2"/>
    </row>
    <row r="3655" spans="1:12" customFormat="1" ht="16" ns3:dyDescent="0.2">
      <c r="A3655" s="2" t="s">
        <v>5</v>
      </c>
      <c r="B3655" s="2" t="s">
        <v>1</v>
      </c>
      <c r="C3655" s="2"/>
      <c r="D3655" s="2"/>
      <c r="E3655" s="2"/>
      <c r="F3655" s="2"/>
      <c r="G3655" s="2"/>
      <c r="H3655" s="2"/>
      <c r="I3655" s="2"/>
      <c r="J3655" s="2"/>
    </row>
    <row r="3656" spans="1:12" customFormat="1" ht="16" ns3:dyDescent="0.2">
      <c r="A3656" s="2" t="s">
        <v>6</v>
      </c>
      <c r="B3656" s="2" t="s">
        <v>7</v>
      </c>
      <c r="C3656" s="2"/>
      <c r="D3656" s="2"/>
      <c r="E3656" s="2"/>
      <c r="F3656" s="2"/>
      <c r="G3656" s="2"/>
      <c r="H3656" s="2"/>
      <c r="I3656" s="2"/>
      <c r="J3656" s="2"/>
      <c r="K3656" s="2"/>
      <c r="L3656" s="2"/>
    </row>
    <row r="3657" spans="1:12" customFormat="1" ht="16" ns3:dyDescent="0.2">
      <c r="A3657" s="2" t="s">
        <v>151</v>
      </c>
      <c r="B3657" s="2" t="s">
        <v>399</v>
      </c>
      <c r="C3657" s="2"/>
      <c r="D3657" s="2"/>
      <c r="E3657" s="2"/>
      <c r="F3657" s="2"/>
      <c r="G3657" s="2"/>
      <c r="H3657" s="2"/>
      <c r="I3657" s="2"/>
      <c r="J3657" s="2"/>
      <c r="K3657" s="2"/>
      <c r="L3657" s="2"/>
    </row>
    <row r="3658" spans="1:12" customFormat="1" ht="16" ns3:dyDescent="0.2">
      <c r="A3658" s="2" t="s">
        <v>8</v>
      </c>
      <c r="B3658" s="2" t="s">
        <v>17</v>
      </c>
      <c r="C3658" s="2"/>
      <c r="D3658" s="2"/>
      <c r="E3658" s="2"/>
      <c r="F3658" s="2"/>
      <c r="G3658" s="2"/>
      <c r="H3658" s="2"/>
      <c r="I3658" s="2"/>
      <c r="J3658" s="2"/>
      <c r="K3658" s="2"/>
      <c r="L3658" s="2"/>
    </row>
    <row r="3659" spans="1:12" customFormat="1" ht="16" ns3:dyDescent="0.2">
      <c r="A3659" s="1" t="s">
        <v>10</v>
      </c>
      <c r="B3659" s="2"/>
      <c r="C3659" s="2"/>
      <c r="D3659" s="2"/>
      <c r="E3659" s="2"/>
      <c r="F3659" s="2"/>
      <c r="G3659" s="2"/>
      <c r="H3659" s="2"/>
      <c r="I3659" s="2"/>
      <c r="J3659" s="2"/>
      <c r="K3659" s="2"/>
      <c r="L3659" s="2"/>
    </row>
    <row r="3660" spans="1:12" ns3:dyDescent="0.2">
      <c r="A3660" s="17" t="s">
        <v>11</v>
      </c>
      <c r="B3660" s="17" t="s">
        <v>12</v>
      </c>
      <c r="C3660" s="17" t="s">
        <v>3</v>
      </c>
      <c r="D3660" s="17" t="s">
        <v>13</v>
      </c>
      <c r="E3660" s="17" t="s">
        <v>8</v>
      </c>
      <c r="F3660" s="17" t="s">
        <v>6</v>
      </c>
      <c r="G3660" s="17" t="s">
        <v>5</v>
      </c>
      <c r="I3660" s="17"/>
      <c r="J3660" s="17"/>
      <c r="K3660" s="17"/>
    </row>
    <row r="3661" spans="1:12" customFormat="1" ht="16" ns3:dyDescent="0.2">
      <c r="A3661" s="2" t="str">
        <f>B3652</f>
        <v>biodiesel, from non-residual oily biomass, burned in container ship</v>
      </c>
      <c r="B3661" s="2">
        <v>1</v>
      </c>
      <c r="C3661" s="2" t="str">
        <f>B3653</f>
        <v>RER</v>
      </c>
      <c r="D3661" s="2"/>
      <c r="E3661" s="2" t="str">
        <f>B3658</f>
        <v>megajoule</v>
      </c>
      <c r="F3661" s="2" t="s">
        <v>19</v>
      </c>
      <c r="G3661" s="2" t="str">
        <f>B3655</f>
        <v>heat</v>
      </c>
      <c r="H3661" s="2"/>
      <c r="I3661" s="2"/>
      <c r="J3661" s="2"/>
      <c r="K3661" s="2"/>
      <c r="L3661" s="2"/>
    </row>
    <row r="3662" spans="1:12" customFormat="1" ht="16" ns3:dyDescent="0.2">
      <c r="A3662" s="2" t="s">
        <v>417</v>
      </c>
      <c r="B3662" s="9">
        <f>1/39</f>
        <v>2.564102564102564E-2</v>
      </c>
      <c r="C3662" t="s">
        <v>18</v>
      </c>
      <c r="E3662" t="s">
        <v>9</v>
      </c>
      <c r="F3662" t="s">
        <v>23</v>
      </c>
      <c r="G3662" t="s">
        <v>418</v>
      </c>
      <c r="I3662" s="2"/>
    </row>
    <row r="3663" spans="1:12" customFormat="1" ht="16" ns3:dyDescent="0.2">
      <c r="A3663" t="s">
        <v>48</v>
      </c>
      <c r="B3663" s="3">
        <v>1.0256365433645409E-5</v>
      </c>
      <c r="D3663" t="s">
        <v>100</v>
      </c>
      <c r="E3663" t="s">
        <v>9</v>
      </c>
      <c r="F3663" s="2" t="s">
        <v>15</v>
      </c>
      <c r="H3663" s="2"/>
    </row>
    <row r="3664" spans="1:12" customFormat="1" ht="16" ns3:dyDescent="0.2">
      <c r="A3664" t="s">
        <v>90</v>
      </c>
      <c r="B3664" s="3">
        <v>9.6449727337009339E-9</v>
      </c>
      <c r="D3664" t="s">
        <v>100</v>
      </c>
      <c r="E3664" t="s">
        <v>9</v>
      </c>
      <c r="F3664" s="2" t="s">
        <v>15</v>
      </c>
      <c r="H3664" s="2"/>
    </row>
    <row r="3665" spans="1:12" customFormat="1" ht="16" ns3:dyDescent="0.2">
      <c r="A3665" t="s">
        <v>52</v>
      </c>
      <c r="B3665" s="3">
        <v>6.2721921074364377E-10</v>
      </c>
      <c r="D3665" t="s">
        <v>100</v>
      </c>
      <c r="E3665" t="s">
        <v>9</v>
      </c>
      <c r="F3665" s="2" t="s">
        <v>15</v>
      </c>
      <c r="H3665" s="2"/>
    </row>
    <row r="3666" spans="1:12" customFormat="1" ht="16" ns3:dyDescent="0.2">
      <c r="A3666" t="s">
        <v>122</v>
      </c>
      <c r="B3666" s="9">
        <f>3.15*B3662</f>
        <v>8.076923076923076E-2</v>
      </c>
      <c r="D3666" t="s">
        <v>100</v>
      </c>
      <c r="E3666" t="s">
        <v>9</v>
      </c>
      <c r="F3666" s="2" t="s">
        <v>15</v>
      </c>
      <c r="H3666" s="2"/>
    </row>
    <row r="3667" spans="1:12" customFormat="1" ht="16" ns3:dyDescent="0.2">
      <c r="A3667" t="s">
        <v>123</v>
      </c>
      <c r="B3667" s="3">
        <v>6.8728477177939384E-5</v>
      </c>
      <c r="D3667" t="s">
        <v>100</v>
      </c>
      <c r="E3667" t="s">
        <v>9</v>
      </c>
      <c r="F3667" s="2" t="s">
        <v>15</v>
      </c>
      <c r="H3667" s="2"/>
      <c r="K3667" s="3"/>
    </row>
    <row r="3668" spans="1:11" customFormat="1" ht="16" ns3:dyDescent="0.2">
      <c r="A3668" t="s">
        <v>55</v>
      </c>
      <c r="B3668" s="3">
        <v>4.0039462777159148E-9</v>
      </c>
      <c r="D3668" t="s">
        <v>100</v>
      </c>
      <c r="E3668" t="s">
        <v>9</v>
      </c>
      <c r="F3668" s="2" t="s">
        <v>15</v>
      </c>
      <c r="H3668" s="2"/>
      <c r="K3668" s="3"/>
    </row>
    <row r="3669" spans="1:11" customFormat="1" ht="16" ns3:dyDescent="0.2">
      <c r="A3669" t="s">
        <v>57</v>
      </c>
      <c r="B3669" s="3">
        <v>9.6449727337009339E-9</v>
      </c>
      <c r="D3669" t="s">
        <v>100</v>
      </c>
      <c r="E3669" t="s">
        <v>9</v>
      </c>
      <c r="F3669" s="2" t="s">
        <v>15</v>
      </c>
      <c r="H3669" s="2"/>
      <c r="K3669" s="3"/>
    </row>
    <row r="3670" spans="1:11" customFormat="1" ht="16" ns3:dyDescent="0.2">
      <c r="A3670" t="s">
        <v>58</v>
      </c>
      <c r="B3670" s="3">
        <v>4.0793809536092252E-6</v>
      </c>
      <c r="D3670" t="s">
        <v>100</v>
      </c>
      <c r="E3670" t="s">
        <v>9</v>
      </c>
      <c r="F3670" s="2" t="s">
        <v>15</v>
      </c>
      <c r="H3670" s="2"/>
      <c r="K3670" s="3"/>
    </row>
    <row r="3671" spans="1:11" customFormat="1" ht="16" ns3:dyDescent="0.2">
      <c r="A3671" t="s">
        <v>103</v>
      </c>
      <c r="B3671" s="3">
        <v>2.5641066388993793E-14</v>
      </c>
      <c r="D3671" t="s">
        <v>100</v>
      </c>
      <c r="E3671" t="s">
        <v>9</v>
      </c>
      <c r="F3671" s="2" t="s">
        <v>15</v>
      </c>
      <c r="H3671" s="2"/>
    </row>
    <row r="3672" spans="1:11" customFormat="1" ht="16" ns3:dyDescent="0.2">
      <c r="A3672" t="s">
        <v>104</v>
      </c>
      <c r="B3672" s="3">
        <v>1.4988121356087533E-6</v>
      </c>
      <c r="D3672" t="s">
        <v>100</v>
      </c>
      <c r="E3672" t="s">
        <v>9</v>
      </c>
      <c r="F3672" s="2" t="s">
        <v>15</v>
      </c>
      <c r="H3672" s="2"/>
    </row>
    <row r="3673" spans="1:11" customFormat="1" ht="16" ns3:dyDescent="0.2">
      <c r="A3673" t="s">
        <v>105</v>
      </c>
      <c r="B3673" s="3">
        <v>1.4988121356087536E-7</v>
      </c>
      <c r="D3673" t="s">
        <v>100</v>
      </c>
      <c r="E3673" t="s">
        <v>9</v>
      </c>
      <c r="F3673" s="2" t="s">
        <v>15</v>
      </c>
      <c r="H3673" s="2"/>
    </row>
    <row r="3674" spans="1:11" customFormat="1" ht="16" ns3:dyDescent="0.2">
      <c r="A3674" t="s">
        <v>63</v>
      </c>
      <c r="B3674" s="3">
        <v>4.4181493731679086E-9</v>
      </c>
      <c r="D3674" t="s">
        <v>100</v>
      </c>
      <c r="E3674" t="s">
        <v>9</v>
      </c>
      <c r="F3674" s="2" t="s">
        <v>15</v>
      </c>
      <c r="H3674" s="2"/>
    </row>
    <row r="3675" spans="1:11" customFormat="1" ht="16" ns3:dyDescent="0.2">
      <c r="A3675" t="s">
        <v>64</v>
      </c>
      <c r="B3675" s="3">
        <v>7.2386626011604185E-10</v>
      </c>
      <c r="D3675" t="s">
        <v>100</v>
      </c>
      <c r="E3675" t="s">
        <v>9</v>
      </c>
      <c r="F3675" s="2" t="s">
        <v>15</v>
      </c>
      <c r="H3675" s="2"/>
    </row>
    <row r="3676" spans="1:11" customFormat="1" ht="16" ns3:dyDescent="0.2">
      <c r="A3676" t="s">
        <v>177</v>
      </c>
      <c r="B3676" s="3">
        <v>1.3879471014768287E-6</v>
      </c>
      <c r="D3676" t="s">
        <v>100</v>
      </c>
      <c r="E3676" t="s">
        <v>9</v>
      </c>
      <c r="F3676" s="2" t="s">
        <v>15</v>
      </c>
      <c r="H3676" s="2"/>
    </row>
    <row r="3677" spans="1:11" customFormat="1" ht="16" ns3:dyDescent="0.2">
      <c r="A3677" t="s">
        <v>67</v>
      </c>
      <c r="B3677" s="3">
        <v>6.9408357025220894E-5</v>
      </c>
      <c r="D3677" t="s">
        <v>100</v>
      </c>
      <c r="E3677" t="s">
        <v>9</v>
      </c>
      <c r="F3677" s="2" t="s">
        <v>15</v>
      </c>
      <c r="H3677" s="2"/>
    </row>
    <row r="3678" spans="1:11" customFormat="1" ht="16" ns3:dyDescent="0.2">
      <c r="A3678" t="s">
        <v>68</v>
      </c>
      <c r="B3678" s="3">
        <v>5.5818502193524422E-7</v>
      </c>
      <c r="D3678" t="s">
        <v>100</v>
      </c>
      <c r="E3678" t="s">
        <v>9</v>
      </c>
      <c r="F3678" s="2" t="s">
        <v>15</v>
      </c>
      <c r="H3678" s="2"/>
    </row>
    <row r="3679" spans="1:11" customFormat="1" ht="16" ns3:dyDescent="0.2">
      <c r="A3679" t="s">
        <v>69</v>
      </c>
      <c r="B3679">
        <v>1.9128828001645137E-3</v>
      </c>
      <c r="D3679" t="s">
        <v>100</v>
      </c>
      <c r="E3679" t="s">
        <v>9</v>
      </c>
      <c r="F3679" s="2" t="s">
        <v>15</v>
      </c>
      <c r="H3679" s="2"/>
    </row>
    <row r="3680" spans="1:11" customFormat="1" ht="16" ns3:dyDescent="0.2">
      <c r="A3680" t="s">
        <v>70</v>
      </c>
      <c r="B3680" s="3">
        <v>5.12820309080674E-8</v>
      </c>
      <c r="D3680" t="s">
        <v>100</v>
      </c>
      <c r="E3680" t="s">
        <v>9</v>
      </c>
      <c r="F3680" s="2" t="s">
        <v>15</v>
      </c>
      <c r="H3680" s="2"/>
    </row>
    <row r="3681" spans="1:11" customFormat="1" ht="16" ns3:dyDescent="0.2">
      <c r="A3681" t="s">
        <v>71</v>
      </c>
      <c r="B3681" s="3">
        <v>3.5641025641025632E-5</v>
      </c>
      <c r="D3681" t="s">
        <v>100</v>
      </c>
      <c r="E3681" t="s">
        <v>9</v>
      </c>
      <c r="F3681" s="2" t="s">
        <v>15</v>
      </c>
      <c r="H3681" s="2"/>
    </row>
    <row r="3682" spans="1:11" customFormat="1" ht="16" ns3:dyDescent="0.2">
      <c r="A3682" t="s">
        <v>107</v>
      </c>
      <c r="B3682" s="3">
        <v>3.0769230769230762E-6</v>
      </c>
      <c r="D3682" t="s">
        <v>100</v>
      </c>
      <c r="E3682" t="s">
        <v>9</v>
      </c>
      <c r="F3682" s="2" t="s">
        <v>15</v>
      </c>
      <c r="H3682" s="2"/>
    </row>
    <row r="3683" spans="1:11" customFormat="1" ht="16" ns3:dyDescent="0.2">
      <c r="A3683" t="s">
        <v>75</v>
      </c>
      <c r="B3683" s="3">
        <v>8.8362885593437998E-9</v>
      </c>
      <c r="D3683" t="s">
        <v>100</v>
      </c>
      <c r="E3683" t="s">
        <v>9</v>
      </c>
      <c r="F3683" s="2" t="s">
        <v>15</v>
      </c>
      <c r="H3683" s="2"/>
    </row>
    <row r="3684" spans="1:12" customFormat="1" ht="16" ns3:dyDescent="0.2">
      <c r="A3684" t="s">
        <v>79</v>
      </c>
      <c r="B3684" s="3">
        <v>2.0260399075004886E-8</v>
      </c>
      <c r="D3684" t="s">
        <v>100</v>
      </c>
      <c r="E3684" t="s">
        <v>9</v>
      </c>
      <c r="F3684" s="2" t="s">
        <v>15</v>
      </c>
      <c r="H3684" s="2"/>
    </row>
    <row r="3685" spans="1:12" customFormat="1" ht="16" ns3:dyDescent="0.2">
      <c r="A3685" t="s">
        <v>57</v>
      </c>
      <c r="B3685" s="3">
        <v>1.6520143085674979E-9</v>
      </c>
      <c r="D3685" t="s">
        <v>112</v>
      </c>
      <c r="E3685" t="s">
        <v>9</v>
      </c>
      <c r="F3685" s="2" t="s">
        <v>15</v>
      </c>
      <c r="H3685" s="2"/>
    </row>
    <row r="3686" spans="1:12" customFormat="1" ht="16" ns3:dyDescent="0.2">
      <c r="A3686" t="s">
        <v>108</v>
      </c>
      <c r="B3686" s="3">
        <v>1.5836494051346807E-10</v>
      </c>
      <c r="D3686" t="s">
        <v>112</v>
      </c>
      <c r="E3686" t="s">
        <v>9</v>
      </c>
      <c r="F3686" s="2" t="s">
        <v>15</v>
      </c>
      <c r="H3686" s="2"/>
    </row>
    <row r="3687" spans="1:12" customFormat="1" ht="16" ns3:dyDescent="0.2">
      <c r="A3687" t="s">
        <v>109</v>
      </c>
      <c r="B3687" s="3">
        <v>4.5524750499172942E-7</v>
      </c>
      <c r="D3687" t="s">
        <v>112</v>
      </c>
      <c r="E3687" t="s">
        <v>9</v>
      </c>
      <c r="F3687" s="2" t="s">
        <v>15</v>
      </c>
      <c r="H3687" s="2"/>
    </row>
    <row r="3688" spans="1:12" customFormat="1" ht="16" ns3:dyDescent="0.2">
      <c r="A3688" t="s">
        <v>110</v>
      </c>
      <c r="B3688" s="3">
        <v>2.6394088838964563E-11</v>
      </c>
      <c r="D3688" t="s">
        <v>112</v>
      </c>
      <c r="E3688" t="s">
        <v>9</v>
      </c>
      <c r="F3688" s="2" t="s">
        <v>15</v>
      </c>
      <c r="H3688" s="2"/>
    </row>
    <row r="3689" spans="1:12" customFormat="1" ht="16" ns3:dyDescent="0.2">
      <c r="A3689" t="s">
        <v>111</v>
      </c>
      <c r="B3689" s="3">
        <v>2.4156210432449703E-10</v>
      </c>
      <c r="D3689" t="s">
        <v>112</v>
      </c>
      <c r="E3689" t="s">
        <v>9</v>
      </c>
      <c r="F3689" s="2" t="s">
        <v>15</v>
      </c>
      <c r="H3689" s="2"/>
    </row>
    <row r="3690" spans="1:12" customFormat="1" ht="16" ns3:dyDescent="0.2"/>
    <row r="3691" spans="1:12" ns3:dyDescent="0.2">
      <c r="A3691" s="17" t="s">
        <v>2</v>
      </c>
      <c r="B3691" s="17" t="s">
        <v>128</v>
      </c>
    </row>
    <row r="3692" spans="1:12" customFormat="1" ht="16" ns3:dyDescent="0.2">
      <c r="A3692" s="2" t="s">
        <v>3</v>
      </c>
      <c r="B3692" s="2" t="s">
        <v>18</v>
      </c>
      <c r="C3692" s="2"/>
      <c r="D3692" s="2"/>
      <c r="E3692" s="2"/>
      <c r="F3692" s="2"/>
      <c r="G3692" s="2"/>
      <c r="H3692" s="2"/>
      <c r="I3692" s="2"/>
      <c r="J3692" s="2"/>
      <c r="K3692" s="2"/>
      <c r="L3692" s="2"/>
    </row>
    <row r="3693" spans="1:12" customFormat="1" ht="16" ns3:dyDescent="0.2">
      <c r="A3693" s="2" t="s">
        <v>4</v>
      </c>
      <c r="B3693" s="2">
        <v>1</v>
      </c>
      <c r="C3693" s="2"/>
      <c r="D3693" s="2"/>
      <c r="E3693" s="2"/>
      <c r="F3693" s="2"/>
      <c r="G3693" s="2"/>
      <c r="H3693" s="2"/>
      <c r="I3693" s="2"/>
      <c r="J3693" s="2"/>
      <c r="K3693" s="2"/>
      <c r="L3693" s="2"/>
    </row>
    <row r="3694" spans="1:12" customFormat="1" ht="16" ns3:dyDescent="0.2">
      <c r="A3694" s="2" t="s">
        <v>5</v>
      </c>
      <c r="B3694" s="2" t="s">
        <v>1</v>
      </c>
      <c r="C3694" s="2"/>
      <c r="D3694" s="2"/>
      <c r="E3694" s="2"/>
      <c r="F3694" s="2"/>
      <c r="G3694" s="2"/>
      <c r="H3694" s="2"/>
      <c r="I3694" s="2"/>
      <c r="J3694" s="2"/>
    </row>
    <row r="3695" spans="1:12" customFormat="1" ht="16" ns3:dyDescent="0.2">
      <c r="A3695" s="2" t="s">
        <v>151</v>
      </c>
      <c r="B3695" s="2" t="s">
        <v>400</v>
      </c>
      <c r="C3695" s="2"/>
      <c r="D3695" s="2"/>
      <c r="E3695" s="2"/>
      <c r="F3695" s="2"/>
      <c r="G3695" s="2"/>
      <c r="H3695" s="2"/>
      <c r="I3695" s="2"/>
      <c r="J3695" s="2"/>
    </row>
    <row r="3696" spans="1:12" customFormat="1" ht="16" ns3:dyDescent="0.2">
      <c r="A3696" s="2" t="s">
        <v>6</v>
      </c>
      <c r="B3696" s="2" t="s">
        <v>7</v>
      </c>
      <c r="C3696" s="2"/>
      <c r="D3696" s="2"/>
      <c r="E3696" s="2"/>
      <c r="F3696" s="2"/>
      <c r="G3696" s="2"/>
      <c r="H3696" s="2"/>
      <c r="I3696" s="2"/>
      <c r="J3696" s="2"/>
      <c r="K3696" s="2"/>
      <c r="L3696" s="2"/>
    </row>
    <row r="3697" spans="1:12" customFormat="1" ht="16" ns3:dyDescent="0.2">
      <c r="A3697" s="2" t="s">
        <v>8</v>
      </c>
      <c r="B3697" s="2" t="s">
        <v>17</v>
      </c>
      <c r="C3697" s="2"/>
      <c r="D3697" s="2"/>
      <c r="E3697" s="2"/>
      <c r="F3697" s="2"/>
      <c r="G3697" s="2"/>
      <c r="H3697" s="2"/>
      <c r="I3697" s="2"/>
      <c r="J3697" s="2"/>
      <c r="K3697" s="2"/>
      <c r="L3697" s="2"/>
    </row>
    <row r="3698" spans="1:12" customFormat="1" ht="16" ns3:dyDescent="0.2">
      <c r="A3698" s="1" t="s">
        <v>10</v>
      </c>
      <c r="B3698" s="2"/>
      <c r="C3698" s="2"/>
      <c r="D3698" s="2"/>
      <c r="E3698" s="2"/>
      <c r="F3698" s="2"/>
      <c r="G3698" s="2"/>
      <c r="H3698" s="2"/>
      <c r="I3698" s="2"/>
      <c r="J3698" s="2"/>
      <c r="K3698" s="2"/>
      <c r="L3698" s="2"/>
    </row>
    <row r="3699" spans="1:12" ns3:dyDescent="0.2">
      <c r="A3699" s="17" t="s">
        <v>11</v>
      </c>
      <c r="B3699" s="17" t="s">
        <v>12</v>
      </c>
      <c r="C3699" s="17" t="s">
        <v>3</v>
      </c>
      <c r="D3699" s="17" t="s">
        <v>13</v>
      </c>
      <c r="E3699" s="17" t="s">
        <v>8</v>
      </c>
      <c r="F3699" s="17" t="s">
        <v>6</v>
      </c>
      <c r="G3699" s="17" t="s">
        <v>5</v>
      </c>
      <c r="I3699" s="17"/>
      <c r="J3699" s="17"/>
      <c r="K3699" s="17"/>
    </row>
    <row r="3700" spans="1:12" customFormat="1" ht="16" ns3:dyDescent="0.2">
      <c r="A3700" s="2" t="str">
        <f>B3691</f>
        <v>methanol from biomass, burned in container ship</v>
      </c>
      <c r="B3700" s="2">
        <v>1</v>
      </c>
      <c r="C3700" s="2" t="str">
        <f>B3692</f>
        <v>RER</v>
      </c>
      <c r="D3700" s="2"/>
      <c r="E3700" s="2" t="str">
        <f>B3697</f>
        <v>megajoule</v>
      </c>
      <c r="F3700" s="2" t="s">
        <v>19</v>
      </c>
      <c r="G3700" s="2" t="str">
        <f>B3694</f>
        <v>heat</v>
      </c>
      <c r="H3700" s="2"/>
      <c r="I3700" s="2"/>
      <c r="J3700" s="2"/>
      <c r="K3700" s="2"/>
      <c r="L3700" s="2"/>
    </row>
    <row r="3701" spans="1:12" customFormat="1" ht="16" ns3:dyDescent="0.2">
      <c r="A3701" t="s">
        <v>148</v>
      </c>
      <c r="B3701" s="8">
        <v>5.5555555555555601E-2</v>
      </c>
      <c r="C3701" t="s">
        <v>127</v>
      </c>
      <c r="E3701" t="s">
        <v>9</v>
      </c>
      <c r="F3701" t="s">
        <v>23</v>
      </c>
      <c r="G3701" t="s">
        <v>126</v>
      </c>
      <c r="H3701" s="2"/>
    </row>
    <row r="3702" spans="1:12" s="4" customFormat="1" ht="16" ns3:dyDescent="0.2">
      <c r="A3702" s="4" t="s">
        <v>98</v>
      </c>
      <c r="B3702" s="7">
        <f>0.0625/1000</f>
        <v>6.2500000000000001E-5</v>
      </c>
      <c r="D3702" s="4" t="s">
        <v>116</v>
      </c>
      <c r="E3702" s="4" t="s">
        <v>94</v>
      </c>
      <c r="F3702" s="4" t="s">
        <v>15</v>
      </c>
      <c r="L3702" s="5"/>
    </row>
    <row r="3703" spans="1:12" s="4" customFormat="1" ht="16" ns3:dyDescent="0.2">
      <c r="A3703" s="4" t="s">
        <v>122</v>
      </c>
      <c r="B3703" s="7">
        <v>7.6222222222222233E-2</v>
      </c>
      <c r="D3703" s="4" t="s">
        <v>14</v>
      </c>
      <c r="E3703" s="4" t="s">
        <v>9</v>
      </c>
      <c r="F3703" s="4" t="s">
        <v>15</v>
      </c>
      <c r="L3703" s="5"/>
    </row>
    <row r="3704" spans="1:12" s="4" customFormat="1" ht="16" ns3:dyDescent="0.2">
      <c r="A3704" s="4" t="s">
        <v>123</v>
      </c>
      <c r="B3704" s="7">
        <v>9.0000000000000002E-6</v>
      </c>
      <c r="D3704" s="4" t="s">
        <v>14</v>
      </c>
      <c r="E3704" s="4" t="s">
        <v>9</v>
      </c>
      <c r="F3704" s="4" t="s">
        <v>15</v>
      </c>
    </row>
    <row r="3705" spans="1:12" s="4" customFormat="1" ht="16" ns3:dyDescent="0.2">
      <c r="A3705" s="4" t="s">
        <v>69</v>
      </c>
      <c r="B3705" s="37">
        <f>(0.0007*20)*B3701</f>
        <v>7.7777777777777838E-4</v>
      </c>
      <c r="D3705" s="4" t="s">
        <v>14</v>
      </c>
      <c r="E3705" s="4" t="s">
        <v>9</v>
      </c>
      <c r="F3705" s="4" t="s">
        <v>15</v>
      </c>
      <c r="L3705" s="5"/>
    </row>
    <row r="3706" spans="1:12" s="4" customFormat="1" ht="16" ns3:dyDescent="0.2">
      <c r="A3706" s="4" t="s">
        <v>71</v>
      </c>
      <c r="B3706" s="7">
        <f>0.00695*B3701*0.1</f>
        <v>3.8611111111111143E-5</v>
      </c>
      <c r="D3706" s="4" t="s">
        <v>14</v>
      </c>
      <c r="E3706" s="4" t="s">
        <v>9</v>
      </c>
      <c r="F3706" s="4" t="s">
        <v>15</v>
      </c>
      <c r="L3706" s="5"/>
    </row>
    <row r="3707" spans="1:12" customFormat="1" ht="16" ns3:dyDescent="0.2">
      <c r="H3707" s="2"/>
    </row>
    <row r="3708" spans="1:12" ns3:dyDescent="0.2">
      <c r="A3708" s="17" t="s">
        <v>2</v>
      </c>
      <c r="B3708" s="17" t="s">
        <v>374</v>
      </c>
    </row>
    <row r="3709" spans="1:12" customFormat="1" ht="16" ns3:dyDescent="0.2">
      <c r="A3709" s="2" t="s">
        <v>3</v>
      </c>
      <c r="B3709" s="2" t="s">
        <v>18</v>
      </c>
      <c r="C3709" s="2"/>
      <c r="D3709" s="2"/>
      <c r="E3709" s="2"/>
      <c r="F3709" s="2"/>
      <c r="G3709" s="2"/>
      <c r="H3709" s="2"/>
      <c r="I3709" s="2"/>
      <c r="J3709" s="2"/>
      <c r="K3709" s="2"/>
      <c r="L3709" s="2"/>
    </row>
    <row r="3710" spans="1:12" customFormat="1" ht="16" ns3:dyDescent="0.2">
      <c r="A3710" s="2" t="s">
        <v>4</v>
      </c>
      <c r="B3710" s="2">
        <v>1</v>
      </c>
      <c r="C3710" s="2"/>
      <c r="D3710" s="2"/>
      <c r="E3710" s="2"/>
      <c r="F3710" s="2"/>
      <c r="G3710" s="2"/>
      <c r="H3710" s="2"/>
      <c r="I3710" s="2"/>
      <c r="J3710" s="2"/>
      <c r="K3710" s="2"/>
      <c r="L3710" s="2"/>
    </row>
    <row r="3711" spans="1:12" customFormat="1" ht="16" ns3:dyDescent="0.2">
      <c r="A3711" s="2" t="s">
        <v>5</v>
      </c>
      <c r="B3711" s="2" t="s">
        <v>142</v>
      </c>
      <c r="C3711" s="2"/>
      <c r="D3711" s="2"/>
      <c r="E3711" s="2"/>
      <c r="F3711" s="2"/>
      <c r="G3711" s="2"/>
      <c r="H3711" s="2"/>
      <c r="I3711" s="2"/>
      <c r="J3711" s="2"/>
    </row>
    <row r="3712" spans="1:12" customFormat="1" ht="16" ns3:dyDescent="0.2">
      <c r="A3712" s="2" t="s">
        <v>6</v>
      </c>
      <c r="B3712" s="2" t="s">
        <v>7</v>
      </c>
      <c r="C3712" s="2"/>
      <c r="D3712" s="2"/>
      <c r="E3712" s="2"/>
      <c r="F3712" s="2"/>
      <c r="G3712" s="2"/>
      <c r="H3712" s="2"/>
      <c r="I3712" s="2"/>
      <c r="J3712" s="2"/>
      <c r="K3712" s="2"/>
      <c r="L3712" s="2"/>
    </row>
    <row r="3713" spans="1:12" customFormat="1" ht="16" ns3:dyDescent="0.2">
      <c r="A3713" s="2" t="s">
        <v>8</v>
      </c>
      <c r="B3713" s="2" t="s">
        <v>17</v>
      </c>
      <c r="C3713" s="2"/>
      <c r="D3713" s="2"/>
      <c r="E3713" s="2"/>
      <c r="F3713" s="2"/>
      <c r="G3713" s="2"/>
      <c r="H3713" s="2"/>
      <c r="I3713" s="2"/>
      <c r="J3713" s="2"/>
      <c r="K3713" s="2"/>
      <c r="L3713" s="2"/>
    </row>
    <row r="3714" spans="1:12" customFormat="1" ht="16" ns3:dyDescent="0.2">
      <c r="A3714" t="s">
        <v>349</v>
      </c>
      <c r="B3714" s="2">
        <f>INDEX(Parameters!$B$6:$AL$59,MATCH(Inventories!$B$3708,Parameters!$A$6:$A$59,0),MATCH(Inventories!$A3714,Parameters!$B$4:$AL$4,0))</f>
        <v>3200</v>
      </c>
      <c r="C3714" t="s">
        <v>309</v>
      </c>
      <c r="D3714" s="2"/>
      <c r="E3714" s="2"/>
      <c r="F3714" s="2"/>
      <c r="G3714" s="2"/>
      <c r="H3714" s="2"/>
      <c r="I3714" s="2"/>
      <c r="J3714" s="2"/>
      <c r="K3714" s="2"/>
      <c r="L3714" s="2"/>
    </row>
    <row r="3715" spans="1:12" customFormat="1" ht="16" ns3:dyDescent="0.2">
      <c r="A3715" t="s">
        <v>350</v>
      </c>
      <c r="B3715" s="2">
        <f>INDEX(Parameters!$B$6:$AL$59,MATCH(Inventories!$B$3708,Parameters!$A$6:$A$59,0),MATCH(Inventories!$A3715,Parameters!$B$4:$AL$4,0))</f>
        <v>2500</v>
      </c>
      <c r="C3715" t="s">
        <v>309</v>
      </c>
      <c r="D3715" s="2"/>
      <c r="E3715" s="2"/>
      <c r="F3715" s="2"/>
      <c r="G3715" s="2"/>
      <c r="H3715" s="2"/>
      <c r="I3715" s="2"/>
      <c r="J3715" s="2"/>
      <c r="K3715" s="2"/>
      <c r="L3715" s="2"/>
    </row>
    <row r="3716" spans="1:12" customFormat="1" ht="16" ns3:dyDescent="0.2">
      <c r="A3716" t="s">
        <v>351</v>
      </c>
      <c r="B3716" s="2">
        <f>INDEX(Parameters!$B$6:$AL$59,MATCH(Inventories!$B$3708,Parameters!$A$6:$A$59,0),MATCH(Inventories!$A3716,Parameters!$B$4:$AL$4,0))</f>
        <v>5000</v>
      </c>
      <c r="C3716" t="s">
        <v>309</v>
      </c>
      <c r="D3716" s="2"/>
      <c r="E3716" s="2"/>
      <c r="F3716" s="2"/>
      <c r="G3716" s="2"/>
      <c r="H3716" s="2"/>
      <c r="I3716" s="2"/>
      <c r="J3716" s="2"/>
      <c r="K3716" s="2"/>
      <c r="L3716" s="2"/>
    </row>
    <row r="3717" spans="1:12" customFormat="1" ht="16" ns3:dyDescent="0.2">
      <c r="A3717" t="s">
        <v>313</v>
      </c>
      <c r="B3717" s="24">
        <f>INDEX(Parameters!$B$6:$AL$59,MATCH(Inventories!$B$3708,Parameters!$A$6:$A$59,0),MATCH(Inventories!$A3717,Parameters!$B$4:$AL$4,0))</f>
        <v>4200000</v>
      </c>
      <c r="C3717" t="s">
        <v>310</v>
      </c>
      <c r="D3717" s="2"/>
      <c r="E3717" s="2"/>
      <c r="F3717" s="2"/>
      <c r="G3717" s="2"/>
      <c r="H3717" s="2"/>
      <c r="I3717" s="2"/>
      <c r="J3717" s="2"/>
      <c r="K3717" s="2"/>
      <c r="L3717" s="2"/>
    </row>
    <row r="3718" spans="1:12" customFormat="1" ht="16" ns3:dyDescent="0.2">
      <c r="A3718" t="s">
        <v>314</v>
      </c>
      <c r="B3718" s="24">
        <f>INDEX(Parameters!$B$6:$AL$59,MATCH(Inventories!$B$3708,Parameters!$A$6:$A$59,0),MATCH(Inventories!$A3718,Parameters!$B$4:$AL$4,0))</f>
        <v>3000000</v>
      </c>
      <c r="C3718" t="s">
        <v>310</v>
      </c>
      <c r="D3718" s="2"/>
      <c r="E3718" s="2"/>
      <c r="F3718" s="2"/>
      <c r="G3718" s="2"/>
      <c r="H3718" s="2"/>
      <c r="I3718" s="2"/>
      <c r="J3718" s="2"/>
      <c r="K3718" s="2"/>
      <c r="L3718" s="2"/>
    </row>
    <row r="3719" spans="1:12" customFormat="1" ht="16" ns3:dyDescent="0.2">
      <c r="A3719" t="s">
        <v>315</v>
      </c>
      <c r="B3719" s="24">
        <f>INDEX(Parameters!$B$6:$AL$59,MATCH(Inventories!$B$3708,Parameters!$A$6:$A$59,0),MATCH(Inventories!$A3719,Parameters!$B$4:$AL$4,0))</f>
        <v>10000000</v>
      </c>
      <c r="C3719" t="s">
        <v>310</v>
      </c>
      <c r="D3719" s="2"/>
      <c r="E3719" s="2"/>
      <c r="F3719" s="2"/>
      <c r="G3719" s="2"/>
      <c r="H3719" s="2"/>
      <c r="I3719" s="2"/>
      <c r="J3719" s="2"/>
      <c r="K3719" s="2"/>
      <c r="L3719" s="2"/>
    </row>
    <row r="3720" spans="1:12" customFormat="1" ht="16" ns3:dyDescent="0.2">
      <c r="A3720" t="s">
        <v>316</v>
      </c>
      <c r="B3720" s="24">
        <f>INDEX(Parameters!$B$6:$AL$59,MATCH(Inventories!$B$3708,Parameters!$A$6:$A$59,0),MATCH(Inventories!$A3720,Parameters!$B$4:$AL$4,0))</f>
        <v>4837500</v>
      </c>
      <c r="C3720" t="s">
        <v>311</v>
      </c>
      <c r="D3720" s="2"/>
      <c r="E3720" s="2"/>
      <c r="F3720" s="2"/>
      <c r="G3720" s="2"/>
      <c r="H3720" s="2"/>
      <c r="I3720" s="2"/>
      <c r="J3720" s="2"/>
      <c r="K3720" s="2"/>
      <c r="L3720" s="2"/>
    </row>
    <row r="3721" spans="1:12" customFormat="1" ht="16" ns3:dyDescent="0.2">
      <c r="A3721" t="s">
        <v>317</v>
      </c>
      <c r="B3721" s="24">
        <f>INDEX(Parameters!$B$6:$AL$59,MATCH(Inventories!$B$3708,Parameters!$A$6:$A$59,0),MATCH(Inventories!$A3721,Parameters!$B$4:$AL$4,0))</f>
        <v>3655000</v>
      </c>
      <c r="C3721" t="s">
        <v>311</v>
      </c>
      <c r="D3721" s="2"/>
      <c r="E3721" s="2"/>
      <c r="F3721" s="2"/>
      <c r="G3721" s="2"/>
      <c r="H3721" s="2"/>
      <c r="I3721" s="2"/>
      <c r="J3721" s="2"/>
      <c r="K3721" s="2"/>
      <c r="L3721" s="2"/>
    </row>
    <row r="3722" spans="1:12" customFormat="1" ht="16" ns3:dyDescent="0.2">
      <c r="A3722" t="s">
        <v>318</v>
      </c>
      <c r="B3722" s="24">
        <f>INDEX(Parameters!$B$6:$AL$59,MATCH(Inventories!$B$3708,Parameters!$A$6:$A$59,0),MATCH(Inventories!$A3722,Parameters!$B$4:$AL$4,0))</f>
        <v>7310000</v>
      </c>
      <c r="C3722" t="s">
        <v>311</v>
      </c>
      <c r="D3722" s="2"/>
      <c r="E3722" s="2"/>
      <c r="F3722" s="2"/>
      <c r="G3722" s="2"/>
      <c r="H3722" s="2"/>
      <c r="I3722" s="2"/>
      <c r="J3722" s="2"/>
      <c r="K3722" s="2"/>
      <c r="L3722" s="2"/>
    </row>
    <row r="3723" spans="1:12" customFormat="1" ht="16" ns3:dyDescent="0.2">
      <c r="A3723" t="s">
        <v>334</v>
      </c>
      <c r="B3723" s="2">
        <f>INDEX(Parameters!$B$6:$AL$59,MATCH(Inventories!$B$3708,Parameters!$A$6:$A$59,0),MATCH(Inventories!$A3723,Parameters!$B$4:$AL$4,0))</f>
        <v>0</v>
      </c>
      <c r="C3723" t="s">
        <v>333</v>
      </c>
      <c r="D3723" s="2"/>
      <c r="E3723" s="2"/>
      <c r="F3723" s="2"/>
      <c r="G3723" s="2"/>
      <c r="H3723" s="2"/>
      <c r="I3723" s="2"/>
      <c r="J3723" s="2"/>
      <c r="K3723" s="2"/>
      <c r="L3723" s="2"/>
    </row>
    <row r="3724" spans="1:12" customFormat="1" ht="16" ns3:dyDescent="0.2">
      <c r="A3724" t="s">
        <v>335</v>
      </c>
      <c r="B3724" s="2">
        <f>INDEX(Parameters!$B$6:$AL$59,MATCH(Inventories!$B$3708,Parameters!$A$6:$A$59,0),MATCH(Inventories!$A3724,Parameters!$B$4:$AL$4,0))</f>
        <v>0</v>
      </c>
      <c r="C3724" t="s">
        <v>333</v>
      </c>
      <c r="D3724" s="2"/>
      <c r="E3724" s="2"/>
      <c r="F3724" s="2"/>
      <c r="G3724" s="2"/>
      <c r="H3724" s="2"/>
      <c r="I3724" s="2"/>
      <c r="J3724" s="2"/>
      <c r="K3724" s="2"/>
      <c r="L3724" s="2"/>
    </row>
    <row r="3725" spans="1:12" customFormat="1" ht="16" ns3:dyDescent="0.2">
      <c r="A3725" t="s">
        <v>336</v>
      </c>
      <c r="B3725" s="2">
        <f>INDEX(Parameters!$B$6:$AL$59,MATCH(Inventories!$B$3708,Parameters!$A$6:$A$59,0),MATCH(Inventories!$A3725,Parameters!$B$4:$AL$4,0))</f>
        <v>0</v>
      </c>
      <c r="C3725" t="s">
        <v>333</v>
      </c>
      <c r="D3725" s="2"/>
      <c r="E3725" s="2"/>
      <c r="F3725" s="2"/>
      <c r="G3725" s="2"/>
      <c r="H3725" s="2"/>
      <c r="I3725" s="2"/>
      <c r="J3725" s="2"/>
      <c r="K3725" s="2"/>
      <c r="L3725" s="2"/>
    </row>
    <row r="3726" spans="1:12" customFormat="1" ht="16" ns3:dyDescent="0.2">
      <c r="A3726" t="s">
        <v>337</v>
      </c>
      <c r="B3726" s="2">
        <f>INDEX(Parameters!$B$6:$AL$59,MATCH(Inventories!$B$3708,Parameters!$A$6:$A$59,0),MATCH(Inventories!$A3726,Parameters!$B$4:$AL$4,0))</f>
        <v>0</v>
      </c>
      <c r="C3726" t="s">
        <v>333</v>
      </c>
      <c r="D3726" s="2"/>
      <c r="E3726" s="2"/>
      <c r="F3726" s="2"/>
      <c r="G3726" s="2"/>
      <c r="H3726" s="2"/>
      <c r="I3726" s="2"/>
      <c r="J3726" s="2"/>
      <c r="K3726" s="2"/>
      <c r="L3726" s="2"/>
    </row>
    <row r="3727" spans="1:12" customFormat="1" ht="16" ns3:dyDescent="0.2">
      <c r="A3727" t="s">
        <v>338</v>
      </c>
      <c r="B3727" s="2">
        <f>INDEX(Parameters!$B$6:$AL$59,MATCH(Inventories!$B$3708,Parameters!$A$6:$A$59,0),MATCH(Inventories!$A3727,Parameters!$B$4:$AL$4,0))</f>
        <v>0</v>
      </c>
      <c r="C3727" t="s">
        <v>333</v>
      </c>
      <c r="D3727" s="2"/>
      <c r="E3727" s="2"/>
      <c r="F3727" s="2"/>
      <c r="G3727" s="2"/>
      <c r="H3727" s="2"/>
      <c r="I3727" s="2"/>
      <c r="J3727" s="2"/>
      <c r="K3727" s="2"/>
      <c r="L3727" s="2"/>
    </row>
    <row r="3728" spans="1:12" customFormat="1" ht="16" ns3:dyDescent="0.2">
      <c r="A3728" t="s">
        <v>339</v>
      </c>
      <c r="B3728" s="2">
        <f>INDEX(Parameters!$B$6:$AL$59,MATCH(Inventories!$B$3708,Parameters!$A$6:$A$59,0),MATCH(Inventories!$A3728,Parameters!$B$4:$AL$4,0))</f>
        <v>0</v>
      </c>
      <c r="C3728" t="s">
        <v>333</v>
      </c>
      <c r="D3728" s="2"/>
      <c r="E3728" s="2"/>
      <c r="F3728" s="2"/>
      <c r="G3728" s="2"/>
      <c r="H3728" s="2"/>
      <c r="I3728" s="2"/>
      <c r="J3728" s="2"/>
      <c r="K3728" s="2"/>
      <c r="L3728" s="2"/>
    </row>
    <row r="3729" spans="1:12" customFormat="1" ht="16" ns3:dyDescent="0.2">
      <c r="A3729" t="s">
        <v>330</v>
      </c>
      <c r="B3729" s="2">
        <f>INDEX(Parameters!$B$6:$AL$59,MATCH(Inventories!$B$3708,Parameters!$A$6:$A$59,0),MATCH(Inventories!$A3729,Parameters!$B$4:$AL$4,0))</f>
        <v>0</v>
      </c>
      <c r="C3729" t="s">
        <v>333</v>
      </c>
      <c r="D3729" s="2"/>
      <c r="E3729" s="2"/>
      <c r="F3729" s="2"/>
      <c r="G3729" s="2"/>
      <c r="H3729" s="2"/>
      <c r="I3729" s="2"/>
      <c r="J3729" s="2"/>
      <c r="K3729" s="2"/>
      <c r="L3729" s="2"/>
    </row>
    <row r="3730" spans="1:12" customFormat="1" ht="16" ns3:dyDescent="0.2">
      <c r="A3730" t="s">
        <v>331</v>
      </c>
      <c r="B3730" s="2">
        <f>INDEX(Parameters!$B$6:$AL$59,MATCH(Inventories!$B$3708,Parameters!$A$6:$A$59,0),MATCH(Inventories!$A3730,Parameters!$B$4:$AL$4,0))</f>
        <v>0</v>
      </c>
      <c r="C3730" t="s">
        <v>333</v>
      </c>
      <c r="D3730" s="2"/>
      <c r="E3730" s="2"/>
      <c r="F3730" s="2"/>
      <c r="G3730" s="2"/>
      <c r="H3730" s="2"/>
      <c r="I3730" s="2"/>
      <c r="J3730" s="2"/>
      <c r="K3730" s="2"/>
      <c r="L3730" s="2"/>
    </row>
    <row r="3731" spans="1:12" customFormat="1" ht="16" ns3:dyDescent="0.2">
      <c r="A3731" t="s">
        <v>332</v>
      </c>
      <c r="B3731" s="2">
        <f>INDEX(Parameters!$B$6:$AL$59,MATCH(Inventories!$B$3708,Parameters!$A$6:$A$59,0),MATCH(Inventories!$A3731,Parameters!$B$4:$AL$4,0))</f>
        <v>0</v>
      </c>
      <c r="C3731" t="s">
        <v>333</v>
      </c>
      <c r="D3731" s="2"/>
      <c r="E3731" s="2"/>
      <c r="F3731" s="2"/>
      <c r="G3731" s="2"/>
      <c r="H3731" s="2"/>
      <c r="I3731" s="2"/>
      <c r="J3731" s="2"/>
      <c r="K3731" s="2"/>
      <c r="L3731" s="2"/>
    </row>
    <row r="3732" spans="1:12" customFormat="1" ht="16" ns3:dyDescent="0.2">
      <c r="A3732" t="s">
        <v>319</v>
      </c>
      <c r="B3732" s="2">
        <f>INDEX(Parameters!$B$6:$AL$59,MATCH(Inventories!$B$3708,Parameters!$A$6:$A$59,0),MATCH(Inventories!$A3732,Parameters!$B$4:$AL$4,0))</f>
        <v>6700000</v>
      </c>
      <c r="C3732" t="s">
        <v>312</v>
      </c>
      <c r="D3732" s="2"/>
      <c r="E3732" s="2"/>
      <c r="F3732" s="2"/>
      <c r="G3732" s="2"/>
      <c r="H3732" s="2"/>
      <c r="I3732" s="2"/>
      <c r="J3732" s="2"/>
      <c r="K3732" s="2"/>
      <c r="L3732" s="2"/>
    </row>
    <row r="3733" spans="1:12" customFormat="1" ht="16" ns3:dyDescent="0.2">
      <c r="A3733" t="s">
        <v>320</v>
      </c>
      <c r="B3733" s="2">
        <f>INDEX(Parameters!$B$6:$AL$59,MATCH(Inventories!$B$3708,Parameters!$A$6:$A$59,0),MATCH(Inventories!$A3733,Parameters!$B$4:$AL$4,0))</f>
        <v>3500000</v>
      </c>
      <c r="C3733" t="s">
        <v>312</v>
      </c>
      <c r="D3733" s="2"/>
      <c r="E3733" s="2"/>
      <c r="F3733" s="2"/>
      <c r="G3733" s="2"/>
      <c r="H3733" s="2"/>
      <c r="I3733" s="2"/>
      <c r="J3733" s="2"/>
      <c r="K3733" s="2"/>
      <c r="L3733" s="2"/>
    </row>
    <row r="3734" spans="1:12" customFormat="1" ht="16" ns3:dyDescent="0.2">
      <c r="A3734" t="s">
        <v>321</v>
      </c>
      <c r="B3734" s="2">
        <f>INDEX(Parameters!$B$6:$AL$59,MATCH(Inventories!$B$3708,Parameters!$A$6:$A$59,0),MATCH(Inventories!$A3734,Parameters!$B$4:$AL$4,0))</f>
        <v>10000000</v>
      </c>
      <c r="C3734" t="s">
        <v>312</v>
      </c>
      <c r="D3734" s="2"/>
      <c r="E3734" s="2"/>
      <c r="F3734" s="2"/>
      <c r="G3734" s="2"/>
      <c r="H3734" s="2"/>
      <c r="I3734" s="2"/>
      <c r="J3734" s="2"/>
      <c r="K3734" s="2"/>
      <c r="L3734" s="2"/>
    </row>
    <row r="3735" spans="1:12" customFormat="1" ht="16" ns3:dyDescent="0.2">
      <c r="A3735" t="s">
        <v>327</v>
      </c>
      <c r="B3735" s="2">
        <f>INDEX(Parameters!$B$6:$AL$59,MATCH(Inventories!$B$3708,Parameters!$A$6:$A$59,0),MATCH(Inventories!$A3735,Parameters!$B$4:$AL$4,0))</f>
        <v>0</v>
      </c>
      <c r="C3735" t="s">
        <v>8</v>
      </c>
      <c r="D3735" s="2"/>
      <c r="E3735" s="2"/>
      <c r="F3735" s="2"/>
      <c r="G3735" s="2"/>
      <c r="H3735" s="2"/>
      <c r="I3735" s="2"/>
      <c r="J3735" s="2"/>
      <c r="K3735" s="2"/>
      <c r="L3735" s="2"/>
    </row>
    <row r="3736" spans="1:12" customFormat="1" ht="16" ns3:dyDescent="0.2">
      <c r="A3736" t="s">
        <v>328</v>
      </c>
      <c r="B3736" s="2">
        <f>INDEX(Parameters!$B$6:$AL$59,MATCH(Inventories!$B$3708,Parameters!$A$6:$A$59,0),MATCH(Inventories!$A3736,Parameters!$B$4:$AL$4,0))</f>
        <v>0</v>
      </c>
      <c r="C3736" t="s">
        <v>8</v>
      </c>
      <c r="D3736" s="2"/>
      <c r="E3736" s="2"/>
      <c r="F3736" s="2"/>
      <c r="G3736" s="2"/>
      <c r="H3736" s="2"/>
      <c r="I3736" s="2"/>
      <c r="J3736" s="2"/>
      <c r="K3736" s="2"/>
      <c r="L3736" s="2"/>
    </row>
    <row r="3737" spans="1:12" customFormat="1" ht="16" ns3:dyDescent="0.2">
      <c r="A3737" t="s">
        <v>329</v>
      </c>
      <c r="B3737" s="2">
        <f>INDEX(Parameters!$B$6:$AL$59,MATCH(Inventories!$B$3708,Parameters!$A$6:$A$59,0),MATCH(Inventories!$A3737,Parameters!$B$4:$AL$4,0))</f>
        <v>0</v>
      </c>
      <c r="C3737" t="s">
        <v>8</v>
      </c>
      <c r="D3737" s="2"/>
      <c r="E3737" s="2"/>
      <c r="F3737" s="2"/>
      <c r="G3737" s="2"/>
      <c r="H3737" s="2"/>
      <c r="I3737" s="2"/>
      <c r="J3737" s="2"/>
      <c r="K3737" s="2"/>
      <c r="L3737" s="2"/>
    </row>
    <row r="3738" spans="1:12" customFormat="1" ht="16" ns3:dyDescent="0.2">
      <c r="A3738" t="s">
        <v>343</v>
      </c>
      <c r="B3738" s="2">
        <f>INDEX(Parameters!$B$6:$AL$59,MATCH(Inventories!$B$3708,Parameters!$A$6:$A$59,0),MATCH(Inventories!$A3738,Parameters!$B$4:$AL$4,0))</f>
        <v>0</v>
      </c>
      <c r="C3738" t="s">
        <v>309</v>
      </c>
      <c r="D3738" s="2"/>
      <c r="E3738" s="2"/>
      <c r="F3738" s="2"/>
      <c r="G3738" s="2"/>
      <c r="H3738" s="2"/>
      <c r="I3738" s="2"/>
      <c r="J3738" s="2"/>
      <c r="K3738" s="2"/>
      <c r="L3738" s="2"/>
    </row>
    <row r="3739" spans="1:12" customFormat="1" ht="16" ns3:dyDescent="0.2">
      <c r="A3739" t="s">
        <v>344</v>
      </c>
      <c r="B3739" s="2">
        <f>INDEX(Parameters!$B$6:$AL$59,MATCH(Inventories!$B$3708,Parameters!$A$6:$A$59,0),MATCH(Inventories!$A3739,Parameters!$B$4:$AL$4,0))</f>
        <v>0</v>
      </c>
      <c r="C3739" t="s">
        <v>309</v>
      </c>
      <c r="D3739" s="2"/>
      <c r="E3739" s="12"/>
      <c r="F3739" s="2"/>
      <c r="G3739" s="2"/>
      <c r="H3739" s="2"/>
      <c r="I3739" s="2"/>
      <c r="J3739" s="2"/>
      <c r="K3739" s="2"/>
      <c r="L3739" s="2"/>
    </row>
    <row r="3740" spans="1:12" customFormat="1" ht="16" ns3:dyDescent="0.2">
      <c r="A3740" t="s">
        <v>345</v>
      </c>
      <c r="B3740" s="2">
        <f>INDEX(Parameters!$B$6:$AL$59,MATCH(Inventories!$B$3708,Parameters!$A$6:$A$59,0),MATCH(Inventories!$A3740,Parameters!$B$4:$AL$4,0))</f>
        <v>0</v>
      </c>
      <c r="C3740" t="s">
        <v>309</v>
      </c>
      <c r="D3740" s="2"/>
      <c r="E3740" s="2"/>
      <c r="F3740" s="2"/>
      <c r="G3740" s="2"/>
      <c r="H3740" s="2"/>
      <c r="I3740" s="2"/>
      <c r="J3740" s="2"/>
      <c r="K3740" s="2"/>
      <c r="L3740" s="2"/>
    </row>
    <row r="3741" spans="1:12" customFormat="1" ht="16" ns3:dyDescent="0.2">
      <c r="A3741" t="s">
        <v>346</v>
      </c>
      <c r="B3741" s="2">
        <f>INDEX(Parameters!$B$6:$AL$59,MATCH(Inventories!$B$3708,Parameters!$A$6:$A$59,0),MATCH(Inventories!$A3741,Parameters!$B$4:$AL$4,0))</f>
        <v>0</v>
      </c>
      <c r="C3741" t="s">
        <v>8</v>
      </c>
      <c r="D3741" s="2"/>
      <c r="E3741" s="2"/>
      <c r="F3741" s="2"/>
      <c r="G3741" s="2"/>
      <c r="H3741" s="2"/>
      <c r="I3741" s="2"/>
      <c r="J3741" s="2"/>
      <c r="K3741" s="2"/>
      <c r="L3741" s="2"/>
    </row>
    <row r="3742" spans="1:12" customFormat="1" ht="16" ns3:dyDescent="0.2">
      <c r="A3742" t="s">
        <v>347</v>
      </c>
      <c r="B3742" s="2">
        <f>INDEX(Parameters!$B$6:$AL$59,MATCH(Inventories!$B$3708,Parameters!$A$6:$A$59,0),MATCH(Inventories!$A3742,Parameters!$B$4:$AL$4,0))</f>
        <v>0</v>
      </c>
      <c r="C3742" t="s">
        <v>8</v>
      </c>
      <c r="D3742" s="2"/>
      <c r="E3742" s="2"/>
      <c r="F3742" s="2"/>
      <c r="G3742" s="2"/>
      <c r="H3742" s="2"/>
      <c r="I3742" s="2"/>
      <c r="J3742" s="2"/>
      <c r="K3742" s="2"/>
      <c r="L3742" s="2"/>
    </row>
    <row r="3743" spans="1:12" customFormat="1" ht="16" ns3:dyDescent="0.2">
      <c r="A3743" t="s">
        <v>348</v>
      </c>
      <c r="B3743" s="2">
        <f>INDEX(Parameters!$B$6:$AL$59,MATCH(Inventories!$B$3708,Parameters!$A$6:$A$59,0),MATCH(Inventories!$A3743,Parameters!$B$4:$AL$4,0))</f>
        <v>0</v>
      </c>
      <c r="C3743" t="s">
        <v>8</v>
      </c>
      <c r="D3743" s="2"/>
      <c r="E3743" s="2"/>
      <c r="F3743" s="2"/>
      <c r="G3743" s="2"/>
      <c r="H3743" s="2"/>
      <c r="I3743" s="2"/>
      <c r="J3743" s="2"/>
      <c r="K3743" s="2"/>
      <c r="L3743" s="2"/>
    </row>
    <row r="3744" spans="1:12" customFormat="1" ht="16" ns3:dyDescent="0.2">
      <c r="A3744" t="s">
        <v>362</v>
      </c>
      <c r="B3744" s="2">
        <f>INDEX(Parameters!$B$6:$AL$59,MATCH(Inventories!$B$3708,Parameters!$A$6:$A$59,0),MATCH(Inventories!$A3744,Parameters!$B$4:$AL$4,0))</f>
        <v>0</v>
      </c>
      <c r="C3744" t="s">
        <v>333</v>
      </c>
      <c r="D3744" s="2"/>
      <c r="E3744" s="2"/>
      <c r="F3744" s="2"/>
      <c r="G3744" s="2"/>
      <c r="H3744" s="2"/>
      <c r="I3744" s="2"/>
      <c r="J3744" s="2"/>
      <c r="K3744" s="2"/>
      <c r="L3744" s="2"/>
    </row>
    <row r="3745" spans="1:12" customFormat="1" ht="16" ns3:dyDescent="0.2">
      <c r="A3745" t="s">
        <v>363</v>
      </c>
      <c r="B3745" s="2">
        <f>INDEX(Parameters!$B$6:$AL$59,MATCH(Inventories!$B$3708,Parameters!$A$6:$A$59,0),MATCH(Inventories!$A3745,Parameters!$B$4:$AL$4,0))</f>
        <v>0</v>
      </c>
      <c r="C3745" t="s">
        <v>333</v>
      </c>
      <c r="D3745" s="2"/>
      <c r="E3745" s="2"/>
      <c r="F3745" s="2"/>
      <c r="G3745" s="2"/>
      <c r="H3745" s="2"/>
      <c r="I3745" s="2"/>
      <c r="J3745" s="2"/>
      <c r="K3745" s="2"/>
      <c r="L3745" s="2"/>
    </row>
    <row r="3746" spans="1:12" customFormat="1" ht="16" ns3:dyDescent="0.2">
      <c r="A3746" t="s">
        <v>364</v>
      </c>
      <c r="B3746" s="2">
        <f>INDEX(Parameters!$B$6:$AL$59,MATCH(Inventories!$B$3708,Parameters!$A$6:$A$59,0),MATCH(Inventories!$A3746,Parameters!$B$4:$AL$4,0))</f>
        <v>0</v>
      </c>
      <c r="C3746" t="s">
        <v>333</v>
      </c>
      <c r="D3746" s="2"/>
      <c r="E3746" s="2"/>
      <c r="F3746" s="2"/>
      <c r="G3746" s="2"/>
      <c r="H3746" s="2"/>
      <c r="I3746" s="2"/>
      <c r="J3746" s="2"/>
      <c r="K3746" s="2"/>
      <c r="L3746" s="2"/>
    </row>
    <row r="3747" spans="1:12" customFormat="1" ht="16" ns3:dyDescent="0.2">
      <c r="A3747" t="s">
        <v>365</v>
      </c>
      <c r="B3747" s="2">
        <f>INDEX(Parameters!$B$6:$AL$59,MATCH(Inventories!$B$3708,Parameters!$A$6:$A$59,0),MATCH(Inventories!$A3747,Parameters!$B$4:$AL$4,0))</f>
        <v>0</v>
      </c>
      <c r="C3747" t="s">
        <v>333</v>
      </c>
      <c r="D3747" s="2"/>
      <c r="E3747" s="2"/>
      <c r="F3747" s="2"/>
      <c r="G3747" s="2"/>
      <c r="H3747" s="2"/>
      <c r="I3747" s="2"/>
      <c r="J3747" s="2"/>
      <c r="K3747" s="2"/>
      <c r="L3747" s="2"/>
    </row>
    <row r="3748" spans="1:12" customFormat="1" ht="16" ns3:dyDescent="0.2">
      <c r="A3748" t="s">
        <v>366</v>
      </c>
      <c r="B3748" s="2">
        <f>INDEX(Parameters!$B$6:$AL$59,MATCH(Inventories!$B$3708,Parameters!$A$6:$A$59,0),MATCH(Inventories!$A3748,Parameters!$B$4:$AL$4,0))</f>
        <v>0</v>
      </c>
      <c r="C3748" t="s">
        <v>333</v>
      </c>
      <c r="D3748" s="2"/>
      <c r="E3748" s="2"/>
      <c r="F3748" s="2"/>
      <c r="G3748" s="2"/>
      <c r="H3748" s="2"/>
      <c r="I3748" s="2"/>
      <c r="J3748" s="2"/>
      <c r="K3748" s="2"/>
      <c r="L3748" s="2"/>
    </row>
    <row r="3749" spans="1:12" customFormat="1" ht="16" ns3:dyDescent="0.2">
      <c r="A3749" t="s">
        <v>341</v>
      </c>
      <c r="B3749" s="12">
        <f>INDEX(Parameters!$B$6:$AL$59,MATCH(Inventories!$B$3708,Parameters!$A$6:$A$59,0),MATCH(Inventories!$A3749,Parameters!$B$4:$AL$4,0))</f>
        <v>0</v>
      </c>
      <c r="C3749" t="s">
        <v>342</v>
      </c>
      <c r="D3749" s="2"/>
      <c r="E3749" s="2"/>
      <c r="F3749" s="2"/>
      <c r="G3749" s="2"/>
      <c r="H3749" s="2"/>
      <c r="I3749" s="2"/>
      <c r="J3749" s="2"/>
      <c r="K3749" s="2"/>
      <c r="L3749" s="2"/>
    </row>
    <row r="3750" spans="1:12" customFormat="1" ht="16" ns3:dyDescent="0.2">
      <c r="A3750" t="s">
        <v>340</v>
      </c>
      <c r="B3750" s="12">
        <f>INDEX(Parameters!$B$6:$AL$59,MATCH(Inventories!$B$3708,Parameters!$A$6:$A$59,0),MATCH(Inventories!$A3750,Parameters!$B$4:$AL$4,0))</f>
        <v>0</v>
      </c>
      <c r="C3750" t="s">
        <v>342</v>
      </c>
      <c r="D3750" s="2"/>
      <c r="E3750" s="2"/>
      <c r="F3750" s="2"/>
      <c r="G3750" s="2"/>
      <c r="H3750" s="2"/>
      <c r="I3750" s="2"/>
      <c r="J3750" s="2"/>
      <c r="K3750" s="2"/>
      <c r="L3750" s="2"/>
    </row>
    <row r="3751" spans="1:12" customFormat="1" ht="16" ns3:dyDescent="0.2">
      <c r="A3751" s="1" t="s">
        <v>10</v>
      </c>
      <c r="B3751" s="2"/>
      <c r="C3751" s="2"/>
      <c r="D3751" s="2"/>
      <c r="E3751" s="2"/>
      <c r="F3751" s="2"/>
      <c r="G3751" s="2"/>
      <c r="H3751" s="2"/>
      <c r="I3751" s="2"/>
      <c r="J3751" s="2"/>
      <c r="K3751" s="2"/>
      <c r="L3751" s="2"/>
    </row>
    <row r="3752" spans="1:12" ns3:dyDescent="0.2">
      <c r="A3752" s="17" t="s">
        <v>11</v>
      </c>
      <c r="B3752" s="17" t="s">
        <v>12</v>
      </c>
      <c r="C3752" s="17" t="s">
        <v>3</v>
      </c>
      <c r="D3752" s="17" t="s">
        <v>13</v>
      </c>
      <c r="E3752" s="17" t="s">
        <v>8</v>
      </c>
      <c r="F3752" s="17" t="s">
        <v>6</v>
      </c>
      <c r="G3752" s="17" t="s">
        <v>5</v>
      </c>
      <c r="H3752" s="17" t="s">
        <v>151</v>
      </c>
      <c r="I3752" s="17" t="s">
        <v>179</v>
      </c>
      <c r="J3752" s="17" t="s">
        <v>180</v>
      </c>
      <c r="K3752" s="17" t="s">
        <v>181</v>
      </c>
      <c r="L3752" s="17" t="s">
        <v>182</v>
      </c>
    </row>
    <row r="3753" spans="1:12" customFormat="1" ht="16" ns3:dyDescent="0.2">
      <c r="A3753" s="2" t="str">
        <f>B3708</f>
        <v>electricity, used in container ship</v>
      </c>
      <c r="B3753" s="2">
        <v>1</v>
      </c>
      <c r="C3753" s="2" t="str">
        <f>B3709</f>
        <v>RER</v>
      </c>
      <c r="D3753" s="2"/>
      <c r="E3753" s="2" t="str">
        <f>B3713</f>
        <v>megajoule</v>
      </c>
      <c r="F3753" s="2" t="s">
        <v>19</v>
      </c>
      <c r="G3753" s="2" t="str">
        <f>B3711</f>
        <v>electricity, low voltage</v>
      </c>
      <c r="H3753" s="2"/>
      <c r="I3753" s="2"/>
      <c r="J3753" s="2"/>
      <c r="K3753" s="2"/>
      <c r="L3753" s="2"/>
    </row>
    <row r="3754" spans="1:12" customFormat="1" ht="16" ns3:dyDescent="0.2">
      <c r="A3754" s="2" t="s">
        <v>140</v>
      </c>
      <c r="B3754" s="2">
        <f>1/3.6</f>
        <v>0.27777777777777779</v>
      </c>
      <c r="C3754" s="2" t="s">
        <v>18</v>
      </c>
      <c r="D3754" s="2"/>
      <c r="E3754" t="s">
        <v>141</v>
      </c>
      <c r="F3754" t="s">
        <v>23</v>
      </c>
      <c r="G3754" s="2" t="s">
        <v>142</v>
      </c>
      <c r="H3754" s="2"/>
      <c r="I3754" s="2"/>
      <c r="J3754" s="2"/>
      <c r="K3754" s="2"/>
      <c r="L3754" s="2"/>
    </row>
    <row r="3755" spans="1:12" customFormat="1" ht="16" ns3:dyDescent="0.2">
      <c r="A3755" t="s">
        <v>189</v>
      </c>
      <c r="B3755" s="3">
        <f>(B3732/B3717)/(B3720/1000)</f>
        <v>3.2976498092777165E-4</v>
      </c>
      <c r="C3755" s="2" t="s">
        <v>114</v>
      </c>
      <c r="E3755" t="s">
        <v>141</v>
      </c>
      <c r="F3755" t="s">
        <v>23</v>
      </c>
      <c r="G3755" t="s">
        <v>190</v>
      </c>
      <c r="H3755" s="2"/>
      <c r="I3755">
        <v>5</v>
      </c>
      <c r="J3755" s="3">
        <f>B3755</f>
        <v>3.2976498092777165E-4</v>
      </c>
      <c r="K3755" s="3">
        <f>(B3733/B3719)/(B3722/1000)</f>
        <v>4.7879616963064289E-5</v>
      </c>
      <c r="L3755" s="3">
        <f>(B3734/B3718)/(B3721/1000)</f>
        <v>9.1199270405836752E-4</v>
      </c>
    </row>
    <row r="3756" spans="1:12" customFormat="1" ht="16" ns3:dyDescent="0.2">
      <c r="A3756" s="2"/>
      <c r="B3756" s="2"/>
      <c r="C3756" s="2"/>
      <c r="D3756" s="2"/>
      <c r="E3756" s="2"/>
      <c r="F3756" s="2"/>
      <c r="G3756" s="2"/>
      <c r="H3756" s="2"/>
      <c r="I3756" s="2"/>
      <c r="J3756" s="2"/>
      <c r="K3756" s="2"/>
      <c r="L3756" s="2"/>
    </row>
    <row r="3757" spans="1:12" ns3:dyDescent="0.2">
      <c r="A3757" s="17" t="s">
        <v>2</v>
      </c>
      <c r="B3757" s="17" t="s">
        <v>390</v>
      </c>
    </row>
    <row r="3758" spans="1:12" customFormat="1" ht="16" ns3:dyDescent="0.2">
      <c r="A3758" s="2" t="s">
        <v>3</v>
      </c>
      <c r="B3758" s="2" t="s">
        <v>18</v>
      </c>
      <c r="C3758" s="2"/>
      <c r="D3758" s="2"/>
      <c r="E3758" s="2"/>
      <c r="F3758" s="2"/>
      <c r="G3758" s="2"/>
      <c r="H3758" s="2"/>
      <c r="I3758" s="2"/>
      <c r="J3758" s="2"/>
      <c r="K3758" s="2"/>
      <c r="L3758" s="2"/>
    </row>
    <row r="3759" spans="1:12" customFormat="1" ht="16" ns3:dyDescent="0.2">
      <c r="A3759" s="2" t="s">
        <v>4</v>
      </c>
      <c r="B3759" s="2">
        <v>1</v>
      </c>
      <c r="C3759" s="2"/>
      <c r="D3759" s="2"/>
      <c r="E3759" s="2"/>
      <c r="F3759" s="2"/>
      <c r="G3759" s="2"/>
      <c r="H3759" s="2"/>
      <c r="I3759" s="2"/>
      <c r="J3759" s="2"/>
      <c r="K3759" s="2"/>
      <c r="L3759" s="2"/>
    </row>
    <row r="3760" spans="1:12" customFormat="1" ht="16" ns3:dyDescent="0.2">
      <c r="A3760" s="2" t="s">
        <v>5</v>
      </c>
      <c r="B3760" s="2" t="s">
        <v>1</v>
      </c>
      <c r="C3760" s="2"/>
      <c r="D3760" s="2"/>
      <c r="E3760" s="2"/>
      <c r="F3760" s="2"/>
      <c r="G3760" s="2"/>
      <c r="H3760" s="2"/>
      <c r="I3760" s="2"/>
      <c r="J3760" s="2"/>
    </row>
    <row r="3761" spans="1:12" customFormat="1" ht="16" ns3:dyDescent="0.2">
      <c r="A3761" s="2" t="s">
        <v>6</v>
      </c>
      <c r="B3761" s="2" t="s">
        <v>7</v>
      </c>
      <c r="C3761" s="2"/>
      <c r="D3761" s="2"/>
      <c r="E3761" s="2"/>
      <c r="F3761" s="2"/>
      <c r="G3761" s="2"/>
      <c r="H3761" s="2"/>
      <c r="I3761" s="2"/>
      <c r="J3761" s="2"/>
      <c r="K3761" s="2"/>
      <c r="L3761" s="2"/>
    </row>
    <row r="3762" spans="1:12" customFormat="1" ht="16" ns3:dyDescent="0.2">
      <c r="A3762" s="2" t="s">
        <v>8</v>
      </c>
      <c r="B3762" s="2" t="s">
        <v>17</v>
      </c>
      <c r="C3762" s="2"/>
      <c r="D3762" s="2"/>
      <c r="E3762" s="2"/>
      <c r="F3762" s="2"/>
      <c r="G3762" s="2"/>
      <c r="H3762" s="2"/>
      <c r="I3762" s="2"/>
      <c r="J3762" s="2"/>
      <c r="K3762" s="2"/>
      <c r="L3762" s="2"/>
    </row>
    <row r="3763" spans="1:12" customFormat="1" ht="16" ns3:dyDescent="0.2">
      <c r="A3763" t="s">
        <v>349</v>
      </c>
      <c r="B3763" s="2">
        <f>INDEX(Parameters!$B$6:$AL$59,MATCH(Inventories!$B$3757,Parameters!$A$6:$A$59,0),MATCH(Inventories!$A3763,Parameters!$B$4:$AL$4,0))</f>
        <v>3200</v>
      </c>
      <c r="C3763" t="s">
        <v>309</v>
      </c>
      <c r="D3763" s="2"/>
      <c r="E3763" s="2"/>
      <c r="F3763" s="2"/>
      <c r="G3763" s="2"/>
      <c r="H3763" s="2"/>
      <c r="I3763" s="2"/>
      <c r="J3763" s="2"/>
      <c r="K3763" s="2"/>
      <c r="L3763" s="2"/>
    </row>
    <row r="3764" spans="1:12" customFormat="1" ht="16" ns3:dyDescent="0.2">
      <c r="A3764" t="s">
        <v>350</v>
      </c>
      <c r="B3764" s="2">
        <f>INDEX(Parameters!$B$6:$AL$59,MATCH(Inventories!$B$3757,Parameters!$A$6:$A$59,0),MATCH(Inventories!$A3764,Parameters!$B$4:$AL$4,0))</f>
        <v>2500</v>
      </c>
      <c r="C3764" t="s">
        <v>309</v>
      </c>
      <c r="D3764" s="2"/>
      <c r="E3764" s="2"/>
      <c r="F3764" s="2"/>
      <c r="G3764" s="2"/>
      <c r="H3764" s="2"/>
      <c r="I3764" s="2"/>
      <c r="J3764" s="2"/>
      <c r="K3764" s="2"/>
      <c r="L3764" s="2"/>
    </row>
    <row r="3765" spans="1:12" customFormat="1" ht="16" ns3:dyDescent="0.2">
      <c r="A3765" t="s">
        <v>351</v>
      </c>
      <c r="B3765" s="2">
        <f>INDEX(Parameters!$B$6:$AL$59,MATCH(Inventories!$B$3757,Parameters!$A$6:$A$59,0),MATCH(Inventories!$A3765,Parameters!$B$4:$AL$4,0))</f>
        <v>5000</v>
      </c>
      <c r="C3765" t="s">
        <v>309</v>
      </c>
      <c r="D3765" s="2"/>
      <c r="E3765" s="2"/>
      <c r="F3765" s="2"/>
      <c r="G3765" s="2"/>
      <c r="H3765" s="2"/>
      <c r="I3765" s="2"/>
      <c r="J3765" s="2"/>
      <c r="K3765" s="2"/>
      <c r="L3765" s="2"/>
    </row>
    <row r="3766" spans="1:12" customFormat="1" ht="16" ns3:dyDescent="0.2">
      <c r="A3766" t="s">
        <v>313</v>
      </c>
      <c r="B3766" s="24">
        <f>INDEX(Parameters!$B$6:$AL$59,MATCH(Inventories!$B$3757,Parameters!$A$6:$A$59,0),MATCH(Inventories!$A3766,Parameters!$B$4:$AL$4,0))</f>
        <v>4200000</v>
      </c>
      <c r="C3766" t="s">
        <v>310</v>
      </c>
      <c r="D3766" s="2"/>
      <c r="E3766" s="2"/>
      <c r="F3766" s="2"/>
      <c r="G3766" s="2"/>
      <c r="H3766" s="2"/>
      <c r="I3766" s="2"/>
      <c r="J3766" s="2"/>
      <c r="K3766" s="2"/>
      <c r="L3766" s="2"/>
    </row>
    <row r="3767" spans="1:12" customFormat="1" ht="16" ns3:dyDescent="0.2">
      <c r="A3767" t="s">
        <v>314</v>
      </c>
      <c r="B3767" s="24">
        <f>INDEX(Parameters!$B$6:$AL$59,MATCH(Inventories!$B$3757,Parameters!$A$6:$A$59,0),MATCH(Inventories!$A3767,Parameters!$B$4:$AL$4,0))</f>
        <v>3000000</v>
      </c>
      <c r="C3767" t="s">
        <v>310</v>
      </c>
      <c r="D3767" s="2"/>
      <c r="E3767" s="2"/>
      <c r="F3767" s="2"/>
      <c r="G3767" s="2"/>
      <c r="H3767" s="2"/>
      <c r="I3767" s="2"/>
      <c r="J3767" s="2"/>
      <c r="K3767" s="2"/>
      <c r="L3767" s="2"/>
    </row>
    <row r="3768" spans="1:12" customFormat="1" ht="16" ns3:dyDescent="0.2">
      <c r="A3768" t="s">
        <v>315</v>
      </c>
      <c r="B3768" s="24">
        <f>INDEX(Parameters!$B$6:$AL$59,MATCH(Inventories!$B$3757,Parameters!$A$6:$A$59,0),MATCH(Inventories!$A3768,Parameters!$B$4:$AL$4,0))</f>
        <v>10000000</v>
      </c>
      <c r="C3768" t="s">
        <v>310</v>
      </c>
      <c r="D3768" s="2"/>
      <c r="E3768" s="2"/>
      <c r="F3768" s="2"/>
      <c r="G3768" s="2"/>
      <c r="H3768" s="2"/>
      <c r="I3768" s="2"/>
      <c r="J3768" s="2"/>
      <c r="K3768" s="2"/>
      <c r="L3768" s="2"/>
    </row>
    <row r="3769" spans="1:12" customFormat="1" ht="16" ns3:dyDescent="0.2">
      <c r="A3769" t="s">
        <v>316</v>
      </c>
      <c r="B3769" s="24">
        <f>INDEX(Parameters!$B$6:$AL$59,MATCH(Inventories!$B$3757,Parameters!$A$6:$A$59,0),MATCH(Inventories!$A3769,Parameters!$B$4:$AL$4,0))</f>
        <v>4837500</v>
      </c>
      <c r="C3769" t="s">
        <v>311</v>
      </c>
      <c r="D3769" s="2"/>
      <c r="E3769" s="2"/>
      <c r="F3769" s="2"/>
      <c r="G3769" s="2"/>
      <c r="H3769" s="2"/>
      <c r="I3769" s="2"/>
      <c r="J3769" s="2"/>
      <c r="K3769" s="2"/>
      <c r="L3769" s="2"/>
    </row>
    <row r="3770" spans="1:12" customFormat="1" ht="16" ns3:dyDescent="0.2">
      <c r="A3770" t="s">
        <v>317</v>
      </c>
      <c r="B3770" s="24">
        <f>INDEX(Parameters!$B$6:$AL$59,MATCH(Inventories!$B$3757,Parameters!$A$6:$A$59,0),MATCH(Inventories!$A3770,Parameters!$B$4:$AL$4,0))</f>
        <v>3655000</v>
      </c>
      <c r="C3770" t="s">
        <v>311</v>
      </c>
      <c r="D3770" s="2"/>
      <c r="E3770" s="2"/>
      <c r="F3770" s="2"/>
      <c r="G3770" s="2"/>
      <c r="H3770" s="2"/>
      <c r="I3770" s="2"/>
      <c r="J3770" s="2"/>
      <c r="K3770" s="2"/>
      <c r="L3770" s="2"/>
    </row>
    <row r="3771" spans="1:12" customFormat="1" ht="16" ns3:dyDescent="0.2">
      <c r="A3771" t="s">
        <v>318</v>
      </c>
      <c r="B3771" s="24">
        <f>INDEX(Parameters!$B$6:$AL$59,MATCH(Inventories!$B$3757,Parameters!$A$6:$A$59,0),MATCH(Inventories!$A3771,Parameters!$B$4:$AL$4,0))</f>
        <v>7310000</v>
      </c>
      <c r="C3771" t="s">
        <v>311</v>
      </c>
      <c r="D3771" s="2"/>
      <c r="E3771" s="2"/>
      <c r="F3771" s="2"/>
      <c r="G3771" s="2"/>
      <c r="H3771" s="2"/>
      <c r="I3771" s="2"/>
      <c r="J3771" s="2"/>
      <c r="K3771" s="2"/>
      <c r="L3771" s="2"/>
    </row>
    <row r="3772" spans="1:12" customFormat="1" ht="16" ns3:dyDescent="0.2">
      <c r="A3772" t="s">
        <v>334</v>
      </c>
      <c r="B3772" s="2">
        <f>INDEX(Parameters!$B$6:$AL$59,MATCH(Inventories!$B$3757,Parameters!$A$6:$A$59,0),MATCH(Inventories!$A3772,Parameters!$B$4:$AL$4,0))</f>
        <v>0</v>
      </c>
      <c r="C3772" t="s">
        <v>333</v>
      </c>
      <c r="D3772" s="2"/>
      <c r="E3772" s="2"/>
      <c r="F3772" s="2"/>
      <c r="G3772" s="2"/>
      <c r="H3772" s="2"/>
      <c r="I3772" s="2"/>
      <c r="J3772" s="2"/>
      <c r="K3772" s="2"/>
      <c r="L3772" s="2"/>
    </row>
    <row r="3773" spans="1:12" customFormat="1" ht="16" ns3:dyDescent="0.2">
      <c r="A3773" t="s">
        <v>335</v>
      </c>
      <c r="B3773" s="2">
        <f>INDEX(Parameters!$B$6:$AL$59,MATCH(Inventories!$B$3757,Parameters!$A$6:$A$59,0),MATCH(Inventories!$A3773,Parameters!$B$4:$AL$4,0))</f>
        <v>0</v>
      </c>
      <c r="C3773" t="s">
        <v>333</v>
      </c>
      <c r="D3773" s="2"/>
      <c r="E3773" s="2"/>
      <c r="F3773" s="2"/>
      <c r="G3773" s="2"/>
      <c r="H3773" s="2"/>
      <c r="I3773" s="2"/>
      <c r="J3773" s="2"/>
      <c r="K3773" s="2"/>
      <c r="L3773" s="2"/>
    </row>
    <row r="3774" spans="1:12" customFormat="1" ht="16" ns3:dyDescent="0.2">
      <c r="A3774" t="s">
        <v>336</v>
      </c>
      <c r="B3774" s="2">
        <f>INDEX(Parameters!$B$6:$AL$59,MATCH(Inventories!$B$3757,Parameters!$A$6:$A$59,0),MATCH(Inventories!$A3774,Parameters!$B$4:$AL$4,0))</f>
        <v>0</v>
      </c>
      <c r="C3774" t="s">
        <v>333</v>
      </c>
      <c r="D3774" s="2"/>
      <c r="E3774" s="2"/>
      <c r="F3774" s="2"/>
      <c r="G3774" s="2"/>
      <c r="H3774" s="2"/>
      <c r="I3774" s="2"/>
      <c r="J3774" s="2"/>
      <c r="K3774" s="2"/>
      <c r="L3774" s="2"/>
    </row>
    <row r="3775" spans="1:12" customFormat="1" ht="16" ns3:dyDescent="0.2">
      <c r="A3775" t="s">
        <v>337</v>
      </c>
      <c r="B3775" s="2">
        <f>INDEX(Parameters!$B$6:$AL$59,MATCH(Inventories!$B$3757,Parameters!$A$6:$A$59,0),MATCH(Inventories!$A3775,Parameters!$B$4:$AL$4,0))</f>
        <v>0</v>
      </c>
      <c r="C3775" t="s">
        <v>333</v>
      </c>
      <c r="D3775" s="2"/>
      <c r="E3775" s="2"/>
      <c r="F3775" s="2"/>
      <c r="G3775" s="2"/>
      <c r="H3775" s="2"/>
      <c r="I3775" s="2"/>
      <c r="J3775" s="2"/>
      <c r="K3775" s="2"/>
      <c r="L3775" s="2"/>
    </row>
    <row r="3776" spans="1:12" customFormat="1" ht="16" ns3:dyDescent="0.2">
      <c r="A3776" t="s">
        <v>338</v>
      </c>
      <c r="B3776" s="2">
        <f>INDEX(Parameters!$B$6:$AL$59,MATCH(Inventories!$B$3757,Parameters!$A$6:$A$59,0),MATCH(Inventories!$A3776,Parameters!$B$4:$AL$4,0))</f>
        <v>0</v>
      </c>
      <c r="C3776" t="s">
        <v>333</v>
      </c>
      <c r="D3776" s="2"/>
      <c r="E3776" s="2"/>
      <c r="F3776" s="2"/>
      <c r="G3776" s="2"/>
      <c r="H3776" s="2"/>
      <c r="I3776" s="2"/>
      <c r="J3776" s="2"/>
      <c r="K3776" s="2"/>
      <c r="L3776" s="2"/>
    </row>
    <row r="3777" spans="1:12" customFormat="1" ht="16" ns3:dyDescent="0.2">
      <c r="A3777" t="s">
        <v>339</v>
      </c>
      <c r="B3777" s="2">
        <f>INDEX(Parameters!$B$6:$AL$59,MATCH(Inventories!$B$3757,Parameters!$A$6:$A$59,0),MATCH(Inventories!$A3777,Parameters!$B$4:$AL$4,0))</f>
        <v>0</v>
      </c>
      <c r="C3777" t="s">
        <v>333</v>
      </c>
      <c r="D3777" s="2"/>
      <c r="E3777" s="2"/>
      <c r="F3777" s="2"/>
      <c r="G3777" s="2"/>
      <c r="H3777" s="2"/>
      <c r="I3777" s="2"/>
      <c r="J3777" s="2"/>
      <c r="K3777" s="2"/>
      <c r="L3777" s="2"/>
    </row>
    <row r="3778" spans="1:12" customFormat="1" ht="16" ns3:dyDescent="0.2">
      <c r="A3778" t="s">
        <v>330</v>
      </c>
      <c r="B3778" s="2">
        <f>INDEX(Parameters!$B$6:$AL$59,MATCH(Inventories!$B$3757,Parameters!$A$6:$A$59,0),MATCH(Inventories!$A3778,Parameters!$B$4:$AL$4,0))</f>
        <v>201000</v>
      </c>
      <c r="C3778" t="s">
        <v>333</v>
      </c>
      <c r="D3778" s="2"/>
      <c r="E3778" s="2"/>
      <c r="F3778" s="2"/>
      <c r="G3778" s="2"/>
      <c r="H3778" s="2"/>
      <c r="I3778" s="2"/>
      <c r="J3778" s="2"/>
      <c r="K3778" s="2"/>
      <c r="L3778" s="2"/>
    </row>
    <row r="3779" spans="1:12" customFormat="1" ht="16" ns3:dyDescent="0.2">
      <c r="A3779" t="s">
        <v>331</v>
      </c>
      <c r="B3779" s="2">
        <f>INDEX(Parameters!$B$6:$AL$59,MATCH(Inventories!$B$3757,Parameters!$A$6:$A$59,0),MATCH(Inventories!$A3779,Parameters!$B$4:$AL$4,0))</f>
        <v>105000</v>
      </c>
      <c r="C3779" t="s">
        <v>333</v>
      </c>
      <c r="D3779" s="2"/>
      <c r="E3779" s="2"/>
      <c r="F3779" s="2"/>
      <c r="G3779" s="2"/>
      <c r="H3779" s="2"/>
      <c r="I3779" s="2"/>
      <c r="J3779" s="2"/>
      <c r="K3779" s="2"/>
      <c r="L3779" s="2"/>
    </row>
    <row r="3780" spans="1:12" customFormat="1" ht="16" ns3:dyDescent="0.2">
      <c r="A3780" t="s">
        <v>332</v>
      </c>
      <c r="B3780" s="2">
        <f>INDEX(Parameters!$B$6:$AL$59,MATCH(Inventories!$B$3757,Parameters!$A$6:$A$59,0),MATCH(Inventories!$A3780,Parameters!$B$4:$AL$4,0))</f>
        <v>300000</v>
      </c>
      <c r="C3780" t="s">
        <v>333</v>
      </c>
      <c r="D3780" s="2"/>
      <c r="E3780" s="2"/>
      <c r="F3780" s="2"/>
      <c r="G3780" s="2"/>
      <c r="H3780" s="2"/>
      <c r="I3780" s="2"/>
      <c r="J3780" s="2"/>
      <c r="K3780" s="2"/>
      <c r="L3780" s="2"/>
    </row>
    <row r="3781" spans="1:12" customFormat="1" ht="16" ns3:dyDescent="0.2">
      <c r="A3781" t="s">
        <v>319</v>
      </c>
      <c r="B3781" s="2">
        <f>INDEX(Parameters!$B$6:$AL$59,MATCH(Inventories!$B$3757,Parameters!$A$6:$A$59,0),MATCH(Inventories!$A3781,Parameters!$B$4:$AL$4,0))</f>
        <v>670000</v>
      </c>
      <c r="C3781" t="s">
        <v>312</v>
      </c>
      <c r="D3781" s="2"/>
      <c r="E3781" s="2"/>
      <c r="F3781" s="2"/>
      <c r="G3781" s="2"/>
      <c r="H3781" s="2"/>
      <c r="I3781" s="2"/>
      <c r="J3781" s="2"/>
      <c r="K3781" s="2"/>
      <c r="L3781" s="2"/>
    </row>
    <row r="3782" spans="1:12" customFormat="1" ht="16" ns3:dyDescent="0.2">
      <c r="A3782" t="s">
        <v>320</v>
      </c>
      <c r="B3782" s="2">
        <f>INDEX(Parameters!$B$6:$AL$59,MATCH(Inventories!$B$3757,Parameters!$A$6:$A$59,0),MATCH(Inventories!$A3782,Parameters!$B$4:$AL$4,0))</f>
        <v>350000</v>
      </c>
      <c r="C3782" t="s">
        <v>312</v>
      </c>
      <c r="D3782" s="2"/>
      <c r="E3782" s="2"/>
      <c r="F3782" s="2"/>
      <c r="G3782" s="2"/>
      <c r="H3782" s="2"/>
      <c r="I3782" s="2"/>
      <c r="J3782" s="2"/>
      <c r="K3782" s="2"/>
      <c r="L3782" s="2"/>
    </row>
    <row r="3783" spans="1:12" customFormat="1" ht="16" ns3:dyDescent="0.2">
      <c r="A3783" t="s">
        <v>321</v>
      </c>
      <c r="B3783" s="2">
        <f>INDEX(Parameters!$B$6:$AL$59,MATCH(Inventories!$B$3757,Parameters!$A$6:$A$59,0),MATCH(Inventories!$A3783,Parameters!$B$4:$AL$4,0))</f>
        <v>1000000</v>
      </c>
      <c r="C3783" t="s">
        <v>312</v>
      </c>
      <c r="D3783" s="2"/>
      <c r="E3783" s="2"/>
      <c r="F3783" s="2"/>
      <c r="G3783" s="2"/>
      <c r="H3783" s="2"/>
      <c r="I3783" s="2"/>
      <c r="J3783" s="2"/>
      <c r="K3783" s="2"/>
      <c r="L3783" s="2"/>
    </row>
    <row r="3784" spans="1:12" customFormat="1" ht="16" ns3:dyDescent="0.2">
      <c r="A3784" t="s">
        <v>327</v>
      </c>
      <c r="B3784" s="2">
        <f>INDEX(Parameters!$B$6:$AL$59,MATCH(Inventories!$B$3757,Parameters!$A$6:$A$59,0),MATCH(Inventories!$A3784,Parameters!$B$4:$AL$4,0))</f>
        <v>0</v>
      </c>
      <c r="C3784" t="s">
        <v>8</v>
      </c>
      <c r="D3784" s="2"/>
      <c r="E3784" s="2"/>
      <c r="F3784" s="2"/>
      <c r="G3784" s="2"/>
      <c r="H3784" s="2"/>
      <c r="I3784" s="2"/>
      <c r="J3784" s="2"/>
      <c r="K3784" s="2"/>
      <c r="L3784" s="2"/>
    </row>
    <row r="3785" spans="1:12" customFormat="1" ht="16" ns3:dyDescent="0.2">
      <c r="A3785" t="s">
        <v>328</v>
      </c>
      <c r="B3785" s="2">
        <f>INDEX(Parameters!$B$6:$AL$59,MATCH(Inventories!$B$3757,Parameters!$A$6:$A$59,0),MATCH(Inventories!$A3785,Parameters!$B$4:$AL$4,0))</f>
        <v>0</v>
      </c>
      <c r="C3785" t="s">
        <v>8</v>
      </c>
      <c r="D3785" s="2"/>
      <c r="E3785" s="2"/>
      <c r="F3785" s="2"/>
      <c r="G3785" s="2"/>
      <c r="H3785" s="2"/>
      <c r="I3785" s="2"/>
      <c r="J3785" s="2"/>
      <c r="K3785" s="2"/>
      <c r="L3785" s="2"/>
    </row>
    <row r="3786" spans="1:12" customFormat="1" ht="16" ns3:dyDescent="0.2">
      <c r="A3786" t="s">
        <v>329</v>
      </c>
      <c r="B3786" s="2">
        <f>INDEX(Parameters!$B$6:$AL$59,MATCH(Inventories!$B$3757,Parameters!$A$6:$A$59,0),MATCH(Inventories!$A3786,Parameters!$B$4:$AL$4,0))</f>
        <v>0</v>
      </c>
      <c r="C3786" t="s">
        <v>8</v>
      </c>
      <c r="D3786" s="2"/>
      <c r="E3786" s="2"/>
      <c r="F3786" s="2"/>
      <c r="G3786" s="2"/>
      <c r="H3786" s="2"/>
      <c r="I3786" s="2"/>
      <c r="J3786" s="2"/>
      <c r="K3786" s="2"/>
      <c r="L3786" s="2"/>
    </row>
    <row r="3787" spans="1:12" customFormat="1" ht="16" ns3:dyDescent="0.2">
      <c r="A3787" t="s">
        <v>343</v>
      </c>
      <c r="B3787" s="2">
        <f>INDEX(Parameters!$B$6:$AL$59,MATCH(Inventories!$B$3757,Parameters!$A$6:$A$59,0),MATCH(Inventories!$A3787,Parameters!$B$4:$AL$4,0))</f>
        <v>1600</v>
      </c>
      <c r="C3787" t="s">
        <v>309</v>
      </c>
      <c r="D3787" s="2"/>
      <c r="E3787" s="2"/>
      <c r="F3787" s="2"/>
      <c r="G3787" s="2"/>
      <c r="H3787" s="2"/>
      <c r="I3787" s="2"/>
      <c r="J3787" s="2"/>
      <c r="K3787" s="2"/>
      <c r="L3787" s="2"/>
    </row>
    <row r="3788" spans="1:12" customFormat="1" ht="16" ns3:dyDescent="0.2">
      <c r="A3788" t="s">
        <v>344</v>
      </c>
      <c r="B3788" s="2">
        <f>INDEX(Parameters!$B$6:$AL$59,MATCH(Inventories!$B$3757,Parameters!$A$6:$A$59,0),MATCH(Inventories!$A3788,Parameters!$B$4:$AL$4,0))</f>
        <v>1250</v>
      </c>
      <c r="C3788" t="s">
        <v>309</v>
      </c>
      <c r="D3788" s="2"/>
      <c r="E3788" s="12"/>
      <c r="F3788" s="2"/>
      <c r="G3788" s="2"/>
      <c r="H3788" s="2"/>
      <c r="I3788" s="2"/>
      <c r="J3788" s="2"/>
      <c r="K3788" s="2"/>
      <c r="L3788" s="2"/>
    </row>
    <row r="3789" spans="1:12" customFormat="1" ht="16" ns3:dyDescent="0.2">
      <c r="A3789" t="s">
        <v>345</v>
      </c>
      <c r="B3789" s="2">
        <f>INDEX(Parameters!$B$6:$AL$59,MATCH(Inventories!$B$3757,Parameters!$A$6:$A$59,0),MATCH(Inventories!$A3789,Parameters!$B$4:$AL$4,0))</f>
        <v>2500</v>
      </c>
      <c r="C3789" t="s">
        <v>309</v>
      </c>
      <c r="D3789" s="2"/>
      <c r="E3789" s="2"/>
      <c r="F3789" s="2"/>
      <c r="G3789" s="2"/>
      <c r="H3789" s="2"/>
      <c r="I3789" s="2"/>
      <c r="J3789" s="2"/>
      <c r="K3789" s="2"/>
      <c r="L3789" s="2"/>
    </row>
    <row r="3790" spans="1:12" customFormat="1" ht="16" ns3:dyDescent="0.2">
      <c r="A3790" t="s">
        <v>346</v>
      </c>
      <c r="B3790" s="2">
        <f>INDEX(Parameters!$B$6:$AL$59,MATCH(Inventories!$B$3757,Parameters!$A$6:$A$59,0),MATCH(Inventories!$A3790,Parameters!$B$4:$AL$4,0))</f>
        <v>0</v>
      </c>
      <c r="C3790" t="s">
        <v>8</v>
      </c>
      <c r="D3790" s="2"/>
      <c r="E3790" s="2"/>
      <c r="F3790" s="2"/>
      <c r="G3790" s="2"/>
      <c r="H3790" s="2"/>
      <c r="I3790" s="2"/>
      <c r="J3790" s="2"/>
      <c r="K3790" s="2"/>
      <c r="L3790" s="2"/>
    </row>
    <row r="3791" spans="1:12" customFormat="1" ht="16" ns3:dyDescent="0.2">
      <c r="A3791" t="s">
        <v>347</v>
      </c>
      <c r="B3791" s="2">
        <f>INDEX(Parameters!$B$6:$AL$59,MATCH(Inventories!$B$3757,Parameters!$A$6:$A$59,0),MATCH(Inventories!$A3791,Parameters!$B$4:$AL$4,0))</f>
        <v>0</v>
      </c>
      <c r="C3791" t="s">
        <v>8</v>
      </c>
      <c r="D3791" s="2"/>
      <c r="E3791" s="2"/>
      <c r="F3791" s="2"/>
      <c r="G3791" s="2"/>
      <c r="H3791" s="2"/>
      <c r="I3791" s="2"/>
      <c r="J3791" s="2"/>
      <c r="K3791" s="2"/>
      <c r="L3791" s="2"/>
    </row>
    <row r="3792" spans="1:12" customFormat="1" ht="16" ns3:dyDescent="0.2">
      <c r="A3792" t="s">
        <v>348</v>
      </c>
      <c r="B3792" s="2">
        <f>INDEX(Parameters!$B$6:$AL$59,MATCH(Inventories!$B$3757,Parameters!$A$6:$A$59,0),MATCH(Inventories!$A3792,Parameters!$B$4:$AL$4,0))</f>
        <v>0</v>
      </c>
      <c r="C3792" t="s">
        <v>8</v>
      </c>
      <c r="D3792" s="2"/>
      <c r="E3792" s="2"/>
      <c r="F3792" s="2"/>
      <c r="G3792" s="2"/>
      <c r="H3792" s="2"/>
      <c r="I3792" s="2"/>
      <c r="J3792" s="2"/>
      <c r="K3792" s="2"/>
      <c r="L3792" s="2"/>
    </row>
    <row r="3793" spans="1:12" customFormat="1" ht="16" ns3:dyDescent="0.2">
      <c r="A3793" t="s">
        <v>362</v>
      </c>
      <c r="B3793" s="2">
        <f>INDEX(Parameters!$B$6:$AL$59,MATCH(Inventories!$B$3757,Parameters!$A$6:$A$59,0),MATCH(Inventories!$A3793,Parameters!$B$4:$AL$4,0))</f>
        <v>0</v>
      </c>
      <c r="C3793" t="s">
        <v>333</v>
      </c>
      <c r="D3793" s="2"/>
      <c r="E3793" s="2"/>
      <c r="F3793" s="2"/>
      <c r="G3793" s="2"/>
      <c r="H3793" s="2"/>
      <c r="I3793" s="2"/>
      <c r="J3793" s="2"/>
      <c r="K3793" s="2"/>
      <c r="L3793" s="2"/>
    </row>
    <row r="3794" spans="1:12" customFormat="1" ht="16" ns3:dyDescent="0.2">
      <c r="A3794" t="s">
        <v>363</v>
      </c>
      <c r="B3794" s="2">
        <f>INDEX(Parameters!$B$6:$AL$59,MATCH(Inventories!$B$3757,Parameters!$A$6:$A$59,0),MATCH(Inventories!$A3794,Parameters!$B$4:$AL$4,0))</f>
        <v>0</v>
      </c>
      <c r="C3794" t="s">
        <v>333</v>
      </c>
      <c r="D3794" s="2"/>
      <c r="E3794" s="2"/>
      <c r="F3794" s="2"/>
      <c r="G3794" s="2"/>
      <c r="H3794" s="2"/>
      <c r="I3794" s="2"/>
      <c r="J3794" s="2"/>
      <c r="K3794" s="2"/>
      <c r="L3794" s="2"/>
    </row>
    <row r="3795" spans="1:12" customFormat="1" ht="16" ns3:dyDescent="0.2">
      <c r="A3795" t="s">
        <v>364</v>
      </c>
      <c r="B3795" s="2">
        <f>INDEX(Parameters!$B$6:$AL$59,MATCH(Inventories!$B$3757,Parameters!$A$6:$A$59,0),MATCH(Inventories!$A3795,Parameters!$B$4:$AL$4,0))</f>
        <v>0</v>
      </c>
      <c r="C3795" t="s">
        <v>333</v>
      </c>
      <c r="D3795" s="2"/>
      <c r="E3795" s="2"/>
      <c r="F3795" s="2"/>
      <c r="G3795" s="2"/>
      <c r="H3795" s="2"/>
      <c r="I3795" s="2"/>
      <c r="J3795" s="2"/>
      <c r="K3795" s="2"/>
      <c r="L3795" s="2"/>
    </row>
    <row r="3796" spans="1:15" customFormat="1" ht="16" ns3:dyDescent="0.2">
      <c r="A3796" t="s">
        <v>365</v>
      </c>
      <c r="B3796" s="2">
        <f>INDEX(Parameters!$B$6:$AL$59,MATCH(Inventories!$B$3757,Parameters!$A$6:$A$59,0),MATCH(Inventories!$A3796,Parameters!$B$4:$AL$4,0))</f>
        <v>0</v>
      </c>
      <c r="C3796" t="s">
        <v>333</v>
      </c>
      <c r="D3796" s="2"/>
      <c r="E3796" s="2"/>
      <c r="F3796" s="2"/>
      <c r="G3796" s="2"/>
      <c r="H3796" s="2"/>
      <c r="I3796" s="2"/>
      <c r="J3796" s="2"/>
      <c r="K3796" s="2"/>
      <c r="L3796" s="2"/>
    </row>
    <row r="3797" spans="1:15" customFormat="1" ht="16" ns3:dyDescent="0.2">
      <c r="A3797" t="s">
        <v>366</v>
      </c>
      <c r="B3797" s="2">
        <f>INDEX(Parameters!$B$6:$AL$59,MATCH(Inventories!$B$3757,Parameters!$A$6:$A$59,0),MATCH(Inventories!$A3797,Parameters!$B$4:$AL$4,0))</f>
        <v>0</v>
      </c>
      <c r="C3797" t="s">
        <v>333</v>
      </c>
      <c r="D3797" s="2"/>
      <c r="E3797" s="2"/>
      <c r="F3797" s="2"/>
      <c r="G3797" s="2"/>
      <c r="H3797" s="2"/>
      <c r="I3797" s="2"/>
      <c r="J3797" s="2"/>
      <c r="K3797" s="2"/>
      <c r="L3797" s="2"/>
    </row>
    <row r="3798" spans="1:15" customFormat="1" ht="16" ns3:dyDescent="0.2">
      <c r="A3798" t="s">
        <v>341</v>
      </c>
      <c r="B3798" s="12">
        <f>INDEX(Parameters!$B$6:$AL$59,MATCH(Inventories!$B$3757,Parameters!$A$6:$A$59,0),MATCH(Inventories!$A3798,Parameters!$B$4:$AL$4,0))</f>
        <v>0</v>
      </c>
      <c r="C3798" t="s">
        <v>342</v>
      </c>
      <c r="D3798" s="2"/>
      <c r="E3798" s="2"/>
      <c r="F3798" s="2"/>
      <c r="G3798" s="2"/>
      <c r="H3798" s="2"/>
      <c r="I3798" s="2"/>
      <c r="J3798" s="2"/>
      <c r="K3798" s="2"/>
      <c r="L3798" s="2"/>
    </row>
    <row r="3799" spans="1:15" customFormat="1" ht="16" ns3:dyDescent="0.2">
      <c r="A3799" t="s">
        <v>340</v>
      </c>
      <c r="B3799" s="12">
        <f>INDEX(Parameters!$B$6:$AL$59,MATCH(Inventories!$B$3757,Parameters!$A$6:$A$59,0),MATCH(Inventories!$A3799,Parameters!$B$4:$AL$4,0))</f>
        <v>0</v>
      </c>
      <c r="C3799" t="s">
        <v>342</v>
      </c>
      <c r="D3799" s="2"/>
      <c r="E3799" s="2"/>
      <c r="F3799" s="2"/>
      <c r="G3799" s="2"/>
      <c r="H3799" s="2"/>
      <c r="I3799" s="2"/>
      <c r="J3799" s="2"/>
      <c r="K3799" s="2"/>
      <c r="L3799" s="2"/>
    </row>
    <row r="3800" spans="1:15" customFormat="1" ht="16" ns3:dyDescent="0.2">
      <c r="A3800" s="1" t="s">
        <v>10</v>
      </c>
      <c r="B3800" s="2"/>
      <c r="C3800" s="2"/>
      <c r="D3800" s="2"/>
      <c r="E3800" s="2"/>
      <c r="F3800" s="2"/>
      <c r="G3800" s="2"/>
      <c r="H3800" s="2"/>
      <c r="I3800" s="2"/>
      <c r="J3800" s="2"/>
      <c r="K3800" s="2"/>
      <c r="L3800" s="2"/>
    </row>
    <row r="3801" spans="1:15" ns3:dyDescent="0.2">
      <c r="A3801" s="17" t="s">
        <v>11</v>
      </c>
      <c r="B3801" s="17" t="s">
        <v>12</v>
      </c>
      <c r="C3801" s="17" t="s">
        <v>3</v>
      </c>
      <c r="D3801" s="17" t="s">
        <v>13</v>
      </c>
      <c r="E3801" s="17" t="s">
        <v>8</v>
      </c>
      <c r="F3801" s="17" t="s">
        <v>6</v>
      </c>
      <c r="G3801" s="17" t="s">
        <v>5</v>
      </c>
      <c r="H3801" s="17" t="s">
        <v>151</v>
      </c>
      <c r="I3801" s="17" t="s">
        <v>179</v>
      </c>
      <c r="J3801" s="17" t="s">
        <v>180</v>
      </c>
      <c r="K3801" s="17" t="s">
        <v>181</v>
      </c>
      <c r="L3801" s="17" t="s">
        <v>182</v>
      </c>
    </row>
    <row r="3802" spans="1:15" customFormat="1" ht="16" ns3:dyDescent="0.2">
      <c r="A3802" s="2" t="str">
        <f>B3757</f>
        <v>hydrogen, used in a fuel cell in container ship</v>
      </c>
      <c r="B3802" s="2">
        <v>1</v>
      </c>
      <c r="C3802" s="2" t="str">
        <f>B3758</f>
        <v>RER</v>
      </c>
      <c r="D3802" s="2"/>
      <c r="E3802" s="2" t="str">
        <f>B3762</f>
        <v>megajoule</v>
      </c>
      <c r="F3802" s="2" t="s">
        <v>19</v>
      </c>
      <c r="G3802" s="2" t="str">
        <f>B3760</f>
        <v>heat</v>
      </c>
      <c r="H3802" s="2"/>
      <c r="I3802" s="2"/>
      <c r="J3802" s="2"/>
      <c r="K3802" s="2"/>
      <c r="L3802" s="2"/>
    </row>
    <row r="3803" spans="1:15" s="4" customFormat="1" ht="16" ns3:dyDescent="0.2">
      <c r="A3803" s="2" t="s">
        <v>158</v>
      </c>
      <c r="B3803" s="11">
        <f>1/120</f>
        <v>8.3333333333333332E-3</v>
      </c>
      <c r="C3803" s="4" t="s">
        <v>18</v>
      </c>
      <c r="E3803" s="4" t="s">
        <v>9</v>
      </c>
      <c r="F3803" s="4" t="s">
        <v>23</v>
      </c>
      <c r="G3803" s="2" t="s">
        <v>159</v>
      </c>
      <c r="L3803" s="6"/>
      <c r="M3803"/>
      <c r="O3803" s="5"/>
    </row>
    <row r="3804" spans="1:15" customFormat="1" ht="16" ns3:dyDescent="0.2">
      <c r="A3804" s="14" t="s">
        <v>113</v>
      </c>
      <c r="B3804" s="16">
        <f>(B3787/B3766)/(B3769/1000)</f>
        <v>7.8749846191706662E-8</v>
      </c>
      <c r="C3804" t="s">
        <v>114</v>
      </c>
      <c r="E3804" t="s">
        <v>8</v>
      </c>
      <c r="F3804" t="s">
        <v>23</v>
      </c>
      <c r="G3804" t="s">
        <v>115</v>
      </c>
      <c r="H3804" s="2"/>
      <c r="I3804" s="15">
        <v>5</v>
      </c>
      <c r="J3804">
        <f>B3804</f>
        <v>7.8749846191706662E-8</v>
      </c>
      <c r="K3804" s="16">
        <f>(B3788/B3768)/(B3771/1000)</f>
        <v>1.709986320109439E-8</v>
      </c>
      <c r="L3804" s="16">
        <f>(B3789/B3767)/(B3770/1000)</f>
        <v>2.2799817601459189E-7</v>
      </c>
    </row>
    <row r="3805" spans="1:15" customFormat="1" ht="16" ns3:dyDescent="0.2">
      <c r="A3805" t="s">
        <v>194</v>
      </c>
      <c r="B3805" s="16">
        <f>(B3778/B3766)/(B3769/1000)</f>
        <v>9.8929494278331488E-6</v>
      </c>
      <c r="C3805" t="s">
        <v>18</v>
      </c>
      <c r="E3805" t="s">
        <v>9</v>
      </c>
      <c r="F3805" t="s">
        <v>23</v>
      </c>
      <c r="G3805" t="s">
        <v>195</v>
      </c>
      <c r="H3805" s="2"/>
      <c r="I3805">
        <v>5</v>
      </c>
      <c r="J3805">
        <f>B3805</f>
        <v>9.8929494278331488E-6</v>
      </c>
      <c r="K3805" s="16">
        <f>(B3779/B3768)/(B3771/1000)</f>
        <v>1.436388508891929E-6</v>
      </c>
      <c r="L3805" s="16">
        <f>(B3780/B3767)/(B3770/1000)</f>
        <v>2.7359781121751028E-5</v>
      </c>
    </row>
    <row r="3806" spans="1:15" customFormat="1" ht="16" ns3:dyDescent="0.2">
      <c r="A3806" t="s">
        <v>189</v>
      </c>
      <c r="B3806" s="3">
        <f>(B3781/B3766)/(B3769/1000)</f>
        <v>3.2976498092777158E-5</v>
      </c>
      <c r="C3806" s="2" t="s">
        <v>114</v>
      </c>
      <c r="E3806" t="s">
        <v>141</v>
      </c>
      <c r="F3806" t="s">
        <v>23</v>
      </c>
      <c r="G3806" t="s">
        <v>190</v>
      </c>
      <c r="H3806" s="2"/>
      <c r="I3806">
        <v>5</v>
      </c>
      <c r="J3806" s="3">
        <f>B3806</f>
        <v>3.2976498092777158E-5</v>
      </c>
      <c r="K3806" s="3">
        <f>(B3782/B3768)/(B3771/1000)</f>
        <v>4.78796169630643E-6</v>
      </c>
      <c r="L3806" s="3">
        <f>(B3783/B3767)/(B3770/1000)</f>
        <v>9.1199270405836752E-5</v>
      </c>
    </row>
    <row r="3807" spans="1:15" customFormat="1" ht="16" ns3:dyDescent="0.2">
      <c r="A3807" t="s">
        <v>98</v>
      </c>
      <c r="B3807" s="3">
        <f>B3803*9/1000</f>
        <v>7.4999999999999993E-5</v>
      </c>
      <c r="C3807" s="2"/>
      <c r="D3807" t="s">
        <v>116</v>
      </c>
      <c r="E3807" s="2" t="s">
        <v>94</v>
      </c>
      <c r="F3807" t="s">
        <v>15</v>
      </c>
      <c r="H3807" s="2"/>
      <c r="J3807" s="3"/>
      <c r="K3807" s="3"/>
      <c r="L3807" s="3"/>
    </row>
    <row r="3808" spans="1:15" customFormat="1" ht="16" ns3:dyDescent="0.2">
      <c r="A3808" s="2"/>
      <c r="B3808" s="2"/>
      <c r="C3808" s="2"/>
      <c r="D3808" s="2"/>
      <c r="E3808" s="2"/>
      <c r="F3808" s="2"/>
      <c r="G3808" s="2"/>
      <c r="H3808" s="2"/>
      <c r="I3808" s="2"/>
      <c r="J3808" s="2"/>
      <c r="K3808" s="2"/>
      <c r="L3808" s="2"/>
    </row>
    <row r="3809">
      <c r="A3809" t="inlineStr">
        <is>
          <t>Activity</t>
        </is>
      </c>
      <c r="B3809" t="inlineStr">
        <is>
          <t>hydrogen, used in a fuel cell in a passenger train</t>
        </is>
      </c>
    </row>
    <row r="3810">
      <c r="A3810" t="inlineStr">
        <is>
          <t>location</t>
        </is>
      </c>
      <c r="B3810" t="inlineStr">
        <is>
          <t>RER</t>
        </is>
      </c>
    </row>
    <row r="3811">
      <c r="A3811" t="inlineStr">
        <is>
          <t>production amount</t>
        </is>
      </c>
      <c r="B3811">
        <v>1</v>
      </c>
    </row>
    <row r="3812">
      <c r="A3812" t="inlineStr">
        <is>
          <t>reference product</t>
        </is>
      </c>
      <c r="B3812" t="inlineStr">
        <is>
          <t>heat</t>
        </is>
      </c>
    </row>
    <row r="3813">
      <c r="A3813" t="inlineStr">
        <is>
          <t>type</t>
        </is>
      </c>
      <c r="B3813" t="inlineStr">
        <is>
          <t>process</t>
        </is>
      </c>
    </row>
    <row r="3814">
      <c r="A3814" t="inlineStr">
        <is>
          <t>unit</t>
        </is>
      </c>
      <c r="B3814" t="inlineStr">
        <is>
          <t>megajoule</t>
        </is>
      </c>
    </row>
    <row r="3815">
      <c r="A3815" t="inlineStr">
        <is>
          <t>energy use source</t>
        </is>
      </c>
      <c r="B3815" t="inlineStr">
        <is>
          <t>{"source": ["transport, freight train, fuel cell, hydrogen", "transport, freight train", "Europe without Switzerland", "ton kilometer"], "source unit": "ton kilometer", "purchased MJ per source service": 0.3168841010348058, "boundary": "energy-specific equipment; excludes chassis, body, roads and whole-vehicle maintenance", "retained equipment": [{"supplier": ["electric motor, asynchronous traction, engineering reference", "electric motor, asynchronous traction, engineering reference", "GLO", "kilogram"], "amount per vehicle": 1325.0, "vehicle per source service": 7.11e-10, "replacement correction factor": 1.0, "amount per MJ": 2.9729323652514984e-06}, {"supplier": ["traction converter, medium-voltage rail engineering reference", "traction converter, medium-voltage rail engineering reference", "GLO", "kilogram"], "amount per vehicle": 2280.000000000002, "vehicle per source service": 7.11e-10, "replacement correction factor": 1.0, "amount per MJ": 5.1156873907723935e-06}, {"supplier": ["fuel cell system assembly, 1 kWe, proton exchange membrane (PEM)", "fuel cell system, 1 kWe, proton exchange membrane (PEM)", "GLO", "unit"], "amount per vehicle": 6880.0, "vehicle per source service": 7.11e-10, "replacement correction factor": 1.0, "amount per MJ": 1.5436811073909667e-05}, {"supplier": ["Fuel tank, compressed hydrogen gas, 700bar, with aluminium liner", "hydrogen tank", "RER", "kilogram"], "amount per vehicle": 30323.84571428572, "vehicle per source service": 7.11e-10, "replacement correction factor": 1.0, "amount per MJ": 6.803829612293808e-05}, {"supplier": ["market for battery cell, Li-ion, NMC622", "battery cell, Li-ion, NMC622", "GLO", "kilogram"], "amount per vehicle": 67404.25531914894, "vehicle per source service": 7.11e-10, "replacement correction factor": 1.0, "amount per MJ": 0.00015123644693884782}], "excluded": [{"supplier": ["market for locomotive", "locomotive", "GLO", "unit"], "amount per vehicle": 1.0, "vehicle per source service": 7.11e-10}, {"supplier": ["market for goods wagon", "goods wagon",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 "converter material reference": "Item25 medium-voltage engineering analogue; service allocation retained."}</t>
        </is>
      </c>
    </row>
    <row r="3816">
      <c r="A3816" t="inlineStr">
        <is>
          <t>comment</t>
        </is>
      </c>
      <c r="B3816"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hydrogen. energy-specific equipment; excludes chassis, body, roads and whole-vehicle maintenance. Source transport, freight train, fuel cell, hydrogen [Europe without Switzerland]; 0.316884101034806 purchased MJ per ton kilometer. All retained exchanges divided by this energy; lifetime, occupancy/payload and replacement allocation are carried by source production links. Baseline source specifications: </t>
        </is>
      </c>
    </row>
    <row r="3817">
      <c r="A3817" t="inlineStr">
        <is>
          <t>Exchanges</t>
        </is>
      </c>
    </row>
    <row r="3818">
      <c r="A3818" t="inlineStr">
        <is>
          <t>name</t>
        </is>
      </c>
      <c r="B3818" t="inlineStr">
        <is>
          <t>amount</t>
        </is>
      </c>
      <c r="C3818" t="inlineStr">
        <is>
          <t>location</t>
        </is>
      </c>
      <c r="D3818" t="inlineStr">
        <is>
          <t>unit</t>
        </is>
      </c>
      <c r="E3818" t="inlineStr">
        <is>
          <t>categories</t>
        </is>
      </c>
      <c r="F3818" t="inlineStr">
        <is>
          <t>type</t>
        </is>
      </c>
      <c r="G3818" t="inlineStr">
        <is>
          <t>reference product</t>
        </is>
      </c>
      <c r="H3818" t="inlineStr">
        <is>
          <t>comment</t>
        </is>
      </c>
      <c r="I3818" t="inlineStr">
        <is>
          <t>uncertainty type</t>
        </is>
      </c>
    </row>
    <row r="3819">
      <c r="A3819" t="inlineStr">
        <is>
          <t>hydrogen, used in a fuel cell in a passenger train</t>
        </is>
      </c>
      <c r="B3819">
        <v>1.0</v>
      </c>
      <c r="C3819" t="inlineStr">
        <is>
          <t>RER</t>
        </is>
      </c>
      <c r="D3819" t="inlineStr">
        <is>
          <t>megajoule</t>
        </is>
      </c>
      <c r="F3819" t="inlineStr">
        <is>
          <t>production</t>
        </is>
      </c>
      <c r="G3819" t="inlineStr">
        <is>
          <t>heat</t>
        </is>
      </c>
      <c r="I3819">
        <v>0</v>
      </c>
    </row>
    <row r="3820">
      <c r="A3820" t="inlineStr">
        <is>
          <t>market for hydrogen, gaseous, low pressure</t>
        </is>
      </c>
      <c r="B3820">
        <v>0.0012945987175919267</v>
      </c>
      <c r="C3820" t="inlineStr">
        <is>
          <t>CN</t>
        </is>
      </c>
      <c r="D3820" t="inlineStr">
        <is>
          <t>kilogram</t>
        </is>
      </c>
      <c r="F3820" t="inlineStr">
        <is>
          <t>technosphere</t>
        </is>
      </c>
      <c r="G3820" t="inlineStr">
        <is>
          <t>hydrogen, gaseous, low pressure</t>
        </is>
      </c>
      <c r="H382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0">
        <v>0</v>
      </c>
    </row>
    <row r="3821">
      <c r="A3821" t="inlineStr">
        <is>
          <t>market for hydrogen, gaseous, low pressure</t>
        </is>
      </c>
      <c r="B3821">
        <v>0.005469534948887209</v>
      </c>
      <c r="C3821" t="inlineStr">
        <is>
          <t>RoW</t>
        </is>
      </c>
      <c r="D3821" t="inlineStr">
        <is>
          <t>kilogram</t>
        </is>
      </c>
      <c r="F3821" t="inlineStr">
        <is>
          <t>technosphere</t>
        </is>
      </c>
      <c r="G3821" t="inlineStr">
        <is>
          <t>hydrogen, gaseous, low pressure</t>
        </is>
      </c>
      <c r="H382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1">
        <v>0</v>
      </c>
    </row>
    <row r="3822">
      <c r="A3822" t="inlineStr">
        <is>
          <t>market for hydrogen, gaseous, low pressure</t>
        </is>
      </c>
      <c r="B3822">
        <v>0.0007686670431839547</v>
      </c>
      <c r="C3822" t="inlineStr">
        <is>
          <t>RER</t>
        </is>
      </c>
      <c r="D3822" t="inlineStr">
        <is>
          <t>kilogram</t>
        </is>
      </c>
      <c r="F3822" t="inlineStr">
        <is>
          <t>technosphere</t>
        </is>
      </c>
      <c r="G3822" t="inlineStr">
        <is>
          <t>hydrogen, gaseous, low pressure</t>
        </is>
      </c>
      <c r="H382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2">
        <v>0</v>
      </c>
    </row>
    <row r="3823">
      <c r="A3823" t="inlineStr">
        <is>
          <t>market for hydrogen, gaseous, low pressure</t>
        </is>
      </c>
      <c r="B3823">
        <v>0.000800532623670244</v>
      </c>
      <c r="C3823" t="inlineStr">
        <is>
          <t>US</t>
        </is>
      </c>
      <c r="D3823" t="inlineStr">
        <is>
          <t>kilogram</t>
        </is>
      </c>
      <c r="F3823" t="inlineStr">
        <is>
          <t>technosphere</t>
        </is>
      </c>
      <c r="G3823" t="inlineStr">
        <is>
          <t>hydrogen, gaseous, low pressure</t>
        </is>
      </c>
      <c r="H382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3">
        <v>0</v>
      </c>
    </row>
    <row r="3824">
      <c r="A3824" t="inlineStr">
        <is>
          <t>market for diesel</t>
        </is>
      </c>
      <c r="B3824">
        <v>0.0021364277910731785</v>
      </c>
      <c r="C3824" t="inlineStr">
        <is>
          <t>Europe without Switzerland</t>
        </is>
      </c>
      <c r="D3824" t="inlineStr">
        <is>
          <t>kilogram</t>
        </is>
      </c>
      <c r="F3824" t="inlineStr">
        <is>
          <t>technosphere</t>
        </is>
      </c>
      <c r="G3824" t="inlineStr">
        <is>
          <t>diesel</t>
        </is>
      </c>
      <c r="H382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24">
        <v>0</v>
      </c>
    </row>
    <row r="3825">
      <c r="A3825" t="inlineStr">
        <is>
          <t>electric motor, asynchronous traction, engineering reference</t>
        </is>
      </c>
      <c r="B3825">
        <v>2.9729323652514984e-06</v>
      </c>
      <c r="C3825" t="inlineStr">
        <is>
          <t>GLO</t>
        </is>
      </c>
      <c r="D3825" t="inlineStr">
        <is>
          <t>kilogram</t>
        </is>
      </c>
      <c r="F3825" t="inlineStr">
        <is>
          <t>technosphere</t>
        </is>
      </c>
      <c r="G3825" t="inlineStr">
        <is>
          <t>electric motor, asynchronous traction, engineering reference</t>
        </is>
      </c>
      <c r="H3825"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 Energy-use allocation: 1325 * 7.11e-10 / 0.3168841010348058 MJ per ton kilometer.</t>
        </is>
      </c>
      <c r="I3825">
        <v>0</v>
      </c>
    </row>
    <row r="3826">
      <c r="A3826" t="inlineStr">
        <is>
          <t>traction converter, medium-voltage rail engineering reference</t>
        </is>
      </c>
      <c r="B3826">
        <v>5.1156873907723935e-06</v>
      </c>
      <c r="C3826" t="inlineStr">
        <is>
          <t>GLO</t>
        </is>
      </c>
      <c r="D3826" t="inlineStr">
        <is>
          <t>kilogram</t>
        </is>
      </c>
      <c r="F3826" t="inlineStr">
        <is>
          <t>technosphere</t>
        </is>
      </c>
      <c r="G3826" t="inlineStr">
        <is>
          <t>traction converter, medium-voltage rail engineering reference</t>
        </is>
      </c>
      <c r="H3826"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Energy-use allocation: 2280.000000000002 * 7.11e-10 / 0.3168841010348058 MJ per ton kilometer.</t>
        </is>
      </c>
      <c r="I3826">
        <v>0</v>
      </c>
    </row>
    <row r="3827">
      <c r="A3827" t="inlineStr">
        <is>
          <t>fuel cell system assembly, 1 kWe, proton exchange membrane (PEM)</t>
        </is>
      </c>
      <c r="B3827">
        <v>1.5436811073909667e-05</v>
      </c>
      <c r="C3827" t="inlineStr">
        <is>
          <t>GLO</t>
        </is>
      </c>
      <c r="D3827" t="inlineStr">
        <is>
          <t>unit</t>
        </is>
      </c>
      <c r="F3827" t="inlineStr">
        <is>
          <t>technosphere</t>
        </is>
      </c>
      <c r="G3827" t="inlineStr">
        <is>
          <t>fuel cell system, 1 kWe, proton exchange membrane (PEM)</t>
        </is>
      </c>
      <c r="H3827" t="inlineStr">
        <is>
          <t>LCI taken from premise for road vehicles. Knibbe et al. (2023) suggest a optimal fuell cell sizing of 860kW. The average lifetime of the fuel cell system is 30,000 h (Knibbe et al., 2023), with a assumed lifetime operation of 240,000h, the fuel cell system has to be replaced 8 times. This can only be seen as an approximation as lifetime strongly depends on operating conditions (as shown for road vehicles in Bae et al., 2012)
Knibbe, R., Harding, D., Burton, J., Cooper, E., Amir Zadeh, Z., Sagulenko, M., Meehan, P. A., &amp; Buckley, R. (2023). Optimal battery and hydrogen fuel cell sizing in heavy-haul locomotives. Journal of Energy Storage, 71, 108090. https://doi.org/10.1016/j.est.2023.108090
Bae S., Kim S-J., Park JI., Park .C, Lee J-H., Song .I (2012). Lifetime prediction of a polymer electrolyte membrane fuel cell via an accelerated startupeshutdown cycle test. Int J Hydrogen Energy 2012;37:9775e81. https://doi.org/10.1016/ j.ijhydene.2012.03.104. Energy-use allocation: 6880 * 7.11e-10 / 0.3168841010348058 MJ per ton kilometer.</t>
        </is>
      </c>
      <c r="I3827">
        <v>0</v>
      </c>
    </row>
    <row r="3828">
      <c r="A3828" t="inlineStr">
        <is>
          <t>Fuel tank, compressed hydrogen gas, 700bar, with aluminium liner</t>
        </is>
      </c>
      <c r="B3828">
        <v>6.803829612293808e-05</v>
      </c>
      <c r="C3828" t="inlineStr">
        <is>
          <t>RER</t>
        </is>
      </c>
      <c r="D3828" t="inlineStr">
        <is>
          <t>kilogram</t>
        </is>
      </c>
      <c r="F3828" t="inlineStr">
        <is>
          <t>technosphere</t>
        </is>
      </c>
      <c r="G3828" t="inlineStr">
        <is>
          <t>hydrogen tank</t>
        </is>
      </c>
      <c r="H3828" t="inlineStr">
        <is>
          <t>premise inventory for 1kg of tank; premise bases its inventory on Stropnik et al. (2022). These state that 1,237 kg of hydrogen is consumed by the 1kWe fuel cell over 20,000h of operation producing 1kW per h. This assumes that the tank is filled so that the 860kW fuell cell canproduce 860kW per h. This might not reflect reality as the fuel cell is not always run on full capacity.
Evangelisti et al. (2017) states that for an aluminium lined  Type III hydrogen tank 5.6kg hydrogen is carried in a 93kg tank.
According to Agostini et al. (2018) expected lifespans of type III and type IV hydrogen tanks is assumed to be 10 years. This equals 4 tanks used over the lifetime of 40 years of the locomotive.
Evangelisti, S., Tagliaferri, C., Brett, D. J. L., &amp; Lettieri, P. (2017). Life cycle assessment of a polymer electrolyte membrane fuel cell system for passenger vehicles. Journal of Cleaner Production, 142, 4339–4355. https://doi.org/10.1016/j.jclepro.2016.11.159
Rok Stropnik, Nejc Mlakar, Andrej Lotrič, Mihael Sekavčnik, Mitja Mori (2022). The influence of degradation effects in proton exchange membrane fuel cells on life cycle assessment modelling and environmental impact indicators, International Journal of Hydrogen Energy, Volume 47, Issue 57, https://doi.org/10.1016/j.ijhydene.2022.04.011 Energy-use allocation: 30323.84571428572 * 7.11e-10 / 0.3168841010348058 MJ per ton kilometer.</t>
        </is>
      </c>
      <c r="I3828">
        <v>0</v>
      </c>
    </row>
    <row r="3829">
      <c r="A3829" t="inlineStr">
        <is>
          <t>market for battery cell, Li-ion, NMC622</t>
        </is>
      </c>
      <c r="B3829">
        <v>0.00015123644693884782</v>
      </c>
      <c r="C3829" t="inlineStr">
        <is>
          <t>GLO</t>
        </is>
      </c>
      <c r="D3829" t="inlineStr">
        <is>
          <t>kilogram</t>
        </is>
      </c>
      <c r="F3829" t="inlineStr">
        <is>
          <t>technosphere</t>
        </is>
      </c>
      <c r="G3829" t="inlineStr">
        <is>
          <t>battery cell, Li-ion, NMC622</t>
        </is>
      </c>
      <c r="H3829" t="inlineStr">
        <is>
          <t>premise inventory for 1kg of battery ,23.5 kWh (165 kg) made of 140 3.6 V- 46Ah. Knibbe et al. (2023) suggest a optimal battery sizing of 3.6 MWh.
The NMC-622 battery was chosen in contrast to the LPF battery in Knibbe et al. (2023) because of its higher engergy density taken from Dai et al. (2019)  (premise truck batteries built on this study)
The average lifetime of a battery highly depends on the operating conditions and charging cycles. Shafique et al. (2023) assumed a lifetime of 15 years (taking into consideration future developments) for a NMC-622 battery. This equals ~2.67 batteries for a 40 years lifetime of the locomotive. 
Dai, Q., Kelly, J. C., Gaines, L., &amp; Wang, M. (2019). Life cycle analysis of lithium-ion batteries for automotive applications. Batteries, 5(2), 48
Knibbe, R., Harding, D., Burton, J., Cooper, E., Amir Zadeh, Z., Sagulenko, M., Meehan, P. A., &amp; Buckley, R. (2023). Optimal battery and hydrogen fuel cell sizing in heavy-haul locomotives. Journal of Energy Storage, 71, 108090. https://doi.org/10.1016/j.est.2023.108090
Shafique, M., Akbar, A., Rafiq, M., Azam, A., &amp; Luo, X. (2023). Global material flow analysis of end-of-life of lithium nickel manganese cobalt oxide batteries from battery electric vehicles. Waste Management &amp; Research, 41(2), 376–388. https://doi.org/10.1177/0734242X221127175 Energy-use allocation: 67404.25531914894 * 7.11e-10 / 0.3168841010348058 MJ per ton kilometer.</t>
        </is>
      </c>
      <c r="I3829">
        <v>0</v>
      </c>
    </row>
    <row r="3830">
      <c r="A3830" t="inlineStr">
        <is>
          <t>Water</t>
        </is>
      </c>
      <c r="B3830">
        <v>7.500000000000001e-05</v>
      </c>
      <c r="D3830" t="inlineStr">
        <is>
          <t>cubic meter</t>
        </is>
      </c>
      <c r="E3830" t="inlineStr">
        <is>
          <t>air</t>
        </is>
      </c>
      <c r="F3830" t="inlineStr">
        <is>
          <t>biosphere</t>
        </is>
      </c>
      <c r="H3830" t="inlineStr">
        <is>
          <t>9kg H2O per kg H2 converted.</t>
        </is>
      </c>
      <c r="I3830">
        <v>0</v>
      </c>
    </row>
    <row r="3831"/>
    <row r="3832">
      <c r="A3832" t="inlineStr">
        <is>
          <t>Activity</t>
        </is>
      </c>
      <c r="B3832" t="inlineStr">
        <is>
          <t>electricity, used in passenger train</t>
        </is>
      </c>
    </row>
    <row r="3833">
      <c r="A3833" t="inlineStr">
        <is>
          <t>location</t>
        </is>
      </c>
      <c r="B3833" t="inlineStr">
        <is>
          <t>RER</t>
        </is>
      </c>
    </row>
    <row r="3834">
      <c r="A3834" t="inlineStr">
        <is>
          <t>production amount</t>
        </is>
      </c>
      <c r="B3834">
        <v>1</v>
      </c>
    </row>
    <row r="3835">
      <c r="A3835" t="inlineStr">
        <is>
          <t>reference product</t>
        </is>
      </c>
      <c r="B3835" t="inlineStr">
        <is>
          <t>electricity, high voltage</t>
        </is>
      </c>
    </row>
    <row r="3836">
      <c r="A3836" t="inlineStr">
        <is>
          <t>type</t>
        </is>
      </c>
      <c r="B3836" t="inlineStr">
        <is>
          <t>process</t>
        </is>
      </c>
    </row>
    <row r="3837">
      <c r="A3837" t="inlineStr">
        <is>
          <t>unit</t>
        </is>
      </c>
      <c r="B3837" t="inlineStr">
        <is>
          <t>megajoule</t>
        </is>
      </c>
    </row>
    <row r="3838">
      <c r="A3838" t="inlineStr">
        <is>
          <t>engineering energy reference</t>
        </is>
      </c>
      <c r="B3838" t="inlineStr">
        <is>
          <t>{"version": 1, "reference": "passenger Re460 engineering design", "lifetime km": 9600000, "MJ per train km": 39.51138468256899, "powered references per train km": 1, "lifetime purchased MJ": 379309292.9526623, "lifetime hardware kg": {"market for transformer, high voltage use": 3050, "electric motor, asynchronous traction, engineering reference": 3710, "traction converter, medium-voltage rail engineering reference": 10360}, "boundary": "energy-function equipment only", "static reference": true, "superseded freight provenance": {"source": ["transport, freight train, electric", "transport, freight train", "Europe without Switzerland", "ton kilometer"], "source unit": "ton kilometer", "purchased MJ per source service": 0.21231150563379003, "boundary": "energy-specific equipment; excludes chassis, body, roads and whole-vehicle maintenance", "retained equipment": [{"supplier": ["market for transformer, high voltage use", "transformer, high voltage use", "GLO", "kilogram"], "amount per vehicle": 3050.0, "vehicle per source service": 7.11e-10, "replacement correction factor": 1.0, "amount per MJ": 1.0214001325676948e-05}, {"supplier": ["electric motor, asynchronous traction, engineering reference", "electric motor, asynchronous traction, engineering reference", "GLO", "kilogram"], "amount per vehicle": 3710.0, "vehicle per source service": 7.11e-10, "replacement correction factor": 1.0, "amount per MJ": 1.2424244235495565e-05}, {"supplier": ["traction converter, medium-voltage rail engineering reference", "traction converter, medium-voltage rail engineering reference", "GLO", "kilogram"], "amount per vehicle": 10359.999999999989, "vehicle per source service": 7.11e-10, "replacement correction factor": 1.0, "amount per MJ": 3.4694115978364936e-05}],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 "converter material reference": "Item25 medium-voltage engineering analogue; service allocation retained."}}</t>
        </is>
      </c>
    </row>
    <row r="3839">
      <c r="A3839" t="inlineStr">
        <is>
          <t>comment</t>
        </is>
      </c>
      <c r="B3839" t="inlineStr">
        <is>
          <t xml:space="preserve">APPROVED PASSENGER-ELECTRIC-RAIL SERVICE REFERENCE, item26, 2026-10-18. ABB2017 Re460 service/refit https://library.e.abb.com/public/bfe91c518ff94330a3c591b4bbeb8b6a/65-69%201m6073_EN_72dpi.pdf; existing Re46040year/9.6millionkm inventory reference based on Frischknecht1996; STEM SPS1 2020 passenger-electric rail7704720013.100946MJ and194999999.99999985km. One powered Re460 equipment reference per reported passenger train-km is an explicit fleet/unit-conversion assumption, not a measured fleet average. Reference lifetime40years*240000km/year=9600000km; purchased electricity39.51138468256899MJ/km from STEM2020; lifetime input379309292.9526623MJ. Motor3710kg once, transformer3050kg once, converters2installed*2590kg*2lifetime sets=10360kg retain existing public equipment sizing and replacement assumptions. Divide lifetime hardware by lifetime purchased electricity, not freight tonne-kilometres/payload. ABB reports5.5millionkm already achieved before20more years of service; that observation supports long service but is NOT the assumed lifetime target. Sensitivity lifetime5.5-12millionkm and1-2powered references per reportedkm. Static reference:future passenger fleet mix, perkm energy improvements and replacement-specific technology are unrepresented; do not inherit the unrelated freight efficiency trajectory. Source hardware references remain engineering analogues, including unresolved converter materials in item25. Pure catenary energy-use reference buys1/3.6kWh/MJ; remove inherited freight-yard diesel and freight operation emissions, including common wheel/rail abrasion outside the agreed energy-equipment boundary. No chassis, coaches, track or road infrastructure is added. Equipment end-of-life remains an inventory gap. Rename automatic energy-source metadata to engineering energy reference so the existing adapter cannot overwrite the selected passenger design with freight service. This corrects a declared reference design, not a universal fleet correction or annual vehicle procurement.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3840">
      <c r="A3840" t="inlineStr">
        <is>
          <t>Exchanges</t>
        </is>
      </c>
    </row>
    <row r="3841">
      <c r="A3841" t="inlineStr">
        <is>
          <t>name</t>
        </is>
      </c>
      <c r="B3841" t="inlineStr">
        <is>
          <t>amount</t>
        </is>
      </c>
      <c r="C3841" t="inlineStr">
        <is>
          <t>location</t>
        </is>
      </c>
      <c r="D3841" t="inlineStr">
        <is>
          <t>unit</t>
        </is>
      </c>
      <c r="E3841" t="inlineStr">
        <is>
          <t>categories</t>
        </is>
      </c>
      <c r="F3841" t="inlineStr">
        <is>
          <t>type</t>
        </is>
      </c>
      <c r="G3841" t="inlineStr">
        <is>
          <t>reference product</t>
        </is>
      </c>
      <c r="H3841" t="inlineStr">
        <is>
          <t>comment</t>
        </is>
      </c>
      <c r="I3841" t="inlineStr">
        <is>
          <t>uncertainty type</t>
        </is>
      </c>
    </row>
    <row r="3842">
      <c r="A3842" t="inlineStr">
        <is>
          <t>electricity, used in passenger train</t>
        </is>
      </c>
      <c r="B3842">
        <v>1.0</v>
      </c>
      <c r="C3842" t="inlineStr">
        <is>
          <t>RER</t>
        </is>
      </c>
      <c r="D3842" t="inlineStr">
        <is>
          <t>megajoule</t>
        </is>
      </c>
      <c r="F3842" t="inlineStr">
        <is>
          <t>production</t>
        </is>
      </c>
      <c r="G3842" t="inlineStr">
        <is>
          <t>electricity, high voltage</t>
        </is>
      </c>
      <c r="I3842">
        <v>0</v>
      </c>
    </row>
    <row r="3843">
      <c r="A3843" t="inlineStr">
        <is>
          <t>market group for electricity, high voltage</t>
        </is>
      </c>
      <c r="B3843">
        <v>0.27777777777777773</v>
      </c>
      <c r="C3843" t="inlineStr">
        <is>
          <t>RER</t>
        </is>
      </c>
      <c r="D3843" t="inlineStr">
        <is>
          <t>kilowatt hour</t>
        </is>
      </c>
      <c r="F3843" t="inlineStr">
        <is>
          <t>technosphere</t>
        </is>
      </c>
      <c r="G3843" t="inlineStr">
        <is>
          <t>electricity, high voltage</t>
        </is>
      </c>
      <c r="H384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43">
        <v>0</v>
      </c>
    </row>
    <row r="3844">
      <c r="A3844" t="inlineStr">
        <is>
          <t>market for diesel</t>
        </is>
      </c>
      <c r="B3844">
        <v>0</v>
      </c>
      <c r="C3844" t="inlineStr">
        <is>
          <t>Europe without Switzerland</t>
        </is>
      </c>
      <c r="D3844" t="inlineStr">
        <is>
          <t>kilogram</t>
        </is>
      </c>
      <c r="F3844" t="inlineStr">
        <is>
          <t>technosphere</t>
        </is>
      </c>
      <c r="G3844" t="inlineStr">
        <is>
          <t>diesel</t>
        </is>
      </c>
      <c r="H384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44">
        <v>0</v>
      </c>
    </row>
    <row r="3845">
      <c r="A3845" t="inlineStr">
        <is>
          <t>market for transformer, high voltage use</t>
        </is>
      </c>
      <c r="B3845">
        <v>8.040931389415338e-06</v>
      </c>
      <c r="C3845" t="inlineStr">
        <is>
          <t>GLO</t>
        </is>
      </c>
      <c r="D3845" t="inlineStr">
        <is>
          <t>kilogram</t>
        </is>
      </c>
      <c r="F3845" t="inlineStr">
        <is>
          <t>technosphere</t>
        </is>
      </c>
      <c r="G3845" t="inlineStr">
        <is>
          <t>transformer, high voltage use</t>
        </is>
      </c>
      <c r="H3845" t="inlineStr">
        <is>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3845">
        <v>0</v>
      </c>
    </row>
    <row r="3846">
      <c r="A3846" t="inlineStr">
        <is>
          <t>electric motor, asynchronous traction, engineering reference</t>
        </is>
      </c>
      <c r="B3846">
        <v>9.780936214665869e-06</v>
      </c>
      <c r="C3846" t="inlineStr">
        <is>
          <t>GLO</t>
        </is>
      </c>
      <c r="D3846" t="inlineStr">
        <is>
          <t>kilogram</t>
        </is>
      </c>
      <c r="F3846" t="inlineStr">
        <is>
          <t>technosphere</t>
        </is>
      </c>
      <c r="G3846" t="inlineStr">
        <is>
          <t>electric motor, asynchronous traction, engineering reference</t>
        </is>
      </c>
      <c r="H3846"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3846">
        <v>0</v>
      </c>
    </row>
    <row r="3847">
      <c r="A3847" t="inlineStr">
        <is>
          <t>traction converter, medium-voltage rail engineering reference</t>
        </is>
      </c>
      <c r="B3847">
        <v>2.7312803014538655e-05</v>
      </c>
      <c r="C3847" t="inlineStr">
        <is>
          <t>GLO</t>
        </is>
      </c>
      <c r="D3847" t="inlineStr">
        <is>
          <t>kilogram</t>
        </is>
      </c>
      <c r="F3847" t="inlineStr">
        <is>
          <t>technosphere</t>
        </is>
      </c>
      <c r="G3847" t="inlineStr">
        <is>
          <t>traction converter, medium-voltage rail engineering reference</t>
        </is>
      </c>
      <c r="H3847" t="inlineStr">
        <is>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3847">
        <v>0</v>
      </c>
    </row>
    <row r="3848">
      <c r="A3848" t="inlineStr">
        <is>
          <t>Ammonia</t>
        </is>
      </c>
      <c r="B3848">
        <v>0</v>
      </c>
      <c r="D3848" t="inlineStr">
        <is>
          <t>kilogram</t>
        </is>
      </c>
      <c r="E3848" t="inlineStr">
        <is>
          <t>air</t>
        </is>
      </c>
      <c r="F3848" t="inlineStr">
        <is>
          <t>biosphere</t>
        </is>
      </c>
      <c r="H3848" t="inlineStr">
        <is>
          <t>2.0E-05 kg/kg fuel for diesel locomotives, according to Spielmann et al. (2007)
Spielmann, M., Bauer, C., Dones, R., Institut, P. S., &amp; Tuchschmid, M. (2007). Transport Services. Swiss Centre for Life Cycle Inventories, ecoinvent report No. 14.</t>
        </is>
      </c>
      <c r="I3848">
        <v>0</v>
      </c>
    </row>
    <row r="3849">
      <c r="A3849" t="inlineStr">
        <is>
          <t>Benzene</t>
        </is>
      </c>
      <c r="B3849">
        <v>0</v>
      </c>
      <c r="D3849" t="inlineStr">
        <is>
          <t>kilogram</t>
        </is>
      </c>
      <c r="E3849" t="inlineStr">
        <is>
          <t>air</t>
        </is>
      </c>
      <c r="F3849" t="inlineStr">
        <is>
          <t>biosphere</t>
        </is>
      </c>
      <c r="H3849" t="inlineStr">
        <is>
          <t>1.0E-04 kg/kg fuel for diesel locomotives, according to Spielmann et al. (2007)
Spielmann, M., Bauer, C., Dones, R., Institut, P. S., &amp; Tuchschmid, M. (2007). Transport Services. Swiss Centre for Life Cycle Inventories, ecoinvent report No. 14.</t>
        </is>
      </c>
      <c r="I3849">
        <v>0</v>
      </c>
    </row>
    <row r="3850">
      <c r="A3850" t="inlineStr">
        <is>
          <t>Cadmium II</t>
        </is>
      </c>
      <c r="B3850">
        <v>0</v>
      </c>
      <c r="D3850" t="inlineStr">
        <is>
          <t>kilogram</t>
        </is>
      </c>
      <c r="E3850" t="inlineStr">
        <is>
          <t>air</t>
        </is>
      </c>
      <c r="F3850" t="inlineStr">
        <is>
          <t>biosphere</t>
        </is>
      </c>
      <c r="H3850" t="inlineStr">
        <is>
          <t>1.0E-08 kg/kg fuel for diesel locomotives, according to Spielmann et al. (2007)
Spielmann, M., Bauer, C., Dones, R., Institut, P. S., &amp; Tuchschmid, M. (2007). Transport Services. Swiss Centre for Life Cycle Inventories, ecoinvent report No. 14.</t>
        </is>
      </c>
      <c r="I3850">
        <v>0</v>
      </c>
    </row>
    <row r="3851">
      <c r="A3851" t="inlineStr">
        <is>
          <t>Carbon dioxide, fossil</t>
        </is>
      </c>
      <c r="B3851">
        <v>0</v>
      </c>
      <c r="D3851" t="inlineStr">
        <is>
          <t>kilogram</t>
        </is>
      </c>
      <c r="E3851" t="inlineStr">
        <is>
          <t>air</t>
        </is>
      </c>
      <c r="F3851" t="inlineStr">
        <is>
          <t>biosphere</t>
        </is>
      </c>
      <c r="H3851" t="inlineStr">
        <is>
          <t>3.146 kg/kg fuel for diesel locomotives, according to Spielmann et al. (2007)
Spielmann, M., Bauer, C., Dones, R., Institut, P. S., &amp; Tuchschmid, M. (2007). Transport Services. Swiss Centre for Life Cycle Inventories, ecoinvent report No. 14.</t>
        </is>
      </c>
      <c r="I3851">
        <v>0</v>
      </c>
    </row>
    <row r="3852">
      <c r="A3852" t="inlineStr">
        <is>
          <t>Carbon monoxide, fossil</t>
        </is>
      </c>
      <c r="B3852">
        <v>0</v>
      </c>
      <c r="D3852" t="inlineStr">
        <is>
          <t>kilogram</t>
        </is>
      </c>
      <c r="E3852" t="inlineStr">
        <is>
          <t>air</t>
        </is>
      </c>
      <c r="F3852" t="inlineStr">
        <is>
          <t>biosphere</t>
        </is>
      </c>
      <c r="H3852" t="inlineStr">
        <is>
          <t>1.58E-02 kg/kg fuel for diesel locomotives, according to Spielmann et al. (2007)
Spielmann, M., Bauer, C., Dones, R., Institut, P. S., &amp; Tuchschmid, M. (2007). Transport Services. Swiss Centre for Life Cycle Inventories, ecoinvent report No. 14.</t>
        </is>
      </c>
      <c r="I3852">
        <v>0</v>
      </c>
    </row>
    <row r="3853">
      <c r="A3853" t="inlineStr">
        <is>
          <t>Chromium III</t>
        </is>
      </c>
      <c r="B3853">
        <v>0</v>
      </c>
      <c r="D3853" t="inlineStr">
        <is>
          <t>kilogram</t>
        </is>
      </c>
      <c r="E3853" t="inlineStr">
        <is>
          <t>air</t>
        </is>
      </c>
      <c r="F3853" t="inlineStr">
        <is>
          <t>biosphere</t>
        </is>
      </c>
      <c r="H3853" t="inlineStr">
        <is>
          <t>5.0E-08 kg/kg fuel for diesel locomotives, according to Spielmann et al. (2007)
Spielmann, M., Bauer, C., Dones, R., Institut, P. S., &amp; Tuchschmid, M. (2007). Transport Services. Swiss Centre for Life Cycle Inventories, ecoinvent report No. 14.</t>
        </is>
      </c>
      <c r="I3853">
        <v>0</v>
      </c>
    </row>
    <row r="3854">
      <c r="A3854" t="inlineStr">
        <is>
          <t>Copper ion</t>
        </is>
      </c>
      <c r="B3854">
        <v>0</v>
      </c>
      <c r="D3854" t="inlineStr">
        <is>
          <t>kilogram</t>
        </is>
      </c>
      <c r="E3854" t="inlineStr">
        <is>
          <t>air</t>
        </is>
      </c>
      <c r="F3854" t="inlineStr">
        <is>
          <t>biosphere</t>
        </is>
      </c>
      <c r="H3854" t="inlineStr">
        <is>
          <t>1.7E-06 kg/kg fuel for diesel locomotives, according to Spielmann et al. (2007)
Spielmann, M., Bauer, C., Dones, R., Institut, P. S., &amp; Tuchschmid, M. (2007). Transport Services. Swiss Centre for Life Cycle Inventories, ecoinvent report No. 14.</t>
        </is>
      </c>
      <c r="I3854">
        <v>0</v>
      </c>
    </row>
    <row r="3855">
      <c r="A3855" t="inlineStr">
        <is>
          <t>Dinitrogen monoxide</t>
        </is>
      </c>
      <c r="B3855">
        <v>0</v>
      </c>
      <c r="D3855" t="inlineStr">
        <is>
          <t>kilogram</t>
        </is>
      </c>
      <c r="E3855" t="inlineStr">
        <is>
          <t>air</t>
        </is>
      </c>
      <c r="F3855" t="inlineStr">
        <is>
          <t>biosphere</t>
        </is>
      </c>
      <c r="H3855" t="inlineStr">
        <is>
          <t>1.0E-04 kg/kg fuel for diesel locomotives, according to Spielmann et al. (2007)
Spielmann, M., Bauer, C., Dones, R., Institut, P. S., &amp; Tuchschmid, M. (2007). Transport Services. Swiss Centre for Life Cycle Inventories, ecoinvent report No. 14.</t>
        </is>
      </c>
      <c r="I3855">
        <v>0</v>
      </c>
    </row>
    <row r="3856">
      <c r="A3856" t="inlineStr">
        <is>
          <t>Iron ion</t>
        </is>
      </c>
      <c r="B3856">
        <v>0</v>
      </c>
      <c r="D3856" t="inlineStr">
        <is>
          <t>kilogram</t>
        </is>
      </c>
      <c r="E3856" t="inlineStr">
        <is>
          <t>soil</t>
        </is>
      </c>
      <c r="F3856" t="inlineStr">
        <is>
          <t>biosphere</t>
        </is>
      </c>
      <c r="H3856"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56">
        <v>0</v>
      </c>
    </row>
    <row r="3857">
      <c r="A3857" t="inlineStr">
        <is>
          <t>Lead II</t>
        </is>
      </c>
      <c r="B3857">
        <v>0</v>
      </c>
      <c r="D3857" t="inlineStr">
        <is>
          <t>kilogram</t>
        </is>
      </c>
      <c r="E3857" t="inlineStr">
        <is>
          <t>air</t>
        </is>
      </c>
      <c r="F3857" t="inlineStr">
        <is>
          <t>biosphere</t>
        </is>
      </c>
      <c r="H3857" t="inlineStr">
        <is>
          <t>1.1E-10 kg/kg fuel for diesel locomotives, according to Spielmann et al. (2007)
Spielmann, M., Bauer, C., Dones, R., Institut, P. S., &amp; Tuchschmid, M. (2007). Transport Services. Swiss Centre for Life Cycle Inventories, ecoinvent report No. 14.</t>
        </is>
      </c>
      <c r="I3857">
        <v>0</v>
      </c>
    </row>
    <row r="3858">
      <c r="A3858" t="inlineStr">
        <is>
          <t>Mercury II</t>
        </is>
      </c>
      <c r="B3858">
        <v>0</v>
      </c>
      <c r="D3858" t="inlineStr">
        <is>
          <t>kilogram</t>
        </is>
      </c>
      <c r="E3858" t="inlineStr">
        <is>
          <t>air</t>
        </is>
      </c>
      <c r="F3858" t="inlineStr">
        <is>
          <t>biosphere</t>
        </is>
      </c>
      <c r="H3858" t="inlineStr">
        <is>
          <t>2.0E-11 kg/kg fuel for diesel locomotives, according to Spielmann et al. (2007)
Spielmann, M., Bauer, C., Dones, R., Institut, P. S., &amp; Tuchschmid, M. (2007). Transport Services. Swiss Centre for Life Cycle Inventories, ecoinvent report No. 14.</t>
        </is>
      </c>
      <c r="I3858">
        <v>0</v>
      </c>
    </row>
    <row r="3859">
      <c r="A3859" t="inlineStr">
        <is>
          <t>Methane, fossil</t>
        </is>
      </c>
      <c r="B3859">
        <v>0</v>
      </c>
      <c r="D3859" t="inlineStr">
        <is>
          <t>kilogram</t>
        </is>
      </c>
      <c r="E3859" t="inlineStr">
        <is>
          <t>air</t>
        </is>
      </c>
      <c r="F3859" t="inlineStr">
        <is>
          <t>biosphere</t>
        </is>
      </c>
      <c r="H3859" t="inlineStr">
        <is>
          <t>1.3E-04 kg/kg fuel for diesel locomotives, according to Spielmann et al. (2007)
Spielmann, M., Bauer, C., Dones, R., Institut, P. S., &amp; Tuchschmid, M. (2007). Transport Services. Swiss Centre for Life Cycle Inventories, ecoinvent report No. 14.</t>
        </is>
      </c>
      <c r="I3859">
        <v>0</v>
      </c>
    </row>
    <row r="3860">
      <c r="A3860" t="inlineStr">
        <is>
          <t>NMVOC, non-methane volatile organic compounds</t>
        </is>
      </c>
      <c r="B3860">
        <v>0</v>
      </c>
      <c r="D3860" t="inlineStr">
        <is>
          <t>kilogram</t>
        </is>
      </c>
      <c r="E3860" t="inlineStr">
        <is>
          <t>air</t>
        </is>
      </c>
      <c r="F3860" t="inlineStr">
        <is>
          <t>biosphere</t>
        </is>
      </c>
      <c r="H3860" t="inlineStr">
        <is>
          <t>5.25E-03 kg/kg fuel for diesel locomotives, according to Spielmann et al. (2007)
Spielmann, M., Bauer, C., Dones, R., Institut, P. S., &amp; Tuchschmid, M. (2007). Transport Services. Swiss Centre for Life Cycle Inventories, ecoinvent report No. 14.</t>
        </is>
      </c>
      <c r="I3860">
        <v>0</v>
      </c>
    </row>
    <row r="3861">
      <c r="A3861" t="inlineStr">
        <is>
          <t>Nickel II</t>
        </is>
      </c>
      <c r="B3861">
        <v>0</v>
      </c>
      <c r="D3861" t="inlineStr">
        <is>
          <t>kilogram</t>
        </is>
      </c>
      <c r="E3861" t="inlineStr">
        <is>
          <t>air</t>
        </is>
      </c>
      <c r="F3861" t="inlineStr">
        <is>
          <t>biosphere</t>
        </is>
      </c>
      <c r="H3861" t="inlineStr">
        <is>
          <t>7.0E-08 kg/kg fuel for diesel locomotives, according to Spielmann et al. (2007)
Spielmann, M., Bauer, C., Dones, R., Institut, P. S., &amp; Tuchschmid, M. (2007). Transport Services. Swiss Centre for Life Cycle Inventories, ecoinvent report No. 14.</t>
        </is>
      </c>
      <c r="I3861">
        <v>0</v>
      </c>
    </row>
    <row r="3862">
      <c r="A3862" t="inlineStr">
        <is>
          <t>Nitrogen oxides</t>
        </is>
      </c>
      <c r="B3862">
        <v>0</v>
      </c>
      <c r="D3862" t="inlineStr">
        <is>
          <t>kilogram</t>
        </is>
      </c>
      <c r="E3862" t="inlineStr">
        <is>
          <t>air::unspecified</t>
        </is>
      </c>
      <c r="F3862" t="inlineStr">
        <is>
          <t>biosphere</t>
        </is>
      </c>
      <c r="H3862" t="inlineStr">
        <is>
          <t>5.5E-02 kg/kg fuel for diesel locomotives, according to Spielmann et al. (2007)
Spielmann, M., Bauer, C., Dones, R., Institut, P. S., &amp; Tuchschmid, M. (2007). Transport Services. Swiss Centre for Life Cycle Inventories, ecoinvent report No. 14.</t>
        </is>
      </c>
      <c r="I3862">
        <v>0</v>
      </c>
    </row>
    <row r="3863">
      <c r="A3863" t="inlineStr">
        <is>
          <t>Particulate Matter, &lt; 2.5 um</t>
        </is>
      </c>
      <c r="B3863">
        <v>0</v>
      </c>
      <c r="D3863" t="inlineStr">
        <is>
          <t>kilogram</t>
        </is>
      </c>
      <c r="E3863" t="inlineStr">
        <is>
          <t>air</t>
        </is>
      </c>
      <c r="F3863" t="inlineStr">
        <is>
          <t>biosphere</t>
        </is>
      </c>
      <c r="H3863" t="inlineStr">
        <is>
          <t>1.28E-03 kg/kg fuel for diesel locomotives, according to Spielmann et al. (2007)
Spielmann, M., Bauer, C., Dones, R., Institut, P. S., &amp; Tuchschmid, M. (2007). Transport Services. Swiss Centre for Life Cycle Inventories, ecoinvent report No. 14.</t>
        </is>
      </c>
      <c r="I3863">
        <v>0</v>
      </c>
    </row>
    <row r="3864">
      <c r="A3864" t="inlineStr">
        <is>
          <t>Particulate Matter, &gt; 10 um</t>
        </is>
      </c>
      <c r="B3864">
        <v>0</v>
      </c>
      <c r="D3864" t="inlineStr">
        <is>
          <t>kilogram</t>
        </is>
      </c>
      <c r="E3864" t="inlineStr">
        <is>
          <t>air</t>
        </is>
      </c>
      <c r="F3864" t="inlineStr">
        <is>
          <t>biosphere</t>
        </is>
      </c>
      <c r="H3864"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864">
        <v>0</v>
      </c>
    </row>
    <row r="3865">
      <c r="A3865" t="inlineStr">
        <is>
          <t>Particulate Matter, &gt; 2.5 um and &lt; 10um</t>
        </is>
      </c>
      <c r="B3865">
        <v>0</v>
      </c>
      <c r="D3865" t="inlineStr">
        <is>
          <t>kilogram</t>
        </is>
      </c>
      <c r="E3865" t="inlineStr">
        <is>
          <t>air</t>
        </is>
      </c>
      <c r="F3865" t="inlineStr">
        <is>
          <t>biosphere</t>
        </is>
      </c>
      <c r="H3865"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865">
        <v>0</v>
      </c>
    </row>
    <row r="3866">
      <c r="A3866" t="inlineStr">
        <is>
          <t>Selenium IV</t>
        </is>
      </c>
      <c r="B3866">
        <v>0</v>
      </c>
      <c r="D3866" t="inlineStr">
        <is>
          <t>kilogram</t>
        </is>
      </c>
      <c r="E3866" t="inlineStr">
        <is>
          <t>air</t>
        </is>
      </c>
      <c r="F3866" t="inlineStr">
        <is>
          <t>biosphere</t>
        </is>
      </c>
      <c r="H3866" t="inlineStr">
        <is>
          <t>1.0E-08 kg/kg fuel for diesel locomotives, according to Spielmann et al. (2007)
Spielmann, M., Bauer, C., Dones, R., Institut, P. S., &amp; Tuchschmid, M. (2007). Transport Services. Swiss Centre for Life Cycle Inventories, ecoinvent report No. 14.</t>
        </is>
      </c>
      <c r="I3866">
        <v>0</v>
      </c>
    </row>
    <row r="3867">
      <c r="A3867" t="inlineStr">
        <is>
          <t>Sulfur dioxide</t>
        </is>
      </c>
      <c r="B3867">
        <v>0</v>
      </c>
      <c r="D3867" t="inlineStr">
        <is>
          <t>kilogram</t>
        </is>
      </c>
      <c r="E3867" t="inlineStr">
        <is>
          <t>air</t>
        </is>
      </c>
      <c r="F3867" t="inlineStr">
        <is>
          <t>biosphere</t>
        </is>
      </c>
      <c r="H3867" t="inlineStr">
        <is>
          <t>6.0E-04 kg/kg fuel for diesel locomotives, according to Spielmann et al. (2007)
Spielmann, M., Bauer, C., Dones, R., Institut, P. S., &amp; Tuchschmid, M. (2007). Transport Services. Swiss Centre for Life Cycle Inventories, ecoinvent report No. 14.</t>
        </is>
      </c>
      <c r="I3867">
        <v>0</v>
      </c>
    </row>
    <row r="3868">
      <c r="A3868" t="inlineStr">
        <is>
          <t>Sulfur hexafluoride</t>
        </is>
      </c>
      <c r="B3868">
        <v>0</v>
      </c>
      <c r="D3868" t="inlineStr">
        <is>
          <t>kilogram</t>
        </is>
      </c>
      <c r="E3868" t="inlineStr">
        <is>
          <t>air</t>
        </is>
      </c>
      <c r="F3868" t="inlineStr">
        <is>
          <t>biosphere</t>
        </is>
      </c>
      <c r="H3868"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3868">
        <v>0</v>
      </c>
    </row>
    <row r="3869">
      <c r="A3869" t="inlineStr">
        <is>
          <t>Toluene</t>
        </is>
      </c>
      <c r="B3869">
        <v>0</v>
      </c>
      <c r="D3869" t="inlineStr">
        <is>
          <t>kilogram</t>
        </is>
      </c>
      <c r="E3869" t="inlineStr">
        <is>
          <t>air</t>
        </is>
      </c>
      <c r="F3869" t="inlineStr">
        <is>
          <t>biosphere</t>
        </is>
      </c>
      <c r="H3869" t="inlineStr">
        <is>
          <t>4.0E-05 kg/kg fuel for diesel locomotives, according to Spielmann et al. (2007)
Spielmann, M., Bauer, C., Dones, R., Institut, P. S., &amp; Tuchschmid, M. (2007). Transport Services. Swiss Centre for Life Cycle Inventories, ecoinvent report No. 14.</t>
        </is>
      </c>
      <c r="I3869">
        <v>0</v>
      </c>
    </row>
    <row r="3870">
      <c r="A3870" t="inlineStr">
        <is>
          <t>Xylenes, unspecified</t>
        </is>
      </c>
      <c r="B3870">
        <v>0</v>
      </c>
      <c r="D3870" t="inlineStr">
        <is>
          <t>kilogram</t>
        </is>
      </c>
      <c r="E3870" t="inlineStr">
        <is>
          <t>air::unspecified</t>
        </is>
      </c>
      <c r="F3870" t="inlineStr">
        <is>
          <t>biosphere</t>
        </is>
      </c>
      <c r="H3870" t="inlineStr">
        <is>
          <t>4.0E-05 kg/kg fuel for diesel locomotives, according to Spielmann et al. (2007)
Spielmann, M., Bauer, C., Dones, R., Institut, P. S., &amp; Tuchschmid, M. (2007). Transport Services. Swiss Centre for Life Cycle Inventories, ecoinvent report No. 14.</t>
        </is>
      </c>
      <c r="I3870">
        <v>0</v>
      </c>
    </row>
    <row r="3871">
      <c r="A3871" t="inlineStr">
        <is>
          <t>Zinc II</t>
        </is>
      </c>
      <c r="B3871">
        <v>0</v>
      </c>
      <c r="D3871" t="inlineStr">
        <is>
          <t>kilogram</t>
        </is>
      </c>
      <c r="E3871" t="inlineStr">
        <is>
          <t>air</t>
        </is>
      </c>
      <c r="F3871" t="inlineStr">
        <is>
          <t>biosphere</t>
        </is>
      </c>
      <c r="H3871" t="inlineStr">
        <is>
          <t>1.0E-06 kg/kg fuel for diesel locomotives, according to Spielmann et al. (2007)
Spielmann, M., Bauer, C., Dones, R., Institut, P. S., &amp; Tuchschmid, M. (2007). Transport Services. Swiss Centre for Life Cycle Inventories, ecoinvent report No. 14.</t>
        </is>
      </c>
      <c r="I3871">
        <v>0</v>
      </c>
    </row>
    <row r="3872"/>
    <row r="3873">
      <c r="A3873" t="inlineStr">
        <is>
          <t>Activity</t>
        </is>
      </c>
      <c r="B3873" t="inlineStr">
        <is>
          <t>diesel, burned in passenger train</t>
        </is>
      </c>
    </row>
    <row r="3874">
      <c r="A3874" t="inlineStr">
        <is>
          <t>location</t>
        </is>
      </c>
      <c r="B3874" t="inlineStr">
        <is>
          <t>RER</t>
        </is>
      </c>
    </row>
    <row r="3875">
      <c r="A3875" t="inlineStr">
        <is>
          <t>production amount</t>
        </is>
      </c>
      <c r="B3875">
        <v>1</v>
      </c>
    </row>
    <row r="3876">
      <c r="A3876" t="inlineStr">
        <is>
          <t>reference product</t>
        </is>
      </c>
      <c r="B3876" t="inlineStr">
        <is>
          <t>heat</t>
        </is>
      </c>
    </row>
    <row r="3877">
      <c r="A3877" t="inlineStr">
        <is>
          <t>type</t>
        </is>
      </c>
      <c r="B3877" t="inlineStr">
        <is>
          <t>process</t>
        </is>
      </c>
    </row>
    <row r="3878">
      <c r="A3878" t="inlineStr">
        <is>
          <t>unit</t>
        </is>
      </c>
      <c r="B3878" t="inlineStr">
        <is>
          <t>megajoule</t>
        </is>
      </c>
    </row>
    <row r="3879">
      <c r="A3879" t="inlineStr">
        <is>
          <t>energy use source</t>
        </is>
      </c>
      <c r="B3879"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 "converter material reference": "Item25 medium-voltage engineering analogue; service allocation retained."}</t>
        </is>
      </c>
    </row>
    <row r="3880">
      <c r="A3880" t="inlineStr">
        <is>
          <t>comment</t>
        </is>
      </c>
      <c r="B3880"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881">
      <c r="A3881" t="inlineStr">
        <is>
          <t>Exchanges</t>
        </is>
      </c>
    </row>
    <row r="3882">
      <c r="A3882" t="inlineStr">
        <is>
          <t>name</t>
        </is>
      </c>
      <c r="B3882" t="inlineStr">
        <is>
          <t>amount</t>
        </is>
      </c>
      <c r="C3882" t="inlineStr">
        <is>
          <t>location</t>
        </is>
      </c>
      <c r="D3882" t="inlineStr">
        <is>
          <t>unit</t>
        </is>
      </c>
      <c r="E3882" t="inlineStr">
        <is>
          <t>categories</t>
        </is>
      </c>
      <c r="F3882" t="inlineStr">
        <is>
          <t>type</t>
        </is>
      </c>
      <c r="G3882" t="inlineStr">
        <is>
          <t>reference product</t>
        </is>
      </c>
      <c r="H3882" t="inlineStr">
        <is>
          <t>comment</t>
        </is>
      </c>
      <c r="I3882" t="inlineStr">
        <is>
          <t>uncertainty type</t>
        </is>
      </c>
    </row>
    <row r="3883">
      <c r="A3883" t="inlineStr">
        <is>
          <t>diesel, burned in passenger train</t>
        </is>
      </c>
      <c r="B3883">
        <v>1.0</v>
      </c>
      <c r="C3883" t="inlineStr">
        <is>
          <t>RER</t>
        </is>
      </c>
      <c r="D3883" t="inlineStr">
        <is>
          <t>megajoule</t>
        </is>
      </c>
      <c r="F3883" t="inlineStr">
        <is>
          <t>production</t>
        </is>
      </c>
      <c r="G3883" t="inlineStr">
        <is>
          <t>heat</t>
        </is>
      </c>
      <c r="I3883">
        <v>0</v>
      </c>
    </row>
    <row r="3884">
      <c r="A3884" t="inlineStr">
        <is>
          <t>market for diesel</t>
        </is>
      </c>
      <c r="B3884">
        <v>0.02325581395348837</v>
      </c>
      <c r="C3884" t="inlineStr">
        <is>
          <t>Europe without Switzerland</t>
        </is>
      </c>
      <c r="D3884" t="inlineStr">
        <is>
          <t>kilogram</t>
        </is>
      </c>
      <c r="F3884" t="inlineStr">
        <is>
          <t>technosphere</t>
        </is>
      </c>
      <c r="G3884" t="inlineStr">
        <is>
          <t>diesel</t>
        </is>
      </c>
      <c r="H388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is>
      </c>
      <c r="I3884">
        <v>0</v>
      </c>
    </row>
    <row r="3885">
      <c r="A3885" t="inlineStr">
        <is>
          <t>fuel tank, for diesel vehicle, adapted to locomotives</t>
        </is>
      </c>
      <c r="B3885">
        <v>1.6548105207134522e-07</v>
      </c>
      <c r="C3885" t="inlineStr">
        <is>
          <t>RER</t>
        </is>
      </c>
      <c r="D3885" t="inlineStr">
        <is>
          <t>kilogram</t>
        </is>
      </c>
      <c r="F3885" t="inlineStr">
        <is>
          <t>technosphere</t>
        </is>
      </c>
      <c r="G3885" t="inlineStr">
        <is>
          <t>fuel tank</t>
        </is>
      </c>
      <c r="H3885"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885">
        <v>0</v>
      </c>
    </row>
    <row r="3886">
      <c r="A3886" t="inlineStr">
        <is>
          <t>internal combustion engine, for lorry, adapted to locomotives</t>
        </is>
      </c>
      <c r="B3886">
        <v>1.7413079443052818e-05</v>
      </c>
      <c r="C3886" t="inlineStr">
        <is>
          <t>RER</t>
        </is>
      </c>
      <c r="D3886" t="inlineStr">
        <is>
          <t>kilogram</t>
        </is>
      </c>
      <c r="F3886" t="inlineStr">
        <is>
          <t>technosphere</t>
        </is>
      </c>
      <c r="G3886" t="inlineStr">
        <is>
          <t>internal combustion engine, for lorry</t>
        </is>
      </c>
      <c r="H3886"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886">
        <v>0</v>
      </c>
    </row>
    <row r="3887">
      <c r="A3887" t="inlineStr">
        <is>
          <t>electronic component production, passive, unspecified</t>
        </is>
      </c>
      <c r="B3887">
        <v>8.00481860964219e-06</v>
      </c>
      <c r="C3887" t="inlineStr">
        <is>
          <t>GLO</t>
        </is>
      </c>
      <c r="D3887" t="inlineStr">
        <is>
          <t>kilogram</t>
        </is>
      </c>
      <c r="F3887" t="inlineStr">
        <is>
          <t>technosphere</t>
        </is>
      </c>
      <c r="G3887" t="inlineStr">
        <is>
          <t>electronic component, passive, unspecified</t>
        </is>
      </c>
      <c r="H3887"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887">
        <v>0</v>
      </c>
    </row>
    <row r="3888">
      <c r="A3888" t="inlineStr">
        <is>
          <t>electric motor, asynchronous traction, engineering reference</t>
        </is>
      </c>
      <c r="B3888">
        <v>2.3088728506723053e-06</v>
      </c>
      <c r="C3888" t="inlineStr">
        <is>
          <t>GLO</t>
        </is>
      </c>
      <c r="D3888" t="inlineStr">
        <is>
          <t>kilogram</t>
        </is>
      </c>
      <c r="F3888" t="inlineStr">
        <is>
          <t>technosphere</t>
        </is>
      </c>
      <c r="G3888" t="inlineStr">
        <is>
          <t>electric motor, asynchronous traction, engineering reference</t>
        </is>
      </c>
      <c r="H3888"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888">
        <v>0</v>
      </c>
    </row>
    <row r="3889">
      <c r="A3889" t="inlineStr">
        <is>
          <t>traction converter, medium-voltage rail engineering reference</t>
        </is>
      </c>
      <c r="B3889">
        <v>8.277091351466727e-06</v>
      </c>
      <c r="C3889" t="inlineStr">
        <is>
          <t>GLO</t>
        </is>
      </c>
      <c r="D3889" t="inlineStr">
        <is>
          <t>kilogram</t>
        </is>
      </c>
      <c r="F3889" t="inlineStr">
        <is>
          <t>technosphere</t>
        </is>
      </c>
      <c r="G3889" t="inlineStr">
        <is>
          <t>traction converter, medium-voltage rail engineering reference</t>
        </is>
      </c>
      <c r="H3889"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889">
        <v>0</v>
      </c>
    </row>
    <row r="3890">
      <c r="A3890" t="inlineStr">
        <is>
          <t>Ammonia</t>
        </is>
      </c>
      <c r="B3890">
        <v>4.164734622616489e-07</v>
      </c>
      <c r="D3890" t="inlineStr">
        <is>
          <t>kilogram</t>
        </is>
      </c>
      <c r="E3890" t="inlineStr">
        <is>
          <t>air</t>
        </is>
      </c>
      <c r="F3890" t="inlineStr">
        <is>
          <t>biosphere</t>
        </is>
      </c>
      <c r="H3890" t="inlineStr">
        <is>
          <t>2.0E-05 kg/kg fuel for diesel locomotives, according to Spielmann et al. (2007)
Spielmann, M., Bauer, C., Dones, R., Institut, P. S., &amp; Tuchschmid, M. (2007). Transport Services. Swiss Centre for Life Cycle Inventories, ecoinvent report No. 14.</t>
        </is>
      </c>
      <c r="I3890">
        <v>0</v>
      </c>
    </row>
    <row r="3891">
      <c r="A3891" t="inlineStr">
        <is>
          <t>Benzene</t>
        </is>
      </c>
      <c r="B3891">
        <v>2.0823673113082445e-06</v>
      </c>
      <c r="D3891" t="inlineStr">
        <is>
          <t>kilogram</t>
        </is>
      </c>
      <c r="E3891" t="inlineStr">
        <is>
          <t>air</t>
        </is>
      </c>
      <c r="F3891" t="inlineStr">
        <is>
          <t>biosphere</t>
        </is>
      </c>
      <c r="H3891" t="inlineStr">
        <is>
          <t>1.0E-04 kg/kg fuel for diesel locomotives, according to Spielmann et al. (2007)
Spielmann, M., Bauer, C., Dones, R., Institut, P. S., &amp; Tuchschmid, M. (2007). Transport Services. Swiss Centre for Life Cycle Inventories, ecoinvent report No. 14.</t>
        </is>
      </c>
      <c r="I3891">
        <v>0</v>
      </c>
    </row>
    <row r="3892">
      <c r="A3892" t="inlineStr">
        <is>
          <t>Cadmium II</t>
        </is>
      </c>
      <c r="B3892">
        <v>2.0823673113082443e-10</v>
      </c>
      <c r="D3892" t="inlineStr">
        <is>
          <t>kilogram</t>
        </is>
      </c>
      <c r="E3892" t="inlineStr">
        <is>
          <t>air</t>
        </is>
      </c>
      <c r="F3892" t="inlineStr">
        <is>
          <t>biosphere</t>
        </is>
      </c>
      <c r="H3892" t="inlineStr">
        <is>
          <t>1.0E-08 kg/kg fuel for diesel locomotives, according to Spielmann et al. (2007)
Spielmann, M., Bauer, C., Dones, R., Institut, P. S., &amp; Tuchschmid, M. (2007). Transport Services. Swiss Centre for Life Cycle Inventories, ecoinvent report No. 14.</t>
        </is>
      </c>
      <c r="I3892">
        <v>0</v>
      </c>
    </row>
    <row r="3893">
      <c r="A3893" t="inlineStr">
        <is>
          <t>Carbon dioxide, fossil</t>
        </is>
      </c>
      <c r="B3893">
        <v>0.06551127561375737</v>
      </c>
      <c r="D3893" t="inlineStr">
        <is>
          <t>kilogram</t>
        </is>
      </c>
      <c r="E3893" t="inlineStr">
        <is>
          <t>air</t>
        </is>
      </c>
      <c r="F3893" t="inlineStr">
        <is>
          <t>biosphere</t>
        </is>
      </c>
      <c r="H3893" t="inlineStr">
        <is>
          <t>3.146 kg/kg fuel for diesel locomotives, according to Spielmann et al. (2007)
Spielmann, M., Bauer, C., Dones, R., Institut, P. S., &amp; Tuchschmid, M. (2007). Transport Services. Swiss Centre for Life Cycle Inventories, ecoinvent report No. 14.</t>
        </is>
      </c>
      <c r="I3893">
        <v>0</v>
      </c>
    </row>
    <row r="3894">
      <c r="A3894" t="inlineStr">
        <is>
          <t>Carbon monoxide, fossil</t>
        </is>
      </c>
      <c r="B3894">
        <v>0.00032901403518670265</v>
      </c>
      <c r="D3894" t="inlineStr">
        <is>
          <t>kilogram</t>
        </is>
      </c>
      <c r="E3894" t="inlineStr">
        <is>
          <t>air</t>
        </is>
      </c>
      <c r="F3894" t="inlineStr">
        <is>
          <t>biosphere</t>
        </is>
      </c>
      <c r="H3894" t="inlineStr">
        <is>
          <t>1.58E-02 kg/kg fuel for diesel locomotives, according to Spielmann et al. (2007)
Spielmann, M., Bauer, C., Dones, R., Institut, P. S., &amp; Tuchschmid, M. (2007). Transport Services. Swiss Centre for Life Cycle Inventories, ecoinvent report No. 14.</t>
        </is>
      </c>
      <c r="I3894">
        <v>0</v>
      </c>
    </row>
    <row r="3895">
      <c r="A3895" t="inlineStr">
        <is>
          <t>Chromium III</t>
        </is>
      </c>
      <c r="B3895">
        <v>1.0411836556541222e-09</v>
      </c>
      <c r="D3895" t="inlineStr">
        <is>
          <t>kilogram</t>
        </is>
      </c>
      <c r="E3895" t="inlineStr">
        <is>
          <t>air</t>
        </is>
      </c>
      <c r="F3895" t="inlineStr">
        <is>
          <t>biosphere</t>
        </is>
      </c>
      <c r="H3895" t="inlineStr">
        <is>
          <t>5.0E-08 kg/kg fuel for diesel locomotives, according to Spielmann et al. (2007)
Spielmann, M., Bauer, C., Dones, R., Institut, P. S., &amp; Tuchschmid, M. (2007). Transport Services. Swiss Centre for Life Cycle Inventories, ecoinvent report No. 14.</t>
        </is>
      </c>
      <c r="I3895">
        <v>0</v>
      </c>
    </row>
    <row r="3896">
      <c r="A3896" t="inlineStr">
        <is>
          <t>Copper ion</t>
        </is>
      </c>
      <c r="B3896">
        <v>3.5400244292240155e-08</v>
      </c>
      <c r="D3896" t="inlineStr">
        <is>
          <t>kilogram</t>
        </is>
      </c>
      <c r="E3896" t="inlineStr">
        <is>
          <t>air</t>
        </is>
      </c>
      <c r="F3896" t="inlineStr">
        <is>
          <t>biosphere</t>
        </is>
      </c>
      <c r="H3896" t="inlineStr">
        <is>
          <t>1.7E-06 kg/kg fuel for diesel locomotives, according to Spielmann et al. (2007)
Spielmann, M., Bauer, C., Dones, R., Institut, P. S., &amp; Tuchschmid, M. (2007). Transport Services. Swiss Centre for Life Cycle Inventories, ecoinvent report No. 14.</t>
        </is>
      </c>
      <c r="I3896">
        <v>0</v>
      </c>
    </row>
    <row r="3897">
      <c r="A3897" t="inlineStr">
        <is>
          <t>Dinitrogen monoxide</t>
        </is>
      </c>
      <c r="B3897">
        <v>2.0823673113082445e-06</v>
      </c>
      <c r="D3897" t="inlineStr">
        <is>
          <t>kilogram</t>
        </is>
      </c>
      <c r="E3897" t="inlineStr">
        <is>
          <t>air</t>
        </is>
      </c>
      <c r="F3897" t="inlineStr">
        <is>
          <t>biosphere</t>
        </is>
      </c>
      <c r="H3897" t="inlineStr">
        <is>
          <t>1.0E-04 kg/kg fuel for diesel locomotives, according to Spielmann et al. (2007)
Spielmann, M., Bauer, C., Dones, R., Institut, P. S., &amp; Tuchschmid, M. (2007). Transport Services. Swiss Centre for Life Cycle Inventories, ecoinvent report No. 14.</t>
        </is>
      </c>
      <c r="I3897">
        <v>0</v>
      </c>
    </row>
    <row r="3898">
      <c r="A3898" t="inlineStr">
        <is>
          <t>Iron ion</t>
        </is>
      </c>
      <c r="B3898">
        <v>3.165665258907264e-05</v>
      </c>
      <c r="D3898" t="inlineStr">
        <is>
          <t>kilogram</t>
        </is>
      </c>
      <c r="E3898" t="inlineStr">
        <is>
          <t>soil</t>
        </is>
      </c>
      <c r="F3898" t="inlineStr">
        <is>
          <t>biosphere</t>
        </is>
      </c>
      <c r="H389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98">
        <v>0</v>
      </c>
    </row>
    <row r="3899">
      <c r="A3899" t="inlineStr">
        <is>
          <t>Lead II</t>
        </is>
      </c>
      <c r="B3899">
        <v>2.2906040424390686e-12</v>
      </c>
      <c r="D3899" t="inlineStr">
        <is>
          <t>kilogram</t>
        </is>
      </c>
      <c r="E3899" t="inlineStr">
        <is>
          <t>air</t>
        </is>
      </c>
      <c r="F3899" t="inlineStr">
        <is>
          <t>biosphere</t>
        </is>
      </c>
      <c r="H3899" t="inlineStr">
        <is>
          <t>1.1E-10 kg/kg fuel for diesel locomotives, according to Spielmann et al. (2007)
Spielmann, M., Bauer, C., Dones, R., Institut, P. S., &amp; Tuchschmid, M. (2007). Transport Services. Swiss Centre for Life Cycle Inventories, ecoinvent report No. 14.</t>
        </is>
      </c>
      <c r="I3899">
        <v>0</v>
      </c>
    </row>
    <row r="3900">
      <c r="A3900" t="inlineStr">
        <is>
          <t>Mercury II</t>
        </is>
      </c>
      <c r="B3900">
        <v>4.1647346226164887e-13</v>
      </c>
      <c r="D3900" t="inlineStr">
        <is>
          <t>kilogram</t>
        </is>
      </c>
      <c r="E3900" t="inlineStr">
        <is>
          <t>air</t>
        </is>
      </c>
      <c r="F3900" t="inlineStr">
        <is>
          <t>biosphere</t>
        </is>
      </c>
      <c r="H3900" t="inlineStr">
        <is>
          <t>2.0E-11 kg/kg fuel for diesel locomotives, according to Spielmann et al. (2007)
Spielmann, M., Bauer, C., Dones, R., Institut, P. S., &amp; Tuchschmid, M. (2007). Transport Services. Swiss Centre for Life Cycle Inventories, ecoinvent report No. 14.</t>
        </is>
      </c>
      <c r="I3900">
        <v>0</v>
      </c>
    </row>
    <row r="3901">
      <c r="A3901" t="inlineStr">
        <is>
          <t>Methane, fossil</t>
        </is>
      </c>
      <c r="B3901">
        <v>2.7070775047007178e-06</v>
      </c>
      <c r="D3901" t="inlineStr">
        <is>
          <t>kilogram</t>
        </is>
      </c>
      <c r="E3901" t="inlineStr">
        <is>
          <t>air</t>
        </is>
      </c>
      <c r="F3901" t="inlineStr">
        <is>
          <t>biosphere</t>
        </is>
      </c>
      <c r="H3901" t="inlineStr">
        <is>
          <t>1.3E-04 kg/kg fuel for diesel locomotives, according to Spielmann et al. (2007)
Spielmann, M., Bauer, C., Dones, R., Institut, P. S., &amp; Tuchschmid, M. (2007). Transport Services. Swiss Centre for Life Cycle Inventories, ecoinvent report No. 14.</t>
        </is>
      </c>
      <c r="I3901">
        <v>0</v>
      </c>
    </row>
    <row r="3902">
      <c r="A3902" t="inlineStr">
        <is>
          <t>NMVOC, non-methane volatile organic compounds</t>
        </is>
      </c>
      <c r="B3902">
        <v>0.00010932428384368284</v>
      </c>
      <c r="D3902" t="inlineStr">
        <is>
          <t>kilogram</t>
        </is>
      </c>
      <c r="E3902" t="inlineStr">
        <is>
          <t>air</t>
        </is>
      </c>
      <c r="F3902" t="inlineStr">
        <is>
          <t>biosphere</t>
        </is>
      </c>
      <c r="H3902" t="inlineStr">
        <is>
          <t>5.25E-03 kg/kg fuel for diesel locomotives, according to Spielmann et al. (2007)
Spielmann, M., Bauer, C., Dones, R., Institut, P. S., &amp; Tuchschmid, M. (2007). Transport Services. Swiss Centre for Life Cycle Inventories, ecoinvent report No. 14.</t>
        </is>
      </c>
      <c r="I3902">
        <v>0</v>
      </c>
    </row>
    <row r="3903">
      <c r="A3903" t="inlineStr">
        <is>
          <t>Nickel II</t>
        </is>
      </c>
      <c r="B3903">
        <v>1.4576571179157713e-09</v>
      </c>
      <c r="D3903" t="inlineStr">
        <is>
          <t>kilogram</t>
        </is>
      </c>
      <c r="E3903" t="inlineStr">
        <is>
          <t>air</t>
        </is>
      </c>
      <c r="F3903" t="inlineStr">
        <is>
          <t>biosphere</t>
        </is>
      </c>
      <c r="H3903" t="inlineStr">
        <is>
          <t>7.0E-08 kg/kg fuel for diesel locomotives, according to Spielmann et al. (2007)
Spielmann, M., Bauer, C., Dones, R., Institut, P. S., &amp; Tuchschmid, M. (2007). Transport Services. Swiss Centre for Life Cycle Inventories, ecoinvent report No. 14.</t>
        </is>
      </c>
      <c r="I3903">
        <v>0</v>
      </c>
    </row>
    <row r="3904">
      <c r="A3904" t="inlineStr">
        <is>
          <t>Nitrogen oxides</t>
        </is>
      </c>
      <c r="B3904">
        <v>0.0011453020212195343</v>
      </c>
      <c r="D3904" t="inlineStr">
        <is>
          <t>kilogram</t>
        </is>
      </c>
      <c r="E3904" t="inlineStr">
        <is>
          <t>air::unspecified</t>
        </is>
      </c>
      <c r="F3904" t="inlineStr">
        <is>
          <t>biosphere</t>
        </is>
      </c>
      <c r="H3904" t="inlineStr">
        <is>
          <t>5.5E-02 kg/kg fuel for diesel locomotives, according to Spielmann et al. (2007)
Spielmann, M., Bauer, C., Dones, R., Institut, P. S., &amp; Tuchschmid, M. (2007). Transport Services. Swiss Centre for Life Cycle Inventories, ecoinvent report No. 14.</t>
        </is>
      </c>
      <c r="I3904">
        <v>0</v>
      </c>
    </row>
    <row r="3905">
      <c r="A3905" t="inlineStr">
        <is>
          <t>Particulate Matter, &lt; 2.5 um</t>
        </is>
      </c>
      <c r="B3905">
        <v>2.5613117929091406e-05</v>
      </c>
      <c r="D3905" t="inlineStr">
        <is>
          <t>kilogram</t>
        </is>
      </c>
      <c r="E3905" t="inlineStr">
        <is>
          <t>air</t>
        </is>
      </c>
      <c r="F3905" t="inlineStr">
        <is>
          <t>biosphere</t>
        </is>
      </c>
      <c r="H3905" t="inlineStr">
        <is>
          <t>1.28E-03 kg/kg fuel for diesel locomotives, according to Spielmann et al. (2007)
Spielmann, M., Bauer, C., Dones, R., Institut, P. S., &amp; Tuchschmid, M. (2007). Transport Services. Swiss Centre for Life Cycle Inventories, ecoinvent report No. 14.</t>
        </is>
      </c>
      <c r="I3905">
        <v>0</v>
      </c>
    </row>
    <row r="3906">
      <c r="A3906" t="inlineStr">
        <is>
          <t>Particulate Matter, &gt; 10 um</t>
        </is>
      </c>
      <c r="B3906">
        <v>4.633053826895546e-05</v>
      </c>
      <c r="D3906" t="inlineStr">
        <is>
          <t>kilogram</t>
        </is>
      </c>
      <c r="E3906" t="inlineStr">
        <is>
          <t>air</t>
        </is>
      </c>
      <c r="F3906" t="inlineStr">
        <is>
          <t>biosphere</t>
        </is>
      </c>
      <c r="H390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06">
        <v>0</v>
      </c>
    </row>
    <row r="3907">
      <c r="A3907" t="inlineStr">
        <is>
          <t>Particulate Matter, &gt; 2.5 um and &lt; 10um</t>
        </is>
      </c>
      <c r="B3907">
        <v>4.3841313442606596e-05</v>
      </c>
      <c r="D3907" t="inlineStr">
        <is>
          <t>kilogram</t>
        </is>
      </c>
      <c r="E3907" t="inlineStr">
        <is>
          <t>air</t>
        </is>
      </c>
      <c r="F3907" t="inlineStr">
        <is>
          <t>biosphere</t>
        </is>
      </c>
      <c r="H390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07">
        <v>0</v>
      </c>
    </row>
    <row r="3908">
      <c r="A3908" t="inlineStr">
        <is>
          <t>Selenium IV</t>
        </is>
      </c>
      <c r="B3908">
        <v>2.0823673113082443e-10</v>
      </c>
      <c r="D3908" t="inlineStr">
        <is>
          <t>kilogram</t>
        </is>
      </c>
      <c r="E3908" t="inlineStr">
        <is>
          <t>air</t>
        </is>
      </c>
      <c r="F3908" t="inlineStr">
        <is>
          <t>biosphere</t>
        </is>
      </c>
      <c r="H3908" t="inlineStr">
        <is>
          <t>1.0E-08 kg/kg fuel for diesel locomotives, according to Spielmann et al. (2007)
Spielmann, M., Bauer, C., Dones, R., Institut, P. S., &amp; Tuchschmid, M. (2007). Transport Services. Swiss Centre for Life Cycle Inventories, ecoinvent report No. 14.</t>
        </is>
      </c>
      <c r="I3908">
        <v>0</v>
      </c>
    </row>
    <row r="3909">
      <c r="A3909" t="inlineStr">
        <is>
          <t>Sulfur dioxide</t>
        </is>
      </c>
      <c r="B3909">
        <v>1.2494203867849466e-05</v>
      </c>
      <c r="D3909" t="inlineStr">
        <is>
          <t>kilogram</t>
        </is>
      </c>
      <c r="E3909" t="inlineStr">
        <is>
          <t>air</t>
        </is>
      </c>
      <c r="F3909" t="inlineStr">
        <is>
          <t>biosphere</t>
        </is>
      </c>
      <c r="H3909" t="inlineStr">
        <is>
          <t>6.0E-04 kg/kg fuel for diesel locomotives, according to Spielmann et al. (2007)
Spielmann, M., Bauer, C., Dones, R., Institut, P. S., &amp; Tuchschmid, M. (2007). Transport Services. Swiss Centre for Life Cycle Inventories, ecoinvent report No. 14.</t>
        </is>
      </c>
      <c r="I3909">
        <v>0</v>
      </c>
    </row>
    <row r="3910">
      <c r="A3910" t="inlineStr">
        <is>
          <t>Toluene</t>
        </is>
      </c>
      <c r="B3910">
        <v>8.329469245232978e-07</v>
      </c>
      <c r="D3910" t="inlineStr">
        <is>
          <t>kilogram</t>
        </is>
      </c>
      <c r="E3910" t="inlineStr">
        <is>
          <t>air</t>
        </is>
      </c>
      <c r="F3910" t="inlineStr">
        <is>
          <t>biosphere</t>
        </is>
      </c>
      <c r="H3910" t="inlineStr">
        <is>
          <t>4.0E-05 kg/kg fuel for diesel locomotives, according to Spielmann et al. (2007)
Spielmann, M., Bauer, C., Dones, R., Institut, P. S., &amp; Tuchschmid, M. (2007). Transport Services. Swiss Centre for Life Cycle Inventories, ecoinvent report No. 14.</t>
        </is>
      </c>
      <c r="I3910">
        <v>0</v>
      </c>
    </row>
    <row r="3911">
      <c r="A3911" t="inlineStr">
        <is>
          <t>Xylenes, unspecified</t>
        </is>
      </c>
      <c r="B3911">
        <v>8.329469245232978e-07</v>
      </c>
      <c r="D3911" t="inlineStr">
        <is>
          <t>kilogram</t>
        </is>
      </c>
      <c r="E3911" t="inlineStr">
        <is>
          <t>air::unspecified</t>
        </is>
      </c>
      <c r="F3911" t="inlineStr">
        <is>
          <t>biosphere</t>
        </is>
      </c>
      <c r="H3911" t="inlineStr">
        <is>
          <t>4.0E-05 kg/kg fuel for diesel locomotives, according to Spielmann et al. (2007)
Spielmann, M., Bauer, C., Dones, R., Institut, P. S., &amp; Tuchschmid, M. (2007). Transport Services. Swiss Centre for Life Cycle Inventories, ecoinvent report No. 14.</t>
        </is>
      </c>
      <c r="I3911">
        <v>0</v>
      </c>
    </row>
    <row r="3912">
      <c r="A3912" t="inlineStr">
        <is>
          <t>Zinc II</t>
        </is>
      </c>
      <c r="B3912">
        <v>2.0823673113082442e-08</v>
      </c>
      <c r="D3912" t="inlineStr">
        <is>
          <t>kilogram</t>
        </is>
      </c>
      <c r="E3912" t="inlineStr">
        <is>
          <t>air</t>
        </is>
      </c>
      <c r="F3912" t="inlineStr">
        <is>
          <t>biosphere</t>
        </is>
      </c>
      <c r="H3912" t="inlineStr">
        <is>
          <t>1.0E-06 kg/kg fuel for diesel locomotives, according to Spielmann et al. (2007)
Spielmann, M., Bauer, C., Dones, R., Institut, P. S., &amp; Tuchschmid, M. (2007). Transport Services. Swiss Centre for Life Cycle Inventories, ecoinvent report No. 14.</t>
        </is>
      </c>
      <c r="I3912">
        <v>0</v>
      </c>
    </row>
    <row r="3913"/>
    <row r="3914">
      <c r="A3914" t="inlineStr">
        <is>
          <t>Activity</t>
        </is>
      </c>
      <c r="B3914" t="inlineStr">
        <is>
          <t>diesel, synthetic, burned in passenger train</t>
        </is>
      </c>
    </row>
    <row r="3915">
      <c r="A3915" t="inlineStr">
        <is>
          <t>location</t>
        </is>
      </c>
      <c r="B3915" t="inlineStr">
        <is>
          <t>RER</t>
        </is>
      </c>
    </row>
    <row r="3916">
      <c r="A3916" t="inlineStr">
        <is>
          <t>production amount</t>
        </is>
      </c>
      <c r="B3916">
        <v>1</v>
      </c>
    </row>
    <row r="3917">
      <c r="A3917" t="inlineStr">
        <is>
          <t>reference product</t>
        </is>
      </c>
      <c r="B3917" t="inlineStr">
        <is>
          <t>heat</t>
        </is>
      </c>
    </row>
    <row r="3918">
      <c r="A3918" t="inlineStr">
        <is>
          <t>type</t>
        </is>
      </c>
      <c r="B3918" t="inlineStr">
        <is>
          <t>process</t>
        </is>
      </c>
    </row>
    <row r="3919">
      <c r="A3919" t="inlineStr">
        <is>
          <t>unit</t>
        </is>
      </c>
      <c r="B3919" t="inlineStr">
        <is>
          <t>megajoule</t>
        </is>
      </c>
    </row>
    <row r="3920">
      <c r="A3920" t="inlineStr">
        <is>
          <t>energy use source</t>
        </is>
      </c>
      <c r="B3920"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3921">
      <c r="A3921" t="inlineStr">
        <is>
          <t>comment</t>
        </is>
      </c>
      <c r="B3921"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22">
      <c r="A3922" t="inlineStr">
        <is>
          <t>Exchanges</t>
        </is>
      </c>
    </row>
    <row r="3923">
      <c r="A3923" t="inlineStr">
        <is>
          <t>name</t>
        </is>
      </c>
      <c r="B3923" t="inlineStr">
        <is>
          <t>amount</t>
        </is>
      </c>
      <c r="C3923" t="inlineStr">
        <is>
          <t>location</t>
        </is>
      </c>
      <c r="D3923" t="inlineStr">
        <is>
          <t>unit</t>
        </is>
      </c>
      <c r="E3923" t="inlineStr">
        <is>
          <t>categories</t>
        </is>
      </c>
      <c r="F3923" t="inlineStr">
        <is>
          <t>type</t>
        </is>
      </c>
      <c r="G3923" t="inlineStr">
        <is>
          <t>reference product</t>
        </is>
      </c>
      <c r="H3923" t="inlineStr">
        <is>
          <t>comment</t>
        </is>
      </c>
      <c r="I3923" t="inlineStr">
        <is>
          <t>uncertainty type</t>
        </is>
      </c>
    </row>
    <row r="3924">
      <c r="A3924" t="inlineStr">
        <is>
          <t>diesel, synthetic, burned in passenger train</t>
        </is>
      </c>
      <c r="B3924">
        <v>1.0</v>
      </c>
      <c r="C3924" t="inlineStr">
        <is>
          <t>RER</t>
        </is>
      </c>
      <c r="D3924" t="inlineStr">
        <is>
          <t>megajoule</t>
        </is>
      </c>
      <c r="F3924" t="inlineStr">
        <is>
          <t>production</t>
        </is>
      </c>
      <c r="G3924" t="inlineStr">
        <is>
          <t>heat</t>
        </is>
      </c>
      <c r="I3924">
        <v>0</v>
      </c>
    </row>
    <row r="3925">
      <c r="A3925" t="inlineStr">
        <is>
          <t>diesel production, synthetic, from Fischer Tropsch process, market-average hydrogen, energy allocation, at fuelling station</t>
        </is>
      </c>
      <c r="B3925">
        <v>0.023255813953488372</v>
      </c>
      <c r="C3925" t="inlineStr">
        <is>
          <t>RER</t>
        </is>
      </c>
      <c r="D3925" t="inlineStr">
        <is>
          <t>kilogram</t>
        </is>
      </c>
      <c r="F3925" t="inlineStr">
        <is>
          <t>technosphere</t>
        </is>
      </c>
      <c r="G3925" t="inlineStr">
        <is>
          <t>diesel, synthetic, vehicle grade</t>
        </is>
      </c>
      <c r="I3925">
        <v>0</v>
      </c>
    </row>
    <row r="3926">
      <c r="A3926" t="inlineStr">
        <is>
          <t>fuel tank, for diesel vehicle, adapted to locomotives</t>
        </is>
      </c>
      <c r="B3926">
        <v>1.6548105207134522e-07</v>
      </c>
      <c r="C3926" t="inlineStr">
        <is>
          <t>RER</t>
        </is>
      </c>
      <c r="D3926" t="inlineStr">
        <is>
          <t>kilogram</t>
        </is>
      </c>
      <c r="F3926" t="inlineStr">
        <is>
          <t>technosphere</t>
        </is>
      </c>
      <c r="G3926" t="inlineStr">
        <is>
          <t>fuel tank</t>
        </is>
      </c>
      <c r="H3926"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26">
        <v>0</v>
      </c>
    </row>
    <row r="3927">
      <c r="A3927" t="inlineStr">
        <is>
          <t>internal combustion engine, for lorry, adapted to locomotives</t>
        </is>
      </c>
      <c r="B3927">
        <v>1.7413079443052818e-05</v>
      </c>
      <c r="C3927" t="inlineStr">
        <is>
          <t>RER</t>
        </is>
      </c>
      <c r="D3927" t="inlineStr">
        <is>
          <t>kilogram</t>
        </is>
      </c>
      <c r="F3927" t="inlineStr">
        <is>
          <t>technosphere</t>
        </is>
      </c>
      <c r="G3927" t="inlineStr">
        <is>
          <t>internal combustion engine, for lorry</t>
        </is>
      </c>
      <c r="H3927"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27">
        <v>0</v>
      </c>
    </row>
    <row r="3928">
      <c r="A3928" t="inlineStr">
        <is>
          <t>electronic component production, passive, unspecified</t>
        </is>
      </c>
      <c r="B3928">
        <v>8.00481860964219e-06</v>
      </c>
      <c r="C3928" t="inlineStr">
        <is>
          <t>GLO</t>
        </is>
      </c>
      <c r="D3928" t="inlineStr">
        <is>
          <t>kilogram</t>
        </is>
      </c>
      <c r="F3928" t="inlineStr">
        <is>
          <t>technosphere</t>
        </is>
      </c>
      <c r="G3928" t="inlineStr">
        <is>
          <t>electronic component, passive, unspecified</t>
        </is>
      </c>
      <c r="H3928"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928">
        <v>0</v>
      </c>
    </row>
    <row r="3929">
      <c r="A3929" t="inlineStr">
        <is>
          <t>electric motor, asynchronous traction, engineering reference</t>
        </is>
      </c>
      <c r="B3929">
        <v>2.3088728506723053e-06</v>
      </c>
      <c r="C3929" t="inlineStr">
        <is>
          <t>GLO</t>
        </is>
      </c>
      <c r="D3929" t="inlineStr">
        <is>
          <t>kilogram</t>
        </is>
      </c>
      <c r="F3929" t="inlineStr">
        <is>
          <t>technosphere</t>
        </is>
      </c>
      <c r="G3929" t="inlineStr">
        <is>
          <t>electric motor, asynchronous traction, engineering reference</t>
        </is>
      </c>
      <c r="H3929"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29">
        <v>0</v>
      </c>
    </row>
    <row r="3930">
      <c r="A3930" t="inlineStr">
        <is>
          <t>traction converter, medium-voltage rail engineering reference</t>
        </is>
      </c>
      <c r="B3930">
        <v>8.277091351466727e-06</v>
      </c>
      <c r="C3930" t="inlineStr">
        <is>
          <t>GLO</t>
        </is>
      </c>
      <c r="D3930" t="inlineStr">
        <is>
          <t>kilogram</t>
        </is>
      </c>
      <c r="F3930" t="inlineStr">
        <is>
          <t>technosphere</t>
        </is>
      </c>
      <c r="G3930" t="inlineStr">
        <is>
          <t>traction converter, medium-voltage rail engineering reference</t>
        </is>
      </c>
      <c r="H3930"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30">
        <v>0</v>
      </c>
    </row>
    <row r="3931">
      <c r="A3931" t="inlineStr">
        <is>
          <t>Ammonia</t>
        </is>
      </c>
      <c r="B3931">
        <v>4.164734622616489e-07</v>
      </c>
      <c r="D3931" t="inlineStr">
        <is>
          <t>kilogram</t>
        </is>
      </c>
      <c r="E3931" t="inlineStr">
        <is>
          <t>air</t>
        </is>
      </c>
      <c r="F3931" t="inlineStr">
        <is>
          <t>biosphere</t>
        </is>
      </c>
      <c r="H3931" t="inlineStr">
        <is>
          <t>2.0E-05 kg/kg fuel for diesel locomotives, according to Spielmann et al. (2007)
Spielmann, M., Bauer, C., Dones, R., Institut, P. S., &amp; Tuchschmid, M. (2007). Transport Services. Swiss Centre for Life Cycle Inventories, ecoinvent report No. 14.</t>
        </is>
      </c>
      <c r="I3931">
        <v>0</v>
      </c>
    </row>
    <row r="3932">
      <c r="A3932" t="inlineStr">
        <is>
          <t>Benzene</t>
        </is>
      </c>
      <c r="B3932">
        <v>2.0823673113082445e-06</v>
      </c>
      <c r="D3932" t="inlineStr">
        <is>
          <t>kilogram</t>
        </is>
      </c>
      <c r="E3932" t="inlineStr">
        <is>
          <t>air</t>
        </is>
      </c>
      <c r="F3932" t="inlineStr">
        <is>
          <t>biosphere</t>
        </is>
      </c>
      <c r="H3932" t="inlineStr">
        <is>
          <t>1.0E-04 kg/kg fuel for diesel locomotives, according to Spielmann et al. (2007)
Spielmann, M., Bauer, C., Dones, R., Institut, P. S., &amp; Tuchschmid, M. (2007). Transport Services. Swiss Centre for Life Cycle Inventories, ecoinvent report No. 14.</t>
        </is>
      </c>
      <c r="I3932">
        <v>0</v>
      </c>
    </row>
    <row r="3933">
      <c r="A3933" t="inlineStr">
        <is>
          <t>Cadmium II</t>
        </is>
      </c>
      <c r="B3933">
        <v>2.0823673113082443e-10</v>
      </c>
      <c r="D3933" t="inlineStr">
        <is>
          <t>kilogram</t>
        </is>
      </c>
      <c r="E3933" t="inlineStr">
        <is>
          <t>air</t>
        </is>
      </c>
      <c r="F3933" t="inlineStr">
        <is>
          <t>biosphere</t>
        </is>
      </c>
      <c r="H3933" t="inlineStr">
        <is>
          <t>1.0E-08 kg/kg fuel for diesel locomotives, according to Spielmann et al. (2007)
Spielmann, M., Bauer, C., Dones, R., Institut, P. S., &amp; Tuchschmid, M. (2007). Transport Services. Swiss Centre for Life Cycle Inventories, ecoinvent report No. 14.</t>
        </is>
      </c>
      <c r="I3933">
        <v>0</v>
      </c>
    </row>
    <row r="3934">
      <c r="A3934" t="inlineStr">
        <is>
          <t>Carbon monoxide, fossil</t>
        </is>
      </c>
      <c r="B3934">
        <v>0.00032901403518670265</v>
      </c>
      <c r="D3934" t="inlineStr">
        <is>
          <t>kilogram</t>
        </is>
      </c>
      <c r="E3934" t="inlineStr">
        <is>
          <t>air</t>
        </is>
      </c>
      <c r="F3934" t="inlineStr">
        <is>
          <t>biosphere</t>
        </is>
      </c>
      <c r="H3934" t="inlineStr">
        <is>
          <t>1.58E-02 kg/kg fuel for diesel locomotives, according to Spielmann et al. (2007)
Spielmann, M., Bauer, C., Dones, R., Institut, P. S., &amp; Tuchschmid, M. (2007). Transport Services. Swiss Centre for Life Cycle Inventories, ecoinvent report No. 14.</t>
        </is>
      </c>
      <c r="I3934">
        <v>0</v>
      </c>
    </row>
    <row r="3935">
      <c r="A3935" t="inlineStr">
        <is>
          <t>Chromium III</t>
        </is>
      </c>
      <c r="B3935">
        <v>1.0411836556541222e-09</v>
      </c>
      <c r="D3935" t="inlineStr">
        <is>
          <t>kilogram</t>
        </is>
      </c>
      <c r="E3935" t="inlineStr">
        <is>
          <t>air</t>
        </is>
      </c>
      <c r="F3935" t="inlineStr">
        <is>
          <t>biosphere</t>
        </is>
      </c>
      <c r="H3935" t="inlineStr">
        <is>
          <t>5.0E-08 kg/kg fuel for diesel locomotives, according to Spielmann et al. (2007)
Spielmann, M., Bauer, C., Dones, R., Institut, P. S., &amp; Tuchschmid, M. (2007). Transport Services. Swiss Centre for Life Cycle Inventories, ecoinvent report No. 14.</t>
        </is>
      </c>
      <c r="I3935">
        <v>0</v>
      </c>
    </row>
    <row r="3936">
      <c r="A3936" t="inlineStr">
        <is>
          <t>Copper ion</t>
        </is>
      </c>
      <c r="B3936">
        <v>3.5400244292240155e-08</v>
      </c>
      <c r="D3936" t="inlineStr">
        <is>
          <t>kilogram</t>
        </is>
      </c>
      <c r="E3936" t="inlineStr">
        <is>
          <t>air</t>
        </is>
      </c>
      <c r="F3936" t="inlineStr">
        <is>
          <t>biosphere</t>
        </is>
      </c>
      <c r="H3936" t="inlineStr">
        <is>
          <t>1.7E-06 kg/kg fuel for diesel locomotives, according to Spielmann et al. (2007)
Spielmann, M., Bauer, C., Dones, R., Institut, P. S., &amp; Tuchschmid, M. (2007). Transport Services. Swiss Centre for Life Cycle Inventories, ecoinvent report No. 14.</t>
        </is>
      </c>
      <c r="I3936">
        <v>0</v>
      </c>
    </row>
    <row r="3937">
      <c r="A3937" t="inlineStr">
        <is>
          <t>Dinitrogen monoxide</t>
        </is>
      </c>
      <c r="B3937">
        <v>2.0823673113082445e-06</v>
      </c>
      <c r="D3937" t="inlineStr">
        <is>
          <t>kilogram</t>
        </is>
      </c>
      <c r="E3937" t="inlineStr">
        <is>
          <t>air</t>
        </is>
      </c>
      <c r="F3937" t="inlineStr">
        <is>
          <t>biosphere</t>
        </is>
      </c>
      <c r="H3937" t="inlineStr">
        <is>
          <t>1.0E-04 kg/kg fuel for diesel locomotives, according to Spielmann et al. (2007)
Spielmann, M., Bauer, C., Dones, R., Institut, P. S., &amp; Tuchschmid, M. (2007). Transport Services. Swiss Centre for Life Cycle Inventories, ecoinvent report No. 14.</t>
        </is>
      </c>
      <c r="I3937">
        <v>0</v>
      </c>
    </row>
    <row r="3938">
      <c r="A3938" t="inlineStr">
        <is>
          <t>Iron ion</t>
        </is>
      </c>
      <c r="B3938">
        <v>3.165665258907264e-05</v>
      </c>
      <c r="D3938" t="inlineStr">
        <is>
          <t>kilogram</t>
        </is>
      </c>
      <c r="E3938" t="inlineStr">
        <is>
          <t>soil</t>
        </is>
      </c>
      <c r="F3938" t="inlineStr">
        <is>
          <t>biosphere</t>
        </is>
      </c>
      <c r="H393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38">
        <v>0</v>
      </c>
    </row>
    <row r="3939">
      <c r="A3939" t="inlineStr">
        <is>
          <t>Lead II</t>
        </is>
      </c>
      <c r="B3939">
        <v>2.2906040424390686e-12</v>
      </c>
      <c r="D3939" t="inlineStr">
        <is>
          <t>kilogram</t>
        </is>
      </c>
      <c r="E3939" t="inlineStr">
        <is>
          <t>air</t>
        </is>
      </c>
      <c r="F3939" t="inlineStr">
        <is>
          <t>biosphere</t>
        </is>
      </c>
      <c r="H3939" t="inlineStr">
        <is>
          <t>1.1E-10 kg/kg fuel for diesel locomotives, according to Spielmann et al. (2007)
Spielmann, M., Bauer, C., Dones, R., Institut, P. S., &amp; Tuchschmid, M. (2007). Transport Services. Swiss Centre for Life Cycle Inventories, ecoinvent report No. 14.</t>
        </is>
      </c>
      <c r="I3939">
        <v>0</v>
      </c>
    </row>
    <row r="3940">
      <c r="A3940" t="inlineStr">
        <is>
          <t>Mercury II</t>
        </is>
      </c>
      <c r="B3940">
        <v>4.1647346226164887e-13</v>
      </c>
      <c r="D3940" t="inlineStr">
        <is>
          <t>kilogram</t>
        </is>
      </c>
      <c r="E3940" t="inlineStr">
        <is>
          <t>air</t>
        </is>
      </c>
      <c r="F3940" t="inlineStr">
        <is>
          <t>biosphere</t>
        </is>
      </c>
      <c r="H3940" t="inlineStr">
        <is>
          <t>2.0E-11 kg/kg fuel for diesel locomotives, according to Spielmann et al. (2007)
Spielmann, M., Bauer, C., Dones, R., Institut, P. S., &amp; Tuchschmid, M. (2007). Transport Services. Swiss Centre for Life Cycle Inventories, ecoinvent report No. 14.</t>
        </is>
      </c>
      <c r="I3940">
        <v>0</v>
      </c>
    </row>
    <row r="3941">
      <c r="A3941" t="inlineStr">
        <is>
          <t>Methane, fossil</t>
        </is>
      </c>
      <c r="B3941">
        <v>2.7070775047007178e-06</v>
      </c>
      <c r="D3941" t="inlineStr">
        <is>
          <t>kilogram</t>
        </is>
      </c>
      <c r="E3941" t="inlineStr">
        <is>
          <t>air</t>
        </is>
      </c>
      <c r="F3941" t="inlineStr">
        <is>
          <t>biosphere</t>
        </is>
      </c>
      <c r="H3941" t="inlineStr">
        <is>
          <t>1.3E-04 kg/kg fuel for diesel locomotives, according to Spielmann et al. (2007)
Spielmann, M., Bauer, C., Dones, R., Institut, P. S., &amp; Tuchschmid, M. (2007). Transport Services. Swiss Centre for Life Cycle Inventories, ecoinvent report No. 14.</t>
        </is>
      </c>
      <c r="I3941">
        <v>0</v>
      </c>
    </row>
    <row r="3942">
      <c r="A3942" t="inlineStr">
        <is>
          <t>NMVOC, non-methane volatile organic compounds</t>
        </is>
      </c>
      <c r="B3942">
        <v>0.00010932428384368284</v>
      </c>
      <c r="D3942" t="inlineStr">
        <is>
          <t>kilogram</t>
        </is>
      </c>
      <c r="E3942" t="inlineStr">
        <is>
          <t>air</t>
        </is>
      </c>
      <c r="F3942" t="inlineStr">
        <is>
          <t>biosphere</t>
        </is>
      </c>
      <c r="H3942" t="inlineStr">
        <is>
          <t>5.25E-03 kg/kg fuel for diesel locomotives, according to Spielmann et al. (2007)
Spielmann, M., Bauer, C., Dones, R., Institut, P. S., &amp; Tuchschmid, M. (2007). Transport Services. Swiss Centre for Life Cycle Inventories, ecoinvent report No. 14.</t>
        </is>
      </c>
      <c r="I3942">
        <v>0</v>
      </c>
    </row>
    <row r="3943">
      <c r="A3943" t="inlineStr">
        <is>
          <t>Nickel II</t>
        </is>
      </c>
      <c r="B3943">
        <v>1.4576571179157713e-09</v>
      </c>
      <c r="D3943" t="inlineStr">
        <is>
          <t>kilogram</t>
        </is>
      </c>
      <c r="E3943" t="inlineStr">
        <is>
          <t>air</t>
        </is>
      </c>
      <c r="F3943" t="inlineStr">
        <is>
          <t>biosphere</t>
        </is>
      </c>
      <c r="H3943" t="inlineStr">
        <is>
          <t>7.0E-08 kg/kg fuel for diesel locomotives, according to Spielmann et al. (2007)
Spielmann, M., Bauer, C., Dones, R., Institut, P. S., &amp; Tuchschmid, M. (2007). Transport Services. Swiss Centre for Life Cycle Inventories, ecoinvent report No. 14.</t>
        </is>
      </c>
      <c r="I3943">
        <v>0</v>
      </c>
    </row>
    <row r="3944">
      <c r="A3944" t="inlineStr">
        <is>
          <t>Nitrogen oxides</t>
        </is>
      </c>
      <c r="B3944">
        <v>0.0011453020212195343</v>
      </c>
      <c r="D3944" t="inlineStr">
        <is>
          <t>kilogram</t>
        </is>
      </c>
      <c r="E3944" t="inlineStr">
        <is>
          <t>air::unspecified</t>
        </is>
      </c>
      <c r="F3944" t="inlineStr">
        <is>
          <t>biosphere</t>
        </is>
      </c>
      <c r="H3944" t="inlineStr">
        <is>
          <t>5.5E-02 kg/kg fuel for diesel locomotives, according to Spielmann et al. (2007)
Spielmann, M., Bauer, C., Dones, R., Institut, P. S., &amp; Tuchschmid, M. (2007). Transport Services. Swiss Centre for Life Cycle Inventories, ecoinvent report No. 14.</t>
        </is>
      </c>
      <c r="I3944">
        <v>0</v>
      </c>
    </row>
    <row r="3945">
      <c r="A3945" t="inlineStr">
        <is>
          <t>Particulate Matter, &lt; 2.5 um</t>
        </is>
      </c>
      <c r="B3945">
        <v>2.5613117929091406e-05</v>
      </c>
      <c r="D3945" t="inlineStr">
        <is>
          <t>kilogram</t>
        </is>
      </c>
      <c r="E3945" t="inlineStr">
        <is>
          <t>air</t>
        </is>
      </c>
      <c r="F3945" t="inlineStr">
        <is>
          <t>biosphere</t>
        </is>
      </c>
      <c r="H3945" t="inlineStr">
        <is>
          <t>1.28E-03 kg/kg fuel for diesel locomotives, according to Spielmann et al. (2007)
Spielmann, M., Bauer, C., Dones, R., Institut, P. S., &amp; Tuchschmid, M. (2007). Transport Services. Swiss Centre for Life Cycle Inventories, ecoinvent report No. 14.</t>
        </is>
      </c>
      <c r="I3945">
        <v>0</v>
      </c>
    </row>
    <row r="3946">
      <c r="A3946" t="inlineStr">
        <is>
          <t>Particulate Matter, &gt; 10 um</t>
        </is>
      </c>
      <c r="B3946">
        <v>4.633053826895546e-05</v>
      </c>
      <c r="D3946" t="inlineStr">
        <is>
          <t>kilogram</t>
        </is>
      </c>
      <c r="E3946" t="inlineStr">
        <is>
          <t>air</t>
        </is>
      </c>
      <c r="F3946" t="inlineStr">
        <is>
          <t>biosphere</t>
        </is>
      </c>
      <c r="H394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46">
        <v>0</v>
      </c>
    </row>
    <row r="3947">
      <c r="A3947" t="inlineStr">
        <is>
          <t>Particulate Matter, &gt; 2.5 um and &lt; 10um</t>
        </is>
      </c>
      <c r="B3947">
        <v>4.3841313442606596e-05</v>
      </c>
      <c r="D3947" t="inlineStr">
        <is>
          <t>kilogram</t>
        </is>
      </c>
      <c r="E3947" t="inlineStr">
        <is>
          <t>air</t>
        </is>
      </c>
      <c r="F3947" t="inlineStr">
        <is>
          <t>biosphere</t>
        </is>
      </c>
      <c r="H394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47">
        <v>0</v>
      </c>
    </row>
    <row r="3948">
      <c r="A3948" t="inlineStr">
        <is>
          <t>Selenium IV</t>
        </is>
      </c>
      <c r="B3948">
        <v>2.0823673113082443e-10</v>
      </c>
      <c r="D3948" t="inlineStr">
        <is>
          <t>kilogram</t>
        </is>
      </c>
      <c r="E3948" t="inlineStr">
        <is>
          <t>air</t>
        </is>
      </c>
      <c r="F3948" t="inlineStr">
        <is>
          <t>biosphere</t>
        </is>
      </c>
      <c r="H3948" t="inlineStr">
        <is>
          <t>1.0E-08 kg/kg fuel for diesel locomotives, according to Spielmann et al. (2007)
Spielmann, M., Bauer, C., Dones, R., Institut, P. S., &amp; Tuchschmid, M. (2007). Transport Services. Swiss Centre for Life Cycle Inventories, ecoinvent report No. 14.</t>
        </is>
      </c>
      <c r="I3948">
        <v>0</v>
      </c>
    </row>
    <row r="3949">
      <c r="A3949" t="inlineStr">
        <is>
          <t>Sulfur dioxide</t>
        </is>
      </c>
      <c r="B3949">
        <v>1.2494203867849466e-05</v>
      </c>
      <c r="D3949" t="inlineStr">
        <is>
          <t>kilogram</t>
        </is>
      </c>
      <c r="E3949" t="inlineStr">
        <is>
          <t>air</t>
        </is>
      </c>
      <c r="F3949" t="inlineStr">
        <is>
          <t>biosphere</t>
        </is>
      </c>
      <c r="H3949" t="inlineStr">
        <is>
          <t>6.0E-04 kg/kg fuel for diesel locomotives, according to Spielmann et al. (2007)
Spielmann, M., Bauer, C., Dones, R., Institut, P. S., &amp; Tuchschmid, M. (2007). Transport Services. Swiss Centre for Life Cycle Inventories, ecoinvent report No. 14.</t>
        </is>
      </c>
      <c r="I3949">
        <v>0</v>
      </c>
    </row>
    <row r="3950">
      <c r="A3950" t="inlineStr">
        <is>
          <t>Toluene</t>
        </is>
      </c>
      <c r="B3950">
        <v>8.329469245232978e-07</v>
      </c>
      <c r="D3950" t="inlineStr">
        <is>
          <t>kilogram</t>
        </is>
      </c>
      <c r="E3950" t="inlineStr">
        <is>
          <t>air</t>
        </is>
      </c>
      <c r="F3950" t="inlineStr">
        <is>
          <t>biosphere</t>
        </is>
      </c>
      <c r="H3950" t="inlineStr">
        <is>
          <t>4.0E-05 kg/kg fuel for diesel locomotives, according to Spielmann et al. (2007)
Spielmann, M., Bauer, C., Dones, R., Institut, P. S., &amp; Tuchschmid, M. (2007). Transport Services. Swiss Centre for Life Cycle Inventories, ecoinvent report No. 14.</t>
        </is>
      </c>
      <c r="I3950">
        <v>0</v>
      </c>
    </row>
    <row r="3951">
      <c r="A3951" t="inlineStr">
        <is>
          <t>Xylenes, unspecified</t>
        </is>
      </c>
      <c r="B3951">
        <v>8.329469245232978e-07</v>
      </c>
      <c r="D3951" t="inlineStr">
        <is>
          <t>kilogram</t>
        </is>
      </c>
      <c r="E3951" t="inlineStr">
        <is>
          <t>air::unspecified</t>
        </is>
      </c>
      <c r="F3951" t="inlineStr">
        <is>
          <t>biosphere</t>
        </is>
      </c>
      <c r="H3951" t="inlineStr">
        <is>
          <t>4.0E-05 kg/kg fuel for diesel locomotives, according to Spielmann et al. (2007)
Spielmann, M., Bauer, C., Dones, R., Institut, P. S., &amp; Tuchschmid, M. (2007). Transport Services. Swiss Centre for Life Cycle Inventories, ecoinvent report No. 14.</t>
        </is>
      </c>
      <c r="I3951">
        <v>0</v>
      </c>
    </row>
    <row r="3952">
      <c r="A3952" t="inlineStr">
        <is>
          <t>Zinc II</t>
        </is>
      </c>
      <c r="B3952">
        <v>2.0823673113082442e-08</v>
      </c>
      <c r="D3952" t="inlineStr">
        <is>
          <t>kilogram</t>
        </is>
      </c>
      <c r="E3952" t="inlineStr">
        <is>
          <t>air</t>
        </is>
      </c>
      <c r="F3952" t="inlineStr">
        <is>
          <t>biosphere</t>
        </is>
      </c>
      <c r="H3952" t="inlineStr">
        <is>
          <t>1.0E-06 kg/kg fuel for diesel locomotives, according to Spielmann et al. (2007)
Spielmann, M., Bauer, C., Dones, R., Institut, P. S., &amp; Tuchschmid, M. (2007). Transport Services. Swiss Centre for Life Cycle Inventories, ecoinvent report No. 14.</t>
        </is>
      </c>
      <c r="I3952">
        <v>0</v>
      </c>
    </row>
    <row r="3953">
      <c r="A3953" t="inlineStr">
        <is>
          <t>Carbon dioxide, non-fossil</t>
        </is>
      </c>
      <c r="B3953">
        <v>0.0732</v>
      </c>
      <c r="D3953" t="inlineStr">
        <is>
          <t>kilogram</t>
        </is>
      </c>
      <c r="E3953" t="inlineStr">
        <is>
          <t>air</t>
        </is>
      </c>
      <c r="F3953" t="inlineStr">
        <is>
          <t>biosphere</t>
        </is>
      </c>
      <c r="I3953">
        <v>0</v>
      </c>
    </row>
    <row r="3954"/>
    <row r="3955">
      <c r="A3955" t="inlineStr">
        <is>
          <t>Activity</t>
        </is>
      </c>
      <c r="B3955" t="inlineStr">
        <is>
          <t>biodiesel, from residual oily biomass, burned in passenger train</t>
        </is>
      </c>
    </row>
    <row r="3956">
      <c r="A3956" t="inlineStr">
        <is>
          <t>location</t>
        </is>
      </c>
      <c r="B3956" t="inlineStr">
        <is>
          <t>RER</t>
        </is>
      </c>
    </row>
    <row r="3957">
      <c r="A3957" t="inlineStr">
        <is>
          <t>production amount</t>
        </is>
      </c>
      <c r="B3957">
        <v>1</v>
      </c>
    </row>
    <row r="3958">
      <c r="A3958" t="inlineStr">
        <is>
          <t>reference product</t>
        </is>
      </c>
      <c r="B3958" t="inlineStr">
        <is>
          <t>heat</t>
        </is>
      </c>
    </row>
    <row r="3959">
      <c r="A3959" t="inlineStr">
        <is>
          <t>type</t>
        </is>
      </c>
      <c r="B3959" t="inlineStr">
        <is>
          <t>process</t>
        </is>
      </c>
    </row>
    <row r="3960">
      <c r="A3960" t="inlineStr">
        <is>
          <t>unit</t>
        </is>
      </c>
      <c r="B3960" t="inlineStr">
        <is>
          <t>megajoule</t>
        </is>
      </c>
    </row>
    <row r="3961">
      <c r="A3961" t="inlineStr">
        <is>
          <t>energy use source</t>
        </is>
      </c>
      <c r="B3961"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3962">
      <c r="A3962" t="inlineStr">
        <is>
          <t>comment</t>
        </is>
      </c>
      <c r="B3962"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63">
      <c r="A3963" t="inlineStr">
        <is>
          <t>Exchanges</t>
        </is>
      </c>
    </row>
    <row r="3964">
      <c r="A3964" t="inlineStr">
        <is>
          <t>name</t>
        </is>
      </c>
      <c r="B3964" t="inlineStr">
        <is>
          <t>amount</t>
        </is>
      </c>
      <c r="C3964" t="inlineStr">
        <is>
          <t>location</t>
        </is>
      </c>
      <c r="D3964" t="inlineStr">
        <is>
          <t>unit</t>
        </is>
      </c>
      <c r="E3964" t="inlineStr">
        <is>
          <t>categories</t>
        </is>
      </c>
      <c r="F3964" t="inlineStr">
        <is>
          <t>type</t>
        </is>
      </c>
      <c r="G3964" t="inlineStr">
        <is>
          <t>reference product</t>
        </is>
      </c>
      <c r="H3964" t="inlineStr">
        <is>
          <t>comment</t>
        </is>
      </c>
      <c r="I3964" t="inlineStr">
        <is>
          <t>uncertainty type</t>
        </is>
      </c>
    </row>
    <row r="3965">
      <c r="A3965" t="inlineStr">
        <is>
          <t>biodiesel, from residual oily biomass, burned in passenger train</t>
        </is>
      </c>
      <c r="B3965">
        <v>1.0</v>
      </c>
      <c r="C3965" t="inlineStr">
        <is>
          <t>RER</t>
        </is>
      </c>
      <c r="D3965" t="inlineStr">
        <is>
          <t>megajoule</t>
        </is>
      </c>
      <c r="F3965" t="inlineStr">
        <is>
          <t>production</t>
        </is>
      </c>
      <c r="G3965" t="inlineStr">
        <is>
          <t>heat</t>
        </is>
      </c>
      <c r="I3965">
        <v>0</v>
      </c>
    </row>
    <row r="3966">
      <c r="A3966" t="inlineStr">
        <is>
          <t>biodiesel production, via transesterification, from used cooking oil, energy allocation</t>
        </is>
      </c>
      <c r="B3966">
        <v>0.02631578947368421</v>
      </c>
      <c r="C3966" t="inlineStr">
        <is>
          <t>RER</t>
        </is>
      </c>
      <c r="D3966" t="inlineStr">
        <is>
          <t>kilogram</t>
        </is>
      </c>
      <c r="F3966" t="inlineStr">
        <is>
          <t>technosphere</t>
        </is>
      </c>
      <c r="G3966" t="inlineStr">
        <is>
          <t>biodiesel, from cooking oil</t>
        </is>
      </c>
      <c r="I3966">
        <v>0</v>
      </c>
    </row>
    <row r="3967">
      <c r="A3967" t="inlineStr">
        <is>
          <t>fuel tank, for diesel vehicle, adapted to locomotives</t>
        </is>
      </c>
      <c r="B3967">
        <v>1.6548105207134522e-07</v>
      </c>
      <c r="C3967" t="inlineStr">
        <is>
          <t>RER</t>
        </is>
      </c>
      <c r="D3967" t="inlineStr">
        <is>
          <t>kilogram</t>
        </is>
      </c>
      <c r="F3967" t="inlineStr">
        <is>
          <t>technosphere</t>
        </is>
      </c>
      <c r="G3967" t="inlineStr">
        <is>
          <t>fuel tank</t>
        </is>
      </c>
      <c r="H3967"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67">
        <v>0</v>
      </c>
    </row>
    <row r="3968">
      <c r="A3968" t="inlineStr">
        <is>
          <t>internal combustion engine, for lorry, adapted to locomotives</t>
        </is>
      </c>
      <c r="B3968">
        <v>1.7413079443052818e-05</v>
      </c>
      <c r="C3968" t="inlineStr">
        <is>
          <t>RER</t>
        </is>
      </c>
      <c r="D3968" t="inlineStr">
        <is>
          <t>kilogram</t>
        </is>
      </c>
      <c r="F3968" t="inlineStr">
        <is>
          <t>technosphere</t>
        </is>
      </c>
      <c r="G3968" t="inlineStr">
        <is>
          <t>internal combustion engine, for lorry</t>
        </is>
      </c>
      <c r="H3968"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68">
        <v>0</v>
      </c>
    </row>
    <row r="3969">
      <c r="A3969" t="inlineStr">
        <is>
          <t>electronic component production, passive, unspecified</t>
        </is>
      </c>
      <c r="B3969">
        <v>8.00481860964219e-06</v>
      </c>
      <c r="C3969" t="inlineStr">
        <is>
          <t>GLO</t>
        </is>
      </c>
      <c r="D3969" t="inlineStr">
        <is>
          <t>kilogram</t>
        </is>
      </c>
      <c r="F3969" t="inlineStr">
        <is>
          <t>technosphere</t>
        </is>
      </c>
      <c r="G3969" t="inlineStr">
        <is>
          <t>electronic component, passive, unspecified</t>
        </is>
      </c>
      <c r="H3969"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969">
        <v>0</v>
      </c>
    </row>
    <row r="3970">
      <c r="A3970" t="inlineStr">
        <is>
          <t>electric motor, asynchronous traction, engineering reference</t>
        </is>
      </c>
      <c r="B3970">
        <v>2.3088728506723053e-06</v>
      </c>
      <c r="C3970" t="inlineStr">
        <is>
          <t>GLO</t>
        </is>
      </c>
      <c r="D3970" t="inlineStr">
        <is>
          <t>kilogram</t>
        </is>
      </c>
      <c r="F3970" t="inlineStr">
        <is>
          <t>technosphere</t>
        </is>
      </c>
      <c r="G3970" t="inlineStr">
        <is>
          <t>electric motor, asynchronous traction, engineering reference</t>
        </is>
      </c>
      <c r="H3970"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70">
        <v>0</v>
      </c>
    </row>
    <row r="3971">
      <c r="A3971" t="inlineStr">
        <is>
          <t>traction converter, medium-voltage rail engineering reference</t>
        </is>
      </c>
      <c r="B3971">
        <v>8.277091351466727e-06</v>
      </c>
      <c r="C3971" t="inlineStr">
        <is>
          <t>GLO</t>
        </is>
      </c>
      <c r="D3971" t="inlineStr">
        <is>
          <t>kilogram</t>
        </is>
      </c>
      <c r="F3971" t="inlineStr">
        <is>
          <t>technosphere</t>
        </is>
      </c>
      <c r="G3971" t="inlineStr">
        <is>
          <t>traction converter, medium-voltage rail engineering reference</t>
        </is>
      </c>
      <c r="H3971"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71">
        <v>0</v>
      </c>
    </row>
    <row r="3972">
      <c r="A3972" t="inlineStr">
        <is>
          <t>Ammonia</t>
        </is>
      </c>
      <c r="B3972">
        <v>4.164734622616489e-07</v>
      </c>
      <c r="D3972" t="inlineStr">
        <is>
          <t>kilogram</t>
        </is>
      </c>
      <c r="E3972" t="inlineStr">
        <is>
          <t>air</t>
        </is>
      </c>
      <c r="F3972" t="inlineStr">
        <is>
          <t>biosphere</t>
        </is>
      </c>
      <c r="H3972" t="inlineStr">
        <is>
          <t>2.0E-05 kg/kg fuel for diesel locomotives, according to Spielmann et al. (2007)
Spielmann, M., Bauer, C., Dones, R., Institut, P. S., &amp; Tuchschmid, M. (2007). Transport Services. Swiss Centre for Life Cycle Inventories, ecoinvent report No. 14.</t>
        </is>
      </c>
      <c r="I3972">
        <v>0</v>
      </c>
    </row>
    <row r="3973">
      <c r="A3973" t="inlineStr">
        <is>
          <t>Benzene</t>
        </is>
      </c>
      <c r="B3973">
        <v>2.0823673113082445e-06</v>
      </c>
      <c r="D3973" t="inlineStr">
        <is>
          <t>kilogram</t>
        </is>
      </c>
      <c r="E3973" t="inlineStr">
        <is>
          <t>air</t>
        </is>
      </c>
      <c r="F3973" t="inlineStr">
        <is>
          <t>biosphere</t>
        </is>
      </c>
      <c r="H3973" t="inlineStr">
        <is>
          <t>1.0E-04 kg/kg fuel for diesel locomotives, according to Spielmann et al. (2007)
Spielmann, M., Bauer, C., Dones, R., Institut, P. S., &amp; Tuchschmid, M. (2007). Transport Services. Swiss Centre for Life Cycle Inventories, ecoinvent report No. 14.</t>
        </is>
      </c>
      <c r="I3973">
        <v>0</v>
      </c>
    </row>
    <row r="3974">
      <c r="A3974" t="inlineStr">
        <is>
          <t>Cadmium II</t>
        </is>
      </c>
      <c r="B3974">
        <v>2.0823673113082443e-10</v>
      </c>
      <c r="D3974" t="inlineStr">
        <is>
          <t>kilogram</t>
        </is>
      </c>
      <c r="E3974" t="inlineStr">
        <is>
          <t>air</t>
        </is>
      </c>
      <c r="F3974" t="inlineStr">
        <is>
          <t>biosphere</t>
        </is>
      </c>
      <c r="H3974" t="inlineStr">
        <is>
          <t>1.0E-08 kg/kg fuel for diesel locomotives, according to Spielmann et al. (2007)
Spielmann, M., Bauer, C., Dones, R., Institut, P. S., &amp; Tuchschmid, M. (2007). Transport Services. Swiss Centre for Life Cycle Inventories, ecoinvent report No. 14.</t>
        </is>
      </c>
      <c r="I3974">
        <v>0</v>
      </c>
    </row>
    <row r="3975">
      <c r="A3975" t="inlineStr">
        <is>
          <t>Carbon monoxide, fossil</t>
        </is>
      </c>
      <c r="B3975">
        <v>0.00032901403518670265</v>
      </c>
      <c r="D3975" t="inlineStr">
        <is>
          <t>kilogram</t>
        </is>
      </c>
      <c r="E3975" t="inlineStr">
        <is>
          <t>air</t>
        </is>
      </c>
      <c r="F3975" t="inlineStr">
        <is>
          <t>biosphere</t>
        </is>
      </c>
      <c r="H3975" t="inlineStr">
        <is>
          <t>1.58E-02 kg/kg fuel for diesel locomotives, according to Spielmann et al. (2007)
Spielmann, M., Bauer, C., Dones, R., Institut, P. S., &amp; Tuchschmid, M. (2007). Transport Services. Swiss Centre for Life Cycle Inventories, ecoinvent report No. 14.</t>
        </is>
      </c>
      <c r="I3975">
        <v>0</v>
      </c>
    </row>
    <row r="3976">
      <c r="A3976" t="inlineStr">
        <is>
          <t>Chromium III</t>
        </is>
      </c>
      <c r="B3976">
        <v>1.0411836556541222e-09</v>
      </c>
      <c r="D3976" t="inlineStr">
        <is>
          <t>kilogram</t>
        </is>
      </c>
      <c r="E3976" t="inlineStr">
        <is>
          <t>air</t>
        </is>
      </c>
      <c r="F3976" t="inlineStr">
        <is>
          <t>biosphere</t>
        </is>
      </c>
      <c r="H3976" t="inlineStr">
        <is>
          <t>5.0E-08 kg/kg fuel for diesel locomotives, according to Spielmann et al. (2007)
Spielmann, M., Bauer, C., Dones, R., Institut, P. S., &amp; Tuchschmid, M. (2007). Transport Services. Swiss Centre for Life Cycle Inventories, ecoinvent report No. 14.</t>
        </is>
      </c>
      <c r="I3976">
        <v>0</v>
      </c>
    </row>
    <row r="3977">
      <c r="A3977" t="inlineStr">
        <is>
          <t>Copper ion</t>
        </is>
      </c>
      <c r="B3977">
        <v>3.5400244292240155e-08</v>
      </c>
      <c r="D3977" t="inlineStr">
        <is>
          <t>kilogram</t>
        </is>
      </c>
      <c r="E3977" t="inlineStr">
        <is>
          <t>air</t>
        </is>
      </c>
      <c r="F3977" t="inlineStr">
        <is>
          <t>biosphere</t>
        </is>
      </c>
      <c r="H3977" t="inlineStr">
        <is>
          <t>1.7E-06 kg/kg fuel for diesel locomotives, according to Spielmann et al. (2007)
Spielmann, M., Bauer, C., Dones, R., Institut, P. S., &amp; Tuchschmid, M. (2007). Transport Services. Swiss Centre for Life Cycle Inventories, ecoinvent report No. 14.</t>
        </is>
      </c>
      <c r="I3977">
        <v>0</v>
      </c>
    </row>
    <row r="3978">
      <c r="A3978" t="inlineStr">
        <is>
          <t>Dinitrogen monoxide</t>
        </is>
      </c>
      <c r="B3978">
        <v>2.0823673113082445e-06</v>
      </c>
      <c r="D3978" t="inlineStr">
        <is>
          <t>kilogram</t>
        </is>
      </c>
      <c r="E3978" t="inlineStr">
        <is>
          <t>air</t>
        </is>
      </c>
      <c r="F3978" t="inlineStr">
        <is>
          <t>biosphere</t>
        </is>
      </c>
      <c r="H3978" t="inlineStr">
        <is>
          <t>1.0E-04 kg/kg fuel for diesel locomotives, according to Spielmann et al. (2007)
Spielmann, M., Bauer, C., Dones, R., Institut, P. S., &amp; Tuchschmid, M. (2007). Transport Services. Swiss Centre for Life Cycle Inventories, ecoinvent report No. 14.</t>
        </is>
      </c>
      <c r="I3978">
        <v>0</v>
      </c>
    </row>
    <row r="3979">
      <c r="A3979" t="inlineStr">
        <is>
          <t>Iron ion</t>
        </is>
      </c>
      <c r="B3979">
        <v>3.165665258907264e-05</v>
      </c>
      <c r="D3979" t="inlineStr">
        <is>
          <t>kilogram</t>
        </is>
      </c>
      <c r="E3979" t="inlineStr">
        <is>
          <t>soil</t>
        </is>
      </c>
      <c r="F3979" t="inlineStr">
        <is>
          <t>biosphere</t>
        </is>
      </c>
      <c r="H3979"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79">
        <v>0</v>
      </c>
    </row>
    <row r="3980">
      <c r="A3980" t="inlineStr">
        <is>
          <t>Lead II</t>
        </is>
      </c>
      <c r="B3980">
        <v>2.2906040424390686e-12</v>
      </c>
      <c r="D3980" t="inlineStr">
        <is>
          <t>kilogram</t>
        </is>
      </c>
      <c r="E3980" t="inlineStr">
        <is>
          <t>air</t>
        </is>
      </c>
      <c r="F3980" t="inlineStr">
        <is>
          <t>biosphere</t>
        </is>
      </c>
      <c r="H3980" t="inlineStr">
        <is>
          <t>1.1E-10 kg/kg fuel for diesel locomotives, according to Spielmann et al. (2007)
Spielmann, M., Bauer, C., Dones, R., Institut, P. S., &amp; Tuchschmid, M. (2007). Transport Services. Swiss Centre for Life Cycle Inventories, ecoinvent report No. 14.</t>
        </is>
      </c>
      <c r="I3980">
        <v>0</v>
      </c>
    </row>
    <row r="3981">
      <c r="A3981" t="inlineStr">
        <is>
          <t>Mercury II</t>
        </is>
      </c>
      <c r="B3981">
        <v>4.1647346226164887e-13</v>
      </c>
      <c r="D3981" t="inlineStr">
        <is>
          <t>kilogram</t>
        </is>
      </c>
      <c r="E3981" t="inlineStr">
        <is>
          <t>air</t>
        </is>
      </c>
      <c r="F3981" t="inlineStr">
        <is>
          <t>biosphere</t>
        </is>
      </c>
      <c r="H3981" t="inlineStr">
        <is>
          <t>2.0E-11 kg/kg fuel for diesel locomotives, according to Spielmann et al. (2007)
Spielmann, M., Bauer, C., Dones, R., Institut, P. S., &amp; Tuchschmid, M. (2007). Transport Services. Swiss Centre for Life Cycle Inventories, ecoinvent report No. 14.</t>
        </is>
      </c>
      <c r="I3981">
        <v>0</v>
      </c>
    </row>
    <row r="3982">
      <c r="A3982" t="inlineStr">
        <is>
          <t>Methane, fossil</t>
        </is>
      </c>
      <c r="B3982">
        <v>2.7070775047007178e-06</v>
      </c>
      <c r="D3982" t="inlineStr">
        <is>
          <t>kilogram</t>
        </is>
      </c>
      <c r="E3982" t="inlineStr">
        <is>
          <t>air</t>
        </is>
      </c>
      <c r="F3982" t="inlineStr">
        <is>
          <t>biosphere</t>
        </is>
      </c>
      <c r="H3982" t="inlineStr">
        <is>
          <t>1.3E-04 kg/kg fuel for diesel locomotives, according to Spielmann et al. (2007)
Spielmann, M., Bauer, C., Dones, R., Institut, P. S., &amp; Tuchschmid, M. (2007). Transport Services. Swiss Centre for Life Cycle Inventories, ecoinvent report No. 14.</t>
        </is>
      </c>
      <c r="I3982">
        <v>0</v>
      </c>
    </row>
    <row r="3983">
      <c r="A3983" t="inlineStr">
        <is>
          <t>NMVOC, non-methane volatile organic compounds</t>
        </is>
      </c>
      <c r="B3983">
        <v>0.00010932428384368284</v>
      </c>
      <c r="D3983" t="inlineStr">
        <is>
          <t>kilogram</t>
        </is>
      </c>
      <c r="E3983" t="inlineStr">
        <is>
          <t>air</t>
        </is>
      </c>
      <c r="F3983" t="inlineStr">
        <is>
          <t>biosphere</t>
        </is>
      </c>
      <c r="H3983" t="inlineStr">
        <is>
          <t>5.25E-03 kg/kg fuel for diesel locomotives, according to Spielmann et al. (2007)
Spielmann, M., Bauer, C., Dones, R., Institut, P. S., &amp; Tuchschmid, M. (2007). Transport Services. Swiss Centre for Life Cycle Inventories, ecoinvent report No. 14.</t>
        </is>
      </c>
      <c r="I3983">
        <v>0</v>
      </c>
    </row>
    <row r="3984">
      <c r="A3984" t="inlineStr">
        <is>
          <t>Nickel II</t>
        </is>
      </c>
      <c r="B3984">
        <v>1.4576571179157713e-09</v>
      </c>
      <c r="D3984" t="inlineStr">
        <is>
          <t>kilogram</t>
        </is>
      </c>
      <c r="E3984" t="inlineStr">
        <is>
          <t>air</t>
        </is>
      </c>
      <c r="F3984" t="inlineStr">
        <is>
          <t>biosphere</t>
        </is>
      </c>
      <c r="H3984" t="inlineStr">
        <is>
          <t>7.0E-08 kg/kg fuel for diesel locomotives, according to Spielmann et al. (2007)
Spielmann, M., Bauer, C., Dones, R., Institut, P. S., &amp; Tuchschmid, M. (2007). Transport Services. Swiss Centre for Life Cycle Inventories, ecoinvent report No. 14.</t>
        </is>
      </c>
      <c r="I3984">
        <v>0</v>
      </c>
    </row>
    <row r="3985">
      <c r="A3985" t="inlineStr">
        <is>
          <t>Nitrogen oxides</t>
        </is>
      </c>
      <c r="B3985">
        <v>0.0011453020212195343</v>
      </c>
      <c r="D3985" t="inlineStr">
        <is>
          <t>kilogram</t>
        </is>
      </c>
      <c r="E3985" t="inlineStr">
        <is>
          <t>air::unspecified</t>
        </is>
      </c>
      <c r="F3985" t="inlineStr">
        <is>
          <t>biosphere</t>
        </is>
      </c>
      <c r="H3985" t="inlineStr">
        <is>
          <t>5.5E-02 kg/kg fuel for diesel locomotives, according to Spielmann et al. (2007)
Spielmann, M., Bauer, C., Dones, R., Institut, P. S., &amp; Tuchschmid, M. (2007). Transport Services. Swiss Centre for Life Cycle Inventories, ecoinvent report No. 14.</t>
        </is>
      </c>
      <c r="I3985">
        <v>0</v>
      </c>
    </row>
    <row r="3986">
      <c r="A3986" t="inlineStr">
        <is>
          <t>Particulate Matter, &lt; 2.5 um</t>
        </is>
      </c>
      <c r="B3986">
        <v>2.5613117929091406e-05</v>
      </c>
      <c r="D3986" t="inlineStr">
        <is>
          <t>kilogram</t>
        </is>
      </c>
      <c r="E3986" t="inlineStr">
        <is>
          <t>air</t>
        </is>
      </c>
      <c r="F3986" t="inlineStr">
        <is>
          <t>biosphere</t>
        </is>
      </c>
      <c r="H3986" t="inlineStr">
        <is>
          <t>1.28E-03 kg/kg fuel for diesel locomotives, according to Spielmann et al. (2007)
Spielmann, M., Bauer, C., Dones, R., Institut, P. S., &amp; Tuchschmid, M. (2007). Transport Services. Swiss Centre for Life Cycle Inventories, ecoinvent report No. 14.</t>
        </is>
      </c>
      <c r="I3986">
        <v>0</v>
      </c>
    </row>
    <row r="3987">
      <c r="A3987" t="inlineStr">
        <is>
          <t>Particulate Matter, &gt; 10 um</t>
        </is>
      </c>
      <c r="B3987">
        <v>4.633053826895546e-05</v>
      </c>
      <c r="D3987" t="inlineStr">
        <is>
          <t>kilogram</t>
        </is>
      </c>
      <c r="E3987" t="inlineStr">
        <is>
          <t>air</t>
        </is>
      </c>
      <c r="F3987" t="inlineStr">
        <is>
          <t>biosphere</t>
        </is>
      </c>
      <c r="H3987"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87">
        <v>0</v>
      </c>
    </row>
    <row r="3988">
      <c r="A3988" t="inlineStr">
        <is>
          <t>Particulate Matter, &gt; 2.5 um and &lt; 10um</t>
        </is>
      </c>
      <c r="B3988">
        <v>4.3841313442606596e-05</v>
      </c>
      <c r="D3988" t="inlineStr">
        <is>
          <t>kilogram</t>
        </is>
      </c>
      <c r="E3988" t="inlineStr">
        <is>
          <t>air</t>
        </is>
      </c>
      <c r="F3988" t="inlineStr">
        <is>
          <t>biosphere</t>
        </is>
      </c>
      <c r="H3988"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88">
        <v>0</v>
      </c>
    </row>
    <row r="3989">
      <c r="A3989" t="inlineStr">
        <is>
          <t>Selenium IV</t>
        </is>
      </c>
      <c r="B3989">
        <v>2.0823673113082443e-10</v>
      </c>
      <c r="D3989" t="inlineStr">
        <is>
          <t>kilogram</t>
        </is>
      </c>
      <c r="E3989" t="inlineStr">
        <is>
          <t>air</t>
        </is>
      </c>
      <c r="F3989" t="inlineStr">
        <is>
          <t>biosphere</t>
        </is>
      </c>
      <c r="H3989" t="inlineStr">
        <is>
          <t>1.0E-08 kg/kg fuel for diesel locomotives, according to Spielmann et al. (2007)
Spielmann, M., Bauer, C., Dones, R., Institut, P. S., &amp; Tuchschmid, M. (2007). Transport Services. Swiss Centre for Life Cycle Inventories, ecoinvent report No. 14.</t>
        </is>
      </c>
      <c r="I3989">
        <v>0</v>
      </c>
    </row>
    <row r="3990">
      <c r="A3990" t="inlineStr">
        <is>
          <t>Sulfur dioxide</t>
        </is>
      </c>
      <c r="B3990">
        <v>1.2494203867849466e-05</v>
      </c>
      <c r="D3990" t="inlineStr">
        <is>
          <t>kilogram</t>
        </is>
      </c>
      <c r="E3990" t="inlineStr">
        <is>
          <t>air</t>
        </is>
      </c>
      <c r="F3990" t="inlineStr">
        <is>
          <t>biosphere</t>
        </is>
      </c>
      <c r="H3990" t="inlineStr">
        <is>
          <t>6.0E-04 kg/kg fuel for diesel locomotives, according to Spielmann et al. (2007)
Spielmann, M., Bauer, C., Dones, R., Institut, P. S., &amp; Tuchschmid, M. (2007). Transport Services. Swiss Centre for Life Cycle Inventories, ecoinvent report No. 14.</t>
        </is>
      </c>
      <c r="I3990">
        <v>0</v>
      </c>
    </row>
    <row r="3991">
      <c r="A3991" t="inlineStr">
        <is>
          <t>Toluene</t>
        </is>
      </c>
      <c r="B3991">
        <v>8.329469245232978e-07</v>
      </c>
      <c r="D3991" t="inlineStr">
        <is>
          <t>kilogram</t>
        </is>
      </c>
      <c r="E3991" t="inlineStr">
        <is>
          <t>air</t>
        </is>
      </c>
      <c r="F3991" t="inlineStr">
        <is>
          <t>biosphere</t>
        </is>
      </c>
      <c r="H3991" t="inlineStr">
        <is>
          <t>4.0E-05 kg/kg fuel for diesel locomotives, according to Spielmann et al. (2007)
Spielmann, M., Bauer, C., Dones, R., Institut, P. S., &amp; Tuchschmid, M. (2007). Transport Services. Swiss Centre for Life Cycle Inventories, ecoinvent report No. 14.</t>
        </is>
      </c>
      <c r="I3991">
        <v>0</v>
      </c>
    </row>
    <row r="3992">
      <c r="A3992" t="inlineStr">
        <is>
          <t>Xylenes, unspecified</t>
        </is>
      </c>
      <c r="B3992">
        <v>8.329469245232978e-07</v>
      </c>
      <c r="D3992" t="inlineStr">
        <is>
          <t>kilogram</t>
        </is>
      </c>
      <c r="E3992" t="inlineStr">
        <is>
          <t>air::unspecified</t>
        </is>
      </c>
      <c r="F3992" t="inlineStr">
        <is>
          <t>biosphere</t>
        </is>
      </c>
      <c r="H3992" t="inlineStr">
        <is>
          <t>4.0E-05 kg/kg fuel for diesel locomotives, according to Spielmann et al. (2007)
Spielmann, M., Bauer, C., Dones, R., Institut, P. S., &amp; Tuchschmid, M. (2007). Transport Services. Swiss Centre for Life Cycle Inventories, ecoinvent report No. 14.</t>
        </is>
      </c>
      <c r="I3992">
        <v>0</v>
      </c>
    </row>
    <row r="3993">
      <c r="A3993" t="inlineStr">
        <is>
          <t>Zinc II</t>
        </is>
      </c>
      <c r="B3993">
        <v>2.0823673113082442e-08</v>
      </c>
      <c r="D3993" t="inlineStr">
        <is>
          <t>kilogram</t>
        </is>
      </c>
      <c r="E3993" t="inlineStr">
        <is>
          <t>air</t>
        </is>
      </c>
      <c r="F3993" t="inlineStr">
        <is>
          <t>biosphere</t>
        </is>
      </c>
      <c r="H3993" t="inlineStr">
        <is>
          <t>1.0E-06 kg/kg fuel for diesel locomotives, according to Spielmann et al. (2007)
Spielmann, M., Bauer, C., Dones, R., Institut, P. S., &amp; Tuchschmid, M. (2007). Transport Services. Swiss Centre for Life Cycle Inventories, ecoinvent report No. 14.</t>
        </is>
      </c>
      <c r="I3993">
        <v>0</v>
      </c>
    </row>
    <row r="3994">
      <c r="A3994" t="inlineStr">
        <is>
          <t>Carbon dioxide, non-fossil</t>
        </is>
      </c>
      <c r="B3994">
        <v>0.0734</v>
      </c>
      <c r="D3994" t="inlineStr">
        <is>
          <t>kilogram</t>
        </is>
      </c>
      <c r="E3994" t="inlineStr">
        <is>
          <t>air</t>
        </is>
      </c>
      <c r="F3994" t="inlineStr">
        <is>
          <t>biosphere</t>
        </is>
      </c>
      <c r="I3994">
        <v>0</v>
      </c>
    </row>
    <row r="3995"/>
    <row r="3996">
      <c r="A3996" t="inlineStr">
        <is>
          <t>Activity</t>
        </is>
      </c>
      <c r="B3996" t="inlineStr">
        <is>
          <t>biodiesel, from non-residual oily biomass, burned in passenger train</t>
        </is>
      </c>
    </row>
    <row r="3997">
      <c r="A3997" t="inlineStr">
        <is>
          <t>location</t>
        </is>
      </c>
      <c r="B3997" t="inlineStr">
        <is>
          <t>RER</t>
        </is>
      </c>
    </row>
    <row r="3998">
      <c r="A3998" t="inlineStr">
        <is>
          <t>production amount</t>
        </is>
      </c>
      <c r="B3998">
        <v>1</v>
      </c>
    </row>
    <row r="3999">
      <c r="A3999" t="inlineStr">
        <is>
          <t>reference product</t>
        </is>
      </c>
      <c r="B3999" t="inlineStr">
        <is>
          <t>heat</t>
        </is>
      </c>
    </row>
    <row r="4000">
      <c r="A4000" t="inlineStr">
        <is>
          <t>type</t>
        </is>
      </c>
      <c r="B4000" t="inlineStr">
        <is>
          <t>process</t>
        </is>
      </c>
    </row>
    <row r="4001">
      <c r="A4001" t="inlineStr">
        <is>
          <t>unit</t>
        </is>
      </c>
      <c r="B4001" t="inlineStr">
        <is>
          <t>megajoule</t>
        </is>
      </c>
    </row>
    <row r="4002">
      <c r="A4002" t="inlineStr">
        <is>
          <t>energy use source</t>
        </is>
      </c>
      <c r="B4002"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4003">
      <c r="A4003" t="inlineStr">
        <is>
          <t>comment</t>
        </is>
      </c>
      <c r="B4003"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04">
      <c r="A4004" t="inlineStr">
        <is>
          <t>Exchanges</t>
        </is>
      </c>
    </row>
    <row r="4005">
      <c r="A4005" t="inlineStr">
        <is>
          <t>name</t>
        </is>
      </c>
      <c r="B4005" t="inlineStr">
        <is>
          <t>amount</t>
        </is>
      </c>
      <c r="C4005" t="inlineStr">
        <is>
          <t>location</t>
        </is>
      </c>
      <c r="D4005" t="inlineStr">
        <is>
          <t>unit</t>
        </is>
      </c>
      <c r="E4005" t="inlineStr">
        <is>
          <t>categories</t>
        </is>
      </c>
      <c r="F4005" t="inlineStr">
        <is>
          <t>type</t>
        </is>
      </c>
      <c r="G4005" t="inlineStr">
        <is>
          <t>reference product</t>
        </is>
      </c>
      <c r="H4005" t="inlineStr">
        <is>
          <t>comment</t>
        </is>
      </c>
      <c r="I4005" t="inlineStr">
        <is>
          <t>uncertainty type</t>
        </is>
      </c>
    </row>
    <row r="4006">
      <c r="A4006" t="inlineStr">
        <is>
          <t>biodiesel, from non-residual oily biomass, burned in passenger train</t>
        </is>
      </c>
      <c r="B4006">
        <v>1.0</v>
      </c>
      <c r="C4006" t="inlineStr">
        <is>
          <t>RER</t>
        </is>
      </c>
      <c r="D4006" t="inlineStr">
        <is>
          <t>megajoule</t>
        </is>
      </c>
      <c r="F4006" t="inlineStr">
        <is>
          <t>production</t>
        </is>
      </c>
      <c r="G4006" t="inlineStr">
        <is>
          <t>heat</t>
        </is>
      </c>
      <c r="I4006">
        <v>0</v>
      </c>
    </row>
    <row r="4007">
      <c r="A4007" t="inlineStr">
        <is>
          <t>biodiesel production, via transesterification, from rapeseed oil, energy allocation</t>
        </is>
      </c>
      <c r="B4007">
        <v>0.02631578947368421</v>
      </c>
      <c r="C4007" t="inlineStr">
        <is>
          <t>RER</t>
        </is>
      </c>
      <c r="D4007" t="inlineStr">
        <is>
          <t>kilogram</t>
        </is>
      </c>
      <c r="F4007" t="inlineStr">
        <is>
          <t>technosphere</t>
        </is>
      </c>
      <c r="G4007" t="inlineStr">
        <is>
          <t>biodiesel, from rapeseed oil</t>
        </is>
      </c>
      <c r="I4007">
        <v>0</v>
      </c>
    </row>
    <row r="4008">
      <c r="A4008" t="inlineStr">
        <is>
          <t>fuel tank, for diesel vehicle, adapted to locomotives</t>
        </is>
      </c>
      <c r="B4008">
        <v>1.6548105207134522e-07</v>
      </c>
      <c r="C4008" t="inlineStr">
        <is>
          <t>RER</t>
        </is>
      </c>
      <c r="D4008" t="inlineStr">
        <is>
          <t>kilogram</t>
        </is>
      </c>
      <c r="F4008" t="inlineStr">
        <is>
          <t>technosphere</t>
        </is>
      </c>
      <c r="G4008" t="inlineStr">
        <is>
          <t>fuel tank</t>
        </is>
      </c>
      <c r="H4008"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08">
        <v>0</v>
      </c>
    </row>
    <row r="4009">
      <c r="A4009" t="inlineStr">
        <is>
          <t>internal combustion engine, for lorry, adapted to locomotives</t>
        </is>
      </c>
      <c r="B4009">
        <v>1.7413079443052818e-05</v>
      </c>
      <c r="C4009" t="inlineStr">
        <is>
          <t>RER</t>
        </is>
      </c>
      <c r="D4009" t="inlineStr">
        <is>
          <t>kilogram</t>
        </is>
      </c>
      <c r="F4009" t="inlineStr">
        <is>
          <t>technosphere</t>
        </is>
      </c>
      <c r="G4009" t="inlineStr">
        <is>
          <t>internal combustion engine, for lorry</t>
        </is>
      </c>
      <c r="H4009"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09">
        <v>0</v>
      </c>
    </row>
    <row r="4010">
      <c r="A4010" t="inlineStr">
        <is>
          <t>electronic component production, passive, unspecified</t>
        </is>
      </c>
      <c r="B4010">
        <v>8.00481860964219e-06</v>
      </c>
      <c r="C4010" t="inlineStr">
        <is>
          <t>GLO</t>
        </is>
      </c>
      <c r="D4010" t="inlineStr">
        <is>
          <t>kilogram</t>
        </is>
      </c>
      <c r="F4010" t="inlineStr">
        <is>
          <t>technosphere</t>
        </is>
      </c>
      <c r="G4010" t="inlineStr">
        <is>
          <t>electronic component, passive, unspecified</t>
        </is>
      </c>
      <c r="H4010"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10">
        <v>0</v>
      </c>
    </row>
    <row r="4011">
      <c r="A4011" t="inlineStr">
        <is>
          <t>electric motor, asynchronous traction, engineering reference</t>
        </is>
      </c>
      <c r="B4011">
        <v>2.3088728506723053e-06</v>
      </c>
      <c r="C4011" t="inlineStr">
        <is>
          <t>GLO</t>
        </is>
      </c>
      <c r="D4011" t="inlineStr">
        <is>
          <t>kilogram</t>
        </is>
      </c>
      <c r="F4011" t="inlineStr">
        <is>
          <t>technosphere</t>
        </is>
      </c>
      <c r="G4011" t="inlineStr">
        <is>
          <t>electric motor, asynchronous traction, engineering reference</t>
        </is>
      </c>
      <c r="H4011"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11">
        <v>0</v>
      </c>
    </row>
    <row r="4012">
      <c r="A4012" t="inlineStr">
        <is>
          <t>traction converter, medium-voltage rail engineering reference</t>
        </is>
      </c>
      <c r="B4012">
        <v>8.277091351466727e-06</v>
      </c>
      <c r="C4012" t="inlineStr">
        <is>
          <t>GLO</t>
        </is>
      </c>
      <c r="D4012" t="inlineStr">
        <is>
          <t>kilogram</t>
        </is>
      </c>
      <c r="F4012" t="inlineStr">
        <is>
          <t>technosphere</t>
        </is>
      </c>
      <c r="G4012" t="inlineStr">
        <is>
          <t>traction converter, medium-voltage rail engineering reference</t>
        </is>
      </c>
      <c r="H4012"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12">
        <v>0</v>
      </c>
    </row>
    <row r="4013">
      <c r="A4013" t="inlineStr">
        <is>
          <t>Ammonia</t>
        </is>
      </c>
      <c r="B4013">
        <v>4.164734622616489e-07</v>
      </c>
      <c r="D4013" t="inlineStr">
        <is>
          <t>kilogram</t>
        </is>
      </c>
      <c r="E4013" t="inlineStr">
        <is>
          <t>air</t>
        </is>
      </c>
      <c r="F4013" t="inlineStr">
        <is>
          <t>biosphere</t>
        </is>
      </c>
      <c r="H4013" t="inlineStr">
        <is>
          <t>2.0E-05 kg/kg fuel for diesel locomotives, according to Spielmann et al. (2007)
Spielmann, M., Bauer, C., Dones, R., Institut, P. S., &amp; Tuchschmid, M. (2007). Transport Services. Swiss Centre for Life Cycle Inventories, ecoinvent report No. 14.</t>
        </is>
      </c>
      <c r="I4013">
        <v>0</v>
      </c>
    </row>
    <row r="4014">
      <c r="A4014" t="inlineStr">
        <is>
          <t>Benzene</t>
        </is>
      </c>
      <c r="B4014">
        <v>2.0823673113082445e-06</v>
      </c>
      <c r="D4014" t="inlineStr">
        <is>
          <t>kilogram</t>
        </is>
      </c>
      <c r="E4014" t="inlineStr">
        <is>
          <t>air</t>
        </is>
      </c>
      <c r="F4014" t="inlineStr">
        <is>
          <t>biosphere</t>
        </is>
      </c>
      <c r="H4014" t="inlineStr">
        <is>
          <t>1.0E-04 kg/kg fuel for diesel locomotives, according to Spielmann et al. (2007)
Spielmann, M., Bauer, C., Dones, R., Institut, P. S., &amp; Tuchschmid, M. (2007). Transport Services. Swiss Centre for Life Cycle Inventories, ecoinvent report No. 14.</t>
        </is>
      </c>
      <c r="I4014">
        <v>0</v>
      </c>
    </row>
    <row r="4015">
      <c r="A4015" t="inlineStr">
        <is>
          <t>Cadmium II</t>
        </is>
      </c>
      <c r="B4015">
        <v>2.0823673113082443e-10</v>
      </c>
      <c r="D4015" t="inlineStr">
        <is>
          <t>kilogram</t>
        </is>
      </c>
      <c r="E4015" t="inlineStr">
        <is>
          <t>air</t>
        </is>
      </c>
      <c r="F4015" t="inlineStr">
        <is>
          <t>biosphere</t>
        </is>
      </c>
      <c r="H4015" t="inlineStr">
        <is>
          <t>1.0E-08 kg/kg fuel for diesel locomotives, according to Spielmann et al. (2007)
Spielmann, M., Bauer, C., Dones, R., Institut, P. S., &amp; Tuchschmid, M. (2007). Transport Services. Swiss Centre for Life Cycle Inventories, ecoinvent report No. 14.</t>
        </is>
      </c>
      <c r="I4015">
        <v>0</v>
      </c>
    </row>
    <row r="4016">
      <c r="A4016" t="inlineStr">
        <is>
          <t>Carbon monoxide, fossil</t>
        </is>
      </c>
      <c r="B4016">
        <v>0.00032901403518670265</v>
      </c>
      <c r="D4016" t="inlineStr">
        <is>
          <t>kilogram</t>
        </is>
      </c>
      <c r="E4016" t="inlineStr">
        <is>
          <t>air</t>
        </is>
      </c>
      <c r="F4016" t="inlineStr">
        <is>
          <t>biosphere</t>
        </is>
      </c>
      <c r="H4016" t="inlineStr">
        <is>
          <t>1.58E-02 kg/kg fuel for diesel locomotives, according to Spielmann et al. (2007)
Spielmann, M., Bauer, C., Dones, R., Institut, P. S., &amp; Tuchschmid, M. (2007). Transport Services. Swiss Centre for Life Cycle Inventories, ecoinvent report No. 14.</t>
        </is>
      </c>
      <c r="I4016">
        <v>0</v>
      </c>
    </row>
    <row r="4017">
      <c r="A4017" t="inlineStr">
        <is>
          <t>Chromium III</t>
        </is>
      </c>
      <c r="B4017">
        <v>1.0411836556541222e-09</v>
      </c>
      <c r="D4017" t="inlineStr">
        <is>
          <t>kilogram</t>
        </is>
      </c>
      <c r="E4017" t="inlineStr">
        <is>
          <t>air</t>
        </is>
      </c>
      <c r="F4017" t="inlineStr">
        <is>
          <t>biosphere</t>
        </is>
      </c>
      <c r="H4017" t="inlineStr">
        <is>
          <t>5.0E-08 kg/kg fuel for diesel locomotives, according to Spielmann et al. (2007)
Spielmann, M., Bauer, C., Dones, R., Institut, P. S., &amp; Tuchschmid, M. (2007). Transport Services. Swiss Centre for Life Cycle Inventories, ecoinvent report No. 14.</t>
        </is>
      </c>
      <c r="I4017">
        <v>0</v>
      </c>
    </row>
    <row r="4018">
      <c r="A4018" t="inlineStr">
        <is>
          <t>Copper ion</t>
        </is>
      </c>
      <c r="B4018">
        <v>3.5400244292240155e-08</v>
      </c>
      <c r="D4018" t="inlineStr">
        <is>
          <t>kilogram</t>
        </is>
      </c>
      <c r="E4018" t="inlineStr">
        <is>
          <t>air</t>
        </is>
      </c>
      <c r="F4018" t="inlineStr">
        <is>
          <t>biosphere</t>
        </is>
      </c>
      <c r="H4018" t="inlineStr">
        <is>
          <t>1.7E-06 kg/kg fuel for diesel locomotives, according to Spielmann et al. (2007)
Spielmann, M., Bauer, C., Dones, R., Institut, P. S., &amp; Tuchschmid, M. (2007). Transport Services. Swiss Centre for Life Cycle Inventories, ecoinvent report No. 14.</t>
        </is>
      </c>
      <c r="I4018">
        <v>0</v>
      </c>
    </row>
    <row r="4019">
      <c r="A4019" t="inlineStr">
        <is>
          <t>Dinitrogen monoxide</t>
        </is>
      </c>
      <c r="B4019">
        <v>2.0823673113082445e-06</v>
      </c>
      <c r="D4019" t="inlineStr">
        <is>
          <t>kilogram</t>
        </is>
      </c>
      <c r="E4019" t="inlineStr">
        <is>
          <t>air</t>
        </is>
      </c>
      <c r="F4019" t="inlineStr">
        <is>
          <t>biosphere</t>
        </is>
      </c>
      <c r="H4019" t="inlineStr">
        <is>
          <t>1.0E-04 kg/kg fuel for diesel locomotives, according to Spielmann et al. (2007)
Spielmann, M., Bauer, C., Dones, R., Institut, P. S., &amp; Tuchschmid, M. (2007). Transport Services. Swiss Centre for Life Cycle Inventories, ecoinvent report No. 14.</t>
        </is>
      </c>
      <c r="I4019">
        <v>0</v>
      </c>
    </row>
    <row r="4020">
      <c r="A4020" t="inlineStr">
        <is>
          <t>Iron ion</t>
        </is>
      </c>
      <c r="B4020">
        <v>3.165665258907264e-05</v>
      </c>
      <c r="D4020" t="inlineStr">
        <is>
          <t>kilogram</t>
        </is>
      </c>
      <c r="E4020" t="inlineStr">
        <is>
          <t>soil</t>
        </is>
      </c>
      <c r="F4020" t="inlineStr">
        <is>
          <t>biosphere</t>
        </is>
      </c>
      <c r="H4020"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20">
        <v>0</v>
      </c>
    </row>
    <row r="4021">
      <c r="A4021" t="inlineStr">
        <is>
          <t>Lead II</t>
        </is>
      </c>
      <c r="B4021">
        <v>2.2906040424390686e-12</v>
      </c>
      <c r="D4021" t="inlineStr">
        <is>
          <t>kilogram</t>
        </is>
      </c>
      <c r="E4021" t="inlineStr">
        <is>
          <t>air</t>
        </is>
      </c>
      <c r="F4021" t="inlineStr">
        <is>
          <t>biosphere</t>
        </is>
      </c>
      <c r="H4021" t="inlineStr">
        <is>
          <t>1.1E-10 kg/kg fuel for diesel locomotives, according to Spielmann et al. (2007)
Spielmann, M., Bauer, C., Dones, R., Institut, P. S., &amp; Tuchschmid, M. (2007). Transport Services. Swiss Centre for Life Cycle Inventories, ecoinvent report No. 14.</t>
        </is>
      </c>
      <c r="I4021">
        <v>0</v>
      </c>
    </row>
    <row r="4022">
      <c r="A4022" t="inlineStr">
        <is>
          <t>Mercury II</t>
        </is>
      </c>
      <c r="B4022">
        <v>4.1647346226164887e-13</v>
      </c>
      <c r="D4022" t="inlineStr">
        <is>
          <t>kilogram</t>
        </is>
      </c>
      <c r="E4022" t="inlineStr">
        <is>
          <t>air</t>
        </is>
      </c>
      <c r="F4022" t="inlineStr">
        <is>
          <t>biosphere</t>
        </is>
      </c>
      <c r="H4022" t="inlineStr">
        <is>
          <t>2.0E-11 kg/kg fuel for diesel locomotives, according to Spielmann et al. (2007)
Spielmann, M., Bauer, C., Dones, R., Institut, P. S., &amp; Tuchschmid, M. (2007). Transport Services. Swiss Centre for Life Cycle Inventories, ecoinvent report No. 14.</t>
        </is>
      </c>
      <c r="I4022">
        <v>0</v>
      </c>
    </row>
    <row r="4023">
      <c r="A4023" t="inlineStr">
        <is>
          <t>Methane, fossil</t>
        </is>
      </c>
      <c r="B4023">
        <v>2.7070775047007178e-06</v>
      </c>
      <c r="D4023" t="inlineStr">
        <is>
          <t>kilogram</t>
        </is>
      </c>
      <c r="E4023" t="inlineStr">
        <is>
          <t>air</t>
        </is>
      </c>
      <c r="F4023" t="inlineStr">
        <is>
          <t>biosphere</t>
        </is>
      </c>
      <c r="H4023" t="inlineStr">
        <is>
          <t>1.3E-04 kg/kg fuel for diesel locomotives, according to Spielmann et al. (2007)
Spielmann, M., Bauer, C., Dones, R., Institut, P. S., &amp; Tuchschmid, M. (2007). Transport Services. Swiss Centre for Life Cycle Inventories, ecoinvent report No. 14.</t>
        </is>
      </c>
      <c r="I4023">
        <v>0</v>
      </c>
    </row>
    <row r="4024">
      <c r="A4024" t="inlineStr">
        <is>
          <t>NMVOC, non-methane volatile organic compounds</t>
        </is>
      </c>
      <c r="B4024">
        <v>0.00010932428384368284</v>
      </c>
      <c r="D4024" t="inlineStr">
        <is>
          <t>kilogram</t>
        </is>
      </c>
      <c r="E4024" t="inlineStr">
        <is>
          <t>air</t>
        </is>
      </c>
      <c r="F4024" t="inlineStr">
        <is>
          <t>biosphere</t>
        </is>
      </c>
      <c r="H4024" t="inlineStr">
        <is>
          <t>5.25E-03 kg/kg fuel for diesel locomotives, according to Spielmann et al. (2007)
Spielmann, M., Bauer, C., Dones, R., Institut, P. S., &amp; Tuchschmid, M. (2007). Transport Services. Swiss Centre for Life Cycle Inventories, ecoinvent report No. 14.</t>
        </is>
      </c>
      <c r="I4024">
        <v>0</v>
      </c>
    </row>
    <row r="4025">
      <c r="A4025" t="inlineStr">
        <is>
          <t>Nickel II</t>
        </is>
      </c>
      <c r="B4025">
        <v>1.4576571179157713e-09</v>
      </c>
      <c r="D4025" t="inlineStr">
        <is>
          <t>kilogram</t>
        </is>
      </c>
      <c r="E4025" t="inlineStr">
        <is>
          <t>air</t>
        </is>
      </c>
      <c r="F4025" t="inlineStr">
        <is>
          <t>biosphere</t>
        </is>
      </c>
      <c r="H4025" t="inlineStr">
        <is>
          <t>7.0E-08 kg/kg fuel for diesel locomotives, according to Spielmann et al. (2007)
Spielmann, M., Bauer, C., Dones, R., Institut, P. S., &amp; Tuchschmid, M. (2007). Transport Services. Swiss Centre for Life Cycle Inventories, ecoinvent report No. 14.</t>
        </is>
      </c>
      <c r="I4025">
        <v>0</v>
      </c>
    </row>
    <row r="4026">
      <c r="A4026" t="inlineStr">
        <is>
          <t>Nitrogen oxides</t>
        </is>
      </c>
      <c r="B4026">
        <v>0.0011453020212195343</v>
      </c>
      <c r="D4026" t="inlineStr">
        <is>
          <t>kilogram</t>
        </is>
      </c>
      <c r="E4026" t="inlineStr">
        <is>
          <t>air::unspecified</t>
        </is>
      </c>
      <c r="F4026" t="inlineStr">
        <is>
          <t>biosphere</t>
        </is>
      </c>
      <c r="H4026" t="inlineStr">
        <is>
          <t>5.5E-02 kg/kg fuel for diesel locomotives, according to Spielmann et al. (2007)
Spielmann, M., Bauer, C., Dones, R., Institut, P. S., &amp; Tuchschmid, M. (2007). Transport Services. Swiss Centre for Life Cycle Inventories, ecoinvent report No. 14.</t>
        </is>
      </c>
      <c r="I4026">
        <v>0</v>
      </c>
    </row>
    <row r="4027">
      <c r="A4027" t="inlineStr">
        <is>
          <t>Particulate Matter, &lt; 2.5 um</t>
        </is>
      </c>
      <c r="B4027">
        <v>2.5613117929091406e-05</v>
      </c>
      <c r="D4027" t="inlineStr">
        <is>
          <t>kilogram</t>
        </is>
      </c>
      <c r="E4027" t="inlineStr">
        <is>
          <t>air</t>
        </is>
      </c>
      <c r="F4027" t="inlineStr">
        <is>
          <t>biosphere</t>
        </is>
      </c>
      <c r="H4027" t="inlineStr">
        <is>
          <t>1.28E-03 kg/kg fuel for diesel locomotives, according to Spielmann et al. (2007)
Spielmann, M., Bauer, C., Dones, R., Institut, P. S., &amp; Tuchschmid, M. (2007). Transport Services. Swiss Centre for Life Cycle Inventories, ecoinvent report No. 14.</t>
        </is>
      </c>
      <c r="I4027">
        <v>0</v>
      </c>
    </row>
    <row r="4028">
      <c r="A4028" t="inlineStr">
        <is>
          <t>Particulate Matter, &gt; 10 um</t>
        </is>
      </c>
      <c r="B4028">
        <v>4.633053826895546e-05</v>
      </c>
      <c r="D4028" t="inlineStr">
        <is>
          <t>kilogram</t>
        </is>
      </c>
      <c r="E4028" t="inlineStr">
        <is>
          <t>air</t>
        </is>
      </c>
      <c r="F4028" t="inlineStr">
        <is>
          <t>biosphere</t>
        </is>
      </c>
      <c r="H4028"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28">
        <v>0</v>
      </c>
    </row>
    <row r="4029">
      <c r="A4029" t="inlineStr">
        <is>
          <t>Particulate Matter, &gt; 2.5 um and &lt; 10um</t>
        </is>
      </c>
      <c r="B4029">
        <v>4.3841313442606596e-05</v>
      </c>
      <c r="D4029" t="inlineStr">
        <is>
          <t>kilogram</t>
        </is>
      </c>
      <c r="E4029" t="inlineStr">
        <is>
          <t>air</t>
        </is>
      </c>
      <c r="F4029" t="inlineStr">
        <is>
          <t>biosphere</t>
        </is>
      </c>
      <c r="H4029"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29">
        <v>0</v>
      </c>
    </row>
    <row r="4030">
      <c r="A4030" t="inlineStr">
        <is>
          <t>Selenium IV</t>
        </is>
      </c>
      <c r="B4030">
        <v>2.0823673113082443e-10</v>
      </c>
      <c r="D4030" t="inlineStr">
        <is>
          <t>kilogram</t>
        </is>
      </c>
      <c r="E4030" t="inlineStr">
        <is>
          <t>air</t>
        </is>
      </c>
      <c r="F4030" t="inlineStr">
        <is>
          <t>biosphere</t>
        </is>
      </c>
      <c r="H4030" t="inlineStr">
        <is>
          <t>1.0E-08 kg/kg fuel for diesel locomotives, according to Spielmann et al. (2007)
Spielmann, M., Bauer, C., Dones, R., Institut, P. S., &amp; Tuchschmid, M. (2007). Transport Services. Swiss Centre for Life Cycle Inventories, ecoinvent report No. 14.</t>
        </is>
      </c>
      <c r="I4030">
        <v>0</v>
      </c>
    </row>
    <row r="4031">
      <c r="A4031" t="inlineStr">
        <is>
          <t>Sulfur dioxide</t>
        </is>
      </c>
      <c r="B4031">
        <v>1.2494203867849466e-05</v>
      </c>
      <c r="D4031" t="inlineStr">
        <is>
          <t>kilogram</t>
        </is>
      </c>
      <c r="E4031" t="inlineStr">
        <is>
          <t>air</t>
        </is>
      </c>
      <c r="F4031" t="inlineStr">
        <is>
          <t>biosphere</t>
        </is>
      </c>
      <c r="H4031" t="inlineStr">
        <is>
          <t>6.0E-04 kg/kg fuel for diesel locomotives, according to Spielmann et al. (2007)
Spielmann, M., Bauer, C., Dones, R., Institut, P. S., &amp; Tuchschmid, M. (2007). Transport Services. Swiss Centre for Life Cycle Inventories, ecoinvent report No. 14.</t>
        </is>
      </c>
      <c r="I4031">
        <v>0</v>
      </c>
    </row>
    <row r="4032">
      <c r="A4032" t="inlineStr">
        <is>
          <t>Toluene</t>
        </is>
      </c>
      <c r="B4032">
        <v>8.329469245232978e-07</v>
      </c>
      <c r="D4032" t="inlineStr">
        <is>
          <t>kilogram</t>
        </is>
      </c>
      <c r="E4032" t="inlineStr">
        <is>
          <t>air</t>
        </is>
      </c>
      <c r="F4032" t="inlineStr">
        <is>
          <t>biosphere</t>
        </is>
      </c>
      <c r="H4032" t="inlineStr">
        <is>
          <t>4.0E-05 kg/kg fuel for diesel locomotives, according to Spielmann et al. (2007)
Spielmann, M., Bauer, C., Dones, R., Institut, P. S., &amp; Tuchschmid, M. (2007). Transport Services. Swiss Centre for Life Cycle Inventories, ecoinvent report No. 14.</t>
        </is>
      </c>
      <c r="I4032">
        <v>0</v>
      </c>
    </row>
    <row r="4033">
      <c r="A4033" t="inlineStr">
        <is>
          <t>Xylenes, unspecified</t>
        </is>
      </c>
      <c r="B4033">
        <v>8.329469245232978e-07</v>
      </c>
      <c r="D4033" t="inlineStr">
        <is>
          <t>kilogram</t>
        </is>
      </c>
      <c r="E4033" t="inlineStr">
        <is>
          <t>air::unspecified</t>
        </is>
      </c>
      <c r="F4033" t="inlineStr">
        <is>
          <t>biosphere</t>
        </is>
      </c>
      <c r="H4033" t="inlineStr">
        <is>
          <t>4.0E-05 kg/kg fuel for diesel locomotives, according to Spielmann et al. (2007)
Spielmann, M., Bauer, C., Dones, R., Institut, P. S., &amp; Tuchschmid, M. (2007). Transport Services. Swiss Centre for Life Cycle Inventories, ecoinvent report No. 14.</t>
        </is>
      </c>
      <c r="I4033">
        <v>0</v>
      </c>
    </row>
    <row r="4034">
      <c r="A4034" t="inlineStr">
        <is>
          <t>Zinc II</t>
        </is>
      </c>
      <c r="B4034">
        <v>2.0823673113082442e-08</v>
      </c>
      <c r="D4034" t="inlineStr">
        <is>
          <t>kilogram</t>
        </is>
      </c>
      <c r="E4034" t="inlineStr">
        <is>
          <t>air</t>
        </is>
      </c>
      <c r="F4034" t="inlineStr">
        <is>
          <t>biosphere</t>
        </is>
      </c>
      <c r="H4034" t="inlineStr">
        <is>
          <t>1.0E-06 kg/kg fuel for diesel locomotives, according to Spielmann et al. (2007)
Spielmann, M., Bauer, C., Dones, R., Institut, P. S., &amp; Tuchschmid, M. (2007). Transport Services. Swiss Centre for Life Cycle Inventories, ecoinvent report No. 14.</t>
        </is>
      </c>
      <c r="I4034">
        <v>0</v>
      </c>
    </row>
    <row r="4035">
      <c r="A4035" t="inlineStr">
        <is>
          <t>Carbon dioxide, non-fossil</t>
        </is>
      </c>
      <c r="B4035">
        <v>0.0734</v>
      </c>
      <c r="D4035" t="inlineStr">
        <is>
          <t>kilogram</t>
        </is>
      </c>
      <c r="E4035" t="inlineStr">
        <is>
          <t>air</t>
        </is>
      </c>
      <c r="F4035" t="inlineStr">
        <is>
          <t>biosphere</t>
        </is>
      </c>
      <c r="I4035">
        <v>0</v>
      </c>
    </row>
    <row r="4036"/>
    <row r="4037">
      <c r="A4037" t="inlineStr">
        <is>
          <t>Activity</t>
        </is>
      </c>
      <c r="B4037" t="inlineStr">
        <is>
          <t>biodiesel, from non-residual cellulosic biomass, burned in passenger train</t>
        </is>
      </c>
    </row>
    <row r="4038">
      <c r="A4038" t="inlineStr">
        <is>
          <t>location</t>
        </is>
      </c>
      <c r="B4038" t="inlineStr">
        <is>
          <t>RER</t>
        </is>
      </c>
    </row>
    <row r="4039">
      <c r="A4039" t="inlineStr">
        <is>
          <t>production amount</t>
        </is>
      </c>
      <c r="B4039">
        <v>1</v>
      </c>
    </row>
    <row r="4040">
      <c r="A4040" t="inlineStr">
        <is>
          <t>reference product</t>
        </is>
      </c>
      <c r="B4040" t="inlineStr">
        <is>
          <t>heat</t>
        </is>
      </c>
    </row>
    <row r="4041">
      <c r="A4041" t="inlineStr">
        <is>
          <t>type</t>
        </is>
      </c>
      <c r="B4041" t="inlineStr">
        <is>
          <t>process</t>
        </is>
      </c>
    </row>
    <row r="4042">
      <c r="A4042" t="inlineStr">
        <is>
          <t>unit</t>
        </is>
      </c>
      <c r="B4042" t="inlineStr">
        <is>
          <t>megajoule</t>
        </is>
      </c>
    </row>
    <row r="4043">
      <c r="A4043" t="inlineStr">
        <is>
          <t>energy use source</t>
        </is>
      </c>
      <c r="B4043"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4044">
      <c r="A4044" t="inlineStr">
        <is>
          <t>comment</t>
        </is>
      </c>
      <c r="B4044"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45">
      <c r="A4045" t="inlineStr">
        <is>
          <t>Exchanges</t>
        </is>
      </c>
    </row>
    <row r="4046">
      <c r="A4046" t="inlineStr">
        <is>
          <t>name</t>
        </is>
      </c>
      <c r="B4046" t="inlineStr">
        <is>
          <t>amount</t>
        </is>
      </c>
      <c r="C4046" t="inlineStr">
        <is>
          <t>location</t>
        </is>
      </c>
      <c r="D4046" t="inlineStr">
        <is>
          <t>unit</t>
        </is>
      </c>
      <c r="E4046" t="inlineStr">
        <is>
          <t>categories</t>
        </is>
      </c>
      <c r="F4046" t="inlineStr">
        <is>
          <t>type</t>
        </is>
      </c>
      <c r="G4046" t="inlineStr">
        <is>
          <t>reference product</t>
        </is>
      </c>
      <c r="H4046" t="inlineStr">
        <is>
          <t>comment</t>
        </is>
      </c>
      <c r="I4046" t="inlineStr">
        <is>
          <t>uncertainty type</t>
        </is>
      </c>
    </row>
    <row r="4047">
      <c r="A4047" t="inlineStr">
        <is>
          <t>biodiesel, from non-residual cellulosic biomass, burned in passenger train</t>
        </is>
      </c>
      <c r="B4047">
        <v>1.0</v>
      </c>
      <c r="C4047" t="inlineStr">
        <is>
          <t>RER</t>
        </is>
      </c>
      <c r="D4047" t="inlineStr">
        <is>
          <t>megajoule</t>
        </is>
      </c>
      <c r="F4047" t="inlineStr">
        <is>
          <t>production</t>
        </is>
      </c>
      <c r="G4047" t="inlineStr">
        <is>
          <t>heat</t>
        </is>
      </c>
      <c r="I4047">
        <v>0</v>
      </c>
    </row>
    <row r="4048">
      <c r="A4048" t="inlineStr">
        <is>
          <t>biodiesel production, via Fischer-Tropsch, from forest product (non-residual), energy allocation</t>
        </is>
      </c>
      <c r="B4048">
        <v>0.023255813953488372</v>
      </c>
      <c r="C4048" t="inlineStr">
        <is>
          <t>RER</t>
        </is>
      </c>
      <c r="D4048" t="inlineStr">
        <is>
          <t>kilogram</t>
        </is>
      </c>
      <c r="F4048" t="inlineStr">
        <is>
          <t>technosphere</t>
        </is>
      </c>
      <c r="G4048" t="inlineStr">
        <is>
          <t>biodiesel, from forest residues</t>
        </is>
      </c>
      <c r="I4048">
        <v>0</v>
      </c>
    </row>
    <row r="4049">
      <c r="A4049" t="inlineStr">
        <is>
          <t>fuel tank, for diesel vehicle, adapted to locomotives</t>
        </is>
      </c>
      <c r="B4049">
        <v>1.6548105207134522e-07</v>
      </c>
      <c r="C4049" t="inlineStr">
        <is>
          <t>RER</t>
        </is>
      </c>
      <c r="D4049" t="inlineStr">
        <is>
          <t>kilogram</t>
        </is>
      </c>
      <c r="F4049" t="inlineStr">
        <is>
          <t>technosphere</t>
        </is>
      </c>
      <c r="G4049" t="inlineStr">
        <is>
          <t>fuel tank</t>
        </is>
      </c>
      <c r="H4049"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49">
        <v>0</v>
      </c>
    </row>
    <row r="4050">
      <c r="A4050" t="inlineStr">
        <is>
          <t>internal combustion engine, for lorry, adapted to locomotives</t>
        </is>
      </c>
      <c r="B4050">
        <v>1.7413079443052818e-05</v>
      </c>
      <c r="C4050" t="inlineStr">
        <is>
          <t>RER</t>
        </is>
      </c>
      <c r="D4050" t="inlineStr">
        <is>
          <t>kilogram</t>
        </is>
      </c>
      <c r="F4050" t="inlineStr">
        <is>
          <t>technosphere</t>
        </is>
      </c>
      <c r="G4050" t="inlineStr">
        <is>
          <t>internal combustion engine, for lorry</t>
        </is>
      </c>
      <c r="H4050"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50">
        <v>0</v>
      </c>
    </row>
    <row r="4051">
      <c r="A4051" t="inlineStr">
        <is>
          <t>electronic component production, passive, unspecified</t>
        </is>
      </c>
      <c r="B4051">
        <v>8.00481860964219e-06</v>
      </c>
      <c r="C4051" t="inlineStr">
        <is>
          <t>GLO</t>
        </is>
      </c>
      <c r="D4051" t="inlineStr">
        <is>
          <t>kilogram</t>
        </is>
      </c>
      <c r="F4051" t="inlineStr">
        <is>
          <t>technosphere</t>
        </is>
      </c>
      <c r="G4051" t="inlineStr">
        <is>
          <t>electronic component, passive, unspecified</t>
        </is>
      </c>
      <c r="H4051"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51">
        <v>0</v>
      </c>
    </row>
    <row r="4052">
      <c r="A4052" t="inlineStr">
        <is>
          <t>electric motor, asynchronous traction, engineering reference</t>
        </is>
      </c>
      <c r="B4052">
        <v>2.3088728506723053e-06</v>
      </c>
      <c r="C4052" t="inlineStr">
        <is>
          <t>GLO</t>
        </is>
      </c>
      <c r="D4052" t="inlineStr">
        <is>
          <t>kilogram</t>
        </is>
      </c>
      <c r="F4052" t="inlineStr">
        <is>
          <t>technosphere</t>
        </is>
      </c>
      <c r="G4052" t="inlineStr">
        <is>
          <t>electric motor, asynchronous traction, engineering reference</t>
        </is>
      </c>
      <c r="H4052"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52">
        <v>0</v>
      </c>
    </row>
    <row r="4053">
      <c r="A4053" t="inlineStr">
        <is>
          <t>traction converter, medium-voltage rail engineering reference</t>
        </is>
      </c>
      <c r="B4053">
        <v>8.277091351466727e-06</v>
      </c>
      <c r="C4053" t="inlineStr">
        <is>
          <t>GLO</t>
        </is>
      </c>
      <c r="D4053" t="inlineStr">
        <is>
          <t>kilogram</t>
        </is>
      </c>
      <c r="F4053" t="inlineStr">
        <is>
          <t>technosphere</t>
        </is>
      </c>
      <c r="G4053" t="inlineStr">
        <is>
          <t>traction converter, medium-voltage rail engineering reference</t>
        </is>
      </c>
      <c r="H4053"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53">
        <v>0</v>
      </c>
    </row>
    <row r="4054">
      <c r="A4054" t="inlineStr">
        <is>
          <t>Ammonia</t>
        </is>
      </c>
      <c r="B4054">
        <v>4.164734622616489e-07</v>
      </c>
      <c r="D4054" t="inlineStr">
        <is>
          <t>kilogram</t>
        </is>
      </c>
      <c r="E4054" t="inlineStr">
        <is>
          <t>air</t>
        </is>
      </c>
      <c r="F4054" t="inlineStr">
        <is>
          <t>biosphere</t>
        </is>
      </c>
      <c r="H4054" t="inlineStr">
        <is>
          <t>2.0E-05 kg/kg fuel for diesel locomotives, according to Spielmann et al. (2007)
Spielmann, M., Bauer, C., Dones, R., Institut, P. S., &amp; Tuchschmid, M. (2007). Transport Services. Swiss Centre for Life Cycle Inventories, ecoinvent report No. 14.</t>
        </is>
      </c>
      <c r="I4054">
        <v>0</v>
      </c>
    </row>
    <row r="4055">
      <c r="A4055" t="inlineStr">
        <is>
          <t>Benzene</t>
        </is>
      </c>
      <c r="B4055">
        <v>2.0823673113082445e-06</v>
      </c>
      <c r="D4055" t="inlineStr">
        <is>
          <t>kilogram</t>
        </is>
      </c>
      <c r="E4055" t="inlineStr">
        <is>
          <t>air</t>
        </is>
      </c>
      <c r="F4055" t="inlineStr">
        <is>
          <t>biosphere</t>
        </is>
      </c>
      <c r="H4055" t="inlineStr">
        <is>
          <t>1.0E-04 kg/kg fuel for diesel locomotives, according to Spielmann et al. (2007)
Spielmann, M., Bauer, C., Dones, R., Institut, P. S., &amp; Tuchschmid, M. (2007). Transport Services. Swiss Centre for Life Cycle Inventories, ecoinvent report No. 14.</t>
        </is>
      </c>
      <c r="I4055">
        <v>0</v>
      </c>
    </row>
    <row r="4056">
      <c r="A4056" t="inlineStr">
        <is>
          <t>Cadmium II</t>
        </is>
      </c>
      <c r="B4056">
        <v>2.0823673113082443e-10</v>
      </c>
      <c r="D4056" t="inlineStr">
        <is>
          <t>kilogram</t>
        </is>
      </c>
      <c r="E4056" t="inlineStr">
        <is>
          <t>air</t>
        </is>
      </c>
      <c r="F4056" t="inlineStr">
        <is>
          <t>biosphere</t>
        </is>
      </c>
      <c r="H4056" t="inlineStr">
        <is>
          <t>1.0E-08 kg/kg fuel for diesel locomotives, according to Spielmann et al. (2007)
Spielmann, M., Bauer, C., Dones, R., Institut, P. S., &amp; Tuchschmid, M. (2007). Transport Services. Swiss Centre for Life Cycle Inventories, ecoinvent report No. 14.</t>
        </is>
      </c>
      <c r="I4056">
        <v>0</v>
      </c>
    </row>
    <row r="4057">
      <c r="A4057" t="inlineStr">
        <is>
          <t>Carbon monoxide, fossil</t>
        </is>
      </c>
      <c r="B4057">
        <v>0.00032901403518670265</v>
      </c>
      <c r="D4057" t="inlineStr">
        <is>
          <t>kilogram</t>
        </is>
      </c>
      <c r="E4057" t="inlineStr">
        <is>
          <t>air</t>
        </is>
      </c>
      <c r="F4057" t="inlineStr">
        <is>
          <t>biosphere</t>
        </is>
      </c>
      <c r="H4057" t="inlineStr">
        <is>
          <t>1.58E-02 kg/kg fuel for diesel locomotives, according to Spielmann et al. (2007)
Spielmann, M., Bauer, C., Dones, R., Institut, P. S., &amp; Tuchschmid, M. (2007). Transport Services. Swiss Centre for Life Cycle Inventories, ecoinvent report No. 14.</t>
        </is>
      </c>
      <c r="I4057">
        <v>0</v>
      </c>
    </row>
    <row r="4058">
      <c r="A4058" t="inlineStr">
        <is>
          <t>Chromium III</t>
        </is>
      </c>
      <c r="B4058">
        <v>1.0411836556541222e-09</v>
      </c>
      <c r="D4058" t="inlineStr">
        <is>
          <t>kilogram</t>
        </is>
      </c>
      <c r="E4058" t="inlineStr">
        <is>
          <t>air</t>
        </is>
      </c>
      <c r="F4058" t="inlineStr">
        <is>
          <t>biosphere</t>
        </is>
      </c>
      <c r="H4058" t="inlineStr">
        <is>
          <t>5.0E-08 kg/kg fuel for diesel locomotives, according to Spielmann et al. (2007)
Spielmann, M., Bauer, C., Dones, R., Institut, P. S., &amp; Tuchschmid, M. (2007). Transport Services. Swiss Centre for Life Cycle Inventories, ecoinvent report No. 14.</t>
        </is>
      </c>
      <c r="I4058">
        <v>0</v>
      </c>
    </row>
    <row r="4059">
      <c r="A4059" t="inlineStr">
        <is>
          <t>Copper ion</t>
        </is>
      </c>
      <c r="B4059">
        <v>3.5400244292240155e-08</v>
      </c>
      <c r="D4059" t="inlineStr">
        <is>
          <t>kilogram</t>
        </is>
      </c>
      <c r="E4059" t="inlineStr">
        <is>
          <t>air</t>
        </is>
      </c>
      <c r="F4059" t="inlineStr">
        <is>
          <t>biosphere</t>
        </is>
      </c>
      <c r="H4059" t="inlineStr">
        <is>
          <t>1.7E-06 kg/kg fuel for diesel locomotives, according to Spielmann et al. (2007)
Spielmann, M., Bauer, C., Dones, R., Institut, P. S., &amp; Tuchschmid, M. (2007). Transport Services. Swiss Centre for Life Cycle Inventories, ecoinvent report No. 14.</t>
        </is>
      </c>
      <c r="I4059">
        <v>0</v>
      </c>
    </row>
    <row r="4060">
      <c r="A4060" t="inlineStr">
        <is>
          <t>Dinitrogen monoxide</t>
        </is>
      </c>
      <c r="B4060">
        <v>2.0823673113082445e-06</v>
      </c>
      <c r="D4060" t="inlineStr">
        <is>
          <t>kilogram</t>
        </is>
      </c>
      <c r="E4060" t="inlineStr">
        <is>
          <t>air</t>
        </is>
      </c>
      <c r="F4060" t="inlineStr">
        <is>
          <t>biosphere</t>
        </is>
      </c>
      <c r="H4060" t="inlineStr">
        <is>
          <t>1.0E-04 kg/kg fuel for diesel locomotives, according to Spielmann et al. (2007)
Spielmann, M., Bauer, C., Dones, R., Institut, P. S., &amp; Tuchschmid, M. (2007). Transport Services. Swiss Centre for Life Cycle Inventories, ecoinvent report No. 14.</t>
        </is>
      </c>
      <c r="I4060">
        <v>0</v>
      </c>
    </row>
    <row r="4061">
      <c r="A4061" t="inlineStr">
        <is>
          <t>Iron ion</t>
        </is>
      </c>
      <c r="B4061">
        <v>3.165665258907264e-05</v>
      </c>
      <c r="D4061" t="inlineStr">
        <is>
          <t>kilogram</t>
        </is>
      </c>
      <c r="E4061" t="inlineStr">
        <is>
          <t>soil</t>
        </is>
      </c>
      <c r="F4061" t="inlineStr">
        <is>
          <t>biosphere</t>
        </is>
      </c>
      <c r="H4061"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61">
        <v>0</v>
      </c>
    </row>
    <row r="4062">
      <c r="A4062" t="inlineStr">
        <is>
          <t>Lead II</t>
        </is>
      </c>
      <c r="B4062">
        <v>2.2906040424390686e-12</v>
      </c>
      <c r="D4062" t="inlineStr">
        <is>
          <t>kilogram</t>
        </is>
      </c>
      <c r="E4062" t="inlineStr">
        <is>
          <t>air</t>
        </is>
      </c>
      <c r="F4062" t="inlineStr">
        <is>
          <t>biosphere</t>
        </is>
      </c>
      <c r="H4062" t="inlineStr">
        <is>
          <t>1.1E-10 kg/kg fuel for diesel locomotives, according to Spielmann et al. (2007)
Spielmann, M., Bauer, C., Dones, R., Institut, P. S., &amp; Tuchschmid, M. (2007). Transport Services. Swiss Centre for Life Cycle Inventories, ecoinvent report No. 14.</t>
        </is>
      </c>
      <c r="I4062">
        <v>0</v>
      </c>
    </row>
    <row r="4063">
      <c r="A4063" t="inlineStr">
        <is>
          <t>Mercury II</t>
        </is>
      </c>
      <c r="B4063">
        <v>4.1647346226164887e-13</v>
      </c>
      <c r="D4063" t="inlineStr">
        <is>
          <t>kilogram</t>
        </is>
      </c>
      <c r="E4063" t="inlineStr">
        <is>
          <t>air</t>
        </is>
      </c>
      <c r="F4063" t="inlineStr">
        <is>
          <t>biosphere</t>
        </is>
      </c>
      <c r="H4063" t="inlineStr">
        <is>
          <t>2.0E-11 kg/kg fuel for diesel locomotives, according to Spielmann et al. (2007)
Spielmann, M., Bauer, C., Dones, R., Institut, P. S., &amp; Tuchschmid, M. (2007). Transport Services. Swiss Centre for Life Cycle Inventories, ecoinvent report No. 14.</t>
        </is>
      </c>
      <c r="I4063">
        <v>0</v>
      </c>
    </row>
    <row r="4064">
      <c r="A4064" t="inlineStr">
        <is>
          <t>Methane, fossil</t>
        </is>
      </c>
      <c r="B4064">
        <v>2.7070775047007178e-06</v>
      </c>
      <c r="D4064" t="inlineStr">
        <is>
          <t>kilogram</t>
        </is>
      </c>
      <c r="E4064" t="inlineStr">
        <is>
          <t>air</t>
        </is>
      </c>
      <c r="F4064" t="inlineStr">
        <is>
          <t>biosphere</t>
        </is>
      </c>
      <c r="H4064" t="inlineStr">
        <is>
          <t>1.3E-04 kg/kg fuel for diesel locomotives, according to Spielmann et al. (2007)
Spielmann, M., Bauer, C., Dones, R., Institut, P. S., &amp; Tuchschmid, M. (2007). Transport Services. Swiss Centre for Life Cycle Inventories, ecoinvent report No. 14.</t>
        </is>
      </c>
      <c r="I4064">
        <v>0</v>
      </c>
    </row>
    <row r="4065">
      <c r="A4065" t="inlineStr">
        <is>
          <t>NMVOC, non-methane volatile organic compounds</t>
        </is>
      </c>
      <c r="B4065">
        <v>0.00010932428384368284</v>
      </c>
      <c r="D4065" t="inlineStr">
        <is>
          <t>kilogram</t>
        </is>
      </c>
      <c r="E4065" t="inlineStr">
        <is>
          <t>air</t>
        </is>
      </c>
      <c r="F4065" t="inlineStr">
        <is>
          <t>biosphere</t>
        </is>
      </c>
      <c r="H4065" t="inlineStr">
        <is>
          <t>5.25E-03 kg/kg fuel for diesel locomotives, according to Spielmann et al. (2007)
Spielmann, M., Bauer, C., Dones, R., Institut, P. S., &amp; Tuchschmid, M. (2007). Transport Services. Swiss Centre for Life Cycle Inventories, ecoinvent report No. 14.</t>
        </is>
      </c>
      <c r="I4065">
        <v>0</v>
      </c>
    </row>
    <row r="4066">
      <c r="A4066" t="inlineStr">
        <is>
          <t>Nickel II</t>
        </is>
      </c>
      <c r="B4066">
        <v>1.4576571179157713e-09</v>
      </c>
      <c r="D4066" t="inlineStr">
        <is>
          <t>kilogram</t>
        </is>
      </c>
      <c r="E4066" t="inlineStr">
        <is>
          <t>air</t>
        </is>
      </c>
      <c r="F4066" t="inlineStr">
        <is>
          <t>biosphere</t>
        </is>
      </c>
      <c r="H4066" t="inlineStr">
        <is>
          <t>7.0E-08 kg/kg fuel for diesel locomotives, according to Spielmann et al. (2007)
Spielmann, M., Bauer, C., Dones, R., Institut, P. S., &amp; Tuchschmid, M. (2007). Transport Services. Swiss Centre for Life Cycle Inventories, ecoinvent report No. 14.</t>
        </is>
      </c>
      <c r="I4066">
        <v>0</v>
      </c>
    </row>
    <row r="4067">
      <c r="A4067" t="inlineStr">
        <is>
          <t>Nitrogen oxides</t>
        </is>
      </c>
      <c r="B4067">
        <v>0.0011453020212195343</v>
      </c>
      <c r="D4067" t="inlineStr">
        <is>
          <t>kilogram</t>
        </is>
      </c>
      <c r="E4067" t="inlineStr">
        <is>
          <t>air::unspecified</t>
        </is>
      </c>
      <c r="F4067" t="inlineStr">
        <is>
          <t>biosphere</t>
        </is>
      </c>
      <c r="H4067" t="inlineStr">
        <is>
          <t>5.5E-02 kg/kg fuel for diesel locomotives, according to Spielmann et al. (2007)
Spielmann, M., Bauer, C., Dones, R., Institut, P. S., &amp; Tuchschmid, M. (2007). Transport Services. Swiss Centre for Life Cycle Inventories, ecoinvent report No. 14.</t>
        </is>
      </c>
      <c r="I4067">
        <v>0</v>
      </c>
    </row>
    <row r="4068">
      <c r="A4068" t="inlineStr">
        <is>
          <t>Particulate Matter, &lt; 2.5 um</t>
        </is>
      </c>
      <c r="B4068">
        <v>2.5613117929091406e-05</v>
      </c>
      <c r="D4068" t="inlineStr">
        <is>
          <t>kilogram</t>
        </is>
      </c>
      <c r="E4068" t="inlineStr">
        <is>
          <t>air</t>
        </is>
      </c>
      <c r="F4068" t="inlineStr">
        <is>
          <t>biosphere</t>
        </is>
      </c>
      <c r="H4068" t="inlineStr">
        <is>
          <t>1.28E-03 kg/kg fuel for diesel locomotives, according to Spielmann et al. (2007)
Spielmann, M., Bauer, C., Dones, R., Institut, P. S., &amp; Tuchschmid, M. (2007). Transport Services. Swiss Centre for Life Cycle Inventories, ecoinvent report No. 14.</t>
        </is>
      </c>
      <c r="I4068">
        <v>0</v>
      </c>
    </row>
    <row r="4069">
      <c r="A4069" t="inlineStr">
        <is>
          <t>Particulate Matter, &gt; 10 um</t>
        </is>
      </c>
      <c r="B4069">
        <v>4.633053826895546e-05</v>
      </c>
      <c r="D4069" t="inlineStr">
        <is>
          <t>kilogram</t>
        </is>
      </c>
      <c r="E4069" t="inlineStr">
        <is>
          <t>air</t>
        </is>
      </c>
      <c r="F4069" t="inlineStr">
        <is>
          <t>biosphere</t>
        </is>
      </c>
      <c r="H4069"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69">
        <v>0</v>
      </c>
    </row>
    <row r="4070">
      <c r="A4070" t="inlineStr">
        <is>
          <t>Particulate Matter, &gt; 2.5 um and &lt; 10um</t>
        </is>
      </c>
      <c r="B4070">
        <v>4.3841313442606596e-05</v>
      </c>
      <c r="D4070" t="inlineStr">
        <is>
          <t>kilogram</t>
        </is>
      </c>
      <c r="E4070" t="inlineStr">
        <is>
          <t>air</t>
        </is>
      </c>
      <c r="F4070" t="inlineStr">
        <is>
          <t>biosphere</t>
        </is>
      </c>
      <c r="H4070"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70">
        <v>0</v>
      </c>
    </row>
    <row r="4071">
      <c r="A4071" t="inlineStr">
        <is>
          <t>Selenium IV</t>
        </is>
      </c>
      <c r="B4071">
        <v>2.0823673113082443e-10</v>
      </c>
      <c r="D4071" t="inlineStr">
        <is>
          <t>kilogram</t>
        </is>
      </c>
      <c r="E4071" t="inlineStr">
        <is>
          <t>air</t>
        </is>
      </c>
      <c r="F4071" t="inlineStr">
        <is>
          <t>biosphere</t>
        </is>
      </c>
      <c r="H4071" t="inlineStr">
        <is>
          <t>1.0E-08 kg/kg fuel for diesel locomotives, according to Spielmann et al. (2007)
Spielmann, M., Bauer, C., Dones, R., Institut, P. S., &amp; Tuchschmid, M. (2007). Transport Services. Swiss Centre for Life Cycle Inventories, ecoinvent report No. 14.</t>
        </is>
      </c>
      <c r="I4071">
        <v>0</v>
      </c>
    </row>
    <row r="4072">
      <c r="A4072" t="inlineStr">
        <is>
          <t>Sulfur dioxide</t>
        </is>
      </c>
      <c r="B4072">
        <v>1.2494203867849466e-05</v>
      </c>
      <c r="D4072" t="inlineStr">
        <is>
          <t>kilogram</t>
        </is>
      </c>
      <c r="E4072" t="inlineStr">
        <is>
          <t>air</t>
        </is>
      </c>
      <c r="F4072" t="inlineStr">
        <is>
          <t>biosphere</t>
        </is>
      </c>
      <c r="H4072" t="inlineStr">
        <is>
          <t>6.0E-04 kg/kg fuel for diesel locomotives, according to Spielmann et al. (2007)
Spielmann, M., Bauer, C., Dones, R., Institut, P. S., &amp; Tuchschmid, M. (2007). Transport Services. Swiss Centre for Life Cycle Inventories, ecoinvent report No. 14.</t>
        </is>
      </c>
      <c r="I4072">
        <v>0</v>
      </c>
    </row>
    <row r="4073">
      <c r="A4073" t="inlineStr">
        <is>
          <t>Toluene</t>
        </is>
      </c>
      <c r="B4073">
        <v>8.329469245232978e-07</v>
      </c>
      <c r="D4073" t="inlineStr">
        <is>
          <t>kilogram</t>
        </is>
      </c>
      <c r="E4073" t="inlineStr">
        <is>
          <t>air</t>
        </is>
      </c>
      <c r="F4073" t="inlineStr">
        <is>
          <t>biosphere</t>
        </is>
      </c>
      <c r="H4073" t="inlineStr">
        <is>
          <t>4.0E-05 kg/kg fuel for diesel locomotives, according to Spielmann et al. (2007)
Spielmann, M., Bauer, C., Dones, R., Institut, P. S., &amp; Tuchschmid, M. (2007). Transport Services. Swiss Centre for Life Cycle Inventories, ecoinvent report No. 14.</t>
        </is>
      </c>
      <c r="I4073">
        <v>0</v>
      </c>
    </row>
    <row r="4074">
      <c r="A4074" t="inlineStr">
        <is>
          <t>Xylenes, unspecified</t>
        </is>
      </c>
      <c r="B4074">
        <v>8.329469245232978e-07</v>
      </c>
      <c r="D4074" t="inlineStr">
        <is>
          <t>kilogram</t>
        </is>
      </c>
      <c r="E4074" t="inlineStr">
        <is>
          <t>air::unspecified</t>
        </is>
      </c>
      <c r="F4074" t="inlineStr">
        <is>
          <t>biosphere</t>
        </is>
      </c>
      <c r="H4074" t="inlineStr">
        <is>
          <t>4.0E-05 kg/kg fuel for diesel locomotives, according to Spielmann et al. (2007)
Spielmann, M., Bauer, C., Dones, R., Institut, P. S., &amp; Tuchschmid, M. (2007). Transport Services. Swiss Centre for Life Cycle Inventories, ecoinvent report No. 14.</t>
        </is>
      </c>
      <c r="I4074">
        <v>0</v>
      </c>
    </row>
    <row r="4075">
      <c r="A4075" t="inlineStr">
        <is>
          <t>Zinc II</t>
        </is>
      </c>
      <c r="B4075">
        <v>2.0823673113082442e-08</v>
      </c>
      <c r="D4075" t="inlineStr">
        <is>
          <t>kilogram</t>
        </is>
      </c>
      <c r="E4075" t="inlineStr">
        <is>
          <t>air</t>
        </is>
      </c>
      <c r="F4075" t="inlineStr">
        <is>
          <t>biosphere</t>
        </is>
      </c>
      <c r="H4075" t="inlineStr">
        <is>
          <t>1.0E-06 kg/kg fuel for diesel locomotives, according to Spielmann et al. (2007)
Spielmann, M., Bauer, C., Dones, R., Institut, P. S., &amp; Tuchschmid, M. (2007). Transport Services. Swiss Centre for Life Cycle Inventories, ecoinvent report No. 14.</t>
        </is>
      </c>
      <c r="I4075">
        <v>0</v>
      </c>
    </row>
    <row r="4076">
      <c r="A4076" t="inlineStr">
        <is>
          <t>Carbon dioxide, non-fossil</t>
        </is>
      </c>
      <c r="B4076">
        <v>0.0732</v>
      </c>
      <c r="D4076" t="inlineStr">
        <is>
          <t>kilogram</t>
        </is>
      </c>
      <c r="E4076" t="inlineStr">
        <is>
          <t>air</t>
        </is>
      </c>
      <c r="F4076" t="inlineStr">
        <is>
          <t>biosphere</t>
        </is>
      </c>
      <c r="I4076">
        <v>0</v>
      </c>
    </row>
    <row r="4077"/>
    <row r="4078">
      <c r="A4078" t="inlineStr">
        <is>
          <t>Activity</t>
        </is>
      </c>
      <c r="B4078" t="inlineStr">
        <is>
          <t>biodiesel, from residual cellulosic biomass, burned in passenger train</t>
        </is>
      </c>
    </row>
    <row r="4079">
      <c r="A4079" t="inlineStr">
        <is>
          <t>location</t>
        </is>
      </c>
      <c r="B4079" t="inlineStr">
        <is>
          <t>RER</t>
        </is>
      </c>
    </row>
    <row r="4080">
      <c r="A4080" t="inlineStr">
        <is>
          <t>production amount</t>
        </is>
      </c>
      <c r="B4080">
        <v>1</v>
      </c>
    </row>
    <row r="4081">
      <c r="A4081" t="inlineStr">
        <is>
          <t>reference product</t>
        </is>
      </c>
      <c r="B4081" t="inlineStr">
        <is>
          <t>heat</t>
        </is>
      </c>
    </row>
    <row r="4082">
      <c r="A4082" t="inlineStr">
        <is>
          <t>type</t>
        </is>
      </c>
      <c r="B4082" t="inlineStr">
        <is>
          <t>process</t>
        </is>
      </c>
    </row>
    <row r="4083">
      <c r="A4083" t="inlineStr">
        <is>
          <t>unit</t>
        </is>
      </c>
      <c r="B4083" t="inlineStr">
        <is>
          <t>megajoule</t>
        </is>
      </c>
    </row>
    <row r="4084">
      <c r="A4084" t="inlineStr">
        <is>
          <t>energy use source</t>
        </is>
      </c>
      <c r="B4084"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4085">
      <c r="A4085" t="inlineStr">
        <is>
          <t>comment</t>
        </is>
      </c>
      <c r="B4085"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86">
      <c r="A4086" t="inlineStr">
        <is>
          <t>Exchanges</t>
        </is>
      </c>
    </row>
    <row r="4087">
      <c r="A4087" t="inlineStr">
        <is>
          <t>name</t>
        </is>
      </c>
      <c r="B4087" t="inlineStr">
        <is>
          <t>amount</t>
        </is>
      </c>
      <c r="C4087" t="inlineStr">
        <is>
          <t>location</t>
        </is>
      </c>
      <c r="D4087" t="inlineStr">
        <is>
          <t>unit</t>
        </is>
      </c>
      <c r="E4087" t="inlineStr">
        <is>
          <t>categories</t>
        </is>
      </c>
      <c r="F4087" t="inlineStr">
        <is>
          <t>type</t>
        </is>
      </c>
      <c r="G4087" t="inlineStr">
        <is>
          <t>reference product</t>
        </is>
      </c>
      <c r="H4087" t="inlineStr">
        <is>
          <t>comment</t>
        </is>
      </c>
      <c r="I4087" t="inlineStr">
        <is>
          <t>uncertainty type</t>
        </is>
      </c>
    </row>
    <row r="4088">
      <c r="A4088" t="inlineStr">
        <is>
          <t>biodiesel, from residual cellulosic biomass, burned in passenger train</t>
        </is>
      </c>
      <c r="B4088">
        <v>1.0</v>
      </c>
      <c r="C4088" t="inlineStr">
        <is>
          <t>RER</t>
        </is>
      </c>
      <c r="D4088" t="inlineStr">
        <is>
          <t>megajoule</t>
        </is>
      </c>
      <c r="F4088" t="inlineStr">
        <is>
          <t>production</t>
        </is>
      </c>
      <c r="G4088" t="inlineStr">
        <is>
          <t>heat</t>
        </is>
      </c>
      <c r="I4088">
        <v>0</v>
      </c>
    </row>
    <row r="4089">
      <c r="A4089" t="inlineStr">
        <is>
          <t>biodiesel production, via Fischer-Tropsch, from forest residues, energy allocation</t>
        </is>
      </c>
      <c r="B4089">
        <v>0.023255813953488372</v>
      </c>
      <c r="C4089" t="inlineStr">
        <is>
          <t>RER</t>
        </is>
      </c>
      <c r="D4089" t="inlineStr">
        <is>
          <t>kilogram</t>
        </is>
      </c>
      <c r="F4089" t="inlineStr">
        <is>
          <t>technosphere</t>
        </is>
      </c>
      <c r="G4089" t="inlineStr">
        <is>
          <t>biodiesel, from forest residues</t>
        </is>
      </c>
      <c r="I4089">
        <v>0</v>
      </c>
    </row>
    <row r="4090">
      <c r="A4090" t="inlineStr">
        <is>
          <t>fuel tank, for diesel vehicle, adapted to locomotives</t>
        </is>
      </c>
      <c r="B4090">
        <v>1.6548105207134522e-07</v>
      </c>
      <c r="C4090" t="inlineStr">
        <is>
          <t>RER</t>
        </is>
      </c>
      <c r="D4090" t="inlineStr">
        <is>
          <t>kilogram</t>
        </is>
      </c>
      <c r="F4090" t="inlineStr">
        <is>
          <t>technosphere</t>
        </is>
      </c>
      <c r="G4090" t="inlineStr">
        <is>
          <t>fuel tank</t>
        </is>
      </c>
      <c r="H4090"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90">
        <v>0</v>
      </c>
    </row>
    <row r="4091">
      <c r="A4091" t="inlineStr">
        <is>
          <t>internal combustion engine, for lorry, adapted to locomotives</t>
        </is>
      </c>
      <c r="B4091">
        <v>1.7413079443052818e-05</v>
      </c>
      <c r="C4091" t="inlineStr">
        <is>
          <t>RER</t>
        </is>
      </c>
      <c r="D4091" t="inlineStr">
        <is>
          <t>kilogram</t>
        </is>
      </c>
      <c r="F4091" t="inlineStr">
        <is>
          <t>technosphere</t>
        </is>
      </c>
      <c r="G4091" t="inlineStr">
        <is>
          <t>internal combustion engine, for lorry</t>
        </is>
      </c>
      <c r="H4091"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91">
        <v>0</v>
      </c>
    </row>
    <row r="4092">
      <c r="A4092" t="inlineStr">
        <is>
          <t>electronic component production, passive, unspecified</t>
        </is>
      </c>
      <c r="B4092">
        <v>8.00481860964219e-06</v>
      </c>
      <c r="C4092" t="inlineStr">
        <is>
          <t>GLO</t>
        </is>
      </c>
      <c r="D4092" t="inlineStr">
        <is>
          <t>kilogram</t>
        </is>
      </c>
      <c r="F4092" t="inlineStr">
        <is>
          <t>technosphere</t>
        </is>
      </c>
      <c r="G4092" t="inlineStr">
        <is>
          <t>electronic component, passive, unspecified</t>
        </is>
      </c>
      <c r="H4092"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92">
        <v>0</v>
      </c>
    </row>
    <row r="4093">
      <c r="A4093" t="inlineStr">
        <is>
          <t>electric motor, asynchronous traction, engineering reference</t>
        </is>
      </c>
      <c r="B4093">
        <v>2.3088728506723053e-06</v>
      </c>
      <c r="C4093" t="inlineStr">
        <is>
          <t>GLO</t>
        </is>
      </c>
      <c r="D4093" t="inlineStr">
        <is>
          <t>kilogram</t>
        </is>
      </c>
      <c r="F4093" t="inlineStr">
        <is>
          <t>technosphere</t>
        </is>
      </c>
      <c r="G4093" t="inlineStr">
        <is>
          <t>electric motor, asynchronous traction, engineering reference</t>
        </is>
      </c>
      <c r="H4093"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93">
        <v>0</v>
      </c>
    </row>
    <row r="4094">
      <c r="A4094" t="inlineStr">
        <is>
          <t>traction converter, medium-voltage rail engineering reference</t>
        </is>
      </c>
      <c r="B4094">
        <v>8.277091351466727e-06</v>
      </c>
      <c r="C4094" t="inlineStr">
        <is>
          <t>GLO</t>
        </is>
      </c>
      <c r="D4094" t="inlineStr">
        <is>
          <t>kilogram</t>
        </is>
      </c>
      <c r="F4094" t="inlineStr">
        <is>
          <t>technosphere</t>
        </is>
      </c>
      <c r="G4094" t="inlineStr">
        <is>
          <t>traction converter, medium-voltage rail engineering reference</t>
        </is>
      </c>
      <c r="H4094"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94">
        <v>0</v>
      </c>
    </row>
    <row r="4095">
      <c r="A4095" t="inlineStr">
        <is>
          <t>Ammonia</t>
        </is>
      </c>
      <c r="B4095">
        <v>4.164734622616489e-07</v>
      </c>
      <c r="D4095" t="inlineStr">
        <is>
          <t>kilogram</t>
        </is>
      </c>
      <c r="E4095" t="inlineStr">
        <is>
          <t>air</t>
        </is>
      </c>
      <c r="F4095" t="inlineStr">
        <is>
          <t>biosphere</t>
        </is>
      </c>
      <c r="H4095" t="inlineStr">
        <is>
          <t>2.0E-05 kg/kg fuel for diesel locomotives, according to Spielmann et al. (2007)
Spielmann, M., Bauer, C., Dones, R., Institut, P. S., &amp; Tuchschmid, M. (2007). Transport Services. Swiss Centre for Life Cycle Inventories, ecoinvent report No. 14.</t>
        </is>
      </c>
      <c r="I4095">
        <v>0</v>
      </c>
    </row>
    <row r="4096">
      <c r="A4096" t="inlineStr">
        <is>
          <t>Benzene</t>
        </is>
      </c>
      <c r="B4096">
        <v>2.0823673113082445e-06</v>
      </c>
      <c r="D4096" t="inlineStr">
        <is>
          <t>kilogram</t>
        </is>
      </c>
      <c r="E4096" t="inlineStr">
        <is>
          <t>air</t>
        </is>
      </c>
      <c r="F4096" t="inlineStr">
        <is>
          <t>biosphere</t>
        </is>
      </c>
      <c r="H4096" t="inlineStr">
        <is>
          <t>1.0E-04 kg/kg fuel for diesel locomotives, according to Spielmann et al. (2007)
Spielmann, M., Bauer, C., Dones, R., Institut, P. S., &amp; Tuchschmid, M. (2007). Transport Services. Swiss Centre for Life Cycle Inventories, ecoinvent report No. 14.</t>
        </is>
      </c>
      <c r="I4096">
        <v>0</v>
      </c>
    </row>
    <row r="4097">
      <c r="A4097" t="inlineStr">
        <is>
          <t>Cadmium II</t>
        </is>
      </c>
      <c r="B4097">
        <v>2.0823673113082443e-10</v>
      </c>
      <c r="D4097" t="inlineStr">
        <is>
          <t>kilogram</t>
        </is>
      </c>
      <c r="E4097" t="inlineStr">
        <is>
          <t>air</t>
        </is>
      </c>
      <c r="F4097" t="inlineStr">
        <is>
          <t>biosphere</t>
        </is>
      </c>
      <c r="H4097" t="inlineStr">
        <is>
          <t>1.0E-08 kg/kg fuel for diesel locomotives, according to Spielmann et al. (2007)
Spielmann, M., Bauer, C., Dones, R., Institut, P. S., &amp; Tuchschmid, M. (2007). Transport Services. Swiss Centre for Life Cycle Inventories, ecoinvent report No. 14.</t>
        </is>
      </c>
      <c r="I4097">
        <v>0</v>
      </c>
    </row>
    <row r="4098">
      <c r="A4098" t="inlineStr">
        <is>
          <t>Carbon monoxide, fossil</t>
        </is>
      </c>
      <c r="B4098">
        <v>0.00032901403518670265</v>
      </c>
      <c r="D4098" t="inlineStr">
        <is>
          <t>kilogram</t>
        </is>
      </c>
      <c r="E4098" t="inlineStr">
        <is>
          <t>air</t>
        </is>
      </c>
      <c r="F4098" t="inlineStr">
        <is>
          <t>biosphere</t>
        </is>
      </c>
      <c r="H4098" t="inlineStr">
        <is>
          <t>1.58E-02 kg/kg fuel for diesel locomotives, according to Spielmann et al. (2007)
Spielmann, M., Bauer, C., Dones, R., Institut, P. S., &amp; Tuchschmid, M. (2007). Transport Services. Swiss Centre for Life Cycle Inventories, ecoinvent report No. 14.</t>
        </is>
      </c>
      <c r="I4098">
        <v>0</v>
      </c>
    </row>
    <row r="4099">
      <c r="A4099" t="inlineStr">
        <is>
          <t>Chromium III</t>
        </is>
      </c>
      <c r="B4099">
        <v>1.0411836556541222e-09</v>
      </c>
      <c r="D4099" t="inlineStr">
        <is>
          <t>kilogram</t>
        </is>
      </c>
      <c r="E4099" t="inlineStr">
        <is>
          <t>air</t>
        </is>
      </c>
      <c r="F4099" t="inlineStr">
        <is>
          <t>biosphere</t>
        </is>
      </c>
      <c r="H4099" t="inlineStr">
        <is>
          <t>5.0E-08 kg/kg fuel for diesel locomotives, according to Spielmann et al. (2007)
Spielmann, M., Bauer, C., Dones, R., Institut, P. S., &amp; Tuchschmid, M. (2007). Transport Services. Swiss Centre for Life Cycle Inventories, ecoinvent report No. 14.</t>
        </is>
      </c>
      <c r="I4099">
        <v>0</v>
      </c>
    </row>
    <row r="4100">
      <c r="A4100" t="inlineStr">
        <is>
          <t>Copper ion</t>
        </is>
      </c>
      <c r="B4100">
        <v>3.5400244292240155e-08</v>
      </c>
      <c r="D4100" t="inlineStr">
        <is>
          <t>kilogram</t>
        </is>
      </c>
      <c r="E4100" t="inlineStr">
        <is>
          <t>air</t>
        </is>
      </c>
      <c r="F4100" t="inlineStr">
        <is>
          <t>biosphere</t>
        </is>
      </c>
      <c r="H4100" t="inlineStr">
        <is>
          <t>1.7E-06 kg/kg fuel for diesel locomotives, according to Spielmann et al. (2007)
Spielmann, M., Bauer, C., Dones, R., Institut, P. S., &amp; Tuchschmid, M. (2007). Transport Services. Swiss Centre for Life Cycle Inventories, ecoinvent report No. 14.</t>
        </is>
      </c>
      <c r="I4100">
        <v>0</v>
      </c>
    </row>
    <row r="4101">
      <c r="A4101" t="inlineStr">
        <is>
          <t>Dinitrogen monoxide</t>
        </is>
      </c>
      <c r="B4101">
        <v>2.0823673113082445e-06</v>
      </c>
      <c r="D4101" t="inlineStr">
        <is>
          <t>kilogram</t>
        </is>
      </c>
      <c r="E4101" t="inlineStr">
        <is>
          <t>air</t>
        </is>
      </c>
      <c r="F4101" t="inlineStr">
        <is>
          <t>biosphere</t>
        </is>
      </c>
      <c r="H4101" t="inlineStr">
        <is>
          <t>1.0E-04 kg/kg fuel for diesel locomotives, according to Spielmann et al. (2007)
Spielmann, M., Bauer, C., Dones, R., Institut, P. S., &amp; Tuchschmid, M. (2007). Transport Services. Swiss Centre for Life Cycle Inventories, ecoinvent report No. 14.</t>
        </is>
      </c>
      <c r="I4101">
        <v>0</v>
      </c>
    </row>
    <row r="4102">
      <c r="A4102" t="inlineStr">
        <is>
          <t>Iron ion</t>
        </is>
      </c>
      <c r="B4102">
        <v>3.165665258907264e-05</v>
      </c>
      <c r="D4102" t="inlineStr">
        <is>
          <t>kilogram</t>
        </is>
      </c>
      <c r="E4102" t="inlineStr">
        <is>
          <t>soil</t>
        </is>
      </c>
      <c r="F4102" t="inlineStr">
        <is>
          <t>biosphere</t>
        </is>
      </c>
      <c r="H4102"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102">
        <v>0</v>
      </c>
    </row>
    <row r="4103">
      <c r="A4103" t="inlineStr">
        <is>
          <t>Lead II</t>
        </is>
      </c>
      <c r="B4103">
        <v>2.2906040424390686e-12</v>
      </c>
      <c r="D4103" t="inlineStr">
        <is>
          <t>kilogram</t>
        </is>
      </c>
      <c r="E4103" t="inlineStr">
        <is>
          <t>air</t>
        </is>
      </c>
      <c r="F4103" t="inlineStr">
        <is>
          <t>biosphere</t>
        </is>
      </c>
      <c r="H4103" t="inlineStr">
        <is>
          <t>1.1E-10 kg/kg fuel for diesel locomotives, according to Spielmann et al. (2007)
Spielmann, M., Bauer, C., Dones, R., Institut, P. S., &amp; Tuchschmid, M. (2007). Transport Services. Swiss Centre for Life Cycle Inventories, ecoinvent report No. 14.</t>
        </is>
      </c>
      <c r="I4103">
        <v>0</v>
      </c>
    </row>
    <row r="4104">
      <c r="A4104" t="inlineStr">
        <is>
          <t>Mercury II</t>
        </is>
      </c>
      <c r="B4104">
        <v>4.1647346226164887e-13</v>
      </c>
      <c r="D4104" t="inlineStr">
        <is>
          <t>kilogram</t>
        </is>
      </c>
      <c r="E4104" t="inlineStr">
        <is>
          <t>air</t>
        </is>
      </c>
      <c r="F4104" t="inlineStr">
        <is>
          <t>biosphere</t>
        </is>
      </c>
      <c r="H4104" t="inlineStr">
        <is>
          <t>2.0E-11 kg/kg fuel for diesel locomotives, according to Spielmann et al. (2007)
Spielmann, M., Bauer, C., Dones, R., Institut, P. S., &amp; Tuchschmid, M. (2007). Transport Services. Swiss Centre for Life Cycle Inventories, ecoinvent report No. 14.</t>
        </is>
      </c>
      <c r="I4104">
        <v>0</v>
      </c>
    </row>
    <row r="4105">
      <c r="A4105" t="inlineStr">
        <is>
          <t>Methane, fossil</t>
        </is>
      </c>
      <c r="B4105">
        <v>2.7070775047007178e-06</v>
      </c>
      <c r="D4105" t="inlineStr">
        <is>
          <t>kilogram</t>
        </is>
      </c>
      <c r="E4105" t="inlineStr">
        <is>
          <t>air</t>
        </is>
      </c>
      <c r="F4105" t="inlineStr">
        <is>
          <t>biosphere</t>
        </is>
      </c>
      <c r="H4105" t="inlineStr">
        <is>
          <t>1.3E-04 kg/kg fuel for diesel locomotives, according to Spielmann et al. (2007)
Spielmann, M., Bauer, C., Dones, R., Institut, P. S., &amp; Tuchschmid, M. (2007). Transport Services. Swiss Centre for Life Cycle Inventories, ecoinvent report No. 14.</t>
        </is>
      </c>
      <c r="I4105">
        <v>0</v>
      </c>
    </row>
    <row r="4106">
      <c r="A4106" t="inlineStr">
        <is>
          <t>NMVOC, non-methane volatile organic compounds</t>
        </is>
      </c>
      <c r="B4106">
        <v>0.00010932428384368284</v>
      </c>
      <c r="D4106" t="inlineStr">
        <is>
          <t>kilogram</t>
        </is>
      </c>
      <c r="E4106" t="inlineStr">
        <is>
          <t>air</t>
        </is>
      </c>
      <c r="F4106" t="inlineStr">
        <is>
          <t>biosphere</t>
        </is>
      </c>
      <c r="H4106" t="inlineStr">
        <is>
          <t>5.25E-03 kg/kg fuel for diesel locomotives, according to Spielmann et al. (2007)
Spielmann, M., Bauer, C., Dones, R., Institut, P. S., &amp; Tuchschmid, M. (2007). Transport Services. Swiss Centre for Life Cycle Inventories, ecoinvent report No. 14.</t>
        </is>
      </c>
      <c r="I4106">
        <v>0</v>
      </c>
    </row>
    <row r="4107">
      <c r="A4107" t="inlineStr">
        <is>
          <t>Nickel II</t>
        </is>
      </c>
      <c r="B4107">
        <v>1.4576571179157713e-09</v>
      </c>
      <c r="D4107" t="inlineStr">
        <is>
          <t>kilogram</t>
        </is>
      </c>
      <c r="E4107" t="inlineStr">
        <is>
          <t>air</t>
        </is>
      </c>
      <c r="F4107" t="inlineStr">
        <is>
          <t>biosphere</t>
        </is>
      </c>
      <c r="H4107" t="inlineStr">
        <is>
          <t>7.0E-08 kg/kg fuel for diesel locomotives, according to Spielmann et al. (2007)
Spielmann, M., Bauer, C., Dones, R., Institut, P. S., &amp; Tuchschmid, M. (2007). Transport Services. Swiss Centre for Life Cycle Inventories, ecoinvent report No. 14.</t>
        </is>
      </c>
      <c r="I4107">
        <v>0</v>
      </c>
    </row>
    <row r="4108">
      <c r="A4108" t="inlineStr">
        <is>
          <t>Nitrogen oxides</t>
        </is>
      </c>
      <c r="B4108">
        <v>0.0011453020212195343</v>
      </c>
      <c r="D4108" t="inlineStr">
        <is>
          <t>kilogram</t>
        </is>
      </c>
      <c r="E4108" t="inlineStr">
        <is>
          <t>air::unspecified</t>
        </is>
      </c>
      <c r="F4108" t="inlineStr">
        <is>
          <t>biosphere</t>
        </is>
      </c>
      <c r="H4108" t="inlineStr">
        <is>
          <t>5.5E-02 kg/kg fuel for diesel locomotives, according to Spielmann et al. (2007)
Spielmann, M., Bauer, C., Dones, R., Institut, P. S., &amp; Tuchschmid, M. (2007). Transport Services. Swiss Centre for Life Cycle Inventories, ecoinvent report No. 14.</t>
        </is>
      </c>
      <c r="I4108">
        <v>0</v>
      </c>
    </row>
    <row r="4109">
      <c r="A4109" t="inlineStr">
        <is>
          <t>Particulate Matter, &lt; 2.5 um</t>
        </is>
      </c>
      <c r="B4109">
        <v>2.5613117929091406e-05</v>
      </c>
      <c r="D4109" t="inlineStr">
        <is>
          <t>kilogram</t>
        </is>
      </c>
      <c r="E4109" t="inlineStr">
        <is>
          <t>air</t>
        </is>
      </c>
      <c r="F4109" t="inlineStr">
        <is>
          <t>biosphere</t>
        </is>
      </c>
      <c r="H4109" t="inlineStr">
        <is>
          <t>1.28E-03 kg/kg fuel for diesel locomotives, according to Spielmann et al. (2007)
Spielmann, M., Bauer, C., Dones, R., Institut, P. S., &amp; Tuchschmid, M. (2007). Transport Services. Swiss Centre for Life Cycle Inventories, ecoinvent report No. 14.</t>
        </is>
      </c>
      <c r="I4109">
        <v>0</v>
      </c>
    </row>
    <row r="4110">
      <c r="A4110" t="inlineStr">
        <is>
          <t>Particulate Matter, &gt; 10 um</t>
        </is>
      </c>
      <c r="B4110">
        <v>4.633053826895546e-05</v>
      </c>
      <c r="D4110" t="inlineStr">
        <is>
          <t>kilogram</t>
        </is>
      </c>
      <c r="E4110" t="inlineStr">
        <is>
          <t>air</t>
        </is>
      </c>
      <c r="F4110" t="inlineStr">
        <is>
          <t>biosphere</t>
        </is>
      </c>
      <c r="H4110"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110">
        <v>0</v>
      </c>
    </row>
    <row r="4111">
      <c r="A4111" t="inlineStr">
        <is>
          <t>Particulate Matter, &gt; 2.5 um and &lt; 10um</t>
        </is>
      </c>
      <c r="B4111">
        <v>4.3841313442606596e-05</v>
      </c>
      <c r="D4111" t="inlineStr">
        <is>
          <t>kilogram</t>
        </is>
      </c>
      <c r="E4111" t="inlineStr">
        <is>
          <t>air</t>
        </is>
      </c>
      <c r="F4111" t="inlineStr">
        <is>
          <t>biosphere</t>
        </is>
      </c>
      <c r="H4111"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111">
        <v>0</v>
      </c>
    </row>
    <row r="4112">
      <c r="A4112" t="inlineStr">
        <is>
          <t>Selenium IV</t>
        </is>
      </c>
      <c r="B4112">
        <v>2.0823673113082443e-10</v>
      </c>
      <c r="D4112" t="inlineStr">
        <is>
          <t>kilogram</t>
        </is>
      </c>
      <c r="E4112" t="inlineStr">
        <is>
          <t>air</t>
        </is>
      </c>
      <c r="F4112" t="inlineStr">
        <is>
          <t>biosphere</t>
        </is>
      </c>
      <c r="H4112" t="inlineStr">
        <is>
          <t>1.0E-08 kg/kg fuel for diesel locomotives, according to Spielmann et al. (2007)
Spielmann, M., Bauer, C., Dones, R., Institut, P. S., &amp; Tuchschmid, M. (2007). Transport Services. Swiss Centre for Life Cycle Inventories, ecoinvent report No. 14.</t>
        </is>
      </c>
      <c r="I4112">
        <v>0</v>
      </c>
    </row>
    <row r="4113">
      <c r="A4113" t="inlineStr">
        <is>
          <t>Sulfur dioxide</t>
        </is>
      </c>
      <c r="B4113">
        <v>1.2494203867849466e-05</v>
      </c>
      <c r="D4113" t="inlineStr">
        <is>
          <t>kilogram</t>
        </is>
      </c>
      <c r="E4113" t="inlineStr">
        <is>
          <t>air</t>
        </is>
      </c>
      <c r="F4113" t="inlineStr">
        <is>
          <t>biosphere</t>
        </is>
      </c>
      <c r="H4113" t="inlineStr">
        <is>
          <t>6.0E-04 kg/kg fuel for diesel locomotives, according to Spielmann et al. (2007)
Spielmann, M., Bauer, C., Dones, R., Institut, P. S., &amp; Tuchschmid, M. (2007). Transport Services. Swiss Centre for Life Cycle Inventories, ecoinvent report No. 14.</t>
        </is>
      </c>
      <c r="I4113">
        <v>0</v>
      </c>
    </row>
    <row r="4114">
      <c r="A4114" t="inlineStr">
        <is>
          <t>Toluene</t>
        </is>
      </c>
      <c r="B4114">
        <v>8.329469245232978e-07</v>
      </c>
      <c r="D4114" t="inlineStr">
        <is>
          <t>kilogram</t>
        </is>
      </c>
      <c r="E4114" t="inlineStr">
        <is>
          <t>air</t>
        </is>
      </c>
      <c r="F4114" t="inlineStr">
        <is>
          <t>biosphere</t>
        </is>
      </c>
      <c r="H4114" t="inlineStr">
        <is>
          <t>4.0E-05 kg/kg fuel for diesel locomotives, according to Spielmann et al. (2007)
Spielmann, M., Bauer, C., Dones, R., Institut, P. S., &amp; Tuchschmid, M. (2007). Transport Services. Swiss Centre for Life Cycle Inventories, ecoinvent report No. 14.</t>
        </is>
      </c>
      <c r="I4114">
        <v>0</v>
      </c>
    </row>
    <row r="4115">
      <c r="A4115" t="inlineStr">
        <is>
          <t>Xylenes, unspecified</t>
        </is>
      </c>
      <c r="B4115">
        <v>8.329469245232978e-07</v>
      </c>
      <c r="D4115" t="inlineStr">
        <is>
          <t>kilogram</t>
        </is>
      </c>
      <c r="E4115" t="inlineStr">
        <is>
          <t>air::unspecified</t>
        </is>
      </c>
      <c r="F4115" t="inlineStr">
        <is>
          <t>biosphere</t>
        </is>
      </c>
      <c r="H4115" t="inlineStr">
        <is>
          <t>4.0E-05 kg/kg fuel for diesel locomotives, according to Spielmann et al. (2007)
Spielmann, M., Bauer, C., Dones, R., Institut, P. S., &amp; Tuchschmid, M. (2007). Transport Services. Swiss Centre for Life Cycle Inventories, ecoinvent report No. 14.</t>
        </is>
      </c>
      <c r="I4115">
        <v>0</v>
      </c>
    </row>
    <row r="4116">
      <c r="A4116" t="inlineStr">
        <is>
          <t>Zinc II</t>
        </is>
      </c>
      <c r="B4116">
        <v>2.0823673113082442e-08</v>
      </c>
      <c r="D4116" t="inlineStr">
        <is>
          <t>kilogram</t>
        </is>
      </c>
      <c r="E4116" t="inlineStr">
        <is>
          <t>air</t>
        </is>
      </c>
      <c r="F4116" t="inlineStr">
        <is>
          <t>biosphere</t>
        </is>
      </c>
      <c r="H4116" t="inlineStr">
        <is>
          <t>1.0E-06 kg/kg fuel for diesel locomotives, according to Spielmann et al. (2007)
Spielmann, M., Bauer, C., Dones, R., Institut, P. S., &amp; Tuchschmid, M. (2007). Transport Services. Swiss Centre for Life Cycle Inventories, ecoinvent report No. 14.</t>
        </is>
      </c>
      <c r="I4116">
        <v>0</v>
      </c>
    </row>
    <row r="4117">
      <c r="A4117" t="inlineStr">
        <is>
          <t>Carbon dioxide, non-fossil</t>
        </is>
      </c>
      <c r="B4117">
        <v>0.0732</v>
      </c>
      <c r="D4117" t="inlineStr">
        <is>
          <t>kilogram</t>
        </is>
      </c>
      <c r="E4117" t="inlineStr">
        <is>
          <t>air</t>
        </is>
      </c>
      <c r="F4117" t="inlineStr">
        <is>
          <t>biosphere</t>
        </is>
      </c>
      <c r="I4117">
        <v>0</v>
      </c>
    </row>
    <row r="4118"/>
    <row r="4119">
      <c r="A4119" t="inlineStr">
        <is>
          <t>Activity</t>
        </is>
      </c>
      <c r="B4119" t="inlineStr">
        <is>
          <t>diesel, burned in passenger car</t>
        </is>
      </c>
    </row>
    <row r="4120">
      <c r="A4120" t="inlineStr">
        <is>
          <t>location</t>
        </is>
      </c>
      <c r="B4120" t="inlineStr">
        <is>
          <t>RER</t>
        </is>
      </c>
    </row>
    <row r="4121">
      <c r="A4121" t="inlineStr">
        <is>
          <t>production amount</t>
        </is>
      </c>
      <c r="B4121">
        <v>1</v>
      </c>
    </row>
    <row r="4122">
      <c r="A4122" t="inlineStr">
        <is>
          <t>reference product</t>
        </is>
      </c>
      <c r="B4122" t="inlineStr">
        <is>
          <t>heat</t>
        </is>
      </c>
    </row>
    <row r="4123">
      <c r="A4123" t="inlineStr">
        <is>
          <t>type</t>
        </is>
      </c>
      <c r="B4123" t="inlineStr">
        <is>
          <t>process</t>
        </is>
      </c>
    </row>
    <row r="4124">
      <c r="A4124" t="inlineStr">
        <is>
          <t>unit</t>
        </is>
      </c>
      <c r="B4124" t="inlineStr">
        <is>
          <t>megajoule</t>
        </is>
      </c>
    </row>
    <row r="4125">
      <c r="A4125" t="inlineStr">
        <is>
          <t>Power, mean</t>
        </is>
      </c>
      <c r="B4125">
        <v>126</v>
      </c>
    </row>
    <row r="4126">
      <c r="A4126" t="inlineStr">
        <is>
          <t>Power, min</t>
        </is>
      </c>
      <c r="B4126">
        <v>54</v>
      </c>
    </row>
    <row r="4127">
      <c r="A4127" t="inlineStr">
        <is>
          <t>Power, max</t>
        </is>
      </c>
      <c r="B4127">
        <v>158</v>
      </c>
    </row>
    <row r="4128">
      <c r="A4128" t="inlineStr">
        <is>
          <t>Lifetime, mean</t>
        </is>
      </c>
      <c r="B4128">
        <v>200000</v>
      </c>
    </row>
    <row r="4129">
      <c r="A4129" t="inlineStr">
        <is>
          <t>Lifetime, min</t>
        </is>
      </c>
      <c r="B4129">
        <v>160000</v>
      </c>
    </row>
    <row r="4130">
      <c r="A4130" t="inlineStr">
        <is>
          <t>Lifetime, max</t>
        </is>
      </c>
      <c r="B4130">
        <v>250000</v>
      </c>
    </row>
    <row r="4131">
      <c r="A4131" t="inlineStr">
        <is>
          <t>Energy use, mean</t>
        </is>
      </c>
      <c r="B4131">
        <v>2250</v>
      </c>
    </row>
    <row r="4132">
      <c r="A4132" t="inlineStr">
        <is>
          <t>Energy use, min</t>
        </is>
      </c>
      <c r="B4132">
        <v>1500</v>
      </c>
    </row>
    <row r="4133">
      <c r="A4133" t="inlineStr">
        <is>
          <t>Energy use, max</t>
        </is>
      </c>
      <c r="B4133">
        <v>2900</v>
      </c>
    </row>
    <row r="4134">
      <c r="A4134" t="inlineStr">
        <is>
          <t>Electric motor, mean</t>
        </is>
      </c>
      <c r="B4134">
        <v>0</v>
      </c>
    </row>
    <row r="4135">
      <c r="A4135" t="inlineStr">
        <is>
          <t>Electric motor, min</t>
        </is>
      </c>
      <c r="B4135">
        <v>0</v>
      </c>
    </row>
    <row r="4136">
      <c r="A4136" t="inlineStr">
        <is>
          <t>Electric motor, max</t>
        </is>
      </c>
      <c r="B4136">
        <v>0</v>
      </c>
    </row>
    <row r="4137">
      <c r="A4137" t="inlineStr">
        <is>
          <t>Combustion engine, mean</t>
        </is>
      </c>
      <c r="B4137">
        <v>169</v>
      </c>
    </row>
    <row r="4138">
      <c r="A4138" t="inlineStr">
        <is>
          <t>Combustion engine, min</t>
        </is>
      </c>
      <c r="B4138">
        <v>111</v>
      </c>
    </row>
    <row r="4139">
      <c r="A4139" t="inlineStr">
        <is>
          <t>Combustion engine, max</t>
        </is>
      </c>
      <c r="B4139">
        <v>194</v>
      </c>
    </row>
    <row r="4140">
      <c r="A4140" t="inlineStr">
        <is>
          <t>Fuel tank, mean</t>
        </is>
      </c>
      <c r="B4140">
        <v>48</v>
      </c>
    </row>
    <row r="4141">
      <c r="A4141" t="inlineStr">
        <is>
          <t>Fuel tank, min</t>
        </is>
      </c>
      <c r="B4141">
        <v>30</v>
      </c>
    </row>
    <row r="4142">
      <c r="A4142" t="inlineStr">
        <is>
          <t>Fuel tank, max</t>
        </is>
      </c>
      <c r="B4142">
        <v>48</v>
      </c>
    </row>
    <row r="4143">
      <c r="A4143" t="inlineStr">
        <is>
          <t>Battery capacity, mean</t>
        </is>
      </c>
      <c r="B4143">
        <v>0</v>
      </c>
    </row>
    <row r="4144">
      <c r="A4144" t="inlineStr">
        <is>
          <t>Battery capacity, min</t>
        </is>
      </c>
      <c r="B4144">
        <v>0</v>
      </c>
    </row>
    <row r="4145">
      <c r="A4145" t="inlineStr">
        <is>
          <t>Battery capacity, max</t>
        </is>
      </c>
      <c r="B4145">
        <v>0</v>
      </c>
    </row>
    <row r="4146">
      <c r="A4146" t="inlineStr">
        <is>
          <t>Battery replacement, mean</t>
        </is>
      </c>
      <c r="B4146">
        <v>0</v>
      </c>
    </row>
    <row r="4147">
      <c r="A4147" t="inlineStr">
        <is>
          <t>Battery replacement, min</t>
        </is>
      </c>
      <c r="B4147">
        <v>0</v>
      </c>
    </row>
    <row r="4148">
      <c r="A4148" t="inlineStr">
        <is>
          <t>Battery replacement, max</t>
        </is>
      </c>
      <c r="B4148">
        <v>0</v>
      </c>
    </row>
    <row r="4149">
      <c r="A4149" t="inlineStr">
        <is>
          <t>Fuel cell system, mean</t>
        </is>
      </c>
      <c r="B4149">
        <v>0</v>
      </c>
    </row>
    <row r="4150">
      <c r="A4150" t="inlineStr">
        <is>
          <t>Fuel cell system, min</t>
        </is>
      </c>
      <c r="B4150">
        <v>0</v>
      </c>
    </row>
    <row r="4151">
      <c r="A4151" t="inlineStr">
        <is>
          <t>Fuel cell system, max</t>
        </is>
      </c>
      <c r="B4151">
        <v>0</v>
      </c>
    </row>
    <row r="4152">
      <c r="A4152" t="inlineStr">
        <is>
          <t>Fuel cell stack replacement, mean</t>
        </is>
      </c>
      <c r="B4152">
        <v>0</v>
      </c>
    </row>
    <row r="4153">
      <c r="A4153" t="inlineStr">
        <is>
          <t>Fuel cell replacement, min</t>
        </is>
      </c>
      <c r="B4153">
        <v>0</v>
      </c>
    </row>
    <row r="4154">
      <c r="A4154" t="inlineStr">
        <is>
          <t>Fuel cell replacement, max</t>
        </is>
      </c>
      <c r="B4154">
        <v>0</v>
      </c>
    </row>
    <row r="4155">
      <c r="A4155" t="inlineStr">
        <is>
          <t>Onboard charger mass</t>
        </is>
      </c>
      <c r="B4155">
        <v>0</v>
      </c>
    </row>
    <row r="4156">
      <c r="A4156" t="inlineStr">
        <is>
          <t>Controller mass</t>
        </is>
      </c>
      <c r="B4156">
        <v>0</v>
      </c>
    </row>
    <row r="4157">
      <c r="A4157" t="inlineStr">
        <is>
          <t>Converter mass</t>
        </is>
      </c>
      <c r="B4157">
        <v>0</v>
      </c>
    </row>
    <row r="4158">
      <c r="A4158" t="inlineStr">
        <is>
          <t>Electrical powertrain mass</t>
        </is>
      </c>
      <c r="B4158">
        <v>0</v>
      </c>
    </row>
    <row r="4159">
      <c r="A4159" t="inlineStr">
        <is>
          <t>Inverter mass</t>
        </is>
      </c>
      <c r="B4159">
        <v>0</v>
      </c>
    </row>
    <row r="4160">
      <c r="A4160" t="inlineStr">
        <is>
          <t>NOx</t>
        </is>
      </c>
      <c r="B4160">
        <v>0.2</v>
      </c>
    </row>
    <row r="4161">
      <c r="A4161" t="inlineStr">
        <is>
          <t>PM 2.5</t>
        </is>
      </c>
      <c r="B4161">
        <v>0.0017499999999999998</v>
      </c>
    </row>
    <row r="4162">
      <c r="A4162" t="inlineStr">
        <is>
          <t>energy use source</t>
        </is>
      </c>
      <c r="B4162"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4163">
      <c r="A4163" t="inlineStr">
        <is>
          <t>comment</t>
        </is>
      </c>
      <c r="B4163"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164">
      <c r="A4164" t="inlineStr">
        <is>
          <t>Exchanges</t>
        </is>
      </c>
    </row>
    <row r="4165">
      <c r="A4165" t="inlineStr">
        <is>
          <t>name</t>
        </is>
      </c>
      <c r="B4165" t="inlineStr">
        <is>
          <t>amount</t>
        </is>
      </c>
      <c r="C4165" t="inlineStr">
        <is>
          <t>location</t>
        </is>
      </c>
      <c r="D4165" t="inlineStr">
        <is>
          <t>unit</t>
        </is>
      </c>
      <c r="E4165" t="inlineStr">
        <is>
          <t>categories</t>
        </is>
      </c>
      <c r="F4165" t="inlineStr">
        <is>
          <t>type</t>
        </is>
      </c>
      <c r="G4165" t="inlineStr">
        <is>
          <t>reference product</t>
        </is>
      </c>
      <c r="H4165" t="inlineStr">
        <is>
          <t>comment</t>
        </is>
      </c>
      <c r="I4165" t="inlineStr">
        <is>
          <t>uncertainty type</t>
        </is>
      </c>
    </row>
    <row r="4166">
      <c r="A4166" t="inlineStr">
        <is>
          <t>diesel, burned in passenger car</t>
        </is>
      </c>
      <c r="B4166">
        <v>1.0</v>
      </c>
      <c r="C4166" t="inlineStr">
        <is>
          <t>RER</t>
        </is>
      </c>
      <c r="D4166" t="inlineStr">
        <is>
          <t>megajoule</t>
        </is>
      </c>
      <c r="F4166" t="inlineStr">
        <is>
          <t>production</t>
        </is>
      </c>
      <c r="G4166" t="inlineStr">
        <is>
          <t>heat</t>
        </is>
      </c>
      <c r="I4166">
        <v>0</v>
      </c>
    </row>
    <row r="4167">
      <c r="A4167" t="inlineStr">
        <is>
          <t>market for diesel, low-sulfur</t>
        </is>
      </c>
      <c r="B4167">
        <v>0.023255813953488375</v>
      </c>
      <c r="C4167" t="inlineStr">
        <is>
          <t>Europe without Switzerland</t>
        </is>
      </c>
      <c r="D4167" t="inlineStr">
        <is>
          <t>kilogram</t>
        </is>
      </c>
      <c r="F4167" t="inlineStr">
        <is>
          <t>technosphere</t>
        </is>
      </c>
      <c r="G4167" t="inlineStr">
        <is>
          <t>diesel, low-sulfur</t>
        </is>
      </c>
      <c r="H4167" t="inlineStr">
        <is>
          <t>Default carculator fuel energy preserved (1.86607492037 MJ/vkm); premise reference LHV 43.0 MJ/kg. Regional scenario blend belongs to premise.</t>
        </is>
      </c>
      <c r="I4167">
        <v>0</v>
      </c>
    </row>
    <row r="4168">
      <c r="A4168" t="inlineStr">
        <is>
          <t>treatment of brake wear emissions, passenger car</t>
        </is>
      </c>
      <c r="B4168">
        <v>-7.967052081550097e-06</v>
      </c>
      <c r="C4168" t="inlineStr">
        <is>
          <t>RER</t>
        </is>
      </c>
      <c r="D4168" t="inlineStr">
        <is>
          <t>kilogram</t>
        </is>
      </c>
      <c r="F4168" t="inlineStr">
        <is>
          <t>technosphere</t>
        </is>
      </c>
      <c r="G4168" t="inlineStr">
        <is>
          <t>brake wear emissions, passenger car</t>
        </is>
      </c>
      <c r="I4168">
        <v>0</v>
      </c>
    </row>
    <row r="4169">
      <c r="A4169" t="inlineStr">
        <is>
          <t>treatment of road wear emissions, passenger car</t>
        </is>
      </c>
      <c r="B4169">
        <v>-9.150770397723165e-06</v>
      </c>
      <c r="C4169" t="inlineStr">
        <is>
          <t>RER</t>
        </is>
      </c>
      <c r="D4169" t="inlineStr">
        <is>
          <t>kilogram</t>
        </is>
      </c>
      <c r="F4169" t="inlineStr">
        <is>
          <t>technosphere</t>
        </is>
      </c>
      <c r="G4169" t="inlineStr">
        <is>
          <t>road wear emissions, passenger car</t>
        </is>
      </c>
      <c r="I4169">
        <v>0</v>
      </c>
    </row>
    <row r="4170">
      <c r="A4170" t="inlineStr">
        <is>
          <t>treatment of tyre wear emissions, passenger car</t>
        </is>
      </c>
      <c r="B4170">
        <v>-1.0568832109350394e-05</v>
      </c>
      <c r="C4170" t="inlineStr">
        <is>
          <t>RER</t>
        </is>
      </c>
      <c r="D4170" t="inlineStr">
        <is>
          <t>kilogram</t>
        </is>
      </c>
      <c r="F4170" t="inlineStr">
        <is>
          <t>technosphere</t>
        </is>
      </c>
      <c r="G4170" t="inlineStr">
        <is>
          <t>tyre wear emissions, passenger car</t>
        </is>
      </c>
      <c r="I4170">
        <v>0</v>
      </c>
    </row>
    <row r="4171">
      <c r="A4171" t="inlineStr">
        <is>
          <t>market for tetrafluoroethane, R134a</t>
        </is>
      </c>
      <c r="B4171">
        <v>3.4832470313950515e-06</v>
      </c>
      <c r="C4171" t="inlineStr">
        <is>
          <t>GLO</t>
        </is>
      </c>
      <c r="D4171" t="inlineStr">
        <is>
          <t>kilogram</t>
        </is>
      </c>
      <c r="F4171" t="inlineStr">
        <is>
          <t>technosphere</t>
        </is>
      </c>
      <c r="G4171" t="inlineStr">
        <is>
          <t>tetrafluoroethane, R134a</t>
        </is>
      </c>
      <c r="I4171">
        <v>0</v>
      </c>
    </row>
    <row r="4172">
      <c r="A4172" t="inlineStr">
        <is>
          <t>Toluene</t>
        </is>
      </c>
      <c r="B4172">
        <v>1.8388993477254683e-09</v>
      </c>
      <c r="D4172" t="inlineStr">
        <is>
          <t>kilogram</t>
        </is>
      </c>
      <c r="E4172" t="inlineStr">
        <is>
          <t>air::non-urban air or from high stacks</t>
        </is>
      </c>
      <c r="F4172" t="inlineStr">
        <is>
          <t>biosphere</t>
        </is>
      </c>
      <c r="I4172">
        <v>0</v>
      </c>
    </row>
    <row r="4173">
      <c r="A4173" t="inlineStr">
        <is>
          <t>NMVOC, non-methane volatile organic compounds</t>
        </is>
      </c>
      <c r="B4173">
        <v>1.4657892889270108e-07</v>
      </c>
      <c r="D4173" t="inlineStr">
        <is>
          <t>kilogram</t>
        </is>
      </c>
      <c r="E4173" t="inlineStr">
        <is>
          <t>air::non-urban air or from high stacks</t>
        </is>
      </c>
      <c r="F4173" t="inlineStr">
        <is>
          <t>biosphere</t>
        </is>
      </c>
      <c r="I4173">
        <v>0</v>
      </c>
    </row>
    <row r="4174">
      <c r="A4174" t="inlineStr">
        <is>
          <t>Dinitrogen monoxide</t>
        </is>
      </c>
      <c r="B4174">
        <v>1.3837910754355256e-06</v>
      </c>
      <c r="D4174" t="inlineStr">
        <is>
          <t>kilogram</t>
        </is>
      </c>
      <c r="E4174" t="inlineStr">
        <is>
          <t>air::non-urban air or from high stacks</t>
        </is>
      </c>
      <c r="F4174" t="inlineStr">
        <is>
          <t>biosphere</t>
        </is>
      </c>
      <c r="I4174">
        <v>0</v>
      </c>
    </row>
    <row r="4175">
      <c r="A4175" t="inlineStr">
        <is>
          <t>Ethane</t>
        </is>
      </c>
      <c r="B4175">
        <v>4.072149787837132e-09</v>
      </c>
      <c r="D4175" t="inlineStr">
        <is>
          <t>kilogram</t>
        </is>
      </c>
      <c r="E4175" t="inlineStr">
        <is>
          <t>air::urban air close to ground</t>
        </is>
      </c>
      <c r="F4175" t="inlineStr">
        <is>
          <t>biosphere</t>
        </is>
      </c>
      <c r="I4175">
        <v>0</v>
      </c>
    </row>
    <row r="4176">
      <c r="A4176" t="inlineStr">
        <is>
          <t>Pentane</t>
        </is>
      </c>
      <c r="B4176">
        <v>4.935939064657017e-10</v>
      </c>
      <c r="D4176" t="inlineStr">
        <is>
          <t>kilogram</t>
        </is>
      </c>
      <c r="E4176" t="inlineStr">
        <is>
          <t>air::urban air close to ground</t>
        </is>
      </c>
      <c r="F4176" t="inlineStr">
        <is>
          <t>biosphere</t>
        </is>
      </c>
      <c r="I4176">
        <v>0</v>
      </c>
    </row>
    <row r="4177">
      <c r="A4177" t="inlineStr">
        <is>
          <t>Selenium IV</t>
        </is>
      </c>
      <c r="B4177">
        <v>1.4312488373385127e-12</v>
      </c>
      <c r="D4177" t="inlineStr">
        <is>
          <t>kilogram</t>
        </is>
      </c>
      <c r="E4177" t="inlineStr">
        <is>
          <t>air::non-urban air or from high stacks</t>
        </is>
      </c>
      <c r="F4177" t="inlineStr">
        <is>
          <t>biosphere</t>
        </is>
      </c>
      <c r="I4177">
        <v>0</v>
      </c>
    </row>
    <row r="4178">
      <c r="A4178" t="inlineStr">
        <is>
          <t>Arsenic ion</t>
        </is>
      </c>
      <c r="B4178">
        <v>1.4312488373385127e-12</v>
      </c>
      <c r="D4178" t="inlineStr">
        <is>
          <t>kilogram</t>
        </is>
      </c>
      <c r="E4178" t="inlineStr">
        <is>
          <t>air::non-urban air or from high stacks</t>
        </is>
      </c>
      <c r="F4178" t="inlineStr">
        <is>
          <t>biosphere</t>
        </is>
      </c>
      <c r="I4178">
        <v>0</v>
      </c>
    </row>
    <row r="4179">
      <c r="A4179" t="inlineStr">
        <is>
          <t>Arsenic ion</t>
        </is>
      </c>
      <c r="B4179">
        <v>8.98750956554421e-13</v>
      </c>
      <c r="D4179" t="inlineStr">
        <is>
          <t>kilogram</t>
        </is>
      </c>
      <c r="E4179" t="inlineStr">
        <is>
          <t>air::urban air close to ground</t>
        </is>
      </c>
      <c r="F4179" t="inlineStr">
        <is>
          <t>biosphere</t>
        </is>
      </c>
      <c r="I4179">
        <v>0</v>
      </c>
    </row>
    <row r="4180">
      <c r="A4180" t="inlineStr">
        <is>
          <t>Propylene</t>
        </is>
      </c>
      <c r="B4180">
        <v>9.594256886963272e-09</v>
      </c>
      <c r="D4180" t="inlineStr">
        <is>
          <t>kilogram</t>
        </is>
      </c>
      <c r="E4180" t="inlineStr">
        <is>
          <t>air::non-urban air or from high stacks</t>
        </is>
      </c>
      <c r="F4180" t="inlineStr">
        <is>
          <t>biosphere</t>
        </is>
      </c>
      <c r="I4180">
        <v>0</v>
      </c>
    </row>
    <row r="4181">
      <c r="A4181" t="inlineStr">
        <is>
          <t>Particulate Matter, &lt; 2.5 um</t>
        </is>
      </c>
      <c r="B4181">
        <v>1.636891619531532e-07</v>
      </c>
      <c r="D4181" t="inlineStr">
        <is>
          <t>kilogram</t>
        </is>
      </c>
      <c r="E4181" t="inlineStr">
        <is>
          <t>air::urban air close to ground</t>
        </is>
      </c>
      <c r="F4181" t="inlineStr">
        <is>
          <t>biosphere</t>
        </is>
      </c>
      <c r="I4181">
        <v>0</v>
      </c>
    </row>
    <row r="4182">
      <c r="A4182" t="inlineStr">
        <is>
          <t>Nickel II</t>
        </is>
      </c>
      <c r="B4182">
        <v>2.856355271045539e-12</v>
      </c>
      <c r="D4182" t="inlineStr">
        <is>
          <t>kilogram</t>
        </is>
      </c>
      <c r="E4182" t="inlineStr">
        <is>
          <t>air::non-urban air or from high stacks</t>
        </is>
      </c>
      <c r="F4182" t="inlineStr">
        <is>
          <t>biosphere</t>
        </is>
      </c>
      <c r="I4182">
        <v>0</v>
      </c>
    </row>
    <row r="4183">
      <c r="A4183" t="inlineStr">
        <is>
          <t>Methane, fossil</t>
        </is>
      </c>
      <c r="B4183">
        <v>2.3985624245130236e-06</v>
      </c>
      <c r="D4183" t="inlineStr">
        <is>
          <t>kilogram</t>
        </is>
      </c>
      <c r="E4183" t="inlineStr">
        <is>
          <t>air::non-urban air or from high stacks</t>
        </is>
      </c>
      <c r="F4183" t="inlineStr">
        <is>
          <t>biosphere</t>
        </is>
      </c>
      <c r="I4183">
        <v>0</v>
      </c>
    </row>
    <row r="4184">
      <c r="A4184" t="inlineStr">
        <is>
          <t>Mercury II</t>
        </is>
      </c>
      <c r="B4184">
        <v>7.555519944566824e-11</v>
      </c>
      <c r="D4184" t="inlineStr">
        <is>
          <t>kilogram</t>
        </is>
      </c>
      <c r="E4184" t="inlineStr">
        <is>
          <t>air::non-urban air or from high stacks</t>
        </is>
      </c>
      <c r="F4184" t="inlineStr">
        <is>
          <t>biosphere</t>
        </is>
      </c>
      <c r="I4184">
        <v>0</v>
      </c>
    </row>
    <row r="4185">
      <c r="A4185" t="inlineStr">
        <is>
          <t>Ammonia</t>
        </is>
      </c>
      <c r="B4185">
        <v>8.515878173642505e-07</v>
      </c>
      <c r="D4185" t="inlineStr">
        <is>
          <t>kilogram</t>
        </is>
      </c>
      <c r="E4185" t="inlineStr">
        <is>
          <t>air::non-urban air or from high stacks</t>
        </is>
      </c>
      <c r="F4185" t="inlineStr">
        <is>
          <t>biosphere</t>
        </is>
      </c>
      <c r="I4185">
        <v>0</v>
      </c>
    </row>
    <row r="4186">
      <c r="A4186" t="inlineStr">
        <is>
          <t>Ethane</t>
        </is>
      </c>
      <c r="B4186">
        <v>8.794736114330666e-10</v>
      </c>
      <c r="D4186" t="inlineStr">
        <is>
          <t>kilogram</t>
        </is>
      </c>
      <c r="E4186" t="inlineStr">
        <is>
          <t>air::non-urban air or from high stacks</t>
        </is>
      </c>
      <c r="F4186" t="inlineStr">
        <is>
          <t>biosphere</t>
        </is>
      </c>
      <c r="I4186">
        <v>0</v>
      </c>
    </row>
    <row r="4187">
      <c r="A4187" t="inlineStr">
        <is>
          <t>Nickel II</t>
        </is>
      </c>
      <c r="B4187">
        <v>1.7936446091257316e-12</v>
      </c>
      <c r="D4187" t="inlineStr">
        <is>
          <t>kilogram</t>
        </is>
      </c>
      <c r="E4187" t="inlineStr">
        <is>
          <t>air::urban air close to ground</t>
        </is>
      </c>
      <c r="F4187" t="inlineStr">
        <is>
          <t>biosphere</t>
        </is>
      </c>
      <c r="I4187">
        <v>0</v>
      </c>
    </row>
    <row r="4188">
      <c r="A4188" t="inlineStr">
        <is>
          <t>Cadmium II</t>
        </is>
      </c>
      <c r="B4188">
        <v>7.12553100652158e-13</v>
      </c>
      <c r="D4188" t="inlineStr">
        <is>
          <t>kilogram</t>
        </is>
      </c>
      <c r="E4188" t="inlineStr">
        <is>
          <t>air::non-urban air or from high stacks</t>
        </is>
      </c>
      <c r="F4188" t="inlineStr">
        <is>
          <t>biosphere</t>
        </is>
      </c>
      <c r="I4188">
        <v>0</v>
      </c>
    </row>
    <row r="4189">
      <c r="A4189" t="inlineStr">
        <is>
          <t>Ammonia</t>
        </is>
      </c>
      <c r="B4189">
        <v>5.347535547726079e-07</v>
      </c>
      <c r="D4189" t="inlineStr">
        <is>
          <t>kilogram</t>
        </is>
      </c>
      <c r="E4189" t="inlineStr">
        <is>
          <t>air::urban air close to ground</t>
        </is>
      </c>
      <c r="F4189" t="inlineStr">
        <is>
          <t>biosphere</t>
        </is>
      </c>
      <c r="I4189">
        <v>0</v>
      </c>
    </row>
    <row r="4190">
      <c r="A4190" t="inlineStr">
        <is>
          <t>Butane</t>
        </is>
      </c>
      <c r="B4190">
        <v>2.9315788039353776e-10</v>
      </c>
      <c r="D4190" t="inlineStr">
        <is>
          <t>kilogram</t>
        </is>
      </c>
      <c r="E4190" t="inlineStr">
        <is>
          <t>air::non-urban air or from high stacks</t>
        </is>
      </c>
      <c r="F4190" t="inlineStr">
        <is>
          <t>biosphere</t>
        </is>
      </c>
      <c r="I4190">
        <v>0</v>
      </c>
    </row>
    <row r="4191">
      <c r="A4191" t="inlineStr">
        <is>
          <t>PAH, polycyclic aromatic hydrocarbons</t>
        </is>
      </c>
      <c r="B4191">
        <v>5.091636535281869e-10</v>
      </c>
      <c r="D4191" t="inlineStr">
        <is>
          <t>kilogram</t>
        </is>
      </c>
      <c r="E4191" t="inlineStr">
        <is>
          <t>air::urban air close to ground</t>
        </is>
      </c>
      <c r="F4191" t="inlineStr">
        <is>
          <t>biosphere</t>
        </is>
      </c>
      <c r="I4191">
        <v>0</v>
      </c>
    </row>
    <row r="4192">
      <c r="A4192" t="inlineStr">
        <is>
          <t>Copper ion</t>
        </is>
      </c>
      <c r="B4192">
        <v>8.16979042710669e-11</v>
      </c>
      <c r="D4192" t="inlineStr">
        <is>
          <t>kilogram</t>
        </is>
      </c>
      <c r="E4192" t="inlineStr">
        <is>
          <t>air::non-urban air or from high stacks</t>
        </is>
      </c>
      <c r="F4192" t="inlineStr">
        <is>
          <t>biosphere</t>
        </is>
      </c>
      <c r="I4192">
        <v>0</v>
      </c>
    </row>
    <row r="4193">
      <c r="A4193" t="inlineStr">
        <is>
          <t>Nitrogen oxides</t>
        </is>
      </c>
      <c r="B4193">
        <v>1.2205207650351623e-05</v>
      </c>
      <c r="D4193" t="inlineStr">
        <is>
          <t>kilogram</t>
        </is>
      </c>
      <c r="E4193" t="inlineStr">
        <is>
          <t>air::non-urban air or from high stacks</t>
        </is>
      </c>
      <c r="F4193" t="inlineStr">
        <is>
          <t>biosphere</t>
        </is>
      </c>
      <c r="I4193">
        <v>0</v>
      </c>
    </row>
    <row r="4194">
      <c r="A4194" t="inlineStr">
        <is>
          <t>Butane</t>
        </is>
      </c>
      <c r="B4194">
        <v>1.3573831832855856e-09</v>
      </c>
      <c r="D4194" t="inlineStr">
        <is>
          <t>kilogram</t>
        </is>
      </c>
      <c r="E4194" t="inlineStr">
        <is>
          <t>air::urban air close to ground</t>
        </is>
      </c>
      <c r="F4194" t="inlineStr">
        <is>
          <t>biosphere</t>
        </is>
      </c>
      <c r="I4194">
        <v>0</v>
      </c>
    </row>
    <row r="4195">
      <c r="A4195" t="inlineStr">
        <is>
          <t>Copper ion</t>
        </is>
      </c>
      <c r="B4195">
        <v>5.130209510040208e-11</v>
      </c>
      <c r="D4195" t="inlineStr">
        <is>
          <t>kilogram</t>
        </is>
      </c>
      <c r="E4195" t="inlineStr">
        <is>
          <t>air::urban air close to ground</t>
        </is>
      </c>
      <c r="F4195" t="inlineStr">
        <is>
          <t>biosphere</t>
        </is>
      </c>
      <c r="I4195">
        <v>0</v>
      </c>
    </row>
    <row r="4196">
      <c r="A4196" t="inlineStr">
        <is>
          <t>Chromium III</t>
        </is>
      </c>
      <c r="B4196">
        <v>7.637454356709601e-11</v>
      </c>
      <c r="D4196" t="inlineStr">
        <is>
          <t>kilogram</t>
        </is>
      </c>
      <c r="E4196" t="inlineStr">
        <is>
          <t>air::urban air close to ground</t>
        </is>
      </c>
      <c r="F4196" t="inlineStr">
        <is>
          <t>biosphere</t>
        </is>
      </c>
      <c r="I4196">
        <v>0</v>
      </c>
    </row>
    <row r="4197">
      <c r="A4197" t="inlineStr">
        <is>
          <t>Propane</t>
        </is>
      </c>
      <c r="B4197">
        <v>1.3573831832855856e-09</v>
      </c>
      <c r="D4197" t="inlineStr">
        <is>
          <t>kilogram</t>
        </is>
      </c>
      <c r="E4197" t="inlineStr">
        <is>
          <t>air::urban air close to ground</t>
        </is>
      </c>
      <c r="F4197" t="inlineStr">
        <is>
          <t>biosphere</t>
        </is>
      </c>
      <c r="I4197">
        <v>0</v>
      </c>
    </row>
    <row r="4198">
      <c r="A4198" t="inlineStr">
        <is>
          <t>Toluene</t>
        </is>
      </c>
      <c r="B4198">
        <v>8.514495184008822e-09</v>
      </c>
      <c r="D4198" t="inlineStr">
        <is>
          <t>kilogram</t>
        </is>
      </c>
      <c r="E4198" t="inlineStr">
        <is>
          <t>air::urban air close to ground</t>
        </is>
      </c>
      <c r="F4198" t="inlineStr">
        <is>
          <t>biosphere</t>
        </is>
      </c>
      <c r="I4198">
        <v>0</v>
      </c>
    </row>
    <row r="4199">
      <c r="A4199" t="inlineStr">
        <is>
          <t>Dinitrogen monoxide</t>
        </is>
      </c>
      <c r="B4199">
        <v>8.68949829854063e-07</v>
      </c>
      <c r="D4199" t="inlineStr">
        <is>
          <t>kilogram</t>
        </is>
      </c>
      <c r="E4199" t="inlineStr">
        <is>
          <t>air::urban air close to ground</t>
        </is>
      </c>
      <c r="F4199" t="inlineStr">
        <is>
          <t>biosphere</t>
        </is>
      </c>
      <c r="I4199">
        <v>0</v>
      </c>
    </row>
    <row r="4200">
      <c r="A4200" t="inlineStr">
        <is>
          <t>Zinc II</t>
        </is>
      </c>
      <c r="B4200">
        <v>1.6162087653443074e-10</v>
      </c>
      <c r="D4200" t="inlineStr">
        <is>
          <t>kilogram</t>
        </is>
      </c>
      <c r="E4200" t="inlineStr">
        <is>
          <t>air::urban air close to ground</t>
        </is>
      </c>
      <c r="F4200" t="inlineStr">
        <is>
          <t>biosphere</t>
        </is>
      </c>
      <c r="I4200">
        <v>0</v>
      </c>
    </row>
    <row r="4201">
      <c r="A4201" t="inlineStr">
        <is>
          <t>Chromium VI</t>
        </is>
      </c>
      <c r="B4201">
        <v>2.426366216798939e-13</v>
      </c>
      <c r="D4201" t="inlineStr">
        <is>
          <t>kilogram</t>
        </is>
      </c>
      <c r="E4201" t="inlineStr">
        <is>
          <t>air::non-urban air or from high stacks</t>
        </is>
      </c>
      <c r="F4201" t="inlineStr">
        <is>
          <t>biosphere</t>
        </is>
      </c>
      <c r="I4201">
        <v>0</v>
      </c>
    </row>
    <row r="4202">
      <c r="A4202" t="inlineStr">
        <is>
          <t>Benzene</t>
        </is>
      </c>
      <c r="B4202">
        <v>2.1320570436842153e-08</v>
      </c>
      <c r="D4202" t="inlineStr">
        <is>
          <t>kilogram</t>
        </is>
      </c>
      <c r="E4202" t="inlineStr">
        <is>
          <t>air::non-urban air or from high stacks</t>
        </is>
      </c>
      <c r="F4202" t="inlineStr">
        <is>
          <t>biosphere</t>
        </is>
      </c>
      <c r="I4202">
        <v>0</v>
      </c>
    </row>
    <row r="4203">
      <c r="A4203" t="inlineStr">
        <is>
          <t>Carbon monoxide, fossil</t>
        </is>
      </c>
      <c r="B4203">
        <v>4.486574608647261e-06</v>
      </c>
      <c r="D4203" t="inlineStr">
        <is>
          <t>kilogram</t>
        </is>
      </c>
      <c r="E4203" t="inlineStr">
        <is>
          <t>air::non-urban air or from high stacks</t>
        </is>
      </c>
      <c r="F4203" t="inlineStr">
        <is>
          <t>biosphere</t>
        </is>
      </c>
      <c r="I4203">
        <v>0</v>
      </c>
    </row>
    <row r="4204">
      <c r="A4204" t="inlineStr">
        <is>
          <t>Chromium VI</t>
        </is>
      </c>
      <c r="B4204">
        <v>1.5236336208114335e-13</v>
      </c>
      <c r="D4204" t="inlineStr">
        <is>
          <t>kilogram</t>
        </is>
      </c>
      <c r="E4204" t="inlineStr">
        <is>
          <t>air::urban air close to ground</t>
        </is>
      </c>
      <c r="F4204" t="inlineStr">
        <is>
          <t>biosphere</t>
        </is>
      </c>
      <c r="I4204">
        <v>0</v>
      </c>
    </row>
    <row r="4205">
      <c r="A4205" t="inlineStr">
        <is>
          <t>Methane, fossil</t>
        </is>
      </c>
      <c r="B4205">
        <v>1.5324029278860158e-06</v>
      </c>
      <c r="D4205" t="inlineStr">
        <is>
          <t>kilogram</t>
        </is>
      </c>
      <c r="E4205" t="inlineStr">
        <is>
          <t>air::urban air close to ground</t>
        </is>
      </c>
      <c r="F4205" t="inlineStr">
        <is>
          <t>biosphere</t>
        </is>
      </c>
      <c r="I4205">
        <v>0</v>
      </c>
    </row>
    <row r="4206">
      <c r="A4206" t="inlineStr">
        <is>
          <t>Sulfur dioxide</t>
        </is>
      </c>
      <c r="B4206">
        <v>4.6773094625996215e-07</v>
      </c>
      <c r="D4206" t="inlineStr">
        <is>
          <t>kilogram</t>
        </is>
      </c>
      <c r="E4206" t="inlineStr">
        <is>
          <t>air</t>
        </is>
      </c>
      <c r="F4206" t="inlineStr">
        <is>
          <t>biosphere</t>
        </is>
      </c>
      <c r="I4206">
        <v>0</v>
      </c>
    </row>
    <row r="4207">
      <c r="A4207" t="inlineStr">
        <is>
          <t>NMVOC, non-methane volatile organic compounds</t>
        </is>
      </c>
      <c r="B4207">
        <v>6.786915792678135e-07</v>
      </c>
      <c r="D4207" t="inlineStr">
        <is>
          <t>kilogram</t>
        </is>
      </c>
      <c r="E4207" t="inlineStr">
        <is>
          <t>air::urban air close to ground</t>
        </is>
      </c>
      <c r="F4207" t="inlineStr">
        <is>
          <t>biosphere</t>
        </is>
      </c>
      <c r="I4207">
        <v>0</v>
      </c>
    </row>
    <row r="4208">
      <c r="A4208" t="inlineStr">
        <is>
          <t>Formaldehyde</t>
        </is>
      </c>
      <c r="B4208">
        <v>1.4807816718010298e-07</v>
      </c>
      <c r="D4208" t="inlineStr">
        <is>
          <t>kilogram</t>
        </is>
      </c>
      <c r="E4208" t="inlineStr">
        <is>
          <t>air::urban air close to ground</t>
        </is>
      </c>
      <c r="F4208" t="inlineStr">
        <is>
          <t>biosphere</t>
        </is>
      </c>
      <c r="I4208">
        <v>0</v>
      </c>
    </row>
    <row r="4209">
      <c r="A4209" t="inlineStr">
        <is>
          <t>Nitrogen oxides</t>
        </is>
      </c>
      <c r="B4209">
        <v>1.6646759692298164e-05</v>
      </c>
      <c r="D4209" t="inlineStr">
        <is>
          <t>kilogram</t>
        </is>
      </c>
      <c r="E4209" t="inlineStr">
        <is>
          <t>air::urban air close to ground</t>
        </is>
      </c>
      <c r="F4209" t="inlineStr">
        <is>
          <t>biosphere</t>
        </is>
      </c>
      <c r="I4209">
        <v>0</v>
      </c>
    </row>
    <row r="4210">
      <c r="A4210" t="inlineStr">
        <is>
          <t>Formaldehyde</t>
        </is>
      </c>
      <c r="B4210">
        <v>3.198085755910623e-08</v>
      </c>
      <c r="D4210" t="inlineStr">
        <is>
          <t>kilogram</t>
        </is>
      </c>
      <c r="E4210" t="inlineStr">
        <is>
          <t>air::non-urban air or from high stacks</t>
        </is>
      </c>
      <c r="F4210" t="inlineStr">
        <is>
          <t>biosphere</t>
        </is>
      </c>
      <c r="I4210">
        <v>0</v>
      </c>
    </row>
    <row r="4211">
      <c r="A4211" t="inlineStr">
        <is>
          <t>Zinc II</t>
        </is>
      </c>
      <c r="B4211">
        <v>2.5737910759022457e-10</v>
      </c>
      <c r="D4211" t="inlineStr">
        <is>
          <t>kilogram</t>
        </is>
      </c>
      <c r="E4211" t="inlineStr">
        <is>
          <t>air::non-urban air or from high stacks</t>
        </is>
      </c>
      <c r="F4211" t="inlineStr">
        <is>
          <t>biosphere</t>
        </is>
      </c>
      <c r="I4211">
        <v>0</v>
      </c>
    </row>
    <row r="4212">
      <c r="A4212" t="inlineStr">
        <is>
          <t>Carbon monoxide, fossil</t>
        </is>
      </c>
      <c r="B4212">
        <v>1.4237602031170576e-05</v>
      </c>
      <c r="D4212" t="inlineStr">
        <is>
          <t>kilogram</t>
        </is>
      </c>
      <c r="E4212" t="inlineStr">
        <is>
          <t>air::urban air close to ground</t>
        </is>
      </c>
      <c r="F4212" t="inlineStr">
        <is>
          <t>biosphere</t>
        </is>
      </c>
      <c r="I4212">
        <v>0</v>
      </c>
    </row>
    <row r="4213">
      <c r="A4213" t="inlineStr">
        <is>
          <t>m-Xylene</t>
        </is>
      </c>
      <c r="B4213">
        <v>7.527306895116669e-09</v>
      </c>
      <c r="D4213" t="inlineStr">
        <is>
          <t>kilogram</t>
        </is>
      </c>
      <c r="E4213" t="inlineStr">
        <is>
          <t>air::urban air close to ground</t>
        </is>
      </c>
      <c r="F4213" t="inlineStr">
        <is>
          <t>biosphere</t>
        </is>
      </c>
      <c r="I4213">
        <v>0</v>
      </c>
    </row>
    <row r="4214">
      <c r="A4214" t="inlineStr">
        <is>
          <t>PAH, polycyclic aromatic hydrocarbons</t>
        </is>
      </c>
      <c r="B4214">
        <v>8.108362635164032e-10</v>
      </c>
      <c r="D4214" t="inlineStr">
        <is>
          <t>kilogram</t>
        </is>
      </c>
      <c r="E4214" t="inlineStr">
        <is>
          <t>air::non-urban air or from high stacks</t>
        </is>
      </c>
      <c r="F4214" t="inlineStr">
        <is>
          <t>biosphere</t>
        </is>
      </c>
      <c r="I4214">
        <v>0</v>
      </c>
    </row>
    <row r="4215">
      <c r="A4215" t="inlineStr">
        <is>
          <t>Particulate Matter, &lt; 2.5 um</t>
        </is>
      </c>
      <c r="B4215">
        <v>1.5058152272837298e-07</v>
      </c>
      <c r="D4215" t="inlineStr">
        <is>
          <t>kilogram</t>
        </is>
      </c>
      <c r="E4215" t="inlineStr">
        <is>
          <t>air::non-urban air or from high stacks</t>
        </is>
      </c>
      <c r="F4215" t="inlineStr">
        <is>
          <t>biosphere</t>
        </is>
      </c>
      <c r="I4215">
        <v>0</v>
      </c>
    </row>
    <row r="4216">
      <c r="A4216" t="inlineStr">
        <is>
          <t>Pentane</t>
        </is>
      </c>
      <c r="B4216">
        <v>1.0660286289332767e-10</v>
      </c>
      <c r="D4216" t="inlineStr">
        <is>
          <t>kilogram</t>
        </is>
      </c>
      <c r="E4216" t="inlineStr">
        <is>
          <t>air::non-urban air or from high stacks</t>
        </is>
      </c>
      <c r="F4216" t="inlineStr">
        <is>
          <t>biosphere</t>
        </is>
      </c>
      <c r="I4216">
        <v>0</v>
      </c>
    </row>
    <row r="4217">
      <c r="A4217" t="inlineStr">
        <is>
          <t>1,1,1,2-Tetrafluoroethane</t>
        </is>
      </c>
      <c r="B4217">
        <v>2.00956556691731e-06</v>
      </c>
      <c r="D4217" t="inlineStr">
        <is>
          <t>kilogram</t>
        </is>
      </c>
      <c r="E4217" t="inlineStr">
        <is>
          <t>air</t>
        </is>
      </c>
      <c r="F4217" t="inlineStr">
        <is>
          <t>biosphere</t>
        </is>
      </c>
      <c r="I4217">
        <v>0</v>
      </c>
    </row>
    <row r="4218">
      <c r="A4218" t="inlineStr">
        <is>
          <t>Acetaldehyde</t>
        </is>
      </c>
      <c r="B4218">
        <v>7.983881383537138e-08</v>
      </c>
      <c r="D4218" t="inlineStr">
        <is>
          <t>kilogram</t>
        </is>
      </c>
      <c r="E4218" t="inlineStr">
        <is>
          <t>air::urban air close to ground</t>
        </is>
      </c>
      <c r="F4218" t="inlineStr">
        <is>
          <t>biosphere</t>
        </is>
      </c>
      <c r="I4218">
        <v>0</v>
      </c>
    </row>
    <row r="4219">
      <c r="A4219" t="inlineStr">
        <is>
          <t>Benzene</t>
        </is>
      </c>
      <c r="B4219">
        <v>2.617468470906676e-08</v>
      </c>
      <c r="D4219" t="inlineStr">
        <is>
          <t>kilogram</t>
        </is>
      </c>
      <c r="E4219" t="inlineStr">
        <is>
          <t>air::urban air close to ground</t>
        </is>
      </c>
      <c r="F4219" t="inlineStr">
        <is>
          <t>biosphere</t>
        </is>
      </c>
      <c r="I4219">
        <v>0</v>
      </c>
    </row>
    <row r="4220">
      <c r="A4220" t="inlineStr">
        <is>
          <t>Mercury II</t>
        </is>
      </c>
      <c r="B4220">
        <v>4.74447939061248e-11</v>
      </c>
      <c r="D4220" t="inlineStr">
        <is>
          <t>kilogram</t>
        </is>
      </c>
      <c r="E4220" t="inlineStr">
        <is>
          <t>air::urban air close to ground</t>
        </is>
      </c>
      <c r="F4220" t="inlineStr">
        <is>
          <t>biosphere</t>
        </is>
      </c>
      <c r="I4220">
        <v>0</v>
      </c>
    </row>
    <row r="4221">
      <c r="A4221" t="inlineStr">
        <is>
          <t>Cadmium II</t>
        </is>
      </c>
      <c r="B4221">
        <v>4.4744682628565553e-13</v>
      </c>
      <c r="D4221" t="inlineStr">
        <is>
          <t>kilogram</t>
        </is>
      </c>
      <c r="E4221" t="inlineStr">
        <is>
          <t>air::urban air close to ground</t>
        </is>
      </c>
      <c r="F4221" t="inlineStr">
        <is>
          <t>biosphere</t>
        </is>
      </c>
      <c r="I4221">
        <v>0</v>
      </c>
    </row>
    <row r="4222">
      <c r="A4222" t="inlineStr">
        <is>
          <t>Propane</t>
        </is>
      </c>
      <c r="B4222">
        <v>2.9315788039353776e-10</v>
      </c>
      <c r="D4222" t="inlineStr">
        <is>
          <t>kilogram</t>
        </is>
      </c>
      <c r="E4222" t="inlineStr">
        <is>
          <t>air::non-urban air or from high stacks</t>
        </is>
      </c>
      <c r="F4222" t="inlineStr">
        <is>
          <t>biosphere</t>
        </is>
      </c>
      <c r="I4222">
        <v>0</v>
      </c>
    </row>
    <row r="4223">
      <c r="A4223" t="inlineStr">
        <is>
          <t>Chromium III</t>
        </is>
      </c>
      <c r="B4223">
        <v>1.2162544101483783e-10</v>
      </c>
      <c r="D4223" t="inlineStr">
        <is>
          <t>kilogram</t>
        </is>
      </c>
      <c r="E4223" t="inlineStr">
        <is>
          <t>air::non-urban air or from high stacks</t>
        </is>
      </c>
      <c r="F4223" t="inlineStr">
        <is>
          <t>biosphere</t>
        </is>
      </c>
      <c r="I4223">
        <v>0</v>
      </c>
    </row>
    <row r="4224">
      <c r="A4224" t="inlineStr">
        <is>
          <t>Acetone</t>
        </is>
      </c>
      <c r="B4224">
        <v>3.627915248219963e-08</v>
      </c>
      <c r="D4224" t="inlineStr">
        <is>
          <t>kilogram</t>
        </is>
      </c>
      <c r="E4224" t="inlineStr">
        <is>
          <t>air::urban air close to ground</t>
        </is>
      </c>
      <c r="F4224" t="inlineStr">
        <is>
          <t>biosphere</t>
        </is>
      </c>
      <c r="I4224">
        <v>0</v>
      </c>
    </row>
    <row r="4225">
      <c r="A4225" t="inlineStr">
        <is>
          <t>Acrolein</t>
        </is>
      </c>
      <c r="B4225">
        <v>4.4176654985650857e-08</v>
      </c>
      <c r="D4225" t="inlineStr">
        <is>
          <t>kilogram</t>
        </is>
      </c>
      <c r="E4225" t="inlineStr">
        <is>
          <t>air::urban air close to ground</t>
        </is>
      </c>
      <c r="F4225" t="inlineStr">
        <is>
          <t>biosphere</t>
        </is>
      </c>
      <c r="I4225">
        <v>0</v>
      </c>
    </row>
    <row r="4226">
      <c r="A4226" t="inlineStr">
        <is>
          <t>Benzaldehyde</t>
        </is>
      </c>
      <c r="B4226">
        <v>1.061226839406165e-08</v>
      </c>
      <c r="D4226" t="inlineStr">
        <is>
          <t>kilogram</t>
        </is>
      </c>
      <c r="E4226" t="inlineStr">
        <is>
          <t>air::urban air close to ground</t>
        </is>
      </c>
      <c r="F4226" t="inlineStr">
        <is>
          <t>biosphere</t>
        </is>
      </c>
      <c r="I4226">
        <v>0</v>
      </c>
    </row>
    <row r="4227">
      <c r="A4227" t="inlineStr">
        <is>
          <t>Cyclohexane</t>
        </is>
      </c>
      <c r="B4227">
        <v>8.020901039562743e-09</v>
      </c>
      <c r="D4227" t="inlineStr">
        <is>
          <t>kilogram</t>
        </is>
      </c>
      <c r="E4227" t="inlineStr">
        <is>
          <t>air::urban air close to ground</t>
        </is>
      </c>
      <c r="F4227" t="inlineStr">
        <is>
          <t>biosphere</t>
        </is>
      </c>
      <c r="I4227">
        <v>0</v>
      </c>
    </row>
    <row r="4228">
      <c r="A4228" t="inlineStr">
        <is>
          <t>Heptane</t>
        </is>
      </c>
      <c r="B4228">
        <v>2.4679695323285083e-09</v>
      </c>
      <c r="D4228" t="inlineStr">
        <is>
          <t>kilogram</t>
        </is>
      </c>
      <c r="E4228" t="inlineStr">
        <is>
          <t>air::urban air close to ground</t>
        </is>
      </c>
      <c r="F4228" t="inlineStr">
        <is>
          <t>biosphere</t>
        </is>
      </c>
      <c r="I4228">
        <v>0</v>
      </c>
    </row>
    <row r="4229">
      <c r="A4229" t="inlineStr">
        <is>
          <t>Methyl ethyl ketone</t>
        </is>
      </c>
      <c r="B4229">
        <v>1.4807816718010298e-08</v>
      </c>
      <c r="D4229" t="inlineStr">
        <is>
          <t>kilogram</t>
        </is>
      </c>
      <c r="E4229" t="inlineStr">
        <is>
          <t>air::urban air close to ground</t>
        </is>
      </c>
      <c r="F4229" t="inlineStr">
        <is>
          <t>biosphere</t>
        </is>
      </c>
      <c r="I4229">
        <v>0</v>
      </c>
    </row>
    <row r="4230">
      <c r="A4230" t="inlineStr">
        <is>
          <t>o-Xylene</t>
        </is>
      </c>
      <c r="B4230">
        <v>3.331758809148392e-09</v>
      </c>
      <c r="D4230" t="inlineStr">
        <is>
          <t>kilogram</t>
        </is>
      </c>
      <c r="E4230" t="inlineStr">
        <is>
          <t>air::urban air close to ground</t>
        </is>
      </c>
      <c r="F4230" t="inlineStr">
        <is>
          <t>biosphere</t>
        </is>
      </c>
      <c r="I4230">
        <v>0</v>
      </c>
    </row>
    <row r="4231">
      <c r="A4231" t="inlineStr">
        <is>
          <t>Propylene</t>
        </is>
      </c>
      <c r="B4231">
        <v>4.4423450154030895e-08</v>
      </c>
      <c r="D4231" t="inlineStr">
        <is>
          <t>kilogram</t>
        </is>
      </c>
      <c r="E4231" t="inlineStr">
        <is>
          <t>air::urban air close to ground</t>
        </is>
      </c>
      <c r="F4231" t="inlineStr">
        <is>
          <t>biosphere</t>
        </is>
      </c>
      <c r="I4231">
        <v>0</v>
      </c>
    </row>
    <row r="4232">
      <c r="A4232" t="inlineStr">
        <is>
          <t>Selenium IV</t>
        </is>
      </c>
      <c r="B4232">
        <v>8.98750956554421e-13</v>
      </c>
      <c r="D4232" t="inlineStr">
        <is>
          <t>kilogram</t>
        </is>
      </c>
      <c r="E4232" t="inlineStr">
        <is>
          <t>air::urban air close to ground</t>
        </is>
      </c>
      <c r="F4232" t="inlineStr">
        <is>
          <t>biosphere</t>
        </is>
      </c>
      <c r="I4232">
        <v>0</v>
      </c>
    </row>
    <row r="4233">
      <c r="A4233" t="inlineStr">
        <is>
          <t>Styrene</t>
        </is>
      </c>
      <c r="B4233">
        <v>4.5657434563224585e-09</v>
      </c>
      <c r="D4233" t="inlineStr">
        <is>
          <t>kilogram</t>
        </is>
      </c>
      <c r="E4233" t="inlineStr">
        <is>
          <t>air::urban air close to ground</t>
        </is>
      </c>
      <c r="F4233" t="inlineStr">
        <is>
          <t>biosphere</t>
        </is>
      </c>
      <c r="I4233">
        <v>0</v>
      </c>
    </row>
    <row r="4234">
      <c r="A4234" t="inlineStr">
        <is>
          <t>Acetaldehyde</t>
        </is>
      </c>
      <c r="B4234">
        <v>1.7243010879114162e-08</v>
      </c>
      <c r="D4234" t="inlineStr">
        <is>
          <t>kilogram</t>
        </is>
      </c>
      <c r="E4234" t="inlineStr">
        <is>
          <t>air::non-urban air or from high stacks</t>
        </is>
      </c>
      <c r="F4234" t="inlineStr">
        <is>
          <t>biosphere</t>
        </is>
      </c>
      <c r="I4234">
        <v>0</v>
      </c>
    </row>
    <row r="4235">
      <c r="A4235" t="inlineStr">
        <is>
          <t>Acetone</t>
        </is>
      </c>
      <c r="B4235">
        <v>7.835309664097135e-09</v>
      </c>
      <c r="D4235" t="inlineStr">
        <is>
          <t>kilogram</t>
        </is>
      </c>
      <c r="E4235" t="inlineStr">
        <is>
          <t>air::non-urban air or from high stacks</t>
        </is>
      </c>
      <c r="F4235" t="inlineStr">
        <is>
          <t>biosphere</t>
        </is>
      </c>
      <c r="I4235">
        <v>0</v>
      </c>
    </row>
    <row r="4236">
      <c r="A4236" t="inlineStr">
        <is>
          <t>Acrolein</t>
        </is>
      </c>
      <c r="B4236">
        <v>9.540955946351132e-09</v>
      </c>
      <c r="D4236" t="inlineStr">
        <is>
          <t>kilogram</t>
        </is>
      </c>
      <c r="E4236" t="inlineStr">
        <is>
          <t>air::non-urban air or from high stacks</t>
        </is>
      </c>
      <c r="F4236" t="inlineStr">
        <is>
          <t>biosphere</t>
        </is>
      </c>
      <c r="I4236">
        <v>0</v>
      </c>
    </row>
    <row r="4237">
      <c r="A4237" t="inlineStr">
        <is>
          <t>Benzaldehyde</t>
        </is>
      </c>
      <c r="B4237">
        <v>2.291961388595036e-09</v>
      </c>
      <c r="D4237" t="inlineStr">
        <is>
          <t>kilogram</t>
        </is>
      </c>
      <c r="E4237" t="inlineStr">
        <is>
          <t>air::non-urban air or from high stacks</t>
        </is>
      </c>
      <c r="F4237" t="inlineStr">
        <is>
          <t>biosphere</t>
        </is>
      </c>
      <c r="I4237">
        <v>0</v>
      </c>
    </row>
    <row r="4238">
      <c r="A4238" t="inlineStr">
        <is>
          <t>Cyclohexane</t>
        </is>
      </c>
      <c r="B4238">
        <v>1.7322965145796874e-09</v>
      </c>
      <c r="D4238" t="inlineStr">
        <is>
          <t>kilogram</t>
        </is>
      </c>
      <c r="E4238" t="inlineStr">
        <is>
          <t>air::non-urban air or from high stacks</t>
        </is>
      </c>
      <c r="F4238" t="inlineStr">
        <is>
          <t>biosphere</t>
        </is>
      </c>
      <c r="I4238">
        <v>0</v>
      </c>
    </row>
    <row r="4239">
      <c r="A4239" t="inlineStr">
        <is>
          <t>Heptane</t>
        </is>
      </c>
      <c r="B4239">
        <v>5.330142847190914e-10</v>
      </c>
      <c r="D4239" t="inlineStr">
        <is>
          <t>kilogram</t>
        </is>
      </c>
      <c r="E4239" t="inlineStr">
        <is>
          <t>air::non-urban air or from high stacks</t>
        </is>
      </c>
      <c r="F4239" t="inlineStr">
        <is>
          <t>biosphere</t>
        </is>
      </c>
      <c r="I4239">
        <v>0</v>
      </c>
    </row>
    <row r="4240">
      <c r="A4240" t="inlineStr">
        <is>
          <t>Methyl ethyl ketone</t>
        </is>
      </c>
      <c r="B4240">
        <v>3.198085708314548e-09</v>
      </c>
      <c r="D4240" t="inlineStr">
        <is>
          <t>kilogram</t>
        </is>
      </c>
      <c r="E4240" t="inlineStr">
        <is>
          <t>air::non-urban air or from high stacks</t>
        </is>
      </c>
      <c r="F4240" t="inlineStr">
        <is>
          <t>biosphere</t>
        </is>
      </c>
      <c r="I4240">
        <v>0</v>
      </c>
    </row>
    <row r="4241">
      <c r="A4241" t="inlineStr">
        <is>
          <t>m-Xylene</t>
        </is>
      </c>
      <c r="B4241">
        <v>1.6256935624437191e-09</v>
      </c>
      <c r="D4241" t="inlineStr">
        <is>
          <t>kilogram</t>
        </is>
      </c>
      <c r="E4241" t="inlineStr">
        <is>
          <t>air::non-urban air or from high stacks</t>
        </is>
      </c>
      <c r="F4241" t="inlineStr">
        <is>
          <t>biosphere</t>
        </is>
      </c>
      <c r="I4241">
        <v>0</v>
      </c>
    </row>
    <row r="4242">
      <c r="A4242" t="inlineStr">
        <is>
          <t>o-Xylene</t>
        </is>
      </c>
      <c r="B4242">
        <v>7.195693022193013e-10</v>
      </c>
      <c r="D4242" t="inlineStr">
        <is>
          <t>kilogram</t>
        </is>
      </c>
      <c r="E4242" t="inlineStr">
        <is>
          <t>air::non-urban air or from high stacks</t>
        </is>
      </c>
      <c r="F4242" t="inlineStr">
        <is>
          <t>biosphere</t>
        </is>
      </c>
      <c r="I4242">
        <v>0</v>
      </c>
    </row>
    <row r="4243">
      <c r="A4243" t="inlineStr">
        <is>
          <t>Styrene</t>
        </is>
      </c>
      <c r="B4243">
        <v>9.86076444578847e-10</v>
      </c>
      <c r="D4243" t="inlineStr">
        <is>
          <t>kilogram</t>
        </is>
      </c>
      <c r="E4243" t="inlineStr">
        <is>
          <t>air::non-urban air or from high stacks</t>
        </is>
      </c>
      <c r="F4243" t="inlineStr">
        <is>
          <t>biosphere</t>
        </is>
      </c>
      <c r="I4243">
        <v>0</v>
      </c>
    </row>
    <row r="4244">
      <c r="A4244" t="inlineStr">
        <is>
          <t>Ethylene</t>
        </is>
      </c>
      <c r="B4244">
        <v>1.3536812652791e-07</v>
      </c>
      <c r="D4244" t="inlineStr">
        <is>
          <t>kilogram</t>
        </is>
      </c>
      <c r="E4244" t="inlineStr">
        <is>
          <t>air::urban air close to ground</t>
        </is>
      </c>
      <c r="F4244" t="inlineStr">
        <is>
          <t>biosphere</t>
        </is>
      </c>
      <c r="I4244">
        <v>0</v>
      </c>
    </row>
    <row r="4245">
      <c r="A4245" t="inlineStr">
        <is>
          <t>Ethylene</t>
        </is>
      </c>
      <c r="B4245">
        <v>2.923583389166125e-08</v>
      </c>
      <c r="D4245" t="inlineStr">
        <is>
          <t>kilogram</t>
        </is>
      </c>
      <c r="E4245" t="inlineStr">
        <is>
          <t>air::non-urban air or from high stacks</t>
        </is>
      </c>
      <c r="F4245" t="inlineStr">
        <is>
          <t>biosphere</t>
        </is>
      </c>
      <c r="I4245">
        <v>0</v>
      </c>
    </row>
    <row r="4246">
      <c r="A4246" t="inlineStr">
        <is>
          <t>market for internal combustion engine, passenger car</t>
        </is>
      </c>
      <c r="B4246">
        <v>0.0007866161325923368</v>
      </c>
      <c r="C4246" t="inlineStr">
        <is>
          <t>GLO</t>
        </is>
      </c>
      <c r="D4246" t="inlineStr">
        <is>
          <t>kilogram</t>
        </is>
      </c>
      <c r="F4246" t="inlineStr">
        <is>
          <t>technosphere</t>
        </is>
      </c>
      <c r="G4246" t="inlineStr">
        <is>
          <t>internal combustion engine, passenger car</t>
        </is>
      </c>
      <c r="H4246" t="inlineStr">
        <is>
          <t> Energy-use allocation: 293.5769348144531 * 4.999999873689376e-06 / 1.866074920371751 MJ per kilometer.</t>
        </is>
      </c>
      <c r="I4246">
        <v>0</v>
      </c>
    </row>
    <row r="4247">
      <c r="A4247" t="inlineStr">
        <is>
          <t>market for waste plastic, industrial electronics</t>
        </is>
      </c>
      <c r="B4247">
        <v>-0.00013127930051786527</v>
      </c>
      <c r="C4247" t="inlineStr">
        <is>
          <t>CH</t>
        </is>
      </c>
      <c r="D4247" t="inlineStr">
        <is>
          <t>kilogram</t>
        </is>
      </c>
      <c r="F4247" t="inlineStr">
        <is>
          <t>technosphere</t>
        </is>
      </c>
      <c r="G4247" t="inlineStr">
        <is>
          <t>waste plastic, industrial electronics</t>
        </is>
      </c>
      <c r="H4247" t="inlineStr">
        <is>
          <t> Energy-use allocation: -48.99540328979492 * 4.999999873689376e-06 / 1.866074920371751 MJ per kilometer.</t>
        </is>
      </c>
      <c r="I4247">
        <v>0</v>
      </c>
    </row>
    <row r="4248">
      <c r="A4248" t="inlineStr">
        <is>
          <t>polyethylene production, high density, granulate</t>
        </is>
      </c>
      <c r="B4248">
        <v>0.00013127930051786527</v>
      </c>
      <c r="C4248" t="inlineStr">
        <is>
          <t>RER</t>
        </is>
      </c>
      <c r="D4248" t="inlineStr">
        <is>
          <t>kilogram</t>
        </is>
      </c>
      <c r="F4248" t="inlineStr">
        <is>
          <t>technosphere</t>
        </is>
      </c>
      <c r="G4248" t="inlineStr">
        <is>
          <t>polyethylene, high density, granulate</t>
        </is>
      </c>
      <c r="H4248" t="inlineStr">
        <is>
          <t> Energy-use allocation: 48.99540328979492 * 4.999999873689376e-06 / 1.866074920371751 MJ per kilometer.</t>
        </is>
      </c>
      <c r="I4248">
        <v>0</v>
      </c>
    </row>
    <row r="4249">
      <c r="A4249" t="inlineStr">
        <is>
          <t>Carbon dioxide, fossil</t>
        </is>
      </c>
      <c r="B4249">
        <v>0.07320000000000003</v>
      </c>
      <c r="D4249" t="inlineStr">
        <is>
          <t>kilogram</t>
        </is>
      </c>
      <c r="E4249" t="inlineStr">
        <is>
          <t>air</t>
        </is>
      </c>
      <c r="F4249" t="inlineStr">
        <is>
          <t>biosphere</t>
        </is>
      </c>
      <c r="H4249" t="inlineStr">
        <is>
          <t>Reference fuel full-oxidation CO2; premise reclassifies fossil/biogenic emissions with its regional blend. Other carbon pollutants remain model defaults (not an elemental closure).</t>
        </is>
      </c>
      <c r="I4249">
        <v>0</v>
      </c>
    </row>
    <row r="4250"/>
    <row r="4251">
      <c r="A4251" t="inlineStr">
        <is>
          <t>Activity</t>
        </is>
      </c>
      <c r="B4251" t="inlineStr">
        <is>
          <t>biodiesel, from residual oily biomass, burned in passenger car</t>
        </is>
      </c>
    </row>
    <row r="4252">
      <c r="A4252" t="inlineStr">
        <is>
          <t>location</t>
        </is>
      </c>
      <c r="B4252" t="inlineStr">
        <is>
          <t>RER</t>
        </is>
      </c>
    </row>
    <row r="4253">
      <c r="A4253" t="inlineStr">
        <is>
          <t>production amount</t>
        </is>
      </c>
      <c r="B4253">
        <v>1</v>
      </c>
    </row>
    <row r="4254">
      <c r="A4254" t="inlineStr">
        <is>
          <t>reference product</t>
        </is>
      </c>
      <c r="B4254" t="inlineStr">
        <is>
          <t>heat</t>
        </is>
      </c>
    </row>
    <row r="4255">
      <c r="A4255" t="inlineStr">
        <is>
          <t>type</t>
        </is>
      </c>
      <c r="B4255" t="inlineStr">
        <is>
          <t>process</t>
        </is>
      </c>
    </row>
    <row r="4256">
      <c r="A4256" t="inlineStr">
        <is>
          <t>unit</t>
        </is>
      </c>
      <c r="B4256" t="inlineStr">
        <is>
          <t>megajoule</t>
        </is>
      </c>
    </row>
    <row r="4257">
      <c r="A4257" t="inlineStr">
        <is>
          <t>Power, mean</t>
        </is>
      </c>
      <c r="B4257">
        <v>126</v>
      </c>
    </row>
    <row r="4258">
      <c r="A4258" t="inlineStr">
        <is>
          <t>Power, min</t>
        </is>
      </c>
      <c r="B4258">
        <v>54</v>
      </c>
    </row>
    <row r="4259">
      <c r="A4259" t="inlineStr">
        <is>
          <t>Power, max</t>
        </is>
      </c>
      <c r="B4259">
        <v>158</v>
      </c>
    </row>
    <row r="4260">
      <c r="A4260" t="inlineStr">
        <is>
          <t>Lifetime, mean</t>
        </is>
      </c>
      <c r="B4260">
        <v>200000</v>
      </c>
    </row>
    <row r="4261">
      <c r="A4261" t="inlineStr">
        <is>
          <t>Lifetime, min</t>
        </is>
      </c>
      <c r="B4261">
        <v>160000</v>
      </c>
    </row>
    <row r="4262">
      <c r="A4262" t="inlineStr">
        <is>
          <t>Lifetime, max</t>
        </is>
      </c>
      <c r="B4262">
        <v>250000</v>
      </c>
    </row>
    <row r="4263">
      <c r="A4263" t="inlineStr">
        <is>
          <t>Energy use, mean</t>
        </is>
      </c>
      <c r="B4263">
        <v>2250</v>
      </c>
    </row>
    <row r="4264">
      <c r="A4264" t="inlineStr">
        <is>
          <t>Energy use, min</t>
        </is>
      </c>
      <c r="B4264">
        <v>1500</v>
      </c>
    </row>
    <row r="4265">
      <c r="A4265" t="inlineStr">
        <is>
          <t>Energy use, max</t>
        </is>
      </c>
      <c r="B4265">
        <v>2900</v>
      </c>
    </row>
    <row r="4266">
      <c r="A4266" t="inlineStr">
        <is>
          <t>Electric motor, mean</t>
        </is>
      </c>
      <c r="B4266">
        <v>0</v>
      </c>
    </row>
    <row r="4267">
      <c r="A4267" t="inlineStr">
        <is>
          <t>Electric motor, min</t>
        </is>
      </c>
      <c r="B4267">
        <v>0</v>
      </c>
    </row>
    <row r="4268">
      <c r="A4268" t="inlineStr">
        <is>
          <t>Electric motor, max</t>
        </is>
      </c>
      <c r="B4268">
        <v>0</v>
      </c>
    </row>
    <row r="4269">
      <c r="A4269" t="inlineStr">
        <is>
          <t>Combustion engine, mean</t>
        </is>
      </c>
      <c r="B4269">
        <v>169</v>
      </c>
    </row>
    <row r="4270">
      <c r="A4270" t="inlineStr">
        <is>
          <t>Combustion engine, min</t>
        </is>
      </c>
      <c r="B4270">
        <v>111</v>
      </c>
    </row>
    <row r="4271">
      <c r="A4271" t="inlineStr">
        <is>
          <t>Combustion engine, max</t>
        </is>
      </c>
      <c r="B4271">
        <v>194</v>
      </c>
    </row>
    <row r="4272">
      <c r="A4272" t="inlineStr">
        <is>
          <t>Fuel tank, mean</t>
        </is>
      </c>
      <c r="B4272">
        <v>48</v>
      </c>
    </row>
    <row r="4273">
      <c r="A4273" t="inlineStr">
        <is>
          <t>Fuel tank, min</t>
        </is>
      </c>
      <c r="B4273">
        <v>30</v>
      </c>
    </row>
    <row r="4274">
      <c r="A4274" t="inlineStr">
        <is>
          <t>Fuel tank, max</t>
        </is>
      </c>
      <c r="B4274">
        <v>48</v>
      </c>
    </row>
    <row r="4275">
      <c r="A4275" t="inlineStr">
        <is>
          <t>Battery capacity, mean</t>
        </is>
      </c>
      <c r="B4275">
        <v>0</v>
      </c>
    </row>
    <row r="4276">
      <c r="A4276" t="inlineStr">
        <is>
          <t>Battery capacity, min</t>
        </is>
      </c>
      <c r="B4276">
        <v>0</v>
      </c>
    </row>
    <row r="4277">
      <c r="A4277" t="inlineStr">
        <is>
          <t>Battery capacity, max</t>
        </is>
      </c>
      <c r="B4277">
        <v>0</v>
      </c>
    </row>
    <row r="4278">
      <c r="A4278" t="inlineStr">
        <is>
          <t>Battery replacement, mean</t>
        </is>
      </c>
      <c r="B4278">
        <v>0</v>
      </c>
    </row>
    <row r="4279">
      <c r="A4279" t="inlineStr">
        <is>
          <t>Battery replacement, min</t>
        </is>
      </c>
      <c r="B4279">
        <v>0</v>
      </c>
    </row>
    <row r="4280">
      <c r="A4280" t="inlineStr">
        <is>
          <t>Battery replacement, max</t>
        </is>
      </c>
      <c r="B4280">
        <v>0</v>
      </c>
    </row>
    <row r="4281">
      <c r="A4281" t="inlineStr">
        <is>
          <t>Fuel cell system, mean</t>
        </is>
      </c>
      <c r="B4281">
        <v>0</v>
      </c>
    </row>
    <row r="4282">
      <c r="A4282" t="inlineStr">
        <is>
          <t>Fuel cell system, min</t>
        </is>
      </c>
      <c r="B4282">
        <v>0</v>
      </c>
    </row>
    <row r="4283">
      <c r="A4283" t="inlineStr">
        <is>
          <t>Fuel cell system, max</t>
        </is>
      </c>
      <c r="B4283">
        <v>0</v>
      </c>
    </row>
    <row r="4284">
      <c r="A4284" t="inlineStr">
        <is>
          <t>Fuel cell stack replacement, mean</t>
        </is>
      </c>
      <c r="B4284">
        <v>0</v>
      </c>
    </row>
    <row r="4285">
      <c r="A4285" t="inlineStr">
        <is>
          <t>Fuel cell replacement, min</t>
        </is>
      </c>
      <c r="B4285">
        <v>0</v>
      </c>
    </row>
    <row r="4286">
      <c r="A4286" t="inlineStr">
        <is>
          <t>Fuel cell replacement, max</t>
        </is>
      </c>
      <c r="B4286">
        <v>0</v>
      </c>
    </row>
    <row r="4287">
      <c r="A4287" t="inlineStr">
        <is>
          <t>Onboard charger mass</t>
        </is>
      </c>
      <c r="B4287">
        <v>0</v>
      </c>
    </row>
    <row r="4288">
      <c r="A4288" t="inlineStr">
        <is>
          <t>Controller mass</t>
        </is>
      </c>
      <c r="B4288">
        <v>0</v>
      </c>
    </row>
    <row r="4289">
      <c r="A4289" t="inlineStr">
        <is>
          <t>Converter mass</t>
        </is>
      </c>
      <c r="B4289">
        <v>0</v>
      </c>
    </row>
    <row r="4290">
      <c r="A4290" t="inlineStr">
        <is>
          <t>Electrical powertrain mass</t>
        </is>
      </c>
      <c r="B4290">
        <v>0</v>
      </c>
    </row>
    <row r="4291">
      <c r="A4291" t="inlineStr">
        <is>
          <t>Inverter mass</t>
        </is>
      </c>
      <c r="B4291">
        <v>0</v>
      </c>
    </row>
    <row r="4292">
      <c r="A4292" t="inlineStr">
        <is>
          <t>NOx</t>
        </is>
      </c>
      <c r="B4292">
        <v>0.2</v>
      </c>
    </row>
    <row r="4293">
      <c r="A4293" t="inlineStr">
        <is>
          <t>PM 2.5</t>
        </is>
      </c>
      <c r="B4293">
        <v>0.0017499999999999998</v>
      </c>
    </row>
    <row r="4294">
      <c r="A4294" t="inlineStr">
        <is>
          <t>energy use source</t>
        </is>
      </c>
      <c r="B4294"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295">
      <c r="A4295" t="inlineStr">
        <is>
          <t>comment</t>
        </is>
      </c>
      <c r="B4295"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296">
      <c r="A4296" t="inlineStr">
        <is>
          <t>Exchanges</t>
        </is>
      </c>
    </row>
    <row r="4297">
      <c r="A4297" t="inlineStr">
        <is>
          <t>name</t>
        </is>
      </c>
      <c r="B4297" t="inlineStr">
        <is>
          <t>amount</t>
        </is>
      </c>
      <c r="C4297" t="inlineStr">
        <is>
          <t>location</t>
        </is>
      </c>
      <c r="D4297" t="inlineStr">
        <is>
          <t>unit</t>
        </is>
      </c>
      <c r="E4297" t="inlineStr">
        <is>
          <t>categories</t>
        </is>
      </c>
      <c r="F4297" t="inlineStr">
        <is>
          <t>type</t>
        </is>
      </c>
      <c r="G4297" t="inlineStr">
        <is>
          <t>reference product</t>
        </is>
      </c>
      <c r="H4297" t="inlineStr">
        <is>
          <t>comment</t>
        </is>
      </c>
      <c r="I4297" t="inlineStr">
        <is>
          <t>uncertainty type</t>
        </is>
      </c>
    </row>
    <row r="4298">
      <c r="A4298" t="inlineStr">
        <is>
          <t>biodiesel, from residual oily biomass, burned in passenger car</t>
        </is>
      </c>
      <c r="B4298">
        <v>1.0</v>
      </c>
      <c r="C4298" t="inlineStr">
        <is>
          <t>RER</t>
        </is>
      </c>
      <c r="D4298" t="inlineStr">
        <is>
          <t>megajoule</t>
        </is>
      </c>
      <c r="F4298" t="inlineStr">
        <is>
          <t>production</t>
        </is>
      </c>
      <c r="G4298" t="inlineStr">
        <is>
          <t>heat</t>
        </is>
      </c>
      <c r="I4298">
        <v>0</v>
      </c>
    </row>
    <row r="4299">
      <c r="A4299" t="inlineStr">
        <is>
          <t>biodiesel production, via transesterification, from used cooking oil, energy allocation</t>
        </is>
      </c>
      <c r="B4299">
        <v>0.02631578947368421</v>
      </c>
      <c r="C4299" t="inlineStr">
        <is>
          <t>RER</t>
        </is>
      </c>
      <c r="D4299" t="inlineStr">
        <is>
          <t>kilogram</t>
        </is>
      </c>
      <c r="F4299" t="inlineStr">
        <is>
          <t>technosphere</t>
        </is>
      </c>
      <c r="G4299" t="inlineStr">
        <is>
          <t>biodiesel, from cooking oil</t>
        </is>
      </c>
      <c r="I4299">
        <v>0</v>
      </c>
    </row>
    <row r="4300">
      <c r="A4300" t="inlineStr">
        <is>
          <t>treatment of brake wear emissions, passenger car</t>
        </is>
      </c>
      <c r="B4300">
        <v>-7.967052081550097e-06</v>
      </c>
      <c r="C4300" t="inlineStr">
        <is>
          <t>RER</t>
        </is>
      </c>
      <c r="D4300" t="inlineStr">
        <is>
          <t>kilogram</t>
        </is>
      </c>
      <c r="F4300" t="inlineStr">
        <is>
          <t>technosphere</t>
        </is>
      </c>
      <c r="G4300" t="inlineStr">
        <is>
          <t>brake wear emissions, passenger car</t>
        </is>
      </c>
      <c r="I4300">
        <v>0</v>
      </c>
    </row>
    <row r="4301">
      <c r="A4301" t="inlineStr">
        <is>
          <t>treatment of road wear emissions, passenger car</t>
        </is>
      </c>
      <c r="B4301">
        <v>-9.150770397723165e-06</v>
      </c>
      <c r="C4301" t="inlineStr">
        <is>
          <t>RER</t>
        </is>
      </c>
      <c r="D4301" t="inlineStr">
        <is>
          <t>kilogram</t>
        </is>
      </c>
      <c r="F4301" t="inlineStr">
        <is>
          <t>technosphere</t>
        </is>
      </c>
      <c r="G4301" t="inlineStr">
        <is>
          <t>road wear emissions, passenger car</t>
        </is>
      </c>
      <c r="I4301">
        <v>0</v>
      </c>
    </row>
    <row r="4302">
      <c r="A4302" t="inlineStr">
        <is>
          <t>treatment of tyre wear emissions, passenger car</t>
        </is>
      </c>
      <c r="B4302">
        <v>-1.0568832109350394e-05</v>
      </c>
      <c r="C4302" t="inlineStr">
        <is>
          <t>RER</t>
        </is>
      </c>
      <c r="D4302" t="inlineStr">
        <is>
          <t>kilogram</t>
        </is>
      </c>
      <c r="F4302" t="inlineStr">
        <is>
          <t>technosphere</t>
        </is>
      </c>
      <c r="G4302" t="inlineStr">
        <is>
          <t>tyre wear emissions, passenger car</t>
        </is>
      </c>
      <c r="I4302">
        <v>0</v>
      </c>
    </row>
    <row r="4303">
      <c r="A4303" t="inlineStr">
        <is>
          <t>market for tetrafluoroethane, R134a</t>
        </is>
      </c>
      <c r="B4303">
        <v>3.4832470313950515e-06</v>
      </c>
      <c r="C4303" t="inlineStr">
        <is>
          <t>GLO</t>
        </is>
      </c>
      <c r="D4303" t="inlineStr">
        <is>
          <t>kilogram</t>
        </is>
      </c>
      <c r="F4303" t="inlineStr">
        <is>
          <t>technosphere</t>
        </is>
      </c>
      <c r="G4303" t="inlineStr">
        <is>
          <t>tetrafluoroethane, R134a</t>
        </is>
      </c>
      <c r="I4303">
        <v>0</v>
      </c>
    </row>
    <row r="4304">
      <c r="A4304" t="inlineStr">
        <is>
          <t>Toluene</t>
        </is>
      </c>
      <c r="B4304">
        <v>1.8388993477254683e-09</v>
      </c>
      <c r="D4304" t="inlineStr">
        <is>
          <t>kilogram</t>
        </is>
      </c>
      <c r="E4304" t="inlineStr">
        <is>
          <t>air::non-urban air or from high stacks</t>
        </is>
      </c>
      <c r="F4304" t="inlineStr">
        <is>
          <t>biosphere</t>
        </is>
      </c>
      <c r="I4304">
        <v>0</v>
      </c>
    </row>
    <row r="4305">
      <c r="A4305" t="inlineStr">
        <is>
          <t>NMVOC, non-methane volatile organic compounds</t>
        </is>
      </c>
      <c r="B4305">
        <v>1.4657892889270108e-07</v>
      </c>
      <c r="D4305" t="inlineStr">
        <is>
          <t>kilogram</t>
        </is>
      </c>
      <c r="E4305" t="inlineStr">
        <is>
          <t>air::non-urban air or from high stacks</t>
        </is>
      </c>
      <c r="F4305" t="inlineStr">
        <is>
          <t>biosphere</t>
        </is>
      </c>
      <c r="I4305">
        <v>0</v>
      </c>
    </row>
    <row r="4306">
      <c r="A4306" t="inlineStr">
        <is>
          <t>Dinitrogen monoxide</t>
        </is>
      </c>
      <c r="B4306">
        <v>1.3837910754355256e-06</v>
      </c>
      <c r="D4306" t="inlineStr">
        <is>
          <t>kilogram</t>
        </is>
      </c>
      <c r="E4306" t="inlineStr">
        <is>
          <t>air::non-urban air or from high stacks</t>
        </is>
      </c>
      <c r="F4306" t="inlineStr">
        <is>
          <t>biosphere</t>
        </is>
      </c>
      <c r="I4306">
        <v>0</v>
      </c>
    </row>
    <row r="4307">
      <c r="A4307" t="inlineStr">
        <is>
          <t>Ethane</t>
        </is>
      </c>
      <c r="B4307">
        <v>4.072149787837132e-09</v>
      </c>
      <c r="D4307" t="inlineStr">
        <is>
          <t>kilogram</t>
        </is>
      </c>
      <c r="E4307" t="inlineStr">
        <is>
          <t>air::urban air close to ground</t>
        </is>
      </c>
      <c r="F4307" t="inlineStr">
        <is>
          <t>biosphere</t>
        </is>
      </c>
      <c r="I4307">
        <v>0</v>
      </c>
    </row>
    <row r="4308">
      <c r="A4308" t="inlineStr">
        <is>
          <t>Pentane</t>
        </is>
      </c>
      <c r="B4308">
        <v>4.935939064657017e-10</v>
      </c>
      <c r="D4308" t="inlineStr">
        <is>
          <t>kilogram</t>
        </is>
      </c>
      <c r="E4308" t="inlineStr">
        <is>
          <t>air::urban air close to ground</t>
        </is>
      </c>
      <c r="F4308" t="inlineStr">
        <is>
          <t>biosphere</t>
        </is>
      </c>
      <c r="I4308">
        <v>0</v>
      </c>
    </row>
    <row r="4309">
      <c r="A4309" t="inlineStr">
        <is>
          <t>Selenium IV</t>
        </is>
      </c>
      <c r="B4309">
        <v>1.4312488373385127e-12</v>
      </c>
      <c r="D4309" t="inlineStr">
        <is>
          <t>kilogram</t>
        </is>
      </c>
      <c r="E4309" t="inlineStr">
        <is>
          <t>air::non-urban air or from high stacks</t>
        </is>
      </c>
      <c r="F4309" t="inlineStr">
        <is>
          <t>biosphere</t>
        </is>
      </c>
      <c r="I4309">
        <v>0</v>
      </c>
    </row>
    <row r="4310">
      <c r="A4310" t="inlineStr">
        <is>
          <t>Arsenic ion</t>
        </is>
      </c>
      <c r="B4310">
        <v>1.4312488373385127e-12</v>
      </c>
      <c r="D4310" t="inlineStr">
        <is>
          <t>kilogram</t>
        </is>
      </c>
      <c r="E4310" t="inlineStr">
        <is>
          <t>air::non-urban air or from high stacks</t>
        </is>
      </c>
      <c r="F4310" t="inlineStr">
        <is>
          <t>biosphere</t>
        </is>
      </c>
      <c r="I4310">
        <v>0</v>
      </c>
    </row>
    <row r="4311">
      <c r="A4311" t="inlineStr">
        <is>
          <t>Arsenic ion</t>
        </is>
      </c>
      <c r="B4311">
        <v>8.98750956554421e-13</v>
      </c>
      <c r="D4311" t="inlineStr">
        <is>
          <t>kilogram</t>
        </is>
      </c>
      <c r="E4311" t="inlineStr">
        <is>
          <t>air::urban air close to ground</t>
        </is>
      </c>
      <c r="F4311" t="inlineStr">
        <is>
          <t>biosphere</t>
        </is>
      </c>
      <c r="I4311">
        <v>0</v>
      </c>
    </row>
    <row r="4312">
      <c r="A4312" t="inlineStr">
        <is>
          <t>Propylene</t>
        </is>
      </c>
      <c r="B4312">
        <v>9.594256886963272e-09</v>
      </c>
      <c r="D4312" t="inlineStr">
        <is>
          <t>kilogram</t>
        </is>
      </c>
      <c r="E4312" t="inlineStr">
        <is>
          <t>air::non-urban air or from high stacks</t>
        </is>
      </c>
      <c r="F4312" t="inlineStr">
        <is>
          <t>biosphere</t>
        </is>
      </c>
      <c r="I4312">
        <v>0</v>
      </c>
    </row>
    <row r="4313">
      <c r="A4313" t="inlineStr">
        <is>
          <t>Particulate Matter, &lt; 2.5 um</t>
        </is>
      </c>
      <c r="B4313">
        <v>1.636891619531532e-07</v>
      </c>
      <c r="D4313" t="inlineStr">
        <is>
          <t>kilogram</t>
        </is>
      </c>
      <c r="E4313" t="inlineStr">
        <is>
          <t>air::urban air close to ground</t>
        </is>
      </c>
      <c r="F4313" t="inlineStr">
        <is>
          <t>biosphere</t>
        </is>
      </c>
      <c r="I4313">
        <v>0</v>
      </c>
    </row>
    <row r="4314">
      <c r="A4314" t="inlineStr">
        <is>
          <t>Nickel II</t>
        </is>
      </c>
      <c r="B4314">
        <v>2.856355271045539e-12</v>
      </c>
      <c r="D4314" t="inlineStr">
        <is>
          <t>kilogram</t>
        </is>
      </c>
      <c r="E4314" t="inlineStr">
        <is>
          <t>air::non-urban air or from high stacks</t>
        </is>
      </c>
      <c r="F4314" t="inlineStr">
        <is>
          <t>biosphere</t>
        </is>
      </c>
      <c r="I4314">
        <v>0</v>
      </c>
    </row>
    <row r="4315">
      <c r="A4315" t="inlineStr">
        <is>
          <t>Methane, fossil</t>
        </is>
      </c>
      <c r="B4315">
        <v>2.3985624245130236e-06</v>
      </c>
      <c r="D4315" t="inlineStr">
        <is>
          <t>kilogram</t>
        </is>
      </c>
      <c r="E4315" t="inlineStr">
        <is>
          <t>air::non-urban air or from high stacks</t>
        </is>
      </c>
      <c r="F4315" t="inlineStr">
        <is>
          <t>biosphere</t>
        </is>
      </c>
      <c r="I4315">
        <v>0</v>
      </c>
    </row>
    <row r="4316">
      <c r="A4316" t="inlineStr">
        <is>
          <t>Mercury II</t>
        </is>
      </c>
      <c r="B4316">
        <v>7.555519944566824e-11</v>
      </c>
      <c r="D4316" t="inlineStr">
        <is>
          <t>kilogram</t>
        </is>
      </c>
      <c r="E4316" t="inlineStr">
        <is>
          <t>air::non-urban air or from high stacks</t>
        </is>
      </c>
      <c r="F4316" t="inlineStr">
        <is>
          <t>biosphere</t>
        </is>
      </c>
      <c r="I4316">
        <v>0</v>
      </c>
    </row>
    <row r="4317">
      <c r="A4317" t="inlineStr">
        <is>
          <t>Ammonia</t>
        </is>
      </c>
      <c r="B4317">
        <v>8.515878173642505e-07</v>
      </c>
      <c r="D4317" t="inlineStr">
        <is>
          <t>kilogram</t>
        </is>
      </c>
      <c r="E4317" t="inlineStr">
        <is>
          <t>air::non-urban air or from high stacks</t>
        </is>
      </c>
      <c r="F4317" t="inlineStr">
        <is>
          <t>biosphere</t>
        </is>
      </c>
      <c r="I4317">
        <v>0</v>
      </c>
    </row>
    <row r="4318">
      <c r="A4318" t="inlineStr">
        <is>
          <t>Ethane</t>
        </is>
      </c>
      <c r="B4318">
        <v>8.794736114330666e-10</v>
      </c>
      <c r="D4318" t="inlineStr">
        <is>
          <t>kilogram</t>
        </is>
      </c>
      <c r="E4318" t="inlineStr">
        <is>
          <t>air::non-urban air or from high stacks</t>
        </is>
      </c>
      <c r="F4318" t="inlineStr">
        <is>
          <t>biosphere</t>
        </is>
      </c>
      <c r="I4318">
        <v>0</v>
      </c>
    </row>
    <row r="4319">
      <c r="A4319" t="inlineStr">
        <is>
          <t>Nickel II</t>
        </is>
      </c>
      <c r="B4319">
        <v>1.7936446091257316e-12</v>
      </c>
      <c r="D4319" t="inlineStr">
        <is>
          <t>kilogram</t>
        </is>
      </c>
      <c r="E4319" t="inlineStr">
        <is>
          <t>air::urban air close to ground</t>
        </is>
      </c>
      <c r="F4319" t="inlineStr">
        <is>
          <t>biosphere</t>
        </is>
      </c>
      <c r="I4319">
        <v>0</v>
      </c>
    </row>
    <row r="4320">
      <c r="A4320" t="inlineStr">
        <is>
          <t>Cadmium II</t>
        </is>
      </c>
      <c r="B4320">
        <v>7.12553100652158e-13</v>
      </c>
      <c r="D4320" t="inlineStr">
        <is>
          <t>kilogram</t>
        </is>
      </c>
      <c r="E4320" t="inlineStr">
        <is>
          <t>air::non-urban air or from high stacks</t>
        </is>
      </c>
      <c r="F4320" t="inlineStr">
        <is>
          <t>biosphere</t>
        </is>
      </c>
      <c r="I4320">
        <v>0</v>
      </c>
    </row>
    <row r="4321">
      <c r="A4321" t="inlineStr">
        <is>
          <t>Ammonia</t>
        </is>
      </c>
      <c r="B4321">
        <v>5.347535547726079e-07</v>
      </c>
      <c r="D4321" t="inlineStr">
        <is>
          <t>kilogram</t>
        </is>
      </c>
      <c r="E4321" t="inlineStr">
        <is>
          <t>air::urban air close to ground</t>
        </is>
      </c>
      <c r="F4321" t="inlineStr">
        <is>
          <t>biosphere</t>
        </is>
      </c>
      <c r="I4321">
        <v>0</v>
      </c>
    </row>
    <row r="4322">
      <c r="A4322" t="inlineStr">
        <is>
          <t>Butane</t>
        </is>
      </c>
      <c r="B4322">
        <v>2.9315788039353776e-10</v>
      </c>
      <c r="D4322" t="inlineStr">
        <is>
          <t>kilogram</t>
        </is>
      </c>
      <c r="E4322" t="inlineStr">
        <is>
          <t>air::non-urban air or from high stacks</t>
        </is>
      </c>
      <c r="F4322" t="inlineStr">
        <is>
          <t>biosphere</t>
        </is>
      </c>
      <c r="I4322">
        <v>0</v>
      </c>
    </row>
    <row r="4323">
      <c r="A4323" t="inlineStr">
        <is>
          <t>PAH, polycyclic aromatic hydrocarbons</t>
        </is>
      </c>
      <c r="B4323">
        <v>5.091636535281869e-10</v>
      </c>
      <c r="D4323" t="inlineStr">
        <is>
          <t>kilogram</t>
        </is>
      </c>
      <c r="E4323" t="inlineStr">
        <is>
          <t>air::urban air close to ground</t>
        </is>
      </c>
      <c r="F4323" t="inlineStr">
        <is>
          <t>biosphere</t>
        </is>
      </c>
      <c r="I4323">
        <v>0</v>
      </c>
    </row>
    <row r="4324">
      <c r="A4324" t="inlineStr">
        <is>
          <t>Copper ion</t>
        </is>
      </c>
      <c r="B4324">
        <v>8.16979042710669e-11</v>
      </c>
      <c r="D4324" t="inlineStr">
        <is>
          <t>kilogram</t>
        </is>
      </c>
      <c r="E4324" t="inlineStr">
        <is>
          <t>air::non-urban air or from high stacks</t>
        </is>
      </c>
      <c r="F4324" t="inlineStr">
        <is>
          <t>biosphere</t>
        </is>
      </c>
      <c r="I4324">
        <v>0</v>
      </c>
    </row>
    <row r="4325">
      <c r="A4325" t="inlineStr">
        <is>
          <t>Nitrogen oxides</t>
        </is>
      </c>
      <c r="B4325">
        <v>1.2205207650351623e-05</v>
      </c>
      <c r="D4325" t="inlineStr">
        <is>
          <t>kilogram</t>
        </is>
      </c>
      <c r="E4325" t="inlineStr">
        <is>
          <t>air::non-urban air or from high stacks</t>
        </is>
      </c>
      <c r="F4325" t="inlineStr">
        <is>
          <t>biosphere</t>
        </is>
      </c>
      <c r="I4325">
        <v>0</v>
      </c>
    </row>
    <row r="4326">
      <c r="A4326" t="inlineStr">
        <is>
          <t>Butane</t>
        </is>
      </c>
      <c r="B4326">
        <v>1.3573831832855856e-09</v>
      </c>
      <c r="D4326" t="inlineStr">
        <is>
          <t>kilogram</t>
        </is>
      </c>
      <c r="E4326" t="inlineStr">
        <is>
          <t>air::urban air close to ground</t>
        </is>
      </c>
      <c r="F4326" t="inlineStr">
        <is>
          <t>biosphere</t>
        </is>
      </c>
      <c r="I4326">
        <v>0</v>
      </c>
    </row>
    <row r="4327">
      <c r="A4327" t="inlineStr">
        <is>
          <t>Copper ion</t>
        </is>
      </c>
      <c r="B4327">
        <v>5.130209510040208e-11</v>
      </c>
      <c r="D4327" t="inlineStr">
        <is>
          <t>kilogram</t>
        </is>
      </c>
      <c r="E4327" t="inlineStr">
        <is>
          <t>air::urban air close to ground</t>
        </is>
      </c>
      <c r="F4327" t="inlineStr">
        <is>
          <t>biosphere</t>
        </is>
      </c>
      <c r="I4327">
        <v>0</v>
      </c>
    </row>
    <row r="4328">
      <c r="A4328" t="inlineStr">
        <is>
          <t>Chromium III</t>
        </is>
      </c>
      <c r="B4328">
        <v>7.637454356709601e-11</v>
      </c>
      <c r="D4328" t="inlineStr">
        <is>
          <t>kilogram</t>
        </is>
      </c>
      <c r="E4328" t="inlineStr">
        <is>
          <t>air::urban air close to ground</t>
        </is>
      </c>
      <c r="F4328" t="inlineStr">
        <is>
          <t>biosphere</t>
        </is>
      </c>
      <c r="I4328">
        <v>0</v>
      </c>
    </row>
    <row r="4329">
      <c r="A4329" t="inlineStr">
        <is>
          <t>Propane</t>
        </is>
      </c>
      <c r="B4329">
        <v>1.3573831832855856e-09</v>
      </c>
      <c r="D4329" t="inlineStr">
        <is>
          <t>kilogram</t>
        </is>
      </c>
      <c r="E4329" t="inlineStr">
        <is>
          <t>air::urban air close to ground</t>
        </is>
      </c>
      <c r="F4329" t="inlineStr">
        <is>
          <t>biosphere</t>
        </is>
      </c>
      <c r="I4329">
        <v>0</v>
      </c>
    </row>
    <row r="4330">
      <c r="A4330" t="inlineStr">
        <is>
          <t>Toluene</t>
        </is>
      </c>
      <c r="B4330">
        <v>8.514495184008822e-09</v>
      </c>
      <c r="D4330" t="inlineStr">
        <is>
          <t>kilogram</t>
        </is>
      </c>
      <c r="E4330" t="inlineStr">
        <is>
          <t>air::urban air close to ground</t>
        </is>
      </c>
      <c r="F4330" t="inlineStr">
        <is>
          <t>biosphere</t>
        </is>
      </c>
      <c r="I4330">
        <v>0</v>
      </c>
    </row>
    <row r="4331">
      <c r="A4331" t="inlineStr">
        <is>
          <t>Dinitrogen monoxide</t>
        </is>
      </c>
      <c r="B4331">
        <v>8.68949829854063e-07</v>
      </c>
      <c r="D4331" t="inlineStr">
        <is>
          <t>kilogram</t>
        </is>
      </c>
      <c r="E4331" t="inlineStr">
        <is>
          <t>air::urban air close to ground</t>
        </is>
      </c>
      <c r="F4331" t="inlineStr">
        <is>
          <t>biosphere</t>
        </is>
      </c>
      <c r="I4331">
        <v>0</v>
      </c>
    </row>
    <row r="4332">
      <c r="A4332" t="inlineStr">
        <is>
          <t>Zinc II</t>
        </is>
      </c>
      <c r="B4332">
        <v>1.6162087653443074e-10</v>
      </c>
      <c r="D4332" t="inlineStr">
        <is>
          <t>kilogram</t>
        </is>
      </c>
      <c r="E4332" t="inlineStr">
        <is>
          <t>air::urban air close to ground</t>
        </is>
      </c>
      <c r="F4332" t="inlineStr">
        <is>
          <t>biosphere</t>
        </is>
      </c>
      <c r="I4332">
        <v>0</v>
      </c>
    </row>
    <row r="4333">
      <c r="A4333" t="inlineStr">
        <is>
          <t>Chromium VI</t>
        </is>
      </c>
      <c r="B4333">
        <v>2.426366216798939e-13</v>
      </c>
      <c r="D4333" t="inlineStr">
        <is>
          <t>kilogram</t>
        </is>
      </c>
      <c r="E4333" t="inlineStr">
        <is>
          <t>air::non-urban air or from high stacks</t>
        </is>
      </c>
      <c r="F4333" t="inlineStr">
        <is>
          <t>biosphere</t>
        </is>
      </c>
      <c r="I4333">
        <v>0</v>
      </c>
    </row>
    <row r="4334">
      <c r="A4334" t="inlineStr">
        <is>
          <t>Benzene</t>
        </is>
      </c>
      <c r="B4334">
        <v>2.1320570436842153e-08</v>
      </c>
      <c r="D4334" t="inlineStr">
        <is>
          <t>kilogram</t>
        </is>
      </c>
      <c r="E4334" t="inlineStr">
        <is>
          <t>air::non-urban air or from high stacks</t>
        </is>
      </c>
      <c r="F4334" t="inlineStr">
        <is>
          <t>biosphere</t>
        </is>
      </c>
      <c r="I4334">
        <v>0</v>
      </c>
    </row>
    <row r="4335">
      <c r="A4335" t="inlineStr">
        <is>
          <t>Carbon monoxide, fossil</t>
        </is>
      </c>
      <c r="B4335">
        <v>4.486574608647261e-06</v>
      </c>
      <c r="D4335" t="inlineStr">
        <is>
          <t>kilogram</t>
        </is>
      </c>
      <c r="E4335" t="inlineStr">
        <is>
          <t>air::non-urban air or from high stacks</t>
        </is>
      </c>
      <c r="F4335" t="inlineStr">
        <is>
          <t>biosphere</t>
        </is>
      </c>
      <c r="I4335">
        <v>0</v>
      </c>
    </row>
    <row r="4336">
      <c r="A4336" t="inlineStr">
        <is>
          <t>Chromium VI</t>
        </is>
      </c>
      <c r="B4336">
        <v>1.5236336208114335e-13</v>
      </c>
      <c r="D4336" t="inlineStr">
        <is>
          <t>kilogram</t>
        </is>
      </c>
      <c r="E4336" t="inlineStr">
        <is>
          <t>air::urban air close to ground</t>
        </is>
      </c>
      <c r="F4336" t="inlineStr">
        <is>
          <t>biosphere</t>
        </is>
      </c>
      <c r="I4336">
        <v>0</v>
      </c>
    </row>
    <row r="4337">
      <c r="A4337" t="inlineStr">
        <is>
          <t>Methane, fossil</t>
        </is>
      </c>
      <c r="B4337">
        <v>1.5324029278860158e-06</v>
      </c>
      <c r="D4337" t="inlineStr">
        <is>
          <t>kilogram</t>
        </is>
      </c>
      <c r="E4337" t="inlineStr">
        <is>
          <t>air::urban air close to ground</t>
        </is>
      </c>
      <c r="F4337" t="inlineStr">
        <is>
          <t>biosphere</t>
        </is>
      </c>
      <c r="I4337">
        <v>0</v>
      </c>
    </row>
    <row r="4338">
      <c r="A4338" t="inlineStr">
        <is>
          <t>Sulfur dioxide</t>
        </is>
      </c>
      <c r="B4338">
        <v>4.6773094625996215e-07</v>
      </c>
      <c r="D4338" t="inlineStr">
        <is>
          <t>kilogram</t>
        </is>
      </c>
      <c r="E4338" t="inlineStr">
        <is>
          <t>air</t>
        </is>
      </c>
      <c r="F4338" t="inlineStr">
        <is>
          <t>biosphere</t>
        </is>
      </c>
      <c r="I4338">
        <v>0</v>
      </c>
    </row>
    <row r="4339">
      <c r="A4339" t="inlineStr">
        <is>
          <t>NMVOC, non-methane volatile organic compounds</t>
        </is>
      </c>
      <c r="B4339">
        <v>6.786915792678135e-07</v>
      </c>
      <c r="D4339" t="inlineStr">
        <is>
          <t>kilogram</t>
        </is>
      </c>
      <c r="E4339" t="inlineStr">
        <is>
          <t>air::urban air close to ground</t>
        </is>
      </c>
      <c r="F4339" t="inlineStr">
        <is>
          <t>biosphere</t>
        </is>
      </c>
      <c r="I4339">
        <v>0</v>
      </c>
    </row>
    <row r="4340">
      <c r="A4340" t="inlineStr">
        <is>
          <t>Formaldehyde</t>
        </is>
      </c>
      <c r="B4340">
        <v>1.4807816718010298e-07</v>
      </c>
      <c r="D4340" t="inlineStr">
        <is>
          <t>kilogram</t>
        </is>
      </c>
      <c r="E4340" t="inlineStr">
        <is>
          <t>air::urban air close to ground</t>
        </is>
      </c>
      <c r="F4340" t="inlineStr">
        <is>
          <t>biosphere</t>
        </is>
      </c>
      <c r="I4340">
        <v>0</v>
      </c>
    </row>
    <row r="4341">
      <c r="A4341" t="inlineStr">
        <is>
          <t>Nitrogen oxides</t>
        </is>
      </c>
      <c r="B4341">
        <v>1.6646759692298164e-05</v>
      </c>
      <c r="D4341" t="inlineStr">
        <is>
          <t>kilogram</t>
        </is>
      </c>
      <c r="E4341" t="inlineStr">
        <is>
          <t>air::urban air close to ground</t>
        </is>
      </c>
      <c r="F4341" t="inlineStr">
        <is>
          <t>biosphere</t>
        </is>
      </c>
      <c r="I4341">
        <v>0</v>
      </c>
    </row>
    <row r="4342">
      <c r="A4342" t="inlineStr">
        <is>
          <t>Formaldehyde</t>
        </is>
      </c>
      <c r="B4342">
        <v>3.198085755910623e-08</v>
      </c>
      <c r="D4342" t="inlineStr">
        <is>
          <t>kilogram</t>
        </is>
      </c>
      <c r="E4342" t="inlineStr">
        <is>
          <t>air::non-urban air or from high stacks</t>
        </is>
      </c>
      <c r="F4342" t="inlineStr">
        <is>
          <t>biosphere</t>
        </is>
      </c>
      <c r="I4342">
        <v>0</v>
      </c>
    </row>
    <row r="4343">
      <c r="A4343" t="inlineStr">
        <is>
          <t>Zinc II</t>
        </is>
      </c>
      <c r="B4343">
        <v>2.5737910759022457e-10</v>
      </c>
      <c r="D4343" t="inlineStr">
        <is>
          <t>kilogram</t>
        </is>
      </c>
      <c r="E4343" t="inlineStr">
        <is>
          <t>air::non-urban air or from high stacks</t>
        </is>
      </c>
      <c r="F4343" t="inlineStr">
        <is>
          <t>biosphere</t>
        </is>
      </c>
      <c r="I4343">
        <v>0</v>
      </c>
    </row>
    <row r="4344">
      <c r="A4344" t="inlineStr">
        <is>
          <t>Carbon monoxide, fossil</t>
        </is>
      </c>
      <c r="B4344">
        <v>1.4237602031170576e-05</v>
      </c>
      <c r="D4344" t="inlineStr">
        <is>
          <t>kilogram</t>
        </is>
      </c>
      <c r="E4344" t="inlineStr">
        <is>
          <t>air::urban air close to ground</t>
        </is>
      </c>
      <c r="F4344" t="inlineStr">
        <is>
          <t>biosphere</t>
        </is>
      </c>
      <c r="I4344">
        <v>0</v>
      </c>
    </row>
    <row r="4345">
      <c r="A4345" t="inlineStr">
        <is>
          <t>m-Xylene</t>
        </is>
      </c>
      <c r="B4345">
        <v>7.527306895116669e-09</v>
      </c>
      <c r="D4345" t="inlineStr">
        <is>
          <t>kilogram</t>
        </is>
      </c>
      <c r="E4345" t="inlineStr">
        <is>
          <t>air::urban air close to ground</t>
        </is>
      </c>
      <c r="F4345" t="inlineStr">
        <is>
          <t>biosphere</t>
        </is>
      </c>
      <c r="I4345">
        <v>0</v>
      </c>
    </row>
    <row r="4346">
      <c r="A4346" t="inlineStr">
        <is>
          <t>PAH, polycyclic aromatic hydrocarbons</t>
        </is>
      </c>
      <c r="B4346">
        <v>8.108362635164032e-10</v>
      </c>
      <c r="D4346" t="inlineStr">
        <is>
          <t>kilogram</t>
        </is>
      </c>
      <c r="E4346" t="inlineStr">
        <is>
          <t>air::non-urban air or from high stacks</t>
        </is>
      </c>
      <c r="F4346" t="inlineStr">
        <is>
          <t>biosphere</t>
        </is>
      </c>
      <c r="I4346">
        <v>0</v>
      </c>
    </row>
    <row r="4347">
      <c r="A4347" t="inlineStr">
        <is>
          <t>Particulate Matter, &lt; 2.5 um</t>
        </is>
      </c>
      <c r="B4347">
        <v>1.5058152272837298e-07</v>
      </c>
      <c r="D4347" t="inlineStr">
        <is>
          <t>kilogram</t>
        </is>
      </c>
      <c r="E4347" t="inlineStr">
        <is>
          <t>air::non-urban air or from high stacks</t>
        </is>
      </c>
      <c r="F4347" t="inlineStr">
        <is>
          <t>biosphere</t>
        </is>
      </c>
      <c r="I4347">
        <v>0</v>
      </c>
    </row>
    <row r="4348">
      <c r="A4348" t="inlineStr">
        <is>
          <t>Pentane</t>
        </is>
      </c>
      <c r="B4348">
        <v>1.0660286289332767e-10</v>
      </c>
      <c r="D4348" t="inlineStr">
        <is>
          <t>kilogram</t>
        </is>
      </c>
      <c r="E4348" t="inlineStr">
        <is>
          <t>air::non-urban air or from high stacks</t>
        </is>
      </c>
      <c r="F4348" t="inlineStr">
        <is>
          <t>biosphere</t>
        </is>
      </c>
      <c r="I4348">
        <v>0</v>
      </c>
    </row>
    <row r="4349">
      <c r="A4349" t="inlineStr">
        <is>
          <t>1,1,1,2-Tetrafluoroethane</t>
        </is>
      </c>
      <c r="B4349">
        <v>2.00956556691731e-06</v>
      </c>
      <c r="D4349" t="inlineStr">
        <is>
          <t>kilogram</t>
        </is>
      </c>
      <c r="E4349" t="inlineStr">
        <is>
          <t>air</t>
        </is>
      </c>
      <c r="F4349" t="inlineStr">
        <is>
          <t>biosphere</t>
        </is>
      </c>
      <c r="I4349">
        <v>0</v>
      </c>
    </row>
    <row r="4350">
      <c r="A4350" t="inlineStr">
        <is>
          <t>Acetaldehyde</t>
        </is>
      </c>
      <c r="B4350">
        <v>7.983881383537138e-08</v>
      </c>
      <c r="D4350" t="inlineStr">
        <is>
          <t>kilogram</t>
        </is>
      </c>
      <c r="E4350" t="inlineStr">
        <is>
          <t>air::urban air close to ground</t>
        </is>
      </c>
      <c r="F4350" t="inlineStr">
        <is>
          <t>biosphere</t>
        </is>
      </c>
      <c r="I4350">
        <v>0</v>
      </c>
    </row>
    <row r="4351">
      <c r="A4351" t="inlineStr">
        <is>
          <t>Benzene</t>
        </is>
      </c>
      <c r="B4351">
        <v>2.617468470906676e-08</v>
      </c>
      <c r="D4351" t="inlineStr">
        <is>
          <t>kilogram</t>
        </is>
      </c>
      <c r="E4351" t="inlineStr">
        <is>
          <t>air::urban air close to ground</t>
        </is>
      </c>
      <c r="F4351" t="inlineStr">
        <is>
          <t>biosphere</t>
        </is>
      </c>
      <c r="I4351">
        <v>0</v>
      </c>
    </row>
    <row r="4352">
      <c r="A4352" t="inlineStr">
        <is>
          <t>Mercury II</t>
        </is>
      </c>
      <c r="B4352">
        <v>4.74447939061248e-11</v>
      </c>
      <c r="D4352" t="inlineStr">
        <is>
          <t>kilogram</t>
        </is>
      </c>
      <c r="E4352" t="inlineStr">
        <is>
          <t>air::urban air close to ground</t>
        </is>
      </c>
      <c r="F4352" t="inlineStr">
        <is>
          <t>biosphere</t>
        </is>
      </c>
      <c r="I4352">
        <v>0</v>
      </c>
    </row>
    <row r="4353">
      <c r="A4353" t="inlineStr">
        <is>
          <t>Cadmium II</t>
        </is>
      </c>
      <c r="B4353">
        <v>4.4744682628565553e-13</v>
      </c>
      <c r="D4353" t="inlineStr">
        <is>
          <t>kilogram</t>
        </is>
      </c>
      <c r="E4353" t="inlineStr">
        <is>
          <t>air::urban air close to ground</t>
        </is>
      </c>
      <c r="F4353" t="inlineStr">
        <is>
          <t>biosphere</t>
        </is>
      </c>
      <c r="I4353">
        <v>0</v>
      </c>
    </row>
    <row r="4354">
      <c r="A4354" t="inlineStr">
        <is>
          <t>Propane</t>
        </is>
      </c>
      <c r="B4354">
        <v>2.9315788039353776e-10</v>
      </c>
      <c r="D4354" t="inlineStr">
        <is>
          <t>kilogram</t>
        </is>
      </c>
      <c r="E4354" t="inlineStr">
        <is>
          <t>air::non-urban air or from high stacks</t>
        </is>
      </c>
      <c r="F4354" t="inlineStr">
        <is>
          <t>biosphere</t>
        </is>
      </c>
      <c r="I4354">
        <v>0</v>
      </c>
    </row>
    <row r="4355">
      <c r="A4355" t="inlineStr">
        <is>
          <t>Chromium III</t>
        </is>
      </c>
      <c r="B4355">
        <v>1.2162544101483783e-10</v>
      </c>
      <c r="D4355" t="inlineStr">
        <is>
          <t>kilogram</t>
        </is>
      </c>
      <c r="E4355" t="inlineStr">
        <is>
          <t>air::non-urban air or from high stacks</t>
        </is>
      </c>
      <c r="F4355" t="inlineStr">
        <is>
          <t>biosphere</t>
        </is>
      </c>
      <c r="I4355">
        <v>0</v>
      </c>
    </row>
    <row r="4356">
      <c r="A4356" t="inlineStr">
        <is>
          <t>Acetone</t>
        </is>
      </c>
      <c r="B4356">
        <v>3.627915248219963e-08</v>
      </c>
      <c r="D4356" t="inlineStr">
        <is>
          <t>kilogram</t>
        </is>
      </c>
      <c r="E4356" t="inlineStr">
        <is>
          <t>air::urban air close to ground</t>
        </is>
      </c>
      <c r="F4356" t="inlineStr">
        <is>
          <t>biosphere</t>
        </is>
      </c>
      <c r="I4356">
        <v>0</v>
      </c>
    </row>
    <row r="4357">
      <c r="A4357" t="inlineStr">
        <is>
          <t>Acrolein</t>
        </is>
      </c>
      <c r="B4357">
        <v>4.4176654985650857e-08</v>
      </c>
      <c r="D4357" t="inlineStr">
        <is>
          <t>kilogram</t>
        </is>
      </c>
      <c r="E4357" t="inlineStr">
        <is>
          <t>air::urban air close to ground</t>
        </is>
      </c>
      <c r="F4357" t="inlineStr">
        <is>
          <t>biosphere</t>
        </is>
      </c>
      <c r="I4357">
        <v>0</v>
      </c>
    </row>
    <row r="4358">
      <c r="A4358" t="inlineStr">
        <is>
          <t>Benzaldehyde</t>
        </is>
      </c>
      <c r="B4358">
        <v>1.061226839406165e-08</v>
      </c>
      <c r="D4358" t="inlineStr">
        <is>
          <t>kilogram</t>
        </is>
      </c>
      <c r="E4358" t="inlineStr">
        <is>
          <t>air::urban air close to ground</t>
        </is>
      </c>
      <c r="F4358" t="inlineStr">
        <is>
          <t>biosphere</t>
        </is>
      </c>
      <c r="I4358">
        <v>0</v>
      </c>
    </row>
    <row r="4359">
      <c r="A4359" t="inlineStr">
        <is>
          <t>Cyclohexane</t>
        </is>
      </c>
      <c r="B4359">
        <v>8.020901039562743e-09</v>
      </c>
      <c r="D4359" t="inlineStr">
        <is>
          <t>kilogram</t>
        </is>
      </c>
      <c r="E4359" t="inlineStr">
        <is>
          <t>air::urban air close to ground</t>
        </is>
      </c>
      <c r="F4359" t="inlineStr">
        <is>
          <t>biosphere</t>
        </is>
      </c>
      <c r="I4359">
        <v>0</v>
      </c>
    </row>
    <row r="4360">
      <c r="A4360" t="inlineStr">
        <is>
          <t>Heptane</t>
        </is>
      </c>
      <c r="B4360">
        <v>2.4679695323285083e-09</v>
      </c>
      <c r="D4360" t="inlineStr">
        <is>
          <t>kilogram</t>
        </is>
      </c>
      <c r="E4360" t="inlineStr">
        <is>
          <t>air::urban air close to ground</t>
        </is>
      </c>
      <c r="F4360" t="inlineStr">
        <is>
          <t>biosphere</t>
        </is>
      </c>
      <c r="I4360">
        <v>0</v>
      </c>
    </row>
    <row r="4361">
      <c r="A4361" t="inlineStr">
        <is>
          <t>Methyl ethyl ketone</t>
        </is>
      </c>
      <c r="B4361">
        <v>1.4807816718010298e-08</v>
      </c>
      <c r="D4361" t="inlineStr">
        <is>
          <t>kilogram</t>
        </is>
      </c>
      <c r="E4361" t="inlineStr">
        <is>
          <t>air::urban air close to ground</t>
        </is>
      </c>
      <c r="F4361" t="inlineStr">
        <is>
          <t>biosphere</t>
        </is>
      </c>
      <c r="I4361">
        <v>0</v>
      </c>
    </row>
    <row r="4362">
      <c r="A4362" t="inlineStr">
        <is>
          <t>o-Xylene</t>
        </is>
      </c>
      <c r="B4362">
        <v>3.331758809148392e-09</v>
      </c>
      <c r="D4362" t="inlineStr">
        <is>
          <t>kilogram</t>
        </is>
      </c>
      <c r="E4362" t="inlineStr">
        <is>
          <t>air::urban air close to ground</t>
        </is>
      </c>
      <c r="F4362" t="inlineStr">
        <is>
          <t>biosphere</t>
        </is>
      </c>
      <c r="I4362">
        <v>0</v>
      </c>
    </row>
    <row r="4363">
      <c r="A4363" t="inlineStr">
        <is>
          <t>Propylene</t>
        </is>
      </c>
      <c r="B4363">
        <v>4.4423450154030895e-08</v>
      </c>
      <c r="D4363" t="inlineStr">
        <is>
          <t>kilogram</t>
        </is>
      </c>
      <c r="E4363" t="inlineStr">
        <is>
          <t>air::urban air close to ground</t>
        </is>
      </c>
      <c r="F4363" t="inlineStr">
        <is>
          <t>biosphere</t>
        </is>
      </c>
      <c r="I4363">
        <v>0</v>
      </c>
    </row>
    <row r="4364">
      <c r="A4364" t="inlineStr">
        <is>
          <t>Selenium IV</t>
        </is>
      </c>
      <c r="B4364">
        <v>8.98750956554421e-13</v>
      </c>
      <c r="D4364" t="inlineStr">
        <is>
          <t>kilogram</t>
        </is>
      </c>
      <c r="E4364" t="inlineStr">
        <is>
          <t>air::urban air close to ground</t>
        </is>
      </c>
      <c r="F4364" t="inlineStr">
        <is>
          <t>biosphere</t>
        </is>
      </c>
      <c r="I4364">
        <v>0</v>
      </c>
    </row>
    <row r="4365">
      <c r="A4365" t="inlineStr">
        <is>
          <t>Styrene</t>
        </is>
      </c>
      <c r="B4365">
        <v>4.5657434563224585e-09</v>
      </c>
      <c r="D4365" t="inlineStr">
        <is>
          <t>kilogram</t>
        </is>
      </c>
      <c r="E4365" t="inlineStr">
        <is>
          <t>air::urban air close to ground</t>
        </is>
      </c>
      <c r="F4365" t="inlineStr">
        <is>
          <t>biosphere</t>
        </is>
      </c>
      <c r="I4365">
        <v>0</v>
      </c>
    </row>
    <row r="4366">
      <c r="A4366" t="inlineStr">
        <is>
          <t>Acetaldehyde</t>
        </is>
      </c>
      <c r="B4366">
        <v>1.7243010879114162e-08</v>
      </c>
      <c r="D4366" t="inlineStr">
        <is>
          <t>kilogram</t>
        </is>
      </c>
      <c r="E4366" t="inlineStr">
        <is>
          <t>air::non-urban air or from high stacks</t>
        </is>
      </c>
      <c r="F4366" t="inlineStr">
        <is>
          <t>biosphere</t>
        </is>
      </c>
      <c r="I4366">
        <v>0</v>
      </c>
    </row>
    <row r="4367">
      <c r="A4367" t="inlineStr">
        <is>
          <t>Acetone</t>
        </is>
      </c>
      <c r="B4367">
        <v>7.835309664097135e-09</v>
      </c>
      <c r="D4367" t="inlineStr">
        <is>
          <t>kilogram</t>
        </is>
      </c>
      <c r="E4367" t="inlineStr">
        <is>
          <t>air::non-urban air or from high stacks</t>
        </is>
      </c>
      <c r="F4367" t="inlineStr">
        <is>
          <t>biosphere</t>
        </is>
      </c>
      <c r="I4367">
        <v>0</v>
      </c>
    </row>
    <row r="4368">
      <c r="A4368" t="inlineStr">
        <is>
          <t>Acrolein</t>
        </is>
      </c>
      <c r="B4368">
        <v>9.540955946351132e-09</v>
      </c>
      <c r="D4368" t="inlineStr">
        <is>
          <t>kilogram</t>
        </is>
      </c>
      <c r="E4368" t="inlineStr">
        <is>
          <t>air::non-urban air or from high stacks</t>
        </is>
      </c>
      <c r="F4368" t="inlineStr">
        <is>
          <t>biosphere</t>
        </is>
      </c>
      <c r="I4368">
        <v>0</v>
      </c>
    </row>
    <row r="4369">
      <c r="A4369" t="inlineStr">
        <is>
          <t>Benzaldehyde</t>
        </is>
      </c>
      <c r="B4369">
        <v>2.291961388595036e-09</v>
      </c>
      <c r="D4369" t="inlineStr">
        <is>
          <t>kilogram</t>
        </is>
      </c>
      <c r="E4369" t="inlineStr">
        <is>
          <t>air::non-urban air or from high stacks</t>
        </is>
      </c>
      <c r="F4369" t="inlineStr">
        <is>
          <t>biosphere</t>
        </is>
      </c>
      <c r="I4369">
        <v>0</v>
      </c>
    </row>
    <row r="4370">
      <c r="A4370" t="inlineStr">
        <is>
          <t>Cyclohexane</t>
        </is>
      </c>
      <c r="B4370">
        <v>1.7322965145796874e-09</v>
      </c>
      <c r="D4370" t="inlineStr">
        <is>
          <t>kilogram</t>
        </is>
      </c>
      <c r="E4370" t="inlineStr">
        <is>
          <t>air::non-urban air or from high stacks</t>
        </is>
      </c>
      <c r="F4370" t="inlineStr">
        <is>
          <t>biosphere</t>
        </is>
      </c>
      <c r="I4370">
        <v>0</v>
      </c>
    </row>
    <row r="4371">
      <c r="A4371" t="inlineStr">
        <is>
          <t>Heptane</t>
        </is>
      </c>
      <c r="B4371">
        <v>5.330142847190914e-10</v>
      </c>
      <c r="D4371" t="inlineStr">
        <is>
          <t>kilogram</t>
        </is>
      </c>
      <c r="E4371" t="inlineStr">
        <is>
          <t>air::non-urban air or from high stacks</t>
        </is>
      </c>
      <c r="F4371" t="inlineStr">
        <is>
          <t>biosphere</t>
        </is>
      </c>
      <c r="I4371">
        <v>0</v>
      </c>
    </row>
    <row r="4372">
      <c r="A4372" t="inlineStr">
        <is>
          <t>Methyl ethyl ketone</t>
        </is>
      </c>
      <c r="B4372">
        <v>3.198085708314548e-09</v>
      </c>
      <c r="D4372" t="inlineStr">
        <is>
          <t>kilogram</t>
        </is>
      </c>
      <c r="E4372" t="inlineStr">
        <is>
          <t>air::non-urban air or from high stacks</t>
        </is>
      </c>
      <c r="F4372" t="inlineStr">
        <is>
          <t>biosphere</t>
        </is>
      </c>
      <c r="I4372">
        <v>0</v>
      </c>
    </row>
    <row r="4373">
      <c r="A4373" t="inlineStr">
        <is>
          <t>m-Xylene</t>
        </is>
      </c>
      <c r="B4373">
        <v>1.6256935624437191e-09</v>
      </c>
      <c r="D4373" t="inlineStr">
        <is>
          <t>kilogram</t>
        </is>
      </c>
      <c r="E4373" t="inlineStr">
        <is>
          <t>air::non-urban air or from high stacks</t>
        </is>
      </c>
      <c r="F4373" t="inlineStr">
        <is>
          <t>biosphere</t>
        </is>
      </c>
      <c r="I4373">
        <v>0</v>
      </c>
    </row>
    <row r="4374">
      <c r="A4374" t="inlineStr">
        <is>
          <t>o-Xylene</t>
        </is>
      </c>
      <c r="B4374">
        <v>7.195693022193013e-10</v>
      </c>
      <c r="D4374" t="inlineStr">
        <is>
          <t>kilogram</t>
        </is>
      </c>
      <c r="E4374" t="inlineStr">
        <is>
          <t>air::non-urban air or from high stacks</t>
        </is>
      </c>
      <c r="F4374" t="inlineStr">
        <is>
          <t>biosphere</t>
        </is>
      </c>
      <c r="I4374">
        <v>0</v>
      </c>
    </row>
    <row r="4375">
      <c r="A4375" t="inlineStr">
        <is>
          <t>Styrene</t>
        </is>
      </c>
      <c r="B4375">
        <v>9.86076444578847e-10</v>
      </c>
      <c r="D4375" t="inlineStr">
        <is>
          <t>kilogram</t>
        </is>
      </c>
      <c r="E4375" t="inlineStr">
        <is>
          <t>air::non-urban air or from high stacks</t>
        </is>
      </c>
      <c r="F4375" t="inlineStr">
        <is>
          <t>biosphere</t>
        </is>
      </c>
      <c r="I4375">
        <v>0</v>
      </c>
    </row>
    <row r="4376">
      <c r="A4376" t="inlineStr">
        <is>
          <t>Ethylene</t>
        </is>
      </c>
      <c r="B4376">
        <v>1.3536812652791e-07</v>
      </c>
      <c r="D4376" t="inlineStr">
        <is>
          <t>kilogram</t>
        </is>
      </c>
      <c r="E4376" t="inlineStr">
        <is>
          <t>air::urban air close to ground</t>
        </is>
      </c>
      <c r="F4376" t="inlineStr">
        <is>
          <t>biosphere</t>
        </is>
      </c>
      <c r="I4376">
        <v>0</v>
      </c>
    </row>
    <row r="4377">
      <c r="A4377" t="inlineStr">
        <is>
          <t>Ethylene</t>
        </is>
      </c>
      <c r="B4377">
        <v>2.923583389166125e-08</v>
      </c>
      <c r="D4377" t="inlineStr">
        <is>
          <t>kilogram</t>
        </is>
      </c>
      <c r="E4377" t="inlineStr">
        <is>
          <t>air::non-urban air or from high stacks</t>
        </is>
      </c>
      <c r="F4377" t="inlineStr">
        <is>
          <t>biosphere</t>
        </is>
      </c>
      <c r="I4377">
        <v>0</v>
      </c>
    </row>
    <row r="4378">
      <c r="A4378" t="inlineStr">
        <is>
          <t>market for internal combustion engine, passenger car</t>
        </is>
      </c>
      <c r="B4378">
        <v>0.0007866161325923368</v>
      </c>
      <c r="C4378" t="inlineStr">
        <is>
          <t>GLO</t>
        </is>
      </c>
      <c r="D4378" t="inlineStr">
        <is>
          <t>kilogram</t>
        </is>
      </c>
      <c r="F4378" t="inlineStr">
        <is>
          <t>technosphere</t>
        </is>
      </c>
      <c r="G4378" t="inlineStr">
        <is>
          <t>internal combustion engine, passenger car</t>
        </is>
      </c>
      <c r="H4378" t="inlineStr">
        <is>
          <t> Energy-use allocation: 293.5769348144531 * 4.999999873689376e-06 / 1.866074920371751 MJ per kilometer.</t>
        </is>
      </c>
      <c r="I4378">
        <v>0</v>
      </c>
    </row>
    <row r="4379">
      <c r="A4379" t="inlineStr">
        <is>
          <t>market for waste plastic, industrial electronics</t>
        </is>
      </c>
      <c r="B4379">
        <v>-0.00013127930051786527</v>
      </c>
      <c r="C4379" t="inlineStr">
        <is>
          <t>CH</t>
        </is>
      </c>
      <c r="D4379" t="inlineStr">
        <is>
          <t>kilogram</t>
        </is>
      </c>
      <c r="F4379" t="inlineStr">
        <is>
          <t>technosphere</t>
        </is>
      </c>
      <c r="G4379" t="inlineStr">
        <is>
          <t>waste plastic, industrial electronics</t>
        </is>
      </c>
      <c r="H4379" t="inlineStr">
        <is>
          <t> Energy-use allocation: -48.99540328979492 * 4.999999873689376e-06 / 1.866074920371751 MJ per kilometer.</t>
        </is>
      </c>
      <c r="I4379">
        <v>0</v>
      </c>
    </row>
    <row r="4380">
      <c r="A4380" t="inlineStr">
        <is>
          <t>polyethylene production, high density, granulate</t>
        </is>
      </c>
      <c r="B4380">
        <v>0.00013127930051786527</v>
      </c>
      <c r="C4380" t="inlineStr">
        <is>
          <t>RER</t>
        </is>
      </c>
      <c r="D4380" t="inlineStr">
        <is>
          <t>kilogram</t>
        </is>
      </c>
      <c r="F4380" t="inlineStr">
        <is>
          <t>technosphere</t>
        </is>
      </c>
      <c r="G4380" t="inlineStr">
        <is>
          <t>polyethylene, high density, granulate</t>
        </is>
      </c>
      <c r="H4380" t="inlineStr">
        <is>
          <t> Energy-use allocation: 48.99540328979492 * 4.999999873689376e-06 / 1.866074920371751 MJ per kilometer.</t>
        </is>
      </c>
      <c r="I4380">
        <v>0</v>
      </c>
    </row>
    <row r="4381">
      <c r="A4381" t="inlineStr">
        <is>
          <t>Carbon dioxide, non-fossil</t>
        </is>
      </c>
      <c r="B4381">
        <v>0.0734</v>
      </c>
      <c r="D4381" t="inlineStr">
        <is>
          <t>kilogram</t>
        </is>
      </c>
      <c r="E4381" t="inlineStr">
        <is>
          <t>air::urban air close to ground</t>
        </is>
      </c>
      <c r="F4381" t="inlineStr">
        <is>
          <t>biosphere</t>
        </is>
      </c>
      <c r="I4381">
        <v>0</v>
      </c>
    </row>
    <row r="4382"/>
    <row r="4383">
      <c r="A4383" t="inlineStr">
        <is>
          <t>Activity</t>
        </is>
      </c>
      <c r="B4383" t="inlineStr">
        <is>
          <t>biodiesel, from non-residual cellulosic biomass, burned in passenger car</t>
        </is>
      </c>
    </row>
    <row r="4384">
      <c r="A4384" t="inlineStr">
        <is>
          <t>location</t>
        </is>
      </c>
      <c r="B4384" t="inlineStr">
        <is>
          <t>RER</t>
        </is>
      </c>
    </row>
    <row r="4385">
      <c r="A4385" t="inlineStr">
        <is>
          <t>production amount</t>
        </is>
      </c>
      <c r="B4385">
        <v>1</v>
      </c>
    </row>
    <row r="4386">
      <c r="A4386" t="inlineStr">
        <is>
          <t>reference product</t>
        </is>
      </c>
      <c r="B4386" t="inlineStr">
        <is>
          <t>heat</t>
        </is>
      </c>
    </row>
    <row r="4387">
      <c r="A4387" t="inlineStr">
        <is>
          <t>type</t>
        </is>
      </c>
      <c r="B4387" t="inlineStr">
        <is>
          <t>process</t>
        </is>
      </c>
    </row>
    <row r="4388">
      <c r="A4388" t="inlineStr">
        <is>
          <t>unit</t>
        </is>
      </c>
      <c r="B4388" t="inlineStr">
        <is>
          <t>megajoule</t>
        </is>
      </c>
    </row>
    <row r="4389">
      <c r="A4389" t="inlineStr">
        <is>
          <t>Power, mean</t>
        </is>
      </c>
      <c r="B4389">
        <v>126</v>
      </c>
    </row>
    <row r="4390">
      <c r="A4390" t="inlineStr">
        <is>
          <t>Power, min</t>
        </is>
      </c>
      <c r="B4390">
        <v>54</v>
      </c>
    </row>
    <row r="4391">
      <c r="A4391" t="inlineStr">
        <is>
          <t>Power, max</t>
        </is>
      </c>
      <c r="B4391">
        <v>158</v>
      </c>
    </row>
    <row r="4392">
      <c r="A4392" t="inlineStr">
        <is>
          <t>Lifetime, mean</t>
        </is>
      </c>
      <c r="B4392">
        <v>200000</v>
      </c>
    </row>
    <row r="4393">
      <c r="A4393" t="inlineStr">
        <is>
          <t>Lifetime, min</t>
        </is>
      </c>
      <c r="B4393">
        <v>160000</v>
      </c>
    </row>
    <row r="4394">
      <c r="A4394" t="inlineStr">
        <is>
          <t>Lifetime, max</t>
        </is>
      </c>
      <c r="B4394">
        <v>250000</v>
      </c>
    </row>
    <row r="4395">
      <c r="A4395" t="inlineStr">
        <is>
          <t>Energy use, mean</t>
        </is>
      </c>
      <c r="B4395">
        <v>2250</v>
      </c>
    </row>
    <row r="4396">
      <c r="A4396" t="inlineStr">
        <is>
          <t>Energy use, min</t>
        </is>
      </c>
      <c r="B4396">
        <v>1500</v>
      </c>
    </row>
    <row r="4397">
      <c r="A4397" t="inlineStr">
        <is>
          <t>Energy use, max</t>
        </is>
      </c>
      <c r="B4397">
        <v>2900</v>
      </c>
    </row>
    <row r="4398">
      <c r="A4398" t="inlineStr">
        <is>
          <t>Electric motor, mean</t>
        </is>
      </c>
      <c r="B4398">
        <v>0</v>
      </c>
    </row>
    <row r="4399">
      <c r="A4399" t="inlineStr">
        <is>
          <t>Electric motor, min</t>
        </is>
      </c>
      <c r="B4399">
        <v>0</v>
      </c>
    </row>
    <row r="4400">
      <c r="A4400" t="inlineStr">
        <is>
          <t>Electric motor, max</t>
        </is>
      </c>
      <c r="B4400">
        <v>0</v>
      </c>
    </row>
    <row r="4401">
      <c r="A4401" t="inlineStr">
        <is>
          <t>Combustion engine, mean</t>
        </is>
      </c>
      <c r="B4401">
        <v>169</v>
      </c>
    </row>
    <row r="4402">
      <c r="A4402" t="inlineStr">
        <is>
          <t>Combustion engine, min</t>
        </is>
      </c>
      <c r="B4402">
        <v>111</v>
      </c>
    </row>
    <row r="4403">
      <c r="A4403" t="inlineStr">
        <is>
          <t>Combustion engine, max</t>
        </is>
      </c>
      <c r="B4403">
        <v>194</v>
      </c>
    </row>
    <row r="4404">
      <c r="A4404" t="inlineStr">
        <is>
          <t>Fuel tank, mean</t>
        </is>
      </c>
      <c r="B4404">
        <v>48</v>
      </c>
    </row>
    <row r="4405">
      <c r="A4405" t="inlineStr">
        <is>
          <t>Fuel tank, min</t>
        </is>
      </c>
      <c r="B4405">
        <v>30</v>
      </c>
    </row>
    <row r="4406">
      <c r="A4406" t="inlineStr">
        <is>
          <t>Fuel tank, max</t>
        </is>
      </c>
      <c r="B4406">
        <v>48</v>
      </c>
    </row>
    <row r="4407">
      <c r="A4407" t="inlineStr">
        <is>
          <t>Battery capacity, mean</t>
        </is>
      </c>
      <c r="B4407">
        <v>0</v>
      </c>
    </row>
    <row r="4408">
      <c r="A4408" t="inlineStr">
        <is>
          <t>Battery capacity, min</t>
        </is>
      </c>
      <c r="B4408">
        <v>0</v>
      </c>
    </row>
    <row r="4409">
      <c r="A4409" t="inlineStr">
        <is>
          <t>Battery capacity, max</t>
        </is>
      </c>
      <c r="B4409">
        <v>0</v>
      </c>
    </row>
    <row r="4410">
      <c r="A4410" t="inlineStr">
        <is>
          <t>Battery replacement, mean</t>
        </is>
      </c>
      <c r="B4410">
        <v>0</v>
      </c>
    </row>
    <row r="4411">
      <c r="A4411" t="inlineStr">
        <is>
          <t>Battery replacement, min</t>
        </is>
      </c>
      <c r="B4411">
        <v>0</v>
      </c>
    </row>
    <row r="4412">
      <c r="A4412" t="inlineStr">
        <is>
          <t>Battery replacement, max</t>
        </is>
      </c>
      <c r="B4412">
        <v>0</v>
      </c>
    </row>
    <row r="4413">
      <c r="A4413" t="inlineStr">
        <is>
          <t>Fuel cell system, mean</t>
        </is>
      </c>
      <c r="B4413">
        <v>0</v>
      </c>
    </row>
    <row r="4414">
      <c r="A4414" t="inlineStr">
        <is>
          <t>Fuel cell system, min</t>
        </is>
      </c>
      <c r="B4414">
        <v>0</v>
      </c>
    </row>
    <row r="4415">
      <c r="A4415" t="inlineStr">
        <is>
          <t>Fuel cell system, max</t>
        </is>
      </c>
      <c r="B4415">
        <v>0</v>
      </c>
    </row>
    <row r="4416">
      <c r="A4416" t="inlineStr">
        <is>
          <t>Fuel cell stack replacement, mean</t>
        </is>
      </c>
      <c r="B4416">
        <v>0</v>
      </c>
    </row>
    <row r="4417">
      <c r="A4417" t="inlineStr">
        <is>
          <t>Fuel cell replacement, min</t>
        </is>
      </c>
      <c r="B4417">
        <v>0</v>
      </c>
    </row>
    <row r="4418">
      <c r="A4418" t="inlineStr">
        <is>
          <t>Fuel cell replacement, max</t>
        </is>
      </c>
      <c r="B4418">
        <v>0</v>
      </c>
    </row>
    <row r="4419">
      <c r="A4419" t="inlineStr">
        <is>
          <t>Onboard charger mass</t>
        </is>
      </c>
      <c r="B4419">
        <v>0</v>
      </c>
    </row>
    <row r="4420">
      <c r="A4420" t="inlineStr">
        <is>
          <t>Controller mass</t>
        </is>
      </c>
      <c r="B4420">
        <v>0</v>
      </c>
    </row>
    <row r="4421">
      <c r="A4421" t="inlineStr">
        <is>
          <t>Converter mass</t>
        </is>
      </c>
      <c r="B4421">
        <v>0</v>
      </c>
    </row>
    <row r="4422">
      <c r="A4422" t="inlineStr">
        <is>
          <t>Electrical powertrain mass</t>
        </is>
      </c>
      <c r="B4422">
        <v>0</v>
      </c>
    </row>
    <row r="4423">
      <c r="A4423" t="inlineStr">
        <is>
          <t>Inverter mass</t>
        </is>
      </c>
      <c r="B4423">
        <v>0</v>
      </c>
    </row>
    <row r="4424">
      <c r="A4424" t="inlineStr">
        <is>
          <t>NOx</t>
        </is>
      </c>
      <c r="B4424">
        <v>0.2</v>
      </c>
    </row>
    <row r="4425">
      <c r="A4425" t="inlineStr">
        <is>
          <t>PM 2.5</t>
        </is>
      </c>
      <c r="B4425">
        <v>0.0017499999999999998</v>
      </c>
    </row>
    <row r="4426">
      <c r="A4426" t="inlineStr">
        <is>
          <t>energy use source</t>
        </is>
      </c>
      <c r="B4426"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427">
      <c r="A4427" t="inlineStr">
        <is>
          <t>comment</t>
        </is>
      </c>
      <c r="B4427"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428">
      <c r="A4428" t="inlineStr">
        <is>
          <t>Exchanges</t>
        </is>
      </c>
    </row>
    <row r="4429">
      <c r="A4429" t="inlineStr">
        <is>
          <t>name</t>
        </is>
      </c>
      <c r="B4429" t="inlineStr">
        <is>
          <t>amount</t>
        </is>
      </c>
      <c r="C4429" t="inlineStr">
        <is>
          <t>location</t>
        </is>
      </c>
      <c r="D4429" t="inlineStr">
        <is>
          <t>unit</t>
        </is>
      </c>
      <c r="E4429" t="inlineStr">
        <is>
          <t>categories</t>
        </is>
      </c>
      <c r="F4429" t="inlineStr">
        <is>
          <t>type</t>
        </is>
      </c>
      <c r="G4429" t="inlineStr">
        <is>
          <t>reference product</t>
        </is>
      </c>
      <c r="H4429" t="inlineStr">
        <is>
          <t>comment</t>
        </is>
      </c>
      <c r="I4429" t="inlineStr">
        <is>
          <t>uncertainty type</t>
        </is>
      </c>
    </row>
    <row r="4430">
      <c r="A4430" t="inlineStr">
        <is>
          <t>biodiesel, from non-residual cellulosic biomass, burned in passenger car</t>
        </is>
      </c>
      <c r="B4430">
        <v>1.0</v>
      </c>
      <c r="C4430" t="inlineStr">
        <is>
          <t>RER</t>
        </is>
      </c>
      <c r="D4430" t="inlineStr">
        <is>
          <t>megajoule</t>
        </is>
      </c>
      <c r="F4430" t="inlineStr">
        <is>
          <t>production</t>
        </is>
      </c>
      <c r="G4430" t="inlineStr">
        <is>
          <t>heat</t>
        </is>
      </c>
      <c r="I4430">
        <v>0</v>
      </c>
    </row>
    <row r="4431">
      <c r="A4431" t="inlineStr">
        <is>
          <t>biodiesel production, via Fischer-Tropsch, from forest product (non-residual), energy allocation</t>
        </is>
      </c>
      <c r="B4431">
        <v>0.023255813953488372</v>
      </c>
      <c r="C4431" t="inlineStr">
        <is>
          <t>RER</t>
        </is>
      </c>
      <c r="D4431" t="inlineStr">
        <is>
          <t>kilogram</t>
        </is>
      </c>
      <c r="F4431" t="inlineStr">
        <is>
          <t>technosphere</t>
        </is>
      </c>
      <c r="G4431" t="inlineStr">
        <is>
          <t>biodiesel, from forest residues</t>
        </is>
      </c>
      <c r="I4431">
        <v>0</v>
      </c>
    </row>
    <row r="4432">
      <c r="A4432" t="inlineStr">
        <is>
          <t>treatment of brake wear emissions, passenger car</t>
        </is>
      </c>
      <c r="B4432">
        <v>-7.967052081550097e-06</v>
      </c>
      <c r="C4432" t="inlineStr">
        <is>
          <t>RER</t>
        </is>
      </c>
      <c r="D4432" t="inlineStr">
        <is>
          <t>kilogram</t>
        </is>
      </c>
      <c r="F4432" t="inlineStr">
        <is>
          <t>technosphere</t>
        </is>
      </c>
      <c r="G4432" t="inlineStr">
        <is>
          <t>brake wear emissions, passenger car</t>
        </is>
      </c>
      <c r="I4432">
        <v>0</v>
      </c>
    </row>
    <row r="4433">
      <c r="A4433" t="inlineStr">
        <is>
          <t>treatment of road wear emissions, passenger car</t>
        </is>
      </c>
      <c r="B4433">
        <v>-9.150770397723165e-06</v>
      </c>
      <c r="C4433" t="inlineStr">
        <is>
          <t>RER</t>
        </is>
      </c>
      <c r="D4433" t="inlineStr">
        <is>
          <t>kilogram</t>
        </is>
      </c>
      <c r="F4433" t="inlineStr">
        <is>
          <t>technosphere</t>
        </is>
      </c>
      <c r="G4433" t="inlineStr">
        <is>
          <t>road wear emissions, passenger car</t>
        </is>
      </c>
      <c r="I4433">
        <v>0</v>
      </c>
    </row>
    <row r="4434">
      <c r="A4434" t="inlineStr">
        <is>
          <t>treatment of tyre wear emissions, passenger car</t>
        </is>
      </c>
      <c r="B4434">
        <v>-1.0568832109350394e-05</v>
      </c>
      <c r="C4434" t="inlineStr">
        <is>
          <t>RER</t>
        </is>
      </c>
      <c r="D4434" t="inlineStr">
        <is>
          <t>kilogram</t>
        </is>
      </c>
      <c r="F4434" t="inlineStr">
        <is>
          <t>technosphere</t>
        </is>
      </c>
      <c r="G4434" t="inlineStr">
        <is>
          <t>tyre wear emissions, passenger car</t>
        </is>
      </c>
      <c r="I4434">
        <v>0</v>
      </c>
    </row>
    <row r="4435">
      <c r="A4435" t="inlineStr">
        <is>
          <t>market for tetrafluoroethane, R134a</t>
        </is>
      </c>
      <c r="B4435">
        <v>3.4832470313950515e-06</v>
      </c>
      <c r="C4435" t="inlineStr">
        <is>
          <t>GLO</t>
        </is>
      </c>
      <c r="D4435" t="inlineStr">
        <is>
          <t>kilogram</t>
        </is>
      </c>
      <c r="F4435" t="inlineStr">
        <is>
          <t>technosphere</t>
        </is>
      </c>
      <c r="G4435" t="inlineStr">
        <is>
          <t>tetrafluoroethane, R134a</t>
        </is>
      </c>
      <c r="I4435">
        <v>0</v>
      </c>
    </row>
    <row r="4436">
      <c r="A4436" t="inlineStr">
        <is>
          <t>Toluene</t>
        </is>
      </c>
      <c r="B4436">
        <v>1.8388993477254683e-09</v>
      </c>
      <c r="D4436" t="inlineStr">
        <is>
          <t>kilogram</t>
        </is>
      </c>
      <c r="E4436" t="inlineStr">
        <is>
          <t>air::non-urban air or from high stacks</t>
        </is>
      </c>
      <c r="F4436" t="inlineStr">
        <is>
          <t>biosphere</t>
        </is>
      </c>
      <c r="I4436">
        <v>0</v>
      </c>
    </row>
    <row r="4437">
      <c r="A4437" t="inlineStr">
        <is>
          <t>NMVOC, non-methane volatile organic compounds</t>
        </is>
      </c>
      <c r="B4437">
        <v>1.4657892889270108e-07</v>
      </c>
      <c r="D4437" t="inlineStr">
        <is>
          <t>kilogram</t>
        </is>
      </c>
      <c r="E4437" t="inlineStr">
        <is>
          <t>air::non-urban air or from high stacks</t>
        </is>
      </c>
      <c r="F4437" t="inlineStr">
        <is>
          <t>biosphere</t>
        </is>
      </c>
      <c r="I4437">
        <v>0</v>
      </c>
    </row>
    <row r="4438">
      <c r="A4438" t="inlineStr">
        <is>
          <t>Dinitrogen monoxide</t>
        </is>
      </c>
      <c r="B4438">
        <v>1.3837910754355256e-06</v>
      </c>
      <c r="D4438" t="inlineStr">
        <is>
          <t>kilogram</t>
        </is>
      </c>
      <c r="E4438" t="inlineStr">
        <is>
          <t>air::non-urban air or from high stacks</t>
        </is>
      </c>
      <c r="F4438" t="inlineStr">
        <is>
          <t>biosphere</t>
        </is>
      </c>
      <c r="I4438">
        <v>0</v>
      </c>
    </row>
    <row r="4439">
      <c r="A4439" t="inlineStr">
        <is>
          <t>Ethane</t>
        </is>
      </c>
      <c r="B4439">
        <v>4.072149787837132e-09</v>
      </c>
      <c r="D4439" t="inlineStr">
        <is>
          <t>kilogram</t>
        </is>
      </c>
      <c r="E4439" t="inlineStr">
        <is>
          <t>air::urban air close to ground</t>
        </is>
      </c>
      <c r="F4439" t="inlineStr">
        <is>
          <t>biosphere</t>
        </is>
      </c>
      <c r="I4439">
        <v>0</v>
      </c>
    </row>
    <row r="4440">
      <c r="A4440" t="inlineStr">
        <is>
          <t>Pentane</t>
        </is>
      </c>
      <c r="B4440">
        <v>4.935939064657017e-10</v>
      </c>
      <c r="D4440" t="inlineStr">
        <is>
          <t>kilogram</t>
        </is>
      </c>
      <c r="E4440" t="inlineStr">
        <is>
          <t>air::urban air close to ground</t>
        </is>
      </c>
      <c r="F4440" t="inlineStr">
        <is>
          <t>biosphere</t>
        </is>
      </c>
      <c r="I4440">
        <v>0</v>
      </c>
    </row>
    <row r="4441">
      <c r="A4441" t="inlineStr">
        <is>
          <t>Selenium IV</t>
        </is>
      </c>
      <c r="B4441">
        <v>1.4312488373385127e-12</v>
      </c>
      <c r="D4441" t="inlineStr">
        <is>
          <t>kilogram</t>
        </is>
      </c>
      <c r="E4441" t="inlineStr">
        <is>
          <t>air::non-urban air or from high stacks</t>
        </is>
      </c>
      <c r="F4441" t="inlineStr">
        <is>
          <t>biosphere</t>
        </is>
      </c>
      <c r="I4441">
        <v>0</v>
      </c>
    </row>
    <row r="4442">
      <c r="A4442" t="inlineStr">
        <is>
          <t>Arsenic ion</t>
        </is>
      </c>
      <c r="B4442">
        <v>1.4312488373385127e-12</v>
      </c>
      <c r="D4442" t="inlineStr">
        <is>
          <t>kilogram</t>
        </is>
      </c>
      <c r="E4442" t="inlineStr">
        <is>
          <t>air::non-urban air or from high stacks</t>
        </is>
      </c>
      <c r="F4442" t="inlineStr">
        <is>
          <t>biosphere</t>
        </is>
      </c>
      <c r="I4442">
        <v>0</v>
      </c>
    </row>
    <row r="4443">
      <c r="A4443" t="inlineStr">
        <is>
          <t>Arsenic ion</t>
        </is>
      </c>
      <c r="B4443">
        <v>8.98750956554421e-13</v>
      </c>
      <c r="D4443" t="inlineStr">
        <is>
          <t>kilogram</t>
        </is>
      </c>
      <c r="E4443" t="inlineStr">
        <is>
          <t>air::urban air close to ground</t>
        </is>
      </c>
      <c r="F4443" t="inlineStr">
        <is>
          <t>biosphere</t>
        </is>
      </c>
      <c r="I4443">
        <v>0</v>
      </c>
    </row>
    <row r="4444">
      <c r="A4444" t="inlineStr">
        <is>
          <t>Propylene</t>
        </is>
      </c>
      <c r="B4444">
        <v>9.594256886963272e-09</v>
      </c>
      <c r="D4444" t="inlineStr">
        <is>
          <t>kilogram</t>
        </is>
      </c>
      <c r="E4444" t="inlineStr">
        <is>
          <t>air::non-urban air or from high stacks</t>
        </is>
      </c>
      <c r="F4444" t="inlineStr">
        <is>
          <t>biosphere</t>
        </is>
      </c>
      <c r="I4444">
        <v>0</v>
      </c>
    </row>
    <row r="4445">
      <c r="A4445" t="inlineStr">
        <is>
          <t>Particulate Matter, &lt; 2.5 um</t>
        </is>
      </c>
      <c r="B4445">
        <v>1.636891619531532e-07</v>
      </c>
      <c r="D4445" t="inlineStr">
        <is>
          <t>kilogram</t>
        </is>
      </c>
      <c r="E4445" t="inlineStr">
        <is>
          <t>air::urban air close to ground</t>
        </is>
      </c>
      <c r="F4445" t="inlineStr">
        <is>
          <t>biosphere</t>
        </is>
      </c>
      <c r="I4445">
        <v>0</v>
      </c>
    </row>
    <row r="4446">
      <c r="A4446" t="inlineStr">
        <is>
          <t>Nickel II</t>
        </is>
      </c>
      <c r="B4446">
        <v>2.856355271045539e-12</v>
      </c>
      <c r="D4446" t="inlineStr">
        <is>
          <t>kilogram</t>
        </is>
      </c>
      <c r="E4446" t="inlineStr">
        <is>
          <t>air::non-urban air or from high stacks</t>
        </is>
      </c>
      <c r="F4446" t="inlineStr">
        <is>
          <t>biosphere</t>
        </is>
      </c>
      <c r="I4446">
        <v>0</v>
      </c>
    </row>
    <row r="4447">
      <c r="A4447" t="inlineStr">
        <is>
          <t>Methane, fossil</t>
        </is>
      </c>
      <c r="B4447">
        <v>2.3985624245130236e-06</v>
      </c>
      <c r="D4447" t="inlineStr">
        <is>
          <t>kilogram</t>
        </is>
      </c>
      <c r="E4447" t="inlineStr">
        <is>
          <t>air::non-urban air or from high stacks</t>
        </is>
      </c>
      <c r="F4447" t="inlineStr">
        <is>
          <t>biosphere</t>
        </is>
      </c>
      <c r="I4447">
        <v>0</v>
      </c>
    </row>
    <row r="4448">
      <c r="A4448" t="inlineStr">
        <is>
          <t>Mercury II</t>
        </is>
      </c>
      <c r="B4448">
        <v>7.555519944566824e-11</v>
      </c>
      <c r="D4448" t="inlineStr">
        <is>
          <t>kilogram</t>
        </is>
      </c>
      <c r="E4448" t="inlineStr">
        <is>
          <t>air::non-urban air or from high stacks</t>
        </is>
      </c>
      <c r="F4448" t="inlineStr">
        <is>
          <t>biosphere</t>
        </is>
      </c>
      <c r="I4448">
        <v>0</v>
      </c>
    </row>
    <row r="4449">
      <c r="A4449" t="inlineStr">
        <is>
          <t>Ammonia</t>
        </is>
      </c>
      <c r="B4449">
        <v>8.515878173642505e-07</v>
      </c>
      <c r="D4449" t="inlineStr">
        <is>
          <t>kilogram</t>
        </is>
      </c>
      <c r="E4449" t="inlineStr">
        <is>
          <t>air::non-urban air or from high stacks</t>
        </is>
      </c>
      <c r="F4449" t="inlineStr">
        <is>
          <t>biosphere</t>
        </is>
      </c>
      <c r="I4449">
        <v>0</v>
      </c>
    </row>
    <row r="4450">
      <c r="A4450" t="inlineStr">
        <is>
          <t>Ethane</t>
        </is>
      </c>
      <c r="B4450">
        <v>8.794736114330666e-10</v>
      </c>
      <c r="D4450" t="inlineStr">
        <is>
          <t>kilogram</t>
        </is>
      </c>
      <c r="E4450" t="inlineStr">
        <is>
          <t>air::non-urban air or from high stacks</t>
        </is>
      </c>
      <c r="F4450" t="inlineStr">
        <is>
          <t>biosphere</t>
        </is>
      </c>
      <c r="I4450">
        <v>0</v>
      </c>
    </row>
    <row r="4451">
      <c r="A4451" t="inlineStr">
        <is>
          <t>Nickel II</t>
        </is>
      </c>
      <c r="B4451">
        <v>1.7936446091257316e-12</v>
      </c>
      <c r="D4451" t="inlineStr">
        <is>
          <t>kilogram</t>
        </is>
      </c>
      <c r="E4451" t="inlineStr">
        <is>
          <t>air::urban air close to ground</t>
        </is>
      </c>
      <c r="F4451" t="inlineStr">
        <is>
          <t>biosphere</t>
        </is>
      </c>
      <c r="I4451">
        <v>0</v>
      </c>
    </row>
    <row r="4452">
      <c r="A4452" t="inlineStr">
        <is>
          <t>Cadmium II</t>
        </is>
      </c>
      <c r="B4452">
        <v>7.12553100652158e-13</v>
      </c>
      <c r="D4452" t="inlineStr">
        <is>
          <t>kilogram</t>
        </is>
      </c>
      <c r="E4452" t="inlineStr">
        <is>
          <t>air::non-urban air or from high stacks</t>
        </is>
      </c>
      <c r="F4452" t="inlineStr">
        <is>
          <t>biosphere</t>
        </is>
      </c>
      <c r="I4452">
        <v>0</v>
      </c>
    </row>
    <row r="4453">
      <c r="A4453" t="inlineStr">
        <is>
          <t>Ammonia</t>
        </is>
      </c>
      <c r="B4453">
        <v>5.347535547726079e-07</v>
      </c>
      <c r="D4453" t="inlineStr">
        <is>
          <t>kilogram</t>
        </is>
      </c>
      <c r="E4453" t="inlineStr">
        <is>
          <t>air::urban air close to ground</t>
        </is>
      </c>
      <c r="F4453" t="inlineStr">
        <is>
          <t>biosphere</t>
        </is>
      </c>
      <c r="I4453">
        <v>0</v>
      </c>
    </row>
    <row r="4454">
      <c r="A4454" t="inlineStr">
        <is>
          <t>Butane</t>
        </is>
      </c>
      <c r="B4454">
        <v>2.9315788039353776e-10</v>
      </c>
      <c r="D4454" t="inlineStr">
        <is>
          <t>kilogram</t>
        </is>
      </c>
      <c r="E4454" t="inlineStr">
        <is>
          <t>air::non-urban air or from high stacks</t>
        </is>
      </c>
      <c r="F4454" t="inlineStr">
        <is>
          <t>biosphere</t>
        </is>
      </c>
      <c r="I4454">
        <v>0</v>
      </c>
    </row>
    <row r="4455">
      <c r="A4455" t="inlineStr">
        <is>
          <t>PAH, polycyclic aromatic hydrocarbons</t>
        </is>
      </c>
      <c r="B4455">
        <v>5.091636535281869e-10</v>
      </c>
      <c r="D4455" t="inlineStr">
        <is>
          <t>kilogram</t>
        </is>
      </c>
      <c r="E4455" t="inlineStr">
        <is>
          <t>air::urban air close to ground</t>
        </is>
      </c>
      <c r="F4455" t="inlineStr">
        <is>
          <t>biosphere</t>
        </is>
      </c>
      <c r="I4455">
        <v>0</v>
      </c>
    </row>
    <row r="4456">
      <c r="A4456" t="inlineStr">
        <is>
          <t>Copper ion</t>
        </is>
      </c>
      <c r="B4456">
        <v>8.16979042710669e-11</v>
      </c>
      <c r="D4456" t="inlineStr">
        <is>
          <t>kilogram</t>
        </is>
      </c>
      <c r="E4456" t="inlineStr">
        <is>
          <t>air::non-urban air or from high stacks</t>
        </is>
      </c>
      <c r="F4456" t="inlineStr">
        <is>
          <t>biosphere</t>
        </is>
      </c>
      <c r="I4456">
        <v>0</v>
      </c>
    </row>
    <row r="4457">
      <c r="A4457" t="inlineStr">
        <is>
          <t>Nitrogen oxides</t>
        </is>
      </c>
      <c r="B4457">
        <v>1.2205207650351623e-05</v>
      </c>
      <c r="D4457" t="inlineStr">
        <is>
          <t>kilogram</t>
        </is>
      </c>
      <c r="E4457" t="inlineStr">
        <is>
          <t>air::non-urban air or from high stacks</t>
        </is>
      </c>
      <c r="F4457" t="inlineStr">
        <is>
          <t>biosphere</t>
        </is>
      </c>
      <c r="I4457">
        <v>0</v>
      </c>
    </row>
    <row r="4458">
      <c r="A4458" t="inlineStr">
        <is>
          <t>Butane</t>
        </is>
      </c>
      <c r="B4458">
        <v>1.3573831832855856e-09</v>
      </c>
      <c r="D4458" t="inlineStr">
        <is>
          <t>kilogram</t>
        </is>
      </c>
      <c r="E4458" t="inlineStr">
        <is>
          <t>air::urban air close to ground</t>
        </is>
      </c>
      <c r="F4458" t="inlineStr">
        <is>
          <t>biosphere</t>
        </is>
      </c>
      <c r="I4458">
        <v>0</v>
      </c>
    </row>
    <row r="4459">
      <c r="A4459" t="inlineStr">
        <is>
          <t>Copper ion</t>
        </is>
      </c>
      <c r="B4459">
        <v>5.130209510040208e-11</v>
      </c>
      <c r="D4459" t="inlineStr">
        <is>
          <t>kilogram</t>
        </is>
      </c>
      <c r="E4459" t="inlineStr">
        <is>
          <t>air::urban air close to ground</t>
        </is>
      </c>
      <c r="F4459" t="inlineStr">
        <is>
          <t>biosphere</t>
        </is>
      </c>
      <c r="I4459">
        <v>0</v>
      </c>
    </row>
    <row r="4460">
      <c r="A4460" t="inlineStr">
        <is>
          <t>Chromium III</t>
        </is>
      </c>
      <c r="B4460">
        <v>7.637454356709601e-11</v>
      </c>
      <c r="D4460" t="inlineStr">
        <is>
          <t>kilogram</t>
        </is>
      </c>
      <c r="E4460" t="inlineStr">
        <is>
          <t>air::urban air close to ground</t>
        </is>
      </c>
      <c r="F4460" t="inlineStr">
        <is>
          <t>biosphere</t>
        </is>
      </c>
      <c r="I4460">
        <v>0</v>
      </c>
    </row>
    <row r="4461">
      <c r="A4461" t="inlineStr">
        <is>
          <t>Propane</t>
        </is>
      </c>
      <c r="B4461">
        <v>1.3573831832855856e-09</v>
      </c>
      <c r="D4461" t="inlineStr">
        <is>
          <t>kilogram</t>
        </is>
      </c>
      <c r="E4461" t="inlineStr">
        <is>
          <t>air::urban air close to ground</t>
        </is>
      </c>
      <c r="F4461" t="inlineStr">
        <is>
          <t>biosphere</t>
        </is>
      </c>
      <c r="I4461">
        <v>0</v>
      </c>
    </row>
    <row r="4462">
      <c r="A4462" t="inlineStr">
        <is>
          <t>Toluene</t>
        </is>
      </c>
      <c r="B4462">
        <v>8.514495184008822e-09</v>
      </c>
      <c r="D4462" t="inlineStr">
        <is>
          <t>kilogram</t>
        </is>
      </c>
      <c r="E4462" t="inlineStr">
        <is>
          <t>air::urban air close to ground</t>
        </is>
      </c>
      <c r="F4462" t="inlineStr">
        <is>
          <t>biosphere</t>
        </is>
      </c>
      <c r="I4462">
        <v>0</v>
      </c>
    </row>
    <row r="4463">
      <c r="A4463" t="inlineStr">
        <is>
          <t>Dinitrogen monoxide</t>
        </is>
      </c>
      <c r="B4463">
        <v>8.68949829854063e-07</v>
      </c>
      <c r="D4463" t="inlineStr">
        <is>
          <t>kilogram</t>
        </is>
      </c>
      <c r="E4463" t="inlineStr">
        <is>
          <t>air::urban air close to ground</t>
        </is>
      </c>
      <c r="F4463" t="inlineStr">
        <is>
          <t>biosphere</t>
        </is>
      </c>
      <c r="I4463">
        <v>0</v>
      </c>
    </row>
    <row r="4464">
      <c r="A4464" t="inlineStr">
        <is>
          <t>Zinc II</t>
        </is>
      </c>
      <c r="B4464">
        <v>1.6162087653443074e-10</v>
      </c>
      <c r="D4464" t="inlineStr">
        <is>
          <t>kilogram</t>
        </is>
      </c>
      <c r="E4464" t="inlineStr">
        <is>
          <t>air::urban air close to ground</t>
        </is>
      </c>
      <c r="F4464" t="inlineStr">
        <is>
          <t>biosphere</t>
        </is>
      </c>
      <c r="I4464">
        <v>0</v>
      </c>
    </row>
    <row r="4465">
      <c r="A4465" t="inlineStr">
        <is>
          <t>Chromium VI</t>
        </is>
      </c>
      <c r="B4465">
        <v>2.426366216798939e-13</v>
      </c>
      <c r="D4465" t="inlineStr">
        <is>
          <t>kilogram</t>
        </is>
      </c>
      <c r="E4465" t="inlineStr">
        <is>
          <t>air::non-urban air or from high stacks</t>
        </is>
      </c>
      <c r="F4465" t="inlineStr">
        <is>
          <t>biosphere</t>
        </is>
      </c>
      <c r="I4465">
        <v>0</v>
      </c>
    </row>
    <row r="4466">
      <c r="A4466" t="inlineStr">
        <is>
          <t>Benzene</t>
        </is>
      </c>
      <c r="B4466">
        <v>2.1320570436842153e-08</v>
      </c>
      <c r="D4466" t="inlineStr">
        <is>
          <t>kilogram</t>
        </is>
      </c>
      <c r="E4466" t="inlineStr">
        <is>
          <t>air::non-urban air or from high stacks</t>
        </is>
      </c>
      <c r="F4466" t="inlineStr">
        <is>
          <t>biosphere</t>
        </is>
      </c>
      <c r="I4466">
        <v>0</v>
      </c>
    </row>
    <row r="4467">
      <c r="A4467" t="inlineStr">
        <is>
          <t>Carbon monoxide, fossil</t>
        </is>
      </c>
      <c r="B4467">
        <v>4.486574608647261e-06</v>
      </c>
      <c r="D4467" t="inlineStr">
        <is>
          <t>kilogram</t>
        </is>
      </c>
      <c r="E4467" t="inlineStr">
        <is>
          <t>air::non-urban air or from high stacks</t>
        </is>
      </c>
      <c r="F4467" t="inlineStr">
        <is>
          <t>biosphere</t>
        </is>
      </c>
      <c r="I4467">
        <v>0</v>
      </c>
    </row>
    <row r="4468">
      <c r="A4468" t="inlineStr">
        <is>
          <t>Chromium VI</t>
        </is>
      </c>
      <c r="B4468">
        <v>1.5236336208114335e-13</v>
      </c>
      <c r="D4468" t="inlineStr">
        <is>
          <t>kilogram</t>
        </is>
      </c>
      <c r="E4468" t="inlineStr">
        <is>
          <t>air::urban air close to ground</t>
        </is>
      </c>
      <c r="F4468" t="inlineStr">
        <is>
          <t>biosphere</t>
        </is>
      </c>
      <c r="I4468">
        <v>0</v>
      </c>
    </row>
    <row r="4469">
      <c r="A4469" t="inlineStr">
        <is>
          <t>Methane, fossil</t>
        </is>
      </c>
      <c r="B4469">
        <v>1.5324029278860158e-06</v>
      </c>
      <c r="D4469" t="inlineStr">
        <is>
          <t>kilogram</t>
        </is>
      </c>
      <c r="E4469" t="inlineStr">
        <is>
          <t>air::urban air close to ground</t>
        </is>
      </c>
      <c r="F4469" t="inlineStr">
        <is>
          <t>biosphere</t>
        </is>
      </c>
      <c r="I4469">
        <v>0</v>
      </c>
    </row>
    <row r="4470">
      <c r="A4470" t="inlineStr">
        <is>
          <t>Sulfur dioxide</t>
        </is>
      </c>
      <c r="B4470">
        <v>4.6773094625996215e-07</v>
      </c>
      <c r="D4470" t="inlineStr">
        <is>
          <t>kilogram</t>
        </is>
      </c>
      <c r="E4470" t="inlineStr">
        <is>
          <t>air</t>
        </is>
      </c>
      <c r="F4470" t="inlineStr">
        <is>
          <t>biosphere</t>
        </is>
      </c>
      <c r="I4470">
        <v>0</v>
      </c>
    </row>
    <row r="4471">
      <c r="A4471" t="inlineStr">
        <is>
          <t>NMVOC, non-methane volatile organic compounds</t>
        </is>
      </c>
      <c r="B4471">
        <v>6.786915792678135e-07</v>
      </c>
      <c r="D4471" t="inlineStr">
        <is>
          <t>kilogram</t>
        </is>
      </c>
      <c r="E4471" t="inlineStr">
        <is>
          <t>air::urban air close to ground</t>
        </is>
      </c>
      <c r="F4471" t="inlineStr">
        <is>
          <t>biosphere</t>
        </is>
      </c>
      <c r="I4471">
        <v>0</v>
      </c>
    </row>
    <row r="4472">
      <c r="A4472" t="inlineStr">
        <is>
          <t>Formaldehyde</t>
        </is>
      </c>
      <c r="B4472">
        <v>1.4807816718010298e-07</v>
      </c>
      <c r="D4472" t="inlineStr">
        <is>
          <t>kilogram</t>
        </is>
      </c>
      <c r="E4472" t="inlineStr">
        <is>
          <t>air::urban air close to ground</t>
        </is>
      </c>
      <c r="F4472" t="inlineStr">
        <is>
          <t>biosphere</t>
        </is>
      </c>
      <c r="I4472">
        <v>0</v>
      </c>
    </row>
    <row r="4473">
      <c r="A4473" t="inlineStr">
        <is>
          <t>Nitrogen oxides</t>
        </is>
      </c>
      <c r="B4473">
        <v>1.6646759692298164e-05</v>
      </c>
      <c r="D4473" t="inlineStr">
        <is>
          <t>kilogram</t>
        </is>
      </c>
      <c r="E4473" t="inlineStr">
        <is>
          <t>air::urban air close to ground</t>
        </is>
      </c>
      <c r="F4473" t="inlineStr">
        <is>
          <t>biosphere</t>
        </is>
      </c>
      <c r="I4473">
        <v>0</v>
      </c>
    </row>
    <row r="4474">
      <c r="A4474" t="inlineStr">
        <is>
          <t>Formaldehyde</t>
        </is>
      </c>
      <c r="B4474">
        <v>3.198085755910623e-08</v>
      </c>
      <c r="D4474" t="inlineStr">
        <is>
          <t>kilogram</t>
        </is>
      </c>
      <c r="E4474" t="inlineStr">
        <is>
          <t>air::non-urban air or from high stacks</t>
        </is>
      </c>
      <c r="F4474" t="inlineStr">
        <is>
          <t>biosphere</t>
        </is>
      </c>
      <c r="I4474">
        <v>0</v>
      </c>
    </row>
    <row r="4475">
      <c r="A4475" t="inlineStr">
        <is>
          <t>Zinc II</t>
        </is>
      </c>
      <c r="B4475">
        <v>2.5737910759022457e-10</v>
      </c>
      <c r="D4475" t="inlineStr">
        <is>
          <t>kilogram</t>
        </is>
      </c>
      <c r="E4475" t="inlineStr">
        <is>
          <t>air::non-urban air or from high stacks</t>
        </is>
      </c>
      <c r="F4475" t="inlineStr">
        <is>
          <t>biosphere</t>
        </is>
      </c>
      <c r="I4475">
        <v>0</v>
      </c>
    </row>
    <row r="4476">
      <c r="A4476" t="inlineStr">
        <is>
          <t>Carbon monoxide, fossil</t>
        </is>
      </c>
      <c r="B4476">
        <v>1.4237602031170576e-05</v>
      </c>
      <c r="D4476" t="inlineStr">
        <is>
          <t>kilogram</t>
        </is>
      </c>
      <c r="E4476" t="inlineStr">
        <is>
          <t>air::urban air close to ground</t>
        </is>
      </c>
      <c r="F4476" t="inlineStr">
        <is>
          <t>biosphere</t>
        </is>
      </c>
      <c r="I4476">
        <v>0</v>
      </c>
    </row>
    <row r="4477">
      <c r="A4477" t="inlineStr">
        <is>
          <t>m-Xylene</t>
        </is>
      </c>
      <c r="B4477">
        <v>7.527306895116669e-09</v>
      </c>
      <c r="D4477" t="inlineStr">
        <is>
          <t>kilogram</t>
        </is>
      </c>
      <c r="E4477" t="inlineStr">
        <is>
          <t>air::urban air close to ground</t>
        </is>
      </c>
      <c r="F4477" t="inlineStr">
        <is>
          <t>biosphere</t>
        </is>
      </c>
      <c r="I4477">
        <v>0</v>
      </c>
    </row>
    <row r="4478">
      <c r="A4478" t="inlineStr">
        <is>
          <t>PAH, polycyclic aromatic hydrocarbons</t>
        </is>
      </c>
      <c r="B4478">
        <v>8.108362635164032e-10</v>
      </c>
      <c r="D4478" t="inlineStr">
        <is>
          <t>kilogram</t>
        </is>
      </c>
      <c r="E4478" t="inlineStr">
        <is>
          <t>air::non-urban air or from high stacks</t>
        </is>
      </c>
      <c r="F4478" t="inlineStr">
        <is>
          <t>biosphere</t>
        </is>
      </c>
      <c r="I4478">
        <v>0</v>
      </c>
    </row>
    <row r="4479">
      <c r="A4479" t="inlineStr">
        <is>
          <t>Particulate Matter, &lt; 2.5 um</t>
        </is>
      </c>
      <c r="B4479">
        <v>1.5058152272837298e-07</v>
      </c>
      <c r="D4479" t="inlineStr">
        <is>
          <t>kilogram</t>
        </is>
      </c>
      <c r="E4479" t="inlineStr">
        <is>
          <t>air::non-urban air or from high stacks</t>
        </is>
      </c>
      <c r="F4479" t="inlineStr">
        <is>
          <t>biosphere</t>
        </is>
      </c>
      <c r="I4479">
        <v>0</v>
      </c>
    </row>
    <row r="4480">
      <c r="A4480" t="inlineStr">
        <is>
          <t>Pentane</t>
        </is>
      </c>
      <c r="B4480">
        <v>1.0660286289332767e-10</v>
      </c>
      <c r="D4480" t="inlineStr">
        <is>
          <t>kilogram</t>
        </is>
      </c>
      <c r="E4480" t="inlineStr">
        <is>
          <t>air::non-urban air or from high stacks</t>
        </is>
      </c>
      <c r="F4480" t="inlineStr">
        <is>
          <t>biosphere</t>
        </is>
      </c>
      <c r="I4480">
        <v>0</v>
      </c>
    </row>
    <row r="4481">
      <c r="A4481" t="inlineStr">
        <is>
          <t>1,1,1,2-Tetrafluoroethane</t>
        </is>
      </c>
      <c r="B4481">
        <v>2.00956556691731e-06</v>
      </c>
      <c r="D4481" t="inlineStr">
        <is>
          <t>kilogram</t>
        </is>
      </c>
      <c r="E4481" t="inlineStr">
        <is>
          <t>air</t>
        </is>
      </c>
      <c r="F4481" t="inlineStr">
        <is>
          <t>biosphere</t>
        </is>
      </c>
      <c r="I4481">
        <v>0</v>
      </c>
    </row>
    <row r="4482">
      <c r="A4482" t="inlineStr">
        <is>
          <t>Acetaldehyde</t>
        </is>
      </c>
      <c r="B4482">
        <v>7.983881383537138e-08</v>
      </c>
      <c r="D4482" t="inlineStr">
        <is>
          <t>kilogram</t>
        </is>
      </c>
      <c r="E4482" t="inlineStr">
        <is>
          <t>air::urban air close to ground</t>
        </is>
      </c>
      <c r="F4482" t="inlineStr">
        <is>
          <t>biosphere</t>
        </is>
      </c>
      <c r="I4482">
        <v>0</v>
      </c>
    </row>
    <row r="4483">
      <c r="A4483" t="inlineStr">
        <is>
          <t>Benzene</t>
        </is>
      </c>
      <c r="B4483">
        <v>2.617468470906676e-08</v>
      </c>
      <c r="D4483" t="inlineStr">
        <is>
          <t>kilogram</t>
        </is>
      </c>
      <c r="E4483" t="inlineStr">
        <is>
          <t>air::urban air close to ground</t>
        </is>
      </c>
      <c r="F4483" t="inlineStr">
        <is>
          <t>biosphere</t>
        </is>
      </c>
      <c r="I4483">
        <v>0</v>
      </c>
    </row>
    <row r="4484">
      <c r="A4484" t="inlineStr">
        <is>
          <t>Mercury II</t>
        </is>
      </c>
      <c r="B4484">
        <v>4.74447939061248e-11</v>
      </c>
      <c r="D4484" t="inlineStr">
        <is>
          <t>kilogram</t>
        </is>
      </c>
      <c r="E4484" t="inlineStr">
        <is>
          <t>air::urban air close to ground</t>
        </is>
      </c>
      <c r="F4484" t="inlineStr">
        <is>
          <t>biosphere</t>
        </is>
      </c>
      <c r="I4484">
        <v>0</v>
      </c>
    </row>
    <row r="4485">
      <c r="A4485" t="inlineStr">
        <is>
          <t>Cadmium II</t>
        </is>
      </c>
      <c r="B4485">
        <v>4.4744682628565553e-13</v>
      </c>
      <c r="D4485" t="inlineStr">
        <is>
          <t>kilogram</t>
        </is>
      </c>
      <c r="E4485" t="inlineStr">
        <is>
          <t>air::urban air close to ground</t>
        </is>
      </c>
      <c r="F4485" t="inlineStr">
        <is>
          <t>biosphere</t>
        </is>
      </c>
      <c r="I4485">
        <v>0</v>
      </c>
    </row>
    <row r="4486">
      <c r="A4486" t="inlineStr">
        <is>
          <t>Propane</t>
        </is>
      </c>
      <c r="B4486">
        <v>2.9315788039353776e-10</v>
      </c>
      <c r="D4486" t="inlineStr">
        <is>
          <t>kilogram</t>
        </is>
      </c>
      <c r="E4486" t="inlineStr">
        <is>
          <t>air::non-urban air or from high stacks</t>
        </is>
      </c>
      <c r="F4486" t="inlineStr">
        <is>
          <t>biosphere</t>
        </is>
      </c>
      <c r="I4486">
        <v>0</v>
      </c>
    </row>
    <row r="4487">
      <c r="A4487" t="inlineStr">
        <is>
          <t>Chromium III</t>
        </is>
      </c>
      <c r="B4487">
        <v>1.2162544101483783e-10</v>
      </c>
      <c r="D4487" t="inlineStr">
        <is>
          <t>kilogram</t>
        </is>
      </c>
      <c r="E4487" t="inlineStr">
        <is>
          <t>air::non-urban air or from high stacks</t>
        </is>
      </c>
      <c r="F4487" t="inlineStr">
        <is>
          <t>biosphere</t>
        </is>
      </c>
      <c r="I4487">
        <v>0</v>
      </c>
    </row>
    <row r="4488">
      <c r="A4488" t="inlineStr">
        <is>
          <t>Acetone</t>
        </is>
      </c>
      <c r="B4488">
        <v>3.627915248219963e-08</v>
      </c>
      <c r="D4488" t="inlineStr">
        <is>
          <t>kilogram</t>
        </is>
      </c>
      <c r="E4488" t="inlineStr">
        <is>
          <t>air::urban air close to ground</t>
        </is>
      </c>
      <c r="F4488" t="inlineStr">
        <is>
          <t>biosphere</t>
        </is>
      </c>
      <c r="I4488">
        <v>0</v>
      </c>
    </row>
    <row r="4489">
      <c r="A4489" t="inlineStr">
        <is>
          <t>Acrolein</t>
        </is>
      </c>
      <c r="B4489">
        <v>4.4176654985650857e-08</v>
      </c>
      <c r="D4489" t="inlineStr">
        <is>
          <t>kilogram</t>
        </is>
      </c>
      <c r="E4489" t="inlineStr">
        <is>
          <t>air::urban air close to ground</t>
        </is>
      </c>
      <c r="F4489" t="inlineStr">
        <is>
          <t>biosphere</t>
        </is>
      </c>
      <c r="I4489">
        <v>0</v>
      </c>
    </row>
    <row r="4490">
      <c r="A4490" t="inlineStr">
        <is>
          <t>Benzaldehyde</t>
        </is>
      </c>
      <c r="B4490">
        <v>1.061226839406165e-08</v>
      </c>
      <c r="D4490" t="inlineStr">
        <is>
          <t>kilogram</t>
        </is>
      </c>
      <c r="E4490" t="inlineStr">
        <is>
          <t>air::urban air close to ground</t>
        </is>
      </c>
      <c r="F4490" t="inlineStr">
        <is>
          <t>biosphere</t>
        </is>
      </c>
      <c r="I4490">
        <v>0</v>
      </c>
    </row>
    <row r="4491">
      <c r="A4491" t="inlineStr">
        <is>
          <t>Cyclohexane</t>
        </is>
      </c>
      <c r="B4491">
        <v>8.020901039562743e-09</v>
      </c>
      <c r="D4491" t="inlineStr">
        <is>
          <t>kilogram</t>
        </is>
      </c>
      <c r="E4491" t="inlineStr">
        <is>
          <t>air::urban air close to ground</t>
        </is>
      </c>
      <c r="F4491" t="inlineStr">
        <is>
          <t>biosphere</t>
        </is>
      </c>
      <c r="I4491">
        <v>0</v>
      </c>
    </row>
    <row r="4492">
      <c r="A4492" t="inlineStr">
        <is>
          <t>Heptane</t>
        </is>
      </c>
      <c r="B4492">
        <v>2.4679695323285083e-09</v>
      </c>
      <c r="D4492" t="inlineStr">
        <is>
          <t>kilogram</t>
        </is>
      </c>
      <c r="E4492" t="inlineStr">
        <is>
          <t>air::urban air close to ground</t>
        </is>
      </c>
      <c r="F4492" t="inlineStr">
        <is>
          <t>biosphere</t>
        </is>
      </c>
      <c r="I4492">
        <v>0</v>
      </c>
    </row>
    <row r="4493">
      <c r="A4493" t="inlineStr">
        <is>
          <t>Methyl ethyl ketone</t>
        </is>
      </c>
      <c r="B4493">
        <v>1.4807816718010298e-08</v>
      </c>
      <c r="D4493" t="inlineStr">
        <is>
          <t>kilogram</t>
        </is>
      </c>
      <c r="E4493" t="inlineStr">
        <is>
          <t>air::urban air close to ground</t>
        </is>
      </c>
      <c r="F4493" t="inlineStr">
        <is>
          <t>biosphere</t>
        </is>
      </c>
      <c r="I4493">
        <v>0</v>
      </c>
    </row>
    <row r="4494">
      <c r="A4494" t="inlineStr">
        <is>
          <t>o-Xylene</t>
        </is>
      </c>
      <c r="B4494">
        <v>3.331758809148392e-09</v>
      </c>
      <c r="D4494" t="inlineStr">
        <is>
          <t>kilogram</t>
        </is>
      </c>
      <c r="E4494" t="inlineStr">
        <is>
          <t>air::urban air close to ground</t>
        </is>
      </c>
      <c r="F4494" t="inlineStr">
        <is>
          <t>biosphere</t>
        </is>
      </c>
      <c r="I4494">
        <v>0</v>
      </c>
    </row>
    <row r="4495">
      <c r="A4495" t="inlineStr">
        <is>
          <t>Propylene</t>
        </is>
      </c>
      <c r="B4495">
        <v>4.4423450154030895e-08</v>
      </c>
      <c r="D4495" t="inlineStr">
        <is>
          <t>kilogram</t>
        </is>
      </c>
      <c r="E4495" t="inlineStr">
        <is>
          <t>air::urban air close to ground</t>
        </is>
      </c>
      <c r="F4495" t="inlineStr">
        <is>
          <t>biosphere</t>
        </is>
      </c>
      <c r="I4495">
        <v>0</v>
      </c>
    </row>
    <row r="4496">
      <c r="A4496" t="inlineStr">
        <is>
          <t>Selenium IV</t>
        </is>
      </c>
      <c r="B4496">
        <v>8.98750956554421e-13</v>
      </c>
      <c r="D4496" t="inlineStr">
        <is>
          <t>kilogram</t>
        </is>
      </c>
      <c r="E4496" t="inlineStr">
        <is>
          <t>air::urban air close to ground</t>
        </is>
      </c>
      <c r="F4496" t="inlineStr">
        <is>
          <t>biosphere</t>
        </is>
      </c>
      <c r="I4496">
        <v>0</v>
      </c>
    </row>
    <row r="4497">
      <c r="A4497" t="inlineStr">
        <is>
          <t>Styrene</t>
        </is>
      </c>
      <c r="B4497">
        <v>4.5657434563224585e-09</v>
      </c>
      <c r="D4497" t="inlineStr">
        <is>
          <t>kilogram</t>
        </is>
      </c>
      <c r="E4497" t="inlineStr">
        <is>
          <t>air::urban air close to ground</t>
        </is>
      </c>
      <c r="F4497" t="inlineStr">
        <is>
          <t>biosphere</t>
        </is>
      </c>
      <c r="I4497">
        <v>0</v>
      </c>
    </row>
    <row r="4498">
      <c r="A4498" t="inlineStr">
        <is>
          <t>Acetaldehyde</t>
        </is>
      </c>
      <c r="B4498">
        <v>1.7243010879114162e-08</v>
      </c>
      <c r="D4498" t="inlineStr">
        <is>
          <t>kilogram</t>
        </is>
      </c>
      <c r="E4498" t="inlineStr">
        <is>
          <t>air::non-urban air or from high stacks</t>
        </is>
      </c>
      <c r="F4498" t="inlineStr">
        <is>
          <t>biosphere</t>
        </is>
      </c>
      <c r="I4498">
        <v>0</v>
      </c>
    </row>
    <row r="4499">
      <c r="A4499" t="inlineStr">
        <is>
          <t>Acetone</t>
        </is>
      </c>
      <c r="B4499">
        <v>7.835309664097135e-09</v>
      </c>
      <c r="D4499" t="inlineStr">
        <is>
          <t>kilogram</t>
        </is>
      </c>
      <c r="E4499" t="inlineStr">
        <is>
          <t>air::non-urban air or from high stacks</t>
        </is>
      </c>
      <c r="F4499" t="inlineStr">
        <is>
          <t>biosphere</t>
        </is>
      </c>
      <c r="I4499">
        <v>0</v>
      </c>
    </row>
    <row r="4500">
      <c r="A4500" t="inlineStr">
        <is>
          <t>Acrolein</t>
        </is>
      </c>
      <c r="B4500">
        <v>9.540955946351132e-09</v>
      </c>
      <c r="D4500" t="inlineStr">
        <is>
          <t>kilogram</t>
        </is>
      </c>
      <c r="E4500" t="inlineStr">
        <is>
          <t>air::non-urban air or from high stacks</t>
        </is>
      </c>
      <c r="F4500" t="inlineStr">
        <is>
          <t>biosphere</t>
        </is>
      </c>
      <c r="I4500">
        <v>0</v>
      </c>
    </row>
    <row r="4501">
      <c r="A4501" t="inlineStr">
        <is>
          <t>Benzaldehyde</t>
        </is>
      </c>
      <c r="B4501">
        <v>2.291961388595036e-09</v>
      </c>
      <c r="D4501" t="inlineStr">
        <is>
          <t>kilogram</t>
        </is>
      </c>
      <c r="E4501" t="inlineStr">
        <is>
          <t>air::non-urban air or from high stacks</t>
        </is>
      </c>
      <c r="F4501" t="inlineStr">
        <is>
          <t>biosphere</t>
        </is>
      </c>
      <c r="I4501">
        <v>0</v>
      </c>
    </row>
    <row r="4502">
      <c r="A4502" t="inlineStr">
        <is>
          <t>Cyclohexane</t>
        </is>
      </c>
      <c r="B4502">
        <v>1.7322965145796874e-09</v>
      </c>
      <c r="D4502" t="inlineStr">
        <is>
          <t>kilogram</t>
        </is>
      </c>
      <c r="E4502" t="inlineStr">
        <is>
          <t>air::non-urban air or from high stacks</t>
        </is>
      </c>
      <c r="F4502" t="inlineStr">
        <is>
          <t>biosphere</t>
        </is>
      </c>
      <c r="I4502">
        <v>0</v>
      </c>
    </row>
    <row r="4503">
      <c r="A4503" t="inlineStr">
        <is>
          <t>Heptane</t>
        </is>
      </c>
      <c r="B4503">
        <v>5.330142847190914e-10</v>
      </c>
      <c r="D4503" t="inlineStr">
        <is>
          <t>kilogram</t>
        </is>
      </c>
      <c r="E4503" t="inlineStr">
        <is>
          <t>air::non-urban air or from high stacks</t>
        </is>
      </c>
      <c r="F4503" t="inlineStr">
        <is>
          <t>biosphere</t>
        </is>
      </c>
      <c r="I4503">
        <v>0</v>
      </c>
    </row>
    <row r="4504">
      <c r="A4504" t="inlineStr">
        <is>
          <t>Methyl ethyl ketone</t>
        </is>
      </c>
      <c r="B4504">
        <v>3.198085708314548e-09</v>
      </c>
      <c r="D4504" t="inlineStr">
        <is>
          <t>kilogram</t>
        </is>
      </c>
      <c r="E4504" t="inlineStr">
        <is>
          <t>air::non-urban air or from high stacks</t>
        </is>
      </c>
      <c r="F4504" t="inlineStr">
        <is>
          <t>biosphere</t>
        </is>
      </c>
      <c r="I4504">
        <v>0</v>
      </c>
    </row>
    <row r="4505">
      <c r="A4505" t="inlineStr">
        <is>
          <t>m-Xylene</t>
        </is>
      </c>
      <c r="B4505">
        <v>1.6256935624437191e-09</v>
      </c>
      <c r="D4505" t="inlineStr">
        <is>
          <t>kilogram</t>
        </is>
      </c>
      <c r="E4505" t="inlineStr">
        <is>
          <t>air::non-urban air or from high stacks</t>
        </is>
      </c>
      <c r="F4505" t="inlineStr">
        <is>
          <t>biosphere</t>
        </is>
      </c>
      <c r="I4505">
        <v>0</v>
      </c>
    </row>
    <row r="4506">
      <c r="A4506" t="inlineStr">
        <is>
          <t>o-Xylene</t>
        </is>
      </c>
      <c r="B4506">
        <v>7.195693022193013e-10</v>
      </c>
      <c r="D4506" t="inlineStr">
        <is>
          <t>kilogram</t>
        </is>
      </c>
      <c r="E4506" t="inlineStr">
        <is>
          <t>air::non-urban air or from high stacks</t>
        </is>
      </c>
      <c r="F4506" t="inlineStr">
        <is>
          <t>biosphere</t>
        </is>
      </c>
      <c r="I4506">
        <v>0</v>
      </c>
    </row>
    <row r="4507">
      <c r="A4507" t="inlineStr">
        <is>
          <t>Styrene</t>
        </is>
      </c>
      <c r="B4507">
        <v>9.86076444578847e-10</v>
      </c>
      <c r="D4507" t="inlineStr">
        <is>
          <t>kilogram</t>
        </is>
      </c>
      <c r="E4507" t="inlineStr">
        <is>
          <t>air::non-urban air or from high stacks</t>
        </is>
      </c>
      <c r="F4507" t="inlineStr">
        <is>
          <t>biosphere</t>
        </is>
      </c>
      <c r="I4507">
        <v>0</v>
      </c>
    </row>
    <row r="4508">
      <c r="A4508" t="inlineStr">
        <is>
          <t>Ethylene</t>
        </is>
      </c>
      <c r="B4508">
        <v>1.3536812652791e-07</v>
      </c>
      <c r="D4508" t="inlineStr">
        <is>
          <t>kilogram</t>
        </is>
      </c>
      <c r="E4508" t="inlineStr">
        <is>
          <t>air::urban air close to ground</t>
        </is>
      </c>
      <c r="F4508" t="inlineStr">
        <is>
          <t>biosphere</t>
        </is>
      </c>
      <c r="I4508">
        <v>0</v>
      </c>
    </row>
    <row r="4509">
      <c r="A4509" t="inlineStr">
        <is>
          <t>Ethylene</t>
        </is>
      </c>
      <c r="B4509">
        <v>2.923583389166125e-08</v>
      </c>
      <c r="D4509" t="inlineStr">
        <is>
          <t>kilogram</t>
        </is>
      </c>
      <c r="E4509" t="inlineStr">
        <is>
          <t>air::non-urban air or from high stacks</t>
        </is>
      </c>
      <c r="F4509" t="inlineStr">
        <is>
          <t>biosphere</t>
        </is>
      </c>
      <c r="I4509">
        <v>0</v>
      </c>
    </row>
    <row r="4510">
      <c r="A4510" t="inlineStr">
        <is>
          <t>market for internal combustion engine, passenger car</t>
        </is>
      </c>
      <c r="B4510">
        <v>0.0007866161325923368</v>
      </c>
      <c r="C4510" t="inlineStr">
        <is>
          <t>GLO</t>
        </is>
      </c>
      <c r="D4510" t="inlineStr">
        <is>
          <t>kilogram</t>
        </is>
      </c>
      <c r="F4510" t="inlineStr">
        <is>
          <t>technosphere</t>
        </is>
      </c>
      <c r="G4510" t="inlineStr">
        <is>
          <t>internal combustion engine, passenger car</t>
        </is>
      </c>
      <c r="H4510" t="inlineStr">
        <is>
          <t> Energy-use allocation: 293.5769348144531 * 4.999999873689376e-06 / 1.866074920371751 MJ per kilometer.</t>
        </is>
      </c>
      <c r="I4510">
        <v>0</v>
      </c>
    </row>
    <row r="4511">
      <c r="A4511" t="inlineStr">
        <is>
          <t>market for waste plastic, industrial electronics</t>
        </is>
      </c>
      <c r="B4511">
        <v>-0.00013127930051786527</v>
      </c>
      <c r="C4511" t="inlineStr">
        <is>
          <t>CH</t>
        </is>
      </c>
      <c r="D4511" t="inlineStr">
        <is>
          <t>kilogram</t>
        </is>
      </c>
      <c r="F4511" t="inlineStr">
        <is>
          <t>technosphere</t>
        </is>
      </c>
      <c r="G4511" t="inlineStr">
        <is>
          <t>waste plastic, industrial electronics</t>
        </is>
      </c>
      <c r="H4511" t="inlineStr">
        <is>
          <t> Energy-use allocation: -48.99540328979492 * 4.999999873689376e-06 / 1.866074920371751 MJ per kilometer.</t>
        </is>
      </c>
      <c r="I4511">
        <v>0</v>
      </c>
    </row>
    <row r="4512">
      <c r="A4512" t="inlineStr">
        <is>
          <t>polyethylene production, high density, granulate</t>
        </is>
      </c>
      <c r="B4512">
        <v>0.00013127930051786527</v>
      </c>
      <c r="C4512" t="inlineStr">
        <is>
          <t>RER</t>
        </is>
      </c>
      <c r="D4512" t="inlineStr">
        <is>
          <t>kilogram</t>
        </is>
      </c>
      <c r="F4512" t="inlineStr">
        <is>
          <t>technosphere</t>
        </is>
      </c>
      <c r="G4512" t="inlineStr">
        <is>
          <t>polyethylene, high density, granulate</t>
        </is>
      </c>
      <c r="H4512" t="inlineStr">
        <is>
          <t> Energy-use allocation: 48.99540328979492 * 4.999999873689376e-06 / 1.866074920371751 MJ per kilometer.</t>
        </is>
      </c>
      <c r="I4512">
        <v>0</v>
      </c>
    </row>
    <row r="4513">
      <c r="A4513" t="inlineStr">
        <is>
          <t>Carbon dioxide, non-fossil</t>
        </is>
      </c>
      <c r="B4513">
        <v>0.0732</v>
      </c>
      <c r="D4513" t="inlineStr">
        <is>
          <t>kilogram</t>
        </is>
      </c>
      <c r="E4513" t="inlineStr">
        <is>
          <t>air::urban air close to ground</t>
        </is>
      </c>
      <c r="F4513" t="inlineStr">
        <is>
          <t>biosphere</t>
        </is>
      </c>
      <c r="I4513">
        <v>0</v>
      </c>
    </row>
    <row r="4514"/>
    <row r="4515">
      <c r="A4515" t="inlineStr">
        <is>
          <t>Activity</t>
        </is>
      </c>
      <c r="B4515" t="inlineStr">
        <is>
          <t>biodiesel, from residual cellulosic biomass, burned in passenger car</t>
        </is>
      </c>
    </row>
    <row r="4516">
      <c r="A4516" t="inlineStr">
        <is>
          <t>location</t>
        </is>
      </c>
      <c r="B4516" t="inlineStr">
        <is>
          <t>RER</t>
        </is>
      </c>
    </row>
    <row r="4517">
      <c r="A4517" t="inlineStr">
        <is>
          <t>production amount</t>
        </is>
      </c>
      <c r="B4517">
        <v>1</v>
      </c>
    </row>
    <row r="4518">
      <c r="A4518" t="inlineStr">
        <is>
          <t>reference product</t>
        </is>
      </c>
      <c r="B4518" t="inlineStr">
        <is>
          <t>heat</t>
        </is>
      </c>
    </row>
    <row r="4519">
      <c r="A4519" t="inlineStr">
        <is>
          <t>type</t>
        </is>
      </c>
      <c r="B4519" t="inlineStr">
        <is>
          <t>process</t>
        </is>
      </c>
    </row>
    <row r="4520">
      <c r="A4520" t="inlineStr">
        <is>
          <t>unit</t>
        </is>
      </c>
      <c r="B4520" t="inlineStr">
        <is>
          <t>megajoule</t>
        </is>
      </c>
    </row>
    <row r="4521">
      <c r="A4521" t="inlineStr">
        <is>
          <t>Power, mean</t>
        </is>
      </c>
      <c r="B4521">
        <v>126</v>
      </c>
    </row>
    <row r="4522">
      <c r="A4522" t="inlineStr">
        <is>
          <t>Power, min</t>
        </is>
      </c>
      <c r="B4522">
        <v>54</v>
      </c>
    </row>
    <row r="4523">
      <c r="A4523" t="inlineStr">
        <is>
          <t>Power, max</t>
        </is>
      </c>
      <c r="B4523">
        <v>158</v>
      </c>
    </row>
    <row r="4524">
      <c r="A4524" t="inlineStr">
        <is>
          <t>Lifetime, mean</t>
        </is>
      </c>
      <c r="B4524">
        <v>200000</v>
      </c>
    </row>
    <row r="4525">
      <c r="A4525" t="inlineStr">
        <is>
          <t>Lifetime, min</t>
        </is>
      </c>
      <c r="B4525">
        <v>160000</v>
      </c>
    </row>
    <row r="4526">
      <c r="A4526" t="inlineStr">
        <is>
          <t>Lifetime, max</t>
        </is>
      </c>
      <c r="B4526">
        <v>250000</v>
      </c>
    </row>
    <row r="4527">
      <c r="A4527" t="inlineStr">
        <is>
          <t>Energy use, mean</t>
        </is>
      </c>
      <c r="B4527">
        <v>2250</v>
      </c>
    </row>
    <row r="4528">
      <c r="A4528" t="inlineStr">
        <is>
          <t>Energy use, min</t>
        </is>
      </c>
      <c r="B4528">
        <v>1500</v>
      </c>
    </row>
    <row r="4529">
      <c r="A4529" t="inlineStr">
        <is>
          <t>Energy use, max</t>
        </is>
      </c>
      <c r="B4529">
        <v>2900</v>
      </c>
    </row>
    <row r="4530">
      <c r="A4530" t="inlineStr">
        <is>
          <t>Electric motor, mean</t>
        </is>
      </c>
      <c r="B4530">
        <v>0</v>
      </c>
    </row>
    <row r="4531">
      <c r="A4531" t="inlineStr">
        <is>
          <t>Electric motor, min</t>
        </is>
      </c>
      <c r="B4531">
        <v>0</v>
      </c>
    </row>
    <row r="4532">
      <c r="A4532" t="inlineStr">
        <is>
          <t>Electric motor, max</t>
        </is>
      </c>
      <c r="B4532">
        <v>0</v>
      </c>
    </row>
    <row r="4533">
      <c r="A4533" t="inlineStr">
        <is>
          <t>Combustion engine, mean</t>
        </is>
      </c>
      <c r="B4533">
        <v>169</v>
      </c>
    </row>
    <row r="4534">
      <c r="A4534" t="inlineStr">
        <is>
          <t>Combustion engine, min</t>
        </is>
      </c>
      <c r="B4534">
        <v>111</v>
      </c>
    </row>
    <row r="4535">
      <c r="A4535" t="inlineStr">
        <is>
          <t>Combustion engine, max</t>
        </is>
      </c>
      <c r="B4535">
        <v>194</v>
      </c>
    </row>
    <row r="4536">
      <c r="A4536" t="inlineStr">
        <is>
          <t>Fuel tank, mean</t>
        </is>
      </c>
      <c r="B4536">
        <v>48</v>
      </c>
    </row>
    <row r="4537">
      <c r="A4537" t="inlineStr">
        <is>
          <t>Fuel tank, min</t>
        </is>
      </c>
      <c r="B4537">
        <v>30</v>
      </c>
    </row>
    <row r="4538">
      <c r="A4538" t="inlineStr">
        <is>
          <t>Fuel tank, max</t>
        </is>
      </c>
      <c r="B4538">
        <v>48</v>
      </c>
    </row>
    <row r="4539">
      <c r="A4539" t="inlineStr">
        <is>
          <t>Battery capacity, mean</t>
        </is>
      </c>
      <c r="B4539">
        <v>0</v>
      </c>
    </row>
    <row r="4540">
      <c r="A4540" t="inlineStr">
        <is>
          <t>Battery capacity, min</t>
        </is>
      </c>
      <c r="B4540">
        <v>0</v>
      </c>
    </row>
    <row r="4541">
      <c r="A4541" t="inlineStr">
        <is>
          <t>Battery capacity, max</t>
        </is>
      </c>
      <c r="B4541">
        <v>0</v>
      </c>
    </row>
    <row r="4542">
      <c r="A4542" t="inlineStr">
        <is>
          <t>Battery replacement, mean</t>
        </is>
      </c>
      <c r="B4542">
        <v>0</v>
      </c>
    </row>
    <row r="4543">
      <c r="A4543" t="inlineStr">
        <is>
          <t>Battery replacement, min</t>
        </is>
      </c>
      <c r="B4543">
        <v>0</v>
      </c>
    </row>
    <row r="4544">
      <c r="A4544" t="inlineStr">
        <is>
          <t>Battery replacement, max</t>
        </is>
      </c>
      <c r="B4544">
        <v>0</v>
      </c>
    </row>
    <row r="4545">
      <c r="A4545" t="inlineStr">
        <is>
          <t>Fuel cell system, mean</t>
        </is>
      </c>
      <c r="B4545">
        <v>0</v>
      </c>
    </row>
    <row r="4546">
      <c r="A4546" t="inlineStr">
        <is>
          <t>Fuel cell system, min</t>
        </is>
      </c>
      <c r="B4546">
        <v>0</v>
      </c>
    </row>
    <row r="4547">
      <c r="A4547" t="inlineStr">
        <is>
          <t>Fuel cell system, max</t>
        </is>
      </c>
      <c r="B4547">
        <v>0</v>
      </c>
    </row>
    <row r="4548">
      <c r="A4548" t="inlineStr">
        <is>
          <t>Fuel cell stack replacement, mean</t>
        </is>
      </c>
      <c r="B4548">
        <v>0</v>
      </c>
    </row>
    <row r="4549">
      <c r="A4549" t="inlineStr">
        <is>
          <t>Fuel cell replacement, min</t>
        </is>
      </c>
      <c r="B4549">
        <v>0</v>
      </c>
    </row>
    <row r="4550">
      <c r="A4550" t="inlineStr">
        <is>
          <t>Fuel cell replacement, max</t>
        </is>
      </c>
      <c r="B4550">
        <v>0</v>
      </c>
    </row>
    <row r="4551">
      <c r="A4551" t="inlineStr">
        <is>
          <t>Onboard charger mass</t>
        </is>
      </c>
      <c r="B4551">
        <v>0</v>
      </c>
    </row>
    <row r="4552">
      <c r="A4552" t="inlineStr">
        <is>
          <t>Controller mass</t>
        </is>
      </c>
      <c r="B4552">
        <v>0</v>
      </c>
    </row>
    <row r="4553">
      <c r="A4553" t="inlineStr">
        <is>
          <t>Converter mass</t>
        </is>
      </c>
      <c r="B4553">
        <v>0</v>
      </c>
    </row>
    <row r="4554">
      <c r="A4554" t="inlineStr">
        <is>
          <t>Electrical powertrain mass</t>
        </is>
      </c>
      <c r="B4554">
        <v>0</v>
      </c>
    </row>
    <row r="4555">
      <c r="A4555" t="inlineStr">
        <is>
          <t>Inverter mass</t>
        </is>
      </c>
      <c r="B4555">
        <v>0</v>
      </c>
    </row>
    <row r="4556">
      <c r="A4556" t="inlineStr">
        <is>
          <t>NOx</t>
        </is>
      </c>
      <c r="B4556">
        <v>0.2</v>
      </c>
    </row>
    <row r="4557">
      <c r="A4557" t="inlineStr">
        <is>
          <t>PM 2.5</t>
        </is>
      </c>
      <c r="B4557">
        <v>0.0017499999999999998</v>
      </c>
    </row>
    <row r="4558">
      <c r="A4558" t="inlineStr">
        <is>
          <t>energy use source</t>
        </is>
      </c>
      <c r="B4558"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559">
      <c r="A4559" t="inlineStr">
        <is>
          <t>comment</t>
        </is>
      </c>
      <c r="B4559"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560">
      <c r="A4560" t="inlineStr">
        <is>
          <t>Exchanges</t>
        </is>
      </c>
    </row>
    <row r="4561">
      <c r="A4561" t="inlineStr">
        <is>
          <t>name</t>
        </is>
      </c>
      <c r="B4561" t="inlineStr">
        <is>
          <t>amount</t>
        </is>
      </c>
      <c r="C4561" t="inlineStr">
        <is>
          <t>location</t>
        </is>
      </c>
      <c r="D4561" t="inlineStr">
        <is>
          <t>unit</t>
        </is>
      </c>
      <c r="E4561" t="inlineStr">
        <is>
          <t>categories</t>
        </is>
      </c>
      <c r="F4561" t="inlineStr">
        <is>
          <t>type</t>
        </is>
      </c>
      <c r="G4561" t="inlineStr">
        <is>
          <t>reference product</t>
        </is>
      </c>
      <c r="H4561" t="inlineStr">
        <is>
          <t>comment</t>
        </is>
      </c>
      <c r="I4561" t="inlineStr">
        <is>
          <t>uncertainty type</t>
        </is>
      </c>
    </row>
    <row r="4562">
      <c r="A4562" t="inlineStr">
        <is>
          <t>biodiesel, from residual cellulosic biomass, burned in passenger car</t>
        </is>
      </c>
      <c r="B4562">
        <v>1.0</v>
      </c>
      <c r="C4562" t="inlineStr">
        <is>
          <t>RER</t>
        </is>
      </c>
      <c r="D4562" t="inlineStr">
        <is>
          <t>megajoule</t>
        </is>
      </c>
      <c r="F4562" t="inlineStr">
        <is>
          <t>production</t>
        </is>
      </c>
      <c r="G4562" t="inlineStr">
        <is>
          <t>heat</t>
        </is>
      </c>
      <c r="I4562">
        <v>0</v>
      </c>
    </row>
    <row r="4563">
      <c r="A4563" t="inlineStr">
        <is>
          <t>biodiesel production, via Fischer-Tropsch, from forest residues, energy allocation</t>
        </is>
      </c>
      <c r="B4563">
        <v>0.023255813953488372</v>
      </c>
      <c r="C4563" t="inlineStr">
        <is>
          <t>RER</t>
        </is>
      </c>
      <c r="D4563" t="inlineStr">
        <is>
          <t>kilogram</t>
        </is>
      </c>
      <c r="F4563" t="inlineStr">
        <is>
          <t>technosphere</t>
        </is>
      </c>
      <c r="G4563" t="inlineStr">
        <is>
          <t>biodiesel, from forest residues</t>
        </is>
      </c>
      <c r="I4563">
        <v>0</v>
      </c>
    </row>
    <row r="4564">
      <c r="A4564" t="inlineStr">
        <is>
          <t>treatment of brake wear emissions, passenger car</t>
        </is>
      </c>
      <c r="B4564">
        <v>-7.967052081550097e-06</v>
      </c>
      <c r="C4564" t="inlineStr">
        <is>
          <t>RER</t>
        </is>
      </c>
      <c r="D4564" t="inlineStr">
        <is>
          <t>kilogram</t>
        </is>
      </c>
      <c r="F4564" t="inlineStr">
        <is>
          <t>technosphere</t>
        </is>
      </c>
      <c r="G4564" t="inlineStr">
        <is>
          <t>brake wear emissions, passenger car</t>
        </is>
      </c>
      <c r="I4564">
        <v>0</v>
      </c>
    </row>
    <row r="4565">
      <c r="A4565" t="inlineStr">
        <is>
          <t>treatment of road wear emissions, passenger car</t>
        </is>
      </c>
      <c r="B4565">
        <v>-9.150770397723165e-06</v>
      </c>
      <c r="C4565" t="inlineStr">
        <is>
          <t>RER</t>
        </is>
      </c>
      <c r="D4565" t="inlineStr">
        <is>
          <t>kilogram</t>
        </is>
      </c>
      <c r="F4565" t="inlineStr">
        <is>
          <t>technosphere</t>
        </is>
      </c>
      <c r="G4565" t="inlineStr">
        <is>
          <t>road wear emissions, passenger car</t>
        </is>
      </c>
      <c r="I4565">
        <v>0</v>
      </c>
    </row>
    <row r="4566">
      <c r="A4566" t="inlineStr">
        <is>
          <t>treatment of tyre wear emissions, passenger car</t>
        </is>
      </c>
      <c r="B4566">
        <v>-1.0568832109350394e-05</v>
      </c>
      <c r="C4566" t="inlineStr">
        <is>
          <t>RER</t>
        </is>
      </c>
      <c r="D4566" t="inlineStr">
        <is>
          <t>kilogram</t>
        </is>
      </c>
      <c r="F4566" t="inlineStr">
        <is>
          <t>technosphere</t>
        </is>
      </c>
      <c r="G4566" t="inlineStr">
        <is>
          <t>tyre wear emissions, passenger car</t>
        </is>
      </c>
      <c r="I4566">
        <v>0</v>
      </c>
    </row>
    <row r="4567">
      <c r="A4567" t="inlineStr">
        <is>
          <t>market for tetrafluoroethane, R134a</t>
        </is>
      </c>
      <c r="B4567">
        <v>3.4832470313950515e-06</v>
      </c>
      <c r="C4567" t="inlineStr">
        <is>
          <t>GLO</t>
        </is>
      </c>
      <c r="D4567" t="inlineStr">
        <is>
          <t>kilogram</t>
        </is>
      </c>
      <c r="F4567" t="inlineStr">
        <is>
          <t>technosphere</t>
        </is>
      </c>
      <c r="G4567" t="inlineStr">
        <is>
          <t>tetrafluoroethane, R134a</t>
        </is>
      </c>
      <c r="I4567">
        <v>0</v>
      </c>
    </row>
    <row r="4568">
      <c r="A4568" t="inlineStr">
        <is>
          <t>Toluene</t>
        </is>
      </c>
      <c r="B4568">
        <v>1.8388993477254683e-09</v>
      </c>
      <c r="D4568" t="inlineStr">
        <is>
          <t>kilogram</t>
        </is>
      </c>
      <c r="E4568" t="inlineStr">
        <is>
          <t>air::non-urban air or from high stacks</t>
        </is>
      </c>
      <c r="F4568" t="inlineStr">
        <is>
          <t>biosphere</t>
        </is>
      </c>
      <c r="I4568">
        <v>0</v>
      </c>
    </row>
    <row r="4569">
      <c r="A4569" t="inlineStr">
        <is>
          <t>NMVOC, non-methane volatile organic compounds</t>
        </is>
      </c>
      <c r="B4569">
        <v>1.4657892889270108e-07</v>
      </c>
      <c r="D4569" t="inlineStr">
        <is>
          <t>kilogram</t>
        </is>
      </c>
      <c r="E4569" t="inlineStr">
        <is>
          <t>air::non-urban air or from high stacks</t>
        </is>
      </c>
      <c r="F4569" t="inlineStr">
        <is>
          <t>biosphere</t>
        </is>
      </c>
      <c r="I4569">
        <v>0</v>
      </c>
    </row>
    <row r="4570">
      <c r="A4570" t="inlineStr">
        <is>
          <t>Dinitrogen monoxide</t>
        </is>
      </c>
      <c r="B4570">
        <v>1.3837910754355256e-06</v>
      </c>
      <c r="D4570" t="inlineStr">
        <is>
          <t>kilogram</t>
        </is>
      </c>
      <c r="E4570" t="inlineStr">
        <is>
          <t>air::non-urban air or from high stacks</t>
        </is>
      </c>
      <c r="F4570" t="inlineStr">
        <is>
          <t>biosphere</t>
        </is>
      </c>
      <c r="I4570">
        <v>0</v>
      </c>
    </row>
    <row r="4571">
      <c r="A4571" t="inlineStr">
        <is>
          <t>Ethane</t>
        </is>
      </c>
      <c r="B4571">
        <v>4.072149787837132e-09</v>
      </c>
      <c r="D4571" t="inlineStr">
        <is>
          <t>kilogram</t>
        </is>
      </c>
      <c r="E4571" t="inlineStr">
        <is>
          <t>air::urban air close to ground</t>
        </is>
      </c>
      <c r="F4571" t="inlineStr">
        <is>
          <t>biosphere</t>
        </is>
      </c>
      <c r="I4571">
        <v>0</v>
      </c>
    </row>
    <row r="4572">
      <c r="A4572" t="inlineStr">
        <is>
          <t>Pentane</t>
        </is>
      </c>
      <c r="B4572">
        <v>4.935939064657017e-10</v>
      </c>
      <c r="D4572" t="inlineStr">
        <is>
          <t>kilogram</t>
        </is>
      </c>
      <c r="E4572" t="inlineStr">
        <is>
          <t>air::urban air close to ground</t>
        </is>
      </c>
      <c r="F4572" t="inlineStr">
        <is>
          <t>biosphere</t>
        </is>
      </c>
      <c r="I4572">
        <v>0</v>
      </c>
    </row>
    <row r="4573">
      <c r="A4573" t="inlineStr">
        <is>
          <t>Selenium IV</t>
        </is>
      </c>
      <c r="B4573">
        <v>1.4312488373385127e-12</v>
      </c>
      <c r="D4573" t="inlineStr">
        <is>
          <t>kilogram</t>
        </is>
      </c>
      <c r="E4573" t="inlineStr">
        <is>
          <t>air::non-urban air or from high stacks</t>
        </is>
      </c>
      <c r="F4573" t="inlineStr">
        <is>
          <t>biosphere</t>
        </is>
      </c>
      <c r="I4573">
        <v>0</v>
      </c>
    </row>
    <row r="4574">
      <c r="A4574" t="inlineStr">
        <is>
          <t>Arsenic ion</t>
        </is>
      </c>
      <c r="B4574">
        <v>1.4312488373385127e-12</v>
      </c>
      <c r="D4574" t="inlineStr">
        <is>
          <t>kilogram</t>
        </is>
      </c>
      <c r="E4574" t="inlineStr">
        <is>
          <t>air::non-urban air or from high stacks</t>
        </is>
      </c>
      <c r="F4574" t="inlineStr">
        <is>
          <t>biosphere</t>
        </is>
      </c>
      <c r="I4574">
        <v>0</v>
      </c>
    </row>
    <row r="4575">
      <c r="A4575" t="inlineStr">
        <is>
          <t>Arsenic ion</t>
        </is>
      </c>
      <c r="B4575">
        <v>8.98750956554421e-13</v>
      </c>
      <c r="D4575" t="inlineStr">
        <is>
          <t>kilogram</t>
        </is>
      </c>
      <c r="E4575" t="inlineStr">
        <is>
          <t>air::urban air close to ground</t>
        </is>
      </c>
      <c r="F4575" t="inlineStr">
        <is>
          <t>biosphere</t>
        </is>
      </c>
      <c r="I4575">
        <v>0</v>
      </c>
    </row>
    <row r="4576">
      <c r="A4576" t="inlineStr">
        <is>
          <t>Propylene</t>
        </is>
      </c>
      <c r="B4576">
        <v>9.594256886963272e-09</v>
      </c>
      <c r="D4576" t="inlineStr">
        <is>
          <t>kilogram</t>
        </is>
      </c>
      <c r="E4576" t="inlineStr">
        <is>
          <t>air::non-urban air or from high stacks</t>
        </is>
      </c>
      <c r="F4576" t="inlineStr">
        <is>
          <t>biosphere</t>
        </is>
      </c>
      <c r="I4576">
        <v>0</v>
      </c>
    </row>
    <row r="4577">
      <c r="A4577" t="inlineStr">
        <is>
          <t>Particulate Matter, &lt; 2.5 um</t>
        </is>
      </c>
      <c r="B4577">
        <v>1.636891619531532e-07</v>
      </c>
      <c r="D4577" t="inlineStr">
        <is>
          <t>kilogram</t>
        </is>
      </c>
      <c r="E4577" t="inlineStr">
        <is>
          <t>air::urban air close to ground</t>
        </is>
      </c>
      <c r="F4577" t="inlineStr">
        <is>
          <t>biosphere</t>
        </is>
      </c>
      <c r="I4577">
        <v>0</v>
      </c>
    </row>
    <row r="4578">
      <c r="A4578" t="inlineStr">
        <is>
          <t>Nickel II</t>
        </is>
      </c>
      <c r="B4578">
        <v>2.856355271045539e-12</v>
      </c>
      <c r="D4578" t="inlineStr">
        <is>
          <t>kilogram</t>
        </is>
      </c>
      <c r="E4578" t="inlineStr">
        <is>
          <t>air::non-urban air or from high stacks</t>
        </is>
      </c>
      <c r="F4578" t="inlineStr">
        <is>
          <t>biosphere</t>
        </is>
      </c>
      <c r="I4578">
        <v>0</v>
      </c>
    </row>
    <row r="4579">
      <c r="A4579" t="inlineStr">
        <is>
          <t>Methane, fossil</t>
        </is>
      </c>
      <c r="B4579">
        <v>2.3985624245130236e-06</v>
      </c>
      <c r="D4579" t="inlineStr">
        <is>
          <t>kilogram</t>
        </is>
      </c>
      <c r="E4579" t="inlineStr">
        <is>
          <t>air::non-urban air or from high stacks</t>
        </is>
      </c>
      <c r="F4579" t="inlineStr">
        <is>
          <t>biosphere</t>
        </is>
      </c>
      <c r="I4579">
        <v>0</v>
      </c>
    </row>
    <row r="4580">
      <c r="A4580" t="inlineStr">
        <is>
          <t>Mercury II</t>
        </is>
      </c>
      <c r="B4580">
        <v>7.555519944566824e-11</v>
      </c>
      <c r="D4580" t="inlineStr">
        <is>
          <t>kilogram</t>
        </is>
      </c>
      <c r="E4580" t="inlineStr">
        <is>
          <t>air::non-urban air or from high stacks</t>
        </is>
      </c>
      <c r="F4580" t="inlineStr">
        <is>
          <t>biosphere</t>
        </is>
      </c>
      <c r="I4580">
        <v>0</v>
      </c>
    </row>
    <row r="4581">
      <c r="A4581" t="inlineStr">
        <is>
          <t>Ammonia</t>
        </is>
      </c>
      <c r="B4581">
        <v>8.515878173642505e-07</v>
      </c>
      <c r="D4581" t="inlineStr">
        <is>
          <t>kilogram</t>
        </is>
      </c>
      <c r="E4581" t="inlineStr">
        <is>
          <t>air::non-urban air or from high stacks</t>
        </is>
      </c>
      <c r="F4581" t="inlineStr">
        <is>
          <t>biosphere</t>
        </is>
      </c>
      <c r="I4581">
        <v>0</v>
      </c>
    </row>
    <row r="4582">
      <c r="A4582" t="inlineStr">
        <is>
          <t>Ethane</t>
        </is>
      </c>
      <c r="B4582">
        <v>8.794736114330666e-10</v>
      </c>
      <c r="D4582" t="inlineStr">
        <is>
          <t>kilogram</t>
        </is>
      </c>
      <c r="E4582" t="inlineStr">
        <is>
          <t>air::non-urban air or from high stacks</t>
        </is>
      </c>
      <c r="F4582" t="inlineStr">
        <is>
          <t>biosphere</t>
        </is>
      </c>
      <c r="I4582">
        <v>0</v>
      </c>
    </row>
    <row r="4583">
      <c r="A4583" t="inlineStr">
        <is>
          <t>Nickel II</t>
        </is>
      </c>
      <c r="B4583">
        <v>1.7936446091257316e-12</v>
      </c>
      <c r="D4583" t="inlineStr">
        <is>
          <t>kilogram</t>
        </is>
      </c>
      <c r="E4583" t="inlineStr">
        <is>
          <t>air::urban air close to ground</t>
        </is>
      </c>
      <c r="F4583" t="inlineStr">
        <is>
          <t>biosphere</t>
        </is>
      </c>
      <c r="I4583">
        <v>0</v>
      </c>
    </row>
    <row r="4584">
      <c r="A4584" t="inlineStr">
        <is>
          <t>Cadmium II</t>
        </is>
      </c>
      <c r="B4584">
        <v>7.12553100652158e-13</v>
      </c>
      <c r="D4584" t="inlineStr">
        <is>
          <t>kilogram</t>
        </is>
      </c>
      <c r="E4584" t="inlineStr">
        <is>
          <t>air::non-urban air or from high stacks</t>
        </is>
      </c>
      <c r="F4584" t="inlineStr">
        <is>
          <t>biosphere</t>
        </is>
      </c>
      <c r="I4584">
        <v>0</v>
      </c>
    </row>
    <row r="4585">
      <c r="A4585" t="inlineStr">
        <is>
          <t>Ammonia</t>
        </is>
      </c>
      <c r="B4585">
        <v>5.347535547726079e-07</v>
      </c>
      <c r="D4585" t="inlineStr">
        <is>
          <t>kilogram</t>
        </is>
      </c>
      <c r="E4585" t="inlineStr">
        <is>
          <t>air::urban air close to ground</t>
        </is>
      </c>
      <c r="F4585" t="inlineStr">
        <is>
          <t>biosphere</t>
        </is>
      </c>
      <c r="I4585">
        <v>0</v>
      </c>
    </row>
    <row r="4586">
      <c r="A4586" t="inlineStr">
        <is>
          <t>Butane</t>
        </is>
      </c>
      <c r="B4586">
        <v>2.9315788039353776e-10</v>
      </c>
      <c r="D4586" t="inlineStr">
        <is>
          <t>kilogram</t>
        </is>
      </c>
      <c r="E4586" t="inlineStr">
        <is>
          <t>air::non-urban air or from high stacks</t>
        </is>
      </c>
      <c r="F4586" t="inlineStr">
        <is>
          <t>biosphere</t>
        </is>
      </c>
      <c r="I4586">
        <v>0</v>
      </c>
    </row>
    <row r="4587">
      <c r="A4587" t="inlineStr">
        <is>
          <t>PAH, polycyclic aromatic hydrocarbons</t>
        </is>
      </c>
      <c r="B4587">
        <v>5.091636535281869e-10</v>
      </c>
      <c r="D4587" t="inlineStr">
        <is>
          <t>kilogram</t>
        </is>
      </c>
      <c r="E4587" t="inlineStr">
        <is>
          <t>air::urban air close to ground</t>
        </is>
      </c>
      <c r="F4587" t="inlineStr">
        <is>
          <t>biosphere</t>
        </is>
      </c>
      <c r="I4587">
        <v>0</v>
      </c>
    </row>
    <row r="4588">
      <c r="A4588" t="inlineStr">
        <is>
          <t>Copper ion</t>
        </is>
      </c>
      <c r="B4588">
        <v>8.16979042710669e-11</v>
      </c>
      <c r="D4588" t="inlineStr">
        <is>
          <t>kilogram</t>
        </is>
      </c>
      <c r="E4588" t="inlineStr">
        <is>
          <t>air::non-urban air or from high stacks</t>
        </is>
      </c>
      <c r="F4588" t="inlineStr">
        <is>
          <t>biosphere</t>
        </is>
      </c>
      <c r="I4588">
        <v>0</v>
      </c>
    </row>
    <row r="4589">
      <c r="A4589" t="inlineStr">
        <is>
          <t>Nitrogen oxides</t>
        </is>
      </c>
      <c r="B4589">
        <v>1.2205207650351623e-05</v>
      </c>
      <c r="D4589" t="inlineStr">
        <is>
          <t>kilogram</t>
        </is>
      </c>
      <c r="E4589" t="inlineStr">
        <is>
          <t>air::non-urban air or from high stacks</t>
        </is>
      </c>
      <c r="F4589" t="inlineStr">
        <is>
          <t>biosphere</t>
        </is>
      </c>
      <c r="I4589">
        <v>0</v>
      </c>
    </row>
    <row r="4590">
      <c r="A4590" t="inlineStr">
        <is>
          <t>Butane</t>
        </is>
      </c>
      <c r="B4590">
        <v>1.3573831832855856e-09</v>
      </c>
      <c r="D4590" t="inlineStr">
        <is>
          <t>kilogram</t>
        </is>
      </c>
      <c r="E4590" t="inlineStr">
        <is>
          <t>air::urban air close to ground</t>
        </is>
      </c>
      <c r="F4590" t="inlineStr">
        <is>
          <t>biosphere</t>
        </is>
      </c>
      <c r="I4590">
        <v>0</v>
      </c>
    </row>
    <row r="4591">
      <c r="A4591" t="inlineStr">
        <is>
          <t>Copper ion</t>
        </is>
      </c>
      <c r="B4591">
        <v>5.130209510040208e-11</v>
      </c>
      <c r="D4591" t="inlineStr">
        <is>
          <t>kilogram</t>
        </is>
      </c>
      <c r="E4591" t="inlineStr">
        <is>
          <t>air::urban air close to ground</t>
        </is>
      </c>
      <c r="F4591" t="inlineStr">
        <is>
          <t>biosphere</t>
        </is>
      </c>
      <c r="I4591">
        <v>0</v>
      </c>
    </row>
    <row r="4592">
      <c r="A4592" t="inlineStr">
        <is>
          <t>Chromium III</t>
        </is>
      </c>
      <c r="B4592">
        <v>7.637454356709601e-11</v>
      </c>
      <c r="D4592" t="inlineStr">
        <is>
          <t>kilogram</t>
        </is>
      </c>
      <c r="E4592" t="inlineStr">
        <is>
          <t>air::urban air close to ground</t>
        </is>
      </c>
      <c r="F4592" t="inlineStr">
        <is>
          <t>biosphere</t>
        </is>
      </c>
      <c r="I4592">
        <v>0</v>
      </c>
    </row>
    <row r="4593">
      <c r="A4593" t="inlineStr">
        <is>
          <t>Propane</t>
        </is>
      </c>
      <c r="B4593">
        <v>1.3573831832855856e-09</v>
      </c>
      <c r="D4593" t="inlineStr">
        <is>
          <t>kilogram</t>
        </is>
      </c>
      <c r="E4593" t="inlineStr">
        <is>
          <t>air::urban air close to ground</t>
        </is>
      </c>
      <c r="F4593" t="inlineStr">
        <is>
          <t>biosphere</t>
        </is>
      </c>
      <c r="I4593">
        <v>0</v>
      </c>
    </row>
    <row r="4594">
      <c r="A4594" t="inlineStr">
        <is>
          <t>Toluene</t>
        </is>
      </c>
      <c r="B4594">
        <v>8.514495184008822e-09</v>
      </c>
      <c r="D4594" t="inlineStr">
        <is>
          <t>kilogram</t>
        </is>
      </c>
      <c r="E4594" t="inlineStr">
        <is>
          <t>air::urban air close to ground</t>
        </is>
      </c>
      <c r="F4594" t="inlineStr">
        <is>
          <t>biosphere</t>
        </is>
      </c>
      <c r="I4594">
        <v>0</v>
      </c>
    </row>
    <row r="4595">
      <c r="A4595" t="inlineStr">
        <is>
          <t>Dinitrogen monoxide</t>
        </is>
      </c>
      <c r="B4595">
        <v>8.68949829854063e-07</v>
      </c>
      <c r="D4595" t="inlineStr">
        <is>
          <t>kilogram</t>
        </is>
      </c>
      <c r="E4595" t="inlineStr">
        <is>
          <t>air::urban air close to ground</t>
        </is>
      </c>
      <c r="F4595" t="inlineStr">
        <is>
          <t>biosphere</t>
        </is>
      </c>
      <c r="I4595">
        <v>0</v>
      </c>
    </row>
    <row r="4596">
      <c r="A4596" t="inlineStr">
        <is>
          <t>Zinc II</t>
        </is>
      </c>
      <c r="B4596">
        <v>1.6162087653443074e-10</v>
      </c>
      <c r="D4596" t="inlineStr">
        <is>
          <t>kilogram</t>
        </is>
      </c>
      <c r="E4596" t="inlineStr">
        <is>
          <t>air::urban air close to ground</t>
        </is>
      </c>
      <c r="F4596" t="inlineStr">
        <is>
          <t>biosphere</t>
        </is>
      </c>
      <c r="I4596">
        <v>0</v>
      </c>
    </row>
    <row r="4597">
      <c r="A4597" t="inlineStr">
        <is>
          <t>Chromium VI</t>
        </is>
      </c>
      <c r="B4597">
        <v>2.426366216798939e-13</v>
      </c>
      <c r="D4597" t="inlineStr">
        <is>
          <t>kilogram</t>
        </is>
      </c>
      <c r="E4597" t="inlineStr">
        <is>
          <t>air::non-urban air or from high stacks</t>
        </is>
      </c>
      <c r="F4597" t="inlineStr">
        <is>
          <t>biosphere</t>
        </is>
      </c>
      <c r="I4597">
        <v>0</v>
      </c>
    </row>
    <row r="4598">
      <c r="A4598" t="inlineStr">
        <is>
          <t>Benzene</t>
        </is>
      </c>
      <c r="B4598">
        <v>2.1320570436842153e-08</v>
      </c>
      <c r="D4598" t="inlineStr">
        <is>
          <t>kilogram</t>
        </is>
      </c>
      <c r="E4598" t="inlineStr">
        <is>
          <t>air::non-urban air or from high stacks</t>
        </is>
      </c>
      <c r="F4598" t="inlineStr">
        <is>
          <t>biosphere</t>
        </is>
      </c>
      <c r="I4598">
        <v>0</v>
      </c>
    </row>
    <row r="4599">
      <c r="A4599" t="inlineStr">
        <is>
          <t>Carbon monoxide, fossil</t>
        </is>
      </c>
      <c r="B4599">
        <v>4.486574608647261e-06</v>
      </c>
      <c r="D4599" t="inlineStr">
        <is>
          <t>kilogram</t>
        </is>
      </c>
      <c r="E4599" t="inlineStr">
        <is>
          <t>air::non-urban air or from high stacks</t>
        </is>
      </c>
      <c r="F4599" t="inlineStr">
        <is>
          <t>biosphere</t>
        </is>
      </c>
      <c r="I4599">
        <v>0</v>
      </c>
    </row>
    <row r="4600">
      <c r="A4600" t="inlineStr">
        <is>
          <t>Chromium VI</t>
        </is>
      </c>
      <c r="B4600">
        <v>1.5236336208114335e-13</v>
      </c>
      <c r="D4600" t="inlineStr">
        <is>
          <t>kilogram</t>
        </is>
      </c>
      <c r="E4600" t="inlineStr">
        <is>
          <t>air::urban air close to ground</t>
        </is>
      </c>
      <c r="F4600" t="inlineStr">
        <is>
          <t>biosphere</t>
        </is>
      </c>
      <c r="I4600">
        <v>0</v>
      </c>
    </row>
    <row r="4601">
      <c r="A4601" t="inlineStr">
        <is>
          <t>Methane, fossil</t>
        </is>
      </c>
      <c r="B4601">
        <v>1.5324029278860158e-06</v>
      </c>
      <c r="D4601" t="inlineStr">
        <is>
          <t>kilogram</t>
        </is>
      </c>
      <c r="E4601" t="inlineStr">
        <is>
          <t>air::urban air close to ground</t>
        </is>
      </c>
      <c r="F4601" t="inlineStr">
        <is>
          <t>biosphere</t>
        </is>
      </c>
      <c r="I4601">
        <v>0</v>
      </c>
    </row>
    <row r="4602">
      <c r="A4602" t="inlineStr">
        <is>
          <t>Sulfur dioxide</t>
        </is>
      </c>
      <c r="B4602">
        <v>4.6773094625996215e-07</v>
      </c>
      <c r="D4602" t="inlineStr">
        <is>
          <t>kilogram</t>
        </is>
      </c>
      <c r="E4602" t="inlineStr">
        <is>
          <t>air</t>
        </is>
      </c>
      <c r="F4602" t="inlineStr">
        <is>
          <t>biosphere</t>
        </is>
      </c>
      <c r="I4602">
        <v>0</v>
      </c>
    </row>
    <row r="4603">
      <c r="A4603" t="inlineStr">
        <is>
          <t>NMVOC, non-methane volatile organic compounds</t>
        </is>
      </c>
      <c r="B4603">
        <v>6.786915792678135e-07</v>
      </c>
      <c r="D4603" t="inlineStr">
        <is>
          <t>kilogram</t>
        </is>
      </c>
      <c r="E4603" t="inlineStr">
        <is>
          <t>air::urban air close to ground</t>
        </is>
      </c>
      <c r="F4603" t="inlineStr">
        <is>
          <t>biosphere</t>
        </is>
      </c>
      <c r="I4603">
        <v>0</v>
      </c>
    </row>
    <row r="4604">
      <c r="A4604" t="inlineStr">
        <is>
          <t>Formaldehyde</t>
        </is>
      </c>
      <c r="B4604">
        <v>1.4807816718010298e-07</v>
      </c>
      <c r="D4604" t="inlineStr">
        <is>
          <t>kilogram</t>
        </is>
      </c>
      <c r="E4604" t="inlineStr">
        <is>
          <t>air::urban air close to ground</t>
        </is>
      </c>
      <c r="F4604" t="inlineStr">
        <is>
          <t>biosphere</t>
        </is>
      </c>
      <c r="I4604">
        <v>0</v>
      </c>
    </row>
    <row r="4605">
      <c r="A4605" t="inlineStr">
        <is>
          <t>Nitrogen oxides</t>
        </is>
      </c>
      <c r="B4605">
        <v>1.6646759692298164e-05</v>
      </c>
      <c r="D4605" t="inlineStr">
        <is>
          <t>kilogram</t>
        </is>
      </c>
      <c r="E4605" t="inlineStr">
        <is>
          <t>air::urban air close to ground</t>
        </is>
      </c>
      <c r="F4605" t="inlineStr">
        <is>
          <t>biosphere</t>
        </is>
      </c>
      <c r="I4605">
        <v>0</v>
      </c>
    </row>
    <row r="4606">
      <c r="A4606" t="inlineStr">
        <is>
          <t>Formaldehyde</t>
        </is>
      </c>
      <c r="B4606">
        <v>3.198085755910623e-08</v>
      </c>
      <c r="D4606" t="inlineStr">
        <is>
          <t>kilogram</t>
        </is>
      </c>
      <c r="E4606" t="inlineStr">
        <is>
          <t>air::non-urban air or from high stacks</t>
        </is>
      </c>
      <c r="F4606" t="inlineStr">
        <is>
          <t>biosphere</t>
        </is>
      </c>
      <c r="I4606">
        <v>0</v>
      </c>
    </row>
    <row r="4607">
      <c r="A4607" t="inlineStr">
        <is>
          <t>Zinc II</t>
        </is>
      </c>
      <c r="B4607">
        <v>2.5737910759022457e-10</v>
      </c>
      <c r="D4607" t="inlineStr">
        <is>
          <t>kilogram</t>
        </is>
      </c>
      <c r="E4607" t="inlineStr">
        <is>
          <t>air::non-urban air or from high stacks</t>
        </is>
      </c>
      <c r="F4607" t="inlineStr">
        <is>
          <t>biosphere</t>
        </is>
      </c>
      <c r="I4607">
        <v>0</v>
      </c>
    </row>
    <row r="4608">
      <c r="A4608" t="inlineStr">
        <is>
          <t>Carbon monoxide, fossil</t>
        </is>
      </c>
      <c r="B4608">
        <v>1.4237602031170576e-05</v>
      </c>
      <c r="D4608" t="inlineStr">
        <is>
          <t>kilogram</t>
        </is>
      </c>
      <c r="E4608" t="inlineStr">
        <is>
          <t>air::urban air close to ground</t>
        </is>
      </c>
      <c r="F4608" t="inlineStr">
        <is>
          <t>biosphere</t>
        </is>
      </c>
      <c r="I4608">
        <v>0</v>
      </c>
    </row>
    <row r="4609">
      <c r="A4609" t="inlineStr">
        <is>
          <t>m-Xylene</t>
        </is>
      </c>
      <c r="B4609">
        <v>7.527306895116669e-09</v>
      </c>
      <c r="D4609" t="inlineStr">
        <is>
          <t>kilogram</t>
        </is>
      </c>
      <c r="E4609" t="inlineStr">
        <is>
          <t>air::urban air close to ground</t>
        </is>
      </c>
      <c r="F4609" t="inlineStr">
        <is>
          <t>biosphere</t>
        </is>
      </c>
      <c r="I4609">
        <v>0</v>
      </c>
    </row>
    <row r="4610">
      <c r="A4610" t="inlineStr">
        <is>
          <t>PAH, polycyclic aromatic hydrocarbons</t>
        </is>
      </c>
      <c r="B4610">
        <v>8.108362635164032e-10</v>
      </c>
      <c r="D4610" t="inlineStr">
        <is>
          <t>kilogram</t>
        </is>
      </c>
      <c r="E4610" t="inlineStr">
        <is>
          <t>air::non-urban air or from high stacks</t>
        </is>
      </c>
      <c r="F4610" t="inlineStr">
        <is>
          <t>biosphere</t>
        </is>
      </c>
      <c r="I4610">
        <v>0</v>
      </c>
    </row>
    <row r="4611">
      <c r="A4611" t="inlineStr">
        <is>
          <t>Particulate Matter, &lt; 2.5 um</t>
        </is>
      </c>
      <c r="B4611">
        <v>1.5058152272837298e-07</v>
      </c>
      <c r="D4611" t="inlineStr">
        <is>
          <t>kilogram</t>
        </is>
      </c>
      <c r="E4611" t="inlineStr">
        <is>
          <t>air::non-urban air or from high stacks</t>
        </is>
      </c>
      <c r="F4611" t="inlineStr">
        <is>
          <t>biosphere</t>
        </is>
      </c>
      <c r="I4611">
        <v>0</v>
      </c>
    </row>
    <row r="4612">
      <c r="A4612" t="inlineStr">
        <is>
          <t>Pentane</t>
        </is>
      </c>
      <c r="B4612">
        <v>1.0660286289332767e-10</v>
      </c>
      <c r="D4612" t="inlineStr">
        <is>
          <t>kilogram</t>
        </is>
      </c>
      <c r="E4612" t="inlineStr">
        <is>
          <t>air::non-urban air or from high stacks</t>
        </is>
      </c>
      <c r="F4612" t="inlineStr">
        <is>
          <t>biosphere</t>
        </is>
      </c>
      <c r="I4612">
        <v>0</v>
      </c>
    </row>
    <row r="4613">
      <c r="A4613" t="inlineStr">
        <is>
          <t>1,1,1,2-Tetrafluoroethane</t>
        </is>
      </c>
      <c r="B4613">
        <v>2.00956556691731e-06</v>
      </c>
      <c r="D4613" t="inlineStr">
        <is>
          <t>kilogram</t>
        </is>
      </c>
      <c r="E4613" t="inlineStr">
        <is>
          <t>air</t>
        </is>
      </c>
      <c r="F4613" t="inlineStr">
        <is>
          <t>biosphere</t>
        </is>
      </c>
      <c r="I4613">
        <v>0</v>
      </c>
    </row>
    <row r="4614">
      <c r="A4614" t="inlineStr">
        <is>
          <t>Acetaldehyde</t>
        </is>
      </c>
      <c r="B4614">
        <v>7.983881383537138e-08</v>
      </c>
      <c r="D4614" t="inlineStr">
        <is>
          <t>kilogram</t>
        </is>
      </c>
      <c r="E4614" t="inlineStr">
        <is>
          <t>air::urban air close to ground</t>
        </is>
      </c>
      <c r="F4614" t="inlineStr">
        <is>
          <t>biosphere</t>
        </is>
      </c>
      <c r="I4614">
        <v>0</v>
      </c>
    </row>
    <row r="4615">
      <c r="A4615" t="inlineStr">
        <is>
          <t>Benzene</t>
        </is>
      </c>
      <c r="B4615">
        <v>2.617468470906676e-08</v>
      </c>
      <c r="D4615" t="inlineStr">
        <is>
          <t>kilogram</t>
        </is>
      </c>
      <c r="E4615" t="inlineStr">
        <is>
          <t>air::urban air close to ground</t>
        </is>
      </c>
      <c r="F4615" t="inlineStr">
        <is>
          <t>biosphere</t>
        </is>
      </c>
      <c r="I4615">
        <v>0</v>
      </c>
    </row>
    <row r="4616">
      <c r="A4616" t="inlineStr">
        <is>
          <t>Mercury II</t>
        </is>
      </c>
      <c r="B4616">
        <v>4.74447939061248e-11</v>
      </c>
      <c r="D4616" t="inlineStr">
        <is>
          <t>kilogram</t>
        </is>
      </c>
      <c r="E4616" t="inlineStr">
        <is>
          <t>air::urban air close to ground</t>
        </is>
      </c>
      <c r="F4616" t="inlineStr">
        <is>
          <t>biosphere</t>
        </is>
      </c>
      <c r="I4616">
        <v>0</v>
      </c>
    </row>
    <row r="4617">
      <c r="A4617" t="inlineStr">
        <is>
          <t>Cadmium II</t>
        </is>
      </c>
      <c r="B4617">
        <v>4.4744682628565553e-13</v>
      </c>
      <c r="D4617" t="inlineStr">
        <is>
          <t>kilogram</t>
        </is>
      </c>
      <c r="E4617" t="inlineStr">
        <is>
          <t>air::urban air close to ground</t>
        </is>
      </c>
      <c r="F4617" t="inlineStr">
        <is>
          <t>biosphere</t>
        </is>
      </c>
      <c r="I4617">
        <v>0</v>
      </c>
    </row>
    <row r="4618">
      <c r="A4618" t="inlineStr">
        <is>
          <t>Propane</t>
        </is>
      </c>
      <c r="B4618">
        <v>2.9315788039353776e-10</v>
      </c>
      <c r="D4618" t="inlineStr">
        <is>
          <t>kilogram</t>
        </is>
      </c>
      <c r="E4618" t="inlineStr">
        <is>
          <t>air::non-urban air or from high stacks</t>
        </is>
      </c>
      <c r="F4618" t="inlineStr">
        <is>
          <t>biosphere</t>
        </is>
      </c>
      <c r="I4618">
        <v>0</v>
      </c>
    </row>
    <row r="4619">
      <c r="A4619" t="inlineStr">
        <is>
          <t>Chromium III</t>
        </is>
      </c>
      <c r="B4619">
        <v>1.2162544101483783e-10</v>
      </c>
      <c r="D4619" t="inlineStr">
        <is>
          <t>kilogram</t>
        </is>
      </c>
      <c r="E4619" t="inlineStr">
        <is>
          <t>air::non-urban air or from high stacks</t>
        </is>
      </c>
      <c r="F4619" t="inlineStr">
        <is>
          <t>biosphere</t>
        </is>
      </c>
      <c r="I4619">
        <v>0</v>
      </c>
    </row>
    <row r="4620">
      <c r="A4620" t="inlineStr">
        <is>
          <t>Acetone</t>
        </is>
      </c>
      <c r="B4620">
        <v>3.627915248219963e-08</v>
      </c>
      <c r="D4620" t="inlineStr">
        <is>
          <t>kilogram</t>
        </is>
      </c>
      <c r="E4620" t="inlineStr">
        <is>
          <t>air::urban air close to ground</t>
        </is>
      </c>
      <c r="F4620" t="inlineStr">
        <is>
          <t>biosphere</t>
        </is>
      </c>
      <c r="I4620">
        <v>0</v>
      </c>
    </row>
    <row r="4621">
      <c r="A4621" t="inlineStr">
        <is>
          <t>Acrolein</t>
        </is>
      </c>
      <c r="B4621">
        <v>4.4176654985650857e-08</v>
      </c>
      <c r="D4621" t="inlineStr">
        <is>
          <t>kilogram</t>
        </is>
      </c>
      <c r="E4621" t="inlineStr">
        <is>
          <t>air::urban air close to ground</t>
        </is>
      </c>
      <c r="F4621" t="inlineStr">
        <is>
          <t>biosphere</t>
        </is>
      </c>
      <c r="I4621">
        <v>0</v>
      </c>
    </row>
    <row r="4622">
      <c r="A4622" t="inlineStr">
        <is>
          <t>Benzaldehyde</t>
        </is>
      </c>
      <c r="B4622">
        <v>1.061226839406165e-08</v>
      </c>
      <c r="D4622" t="inlineStr">
        <is>
          <t>kilogram</t>
        </is>
      </c>
      <c r="E4622" t="inlineStr">
        <is>
          <t>air::urban air close to ground</t>
        </is>
      </c>
      <c r="F4622" t="inlineStr">
        <is>
          <t>biosphere</t>
        </is>
      </c>
      <c r="I4622">
        <v>0</v>
      </c>
    </row>
    <row r="4623">
      <c r="A4623" t="inlineStr">
        <is>
          <t>Cyclohexane</t>
        </is>
      </c>
      <c r="B4623">
        <v>8.020901039562743e-09</v>
      </c>
      <c r="D4623" t="inlineStr">
        <is>
          <t>kilogram</t>
        </is>
      </c>
      <c r="E4623" t="inlineStr">
        <is>
          <t>air::urban air close to ground</t>
        </is>
      </c>
      <c r="F4623" t="inlineStr">
        <is>
          <t>biosphere</t>
        </is>
      </c>
      <c r="I4623">
        <v>0</v>
      </c>
    </row>
    <row r="4624">
      <c r="A4624" t="inlineStr">
        <is>
          <t>Heptane</t>
        </is>
      </c>
      <c r="B4624">
        <v>2.4679695323285083e-09</v>
      </c>
      <c r="D4624" t="inlineStr">
        <is>
          <t>kilogram</t>
        </is>
      </c>
      <c r="E4624" t="inlineStr">
        <is>
          <t>air::urban air close to ground</t>
        </is>
      </c>
      <c r="F4624" t="inlineStr">
        <is>
          <t>biosphere</t>
        </is>
      </c>
      <c r="I4624">
        <v>0</v>
      </c>
    </row>
    <row r="4625">
      <c r="A4625" t="inlineStr">
        <is>
          <t>Methyl ethyl ketone</t>
        </is>
      </c>
      <c r="B4625">
        <v>1.4807816718010298e-08</v>
      </c>
      <c r="D4625" t="inlineStr">
        <is>
          <t>kilogram</t>
        </is>
      </c>
      <c r="E4625" t="inlineStr">
        <is>
          <t>air::urban air close to ground</t>
        </is>
      </c>
      <c r="F4625" t="inlineStr">
        <is>
          <t>biosphere</t>
        </is>
      </c>
      <c r="I4625">
        <v>0</v>
      </c>
    </row>
    <row r="4626">
      <c r="A4626" t="inlineStr">
        <is>
          <t>o-Xylene</t>
        </is>
      </c>
      <c r="B4626">
        <v>3.331758809148392e-09</v>
      </c>
      <c r="D4626" t="inlineStr">
        <is>
          <t>kilogram</t>
        </is>
      </c>
      <c r="E4626" t="inlineStr">
        <is>
          <t>air::urban air close to ground</t>
        </is>
      </c>
      <c r="F4626" t="inlineStr">
        <is>
          <t>biosphere</t>
        </is>
      </c>
      <c r="I4626">
        <v>0</v>
      </c>
    </row>
    <row r="4627">
      <c r="A4627" t="inlineStr">
        <is>
          <t>Propylene</t>
        </is>
      </c>
      <c r="B4627">
        <v>4.4423450154030895e-08</v>
      </c>
      <c r="D4627" t="inlineStr">
        <is>
          <t>kilogram</t>
        </is>
      </c>
      <c r="E4627" t="inlineStr">
        <is>
          <t>air::urban air close to ground</t>
        </is>
      </c>
      <c r="F4627" t="inlineStr">
        <is>
          <t>biosphere</t>
        </is>
      </c>
      <c r="I4627">
        <v>0</v>
      </c>
    </row>
    <row r="4628">
      <c r="A4628" t="inlineStr">
        <is>
          <t>Selenium IV</t>
        </is>
      </c>
      <c r="B4628">
        <v>8.98750956554421e-13</v>
      </c>
      <c r="D4628" t="inlineStr">
        <is>
          <t>kilogram</t>
        </is>
      </c>
      <c r="E4628" t="inlineStr">
        <is>
          <t>air::urban air close to ground</t>
        </is>
      </c>
      <c r="F4628" t="inlineStr">
        <is>
          <t>biosphere</t>
        </is>
      </c>
      <c r="I4628">
        <v>0</v>
      </c>
    </row>
    <row r="4629">
      <c r="A4629" t="inlineStr">
        <is>
          <t>Styrene</t>
        </is>
      </c>
      <c r="B4629">
        <v>4.5657434563224585e-09</v>
      </c>
      <c r="D4629" t="inlineStr">
        <is>
          <t>kilogram</t>
        </is>
      </c>
      <c r="E4629" t="inlineStr">
        <is>
          <t>air::urban air close to ground</t>
        </is>
      </c>
      <c r="F4629" t="inlineStr">
        <is>
          <t>biosphere</t>
        </is>
      </c>
      <c r="I4629">
        <v>0</v>
      </c>
    </row>
    <row r="4630">
      <c r="A4630" t="inlineStr">
        <is>
          <t>Acetaldehyde</t>
        </is>
      </c>
      <c r="B4630">
        <v>1.7243010879114162e-08</v>
      </c>
      <c r="D4630" t="inlineStr">
        <is>
          <t>kilogram</t>
        </is>
      </c>
      <c r="E4630" t="inlineStr">
        <is>
          <t>air::non-urban air or from high stacks</t>
        </is>
      </c>
      <c r="F4630" t="inlineStr">
        <is>
          <t>biosphere</t>
        </is>
      </c>
      <c r="I4630">
        <v>0</v>
      </c>
    </row>
    <row r="4631">
      <c r="A4631" t="inlineStr">
        <is>
          <t>Acetone</t>
        </is>
      </c>
      <c r="B4631">
        <v>7.835309664097135e-09</v>
      </c>
      <c r="D4631" t="inlineStr">
        <is>
          <t>kilogram</t>
        </is>
      </c>
      <c r="E4631" t="inlineStr">
        <is>
          <t>air::non-urban air or from high stacks</t>
        </is>
      </c>
      <c r="F4631" t="inlineStr">
        <is>
          <t>biosphere</t>
        </is>
      </c>
      <c r="I4631">
        <v>0</v>
      </c>
    </row>
    <row r="4632">
      <c r="A4632" t="inlineStr">
        <is>
          <t>Acrolein</t>
        </is>
      </c>
      <c r="B4632">
        <v>9.540955946351132e-09</v>
      </c>
      <c r="D4632" t="inlineStr">
        <is>
          <t>kilogram</t>
        </is>
      </c>
      <c r="E4632" t="inlineStr">
        <is>
          <t>air::non-urban air or from high stacks</t>
        </is>
      </c>
      <c r="F4632" t="inlineStr">
        <is>
          <t>biosphere</t>
        </is>
      </c>
      <c r="I4632">
        <v>0</v>
      </c>
    </row>
    <row r="4633">
      <c r="A4633" t="inlineStr">
        <is>
          <t>Benzaldehyde</t>
        </is>
      </c>
      <c r="B4633">
        <v>2.291961388595036e-09</v>
      </c>
      <c r="D4633" t="inlineStr">
        <is>
          <t>kilogram</t>
        </is>
      </c>
      <c r="E4633" t="inlineStr">
        <is>
          <t>air::non-urban air or from high stacks</t>
        </is>
      </c>
      <c r="F4633" t="inlineStr">
        <is>
          <t>biosphere</t>
        </is>
      </c>
      <c r="I4633">
        <v>0</v>
      </c>
    </row>
    <row r="4634">
      <c r="A4634" t="inlineStr">
        <is>
          <t>Cyclohexane</t>
        </is>
      </c>
      <c r="B4634">
        <v>1.7322965145796874e-09</v>
      </c>
      <c r="D4634" t="inlineStr">
        <is>
          <t>kilogram</t>
        </is>
      </c>
      <c r="E4634" t="inlineStr">
        <is>
          <t>air::non-urban air or from high stacks</t>
        </is>
      </c>
      <c r="F4634" t="inlineStr">
        <is>
          <t>biosphere</t>
        </is>
      </c>
      <c r="I4634">
        <v>0</v>
      </c>
    </row>
    <row r="4635">
      <c r="A4635" t="inlineStr">
        <is>
          <t>Heptane</t>
        </is>
      </c>
      <c r="B4635">
        <v>5.330142847190914e-10</v>
      </c>
      <c r="D4635" t="inlineStr">
        <is>
          <t>kilogram</t>
        </is>
      </c>
      <c r="E4635" t="inlineStr">
        <is>
          <t>air::non-urban air or from high stacks</t>
        </is>
      </c>
      <c r="F4635" t="inlineStr">
        <is>
          <t>biosphere</t>
        </is>
      </c>
      <c r="I4635">
        <v>0</v>
      </c>
    </row>
    <row r="4636">
      <c r="A4636" t="inlineStr">
        <is>
          <t>Methyl ethyl ketone</t>
        </is>
      </c>
      <c r="B4636">
        <v>3.198085708314548e-09</v>
      </c>
      <c r="D4636" t="inlineStr">
        <is>
          <t>kilogram</t>
        </is>
      </c>
      <c r="E4636" t="inlineStr">
        <is>
          <t>air::non-urban air or from high stacks</t>
        </is>
      </c>
      <c r="F4636" t="inlineStr">
        <is>
          <t>biosphere</t>
        </is>
      </c>
      <c r="I4636">
        <v>0</v>
      </c>
    </row>
    <row r="4637">
      <c r="A4637" t="inlineStr">
        <is>
          <t>m-Xylene</t>
        </is>
      </c>
      <c r="B4637">
        <v>1.6256935624437191e-09</v>
      </c>
      <c r="D4637" t="inlineStr">
        <is>
          <t>kilogram</t>
        </is>
      </c>
      <c r="E4637" t="inlineStr">
        <is>
          <t>air::non-urban air or from high stacks</t>
        </is>
      </c>
      <c r="F4637" t="inlineStr">
        <is>
          <t>biosphere</t>
        </is>
      </c>
      <c r="I4637">
        <v>0</v>
      </c>
    </row>
    <row r="4638">
      <c r="A4638" t="inlineStr">
        <is>
          <t>o-Xylene</t>
        </is>
      </c>
      <c r="B4638">
        <v>7.195693022193013e-10</v>
      </c>
      <c r="D4638" t="inlineStr">
        <is>
          <t>kilogram</t>
        </is>
      </c>
      <c r="E4638" t="inlineStr">
        <is>
          <t>air::non-urban air or from high stacks</t>
        </is>
      </c>
      <c r="F4638" t="inlineStr">
        <is>
          <t>biosphere</t>
        </is>
      </c>
      <c r="I4638">
        <v>0</v>
      </c>
    </row>
    <row r="4639">
      <c r="A4639" t="inlineStr">
        <is>
          <t>Styrene</t>
        </is>
      </c>
      <c r="B4639">
        <v>9.86076444578847e-10</v>
      </c>
      <c r="D4639" t="inlineStr">
        <is>
          <t>kilogram</t>
        </is>
      </c>
      <c r="E4639" t="inlineStr">
        <is>
          <t>air::non-urban air or from high stacks</t>
        </is>
      </c>
      <c r="F4639" t="inlineStr">
        <is>
          <t>biosphere</t>
        </is>
      </c>
      <c r="I4639">
        <v>0</v>
      </c>
    </row>
    <row r="4640">
      <c r="A4640" t="inlineStr">
        <is>
          <t>Ethylene</t>
        </is>
      </c>
      <c r="B4640">
        <v>1.3536812652791e-07</v>
      </c>
      <c r="D4640" t="inlineStr">
        <is>
          <t>kilogram</t>
        </is>
      </c>
      <c r="E4640" t="inlineStr">
        <is>
          <t>air::urban air close to ground</t>
        </is>
      </c>
      <c r="F4640" t="inlineStr">
        <is>
          <t>biosphere</t>
        </is>
      </c>
      <c r="I4640">
        <v>0</v>
      </c>
    </row>
    <row r="4641">
      <c r="A4641" t="inlineStr">
        <is>
          <t>Ethylene</t>
        </is>
      </c>
      <c r="B4641">
        <v>2.923583389166125e-08</v>
      </c>
      <c r="D4641" t="inlineStr">
        <is>
          <t>kilogram</t>
        </is>
      </c>
      <c r="E4641" t="inlineStr">
        <is>
          <t>air::non-urban air or from high stacks</t>
        </is>
      </c>
      <c r="F4641" t="inlineStr">
        <is>
          <t>biosphere</t>
        </is>
      </c>
      <c r="I4641">
        <v>0</v>
      </c>
    </row>
    <row r="4642">
      <c r="A4642" t="inlineStr">
        <is>
          <t>market for internal combustion engine, passenger car</t>
        </is>
      </c>
      <c r="B4642">
        <v>0.0007866161325923368</v>
      </c>
      <c r="C4642" t="inlineStr">
        <is>
          <t>GLO</t>
        </is>
      </c>
      <c r="D4642" t="inlineStr">
        <is>
          <t>kilogram</t>
        </is>
      </c>
      <c r="F4642" t="inlineStr">
        <is>
          <t>technosphere</t>
        </is>
      </c>
      <c r="G4642" t="inlineStr">
        <is>
          <t>internal combustion engine, passenger car</t>
        </is>
      </c>
      <c r="H4642" t="inlineStr">
        <is>
          <t> Energy-use allocation: 293.5769348144531 * 4.999999873689376e-06 / 1.866074920371751 MJ per kilometer.</t>
        </is>
      </c>
      <c r="I4642">
        <v>0</v>
      </c>
    </row>
    <row r="4643">
      <c r="A4643" t="inlineStr">
        <is>
          <t>market for waste plastic, industrial electronics</t>
        </is>
      </c>
      <c r="B4643">
        <v>-0.00013127930051786527</v>
      </c>
      <c r="C4643" t="inlineStr">
        <is>
          <t>CH</t>
        </is>
      </c>
      <c r="D4643" t="inlineStr">
        <is>
          <t>kilogram</t>
        </is>
      </c>
      <c r="F4643" t="inlineStr">
        <is>
          <t>technosphere</t>
        </is>
      </c>
      <c r="G4643" t="inlineStr">
        <is>
          <t>waste plastic, industrial electronics</t>
        </is>
      </c>
      <c r="H4643" t="inlineStr">
        <is>
          <t> Energy-use allocation: -48.99540328979492 * 4.999999873689376e-06 / 1.866074920371751 MJ per kilometer.</t>
        </is>
      </c>
      <c r="I4643">
        <v>0</v>
      </c>
    </row>
    <row r="4644">
      <c r="A4644" t="inlineStr">
        <is>
          <t>polyethylene production, high density, granulate</t>
        </is>
      </c>
      <c r="B4644">
        <v>0.00013127930051786527</v>
      </c>
      <c r="C4644" t="inlineStr">
        <is>
          <t>RER</t>
        </is>
      </c>
      <c r="D4644" t="inlineStr">
        <is>
          <t>kilogram</t>
        </is>
      </c>
      <c r="F4644" t="inlineStr">
        <is>
          <t>technosphere</t>
        </is>
      </c>
      <c r="G4644" t="inlineStr">
        <is>
          <t>polyethylene, high density, granulate</t>
        </is>
      </c>
      <c r="H4644" t="inlineStr">
        <is>
          <t> Energy-use allocation: 48.99540328979492 * 4.999999873689376e-06 / 1.866074920371751 MJ per kilometer.</t>
        </is>
      </c>
      <c r="I4644">
        <v>0</v>
      </c>
    </row>
    <row r="4645">
      <c r="A4645" t="inlineStr">
        <is>
          <t>Carbon dioxide, non-fossil</t>
        </is>
      </c>
      <c r="B4645">
        <v>0.0732</v>
      </c>
      <c r="D4645" t="inlineStr">
        <is>
          <t>kilogram</t>
        </is>
      </c>
      <c r="E4645" t="inlineStr">
        <is>
          <t>air::urban air close to ground</t>
        </is>
      </c>
      <c r="F4645" t="inlineStr">
        <is>
          <t>biosphere</t>
        </is>
      </c>
      <c r="I4645">
        <v>0</v>
      </c>
    </row>
    <row r="4646"/>
    <row r="4647">
      <c r="A4647" t="inlineStr">
        <is>
          <t>Activity</t>
        </is>
      </c>
      <c r="B4647" t="inlineStr">
        <is>
          <t>diesel, synthetic, burned in passenger car</t>
        </is>
      </c>
    </row>
    <row r="4648">
      <c r="A4648" t="inlineStr">
        <is>
          <t>location</t>
        </is>
      </c>
      <c r="B4648" t="inlineStr">
        <is>
          <t>RER</t>
        </is>
      </c>
    </row>
    <row r="4649">
      <c r="A4649" t="inlineStr">
        <is>
          <t>production amount</t>
        </is>
      </c>
      <c r="B4649">
        <v>1</v>
      </c>
    </row>
    <row r="4650">
      <c r="A4650" t="inlineStr">
        <is>
          <t>reference product</t>
        </is>
      </c>
      <c r="B4650" t="inlineStr">
        <is>
          <t>heat</t>
        </is>
      </c>
    </row>
    <row r="4651">
      <c r="A4651" t="inlineStr">
        <is>
          <t>type</t>
        </is>
      </c>
      <c r="B4651" t="inlineStr">
        <is>
          <t>process</t>
        </is>
      </c>
    </row>
    <row r="4652">
      <c r="A4652" t="inlineStr">
        <is>
          <t>unit</t>
        </is>
      </c>
      <c r="B4652" t="inlineStr">
        <is>
          <t>megajoule</t>
        </is>
      </c>
    </row>
    <row r="4653">
      <c r="A4653" t="inlineStr">
        <is>
          <t>Power, mean</t>
        </is>
      </c>
      <c r="B4653">
        <v>126</v>
      </c>
    </row>
    <row r="4654">
      <c r="A4654" t="inlineStr">
        <is>
          <t>Power, min</t>
        </is>
      </c>
      <c r="B4654">
        <v>54</v>
      </c>
    </row>
    <row r="4655">
      <c r="A4655" t="inlineStr">
        <is>
          <t>Power, max</t>
        </is>
      </c>
      <c r="B4655">
        <v>158</v>
      </c>
    </row>
    <row r="4656">
      <c r="A4656" t="inlineStr">
        <is>
          <t>Lifetime, mean</t>
        </is>
      </c>
      <c r="B4656">
        <v>200000</v>
      </c>
    </row>
    <row r="4657">
      <c r="A4657" t="inlineStr">
        <is>
          <t>Lifetime, min</t>
        </is>
      </c>
      <c r="B4657">
        <v>160000</v>
      </c>
    </row>
    <row r="4658">
      <c r="A4658" t="inlineStr">
        <is>
          <t>Lifetime, max</t>
        </is>
      </c>
      <c r="B4658">
        <v>250000</v>
      </c>
    </row>
    <row r="4659">
      <c r="A4659" t="inlineStr">
        <is>
          <t>Energy use, mean</t>
        </is>
      </c>
      <c r="B4659">
        <v>2250</v>
      </c>
    </row>
    <row r="4660">
      <c r="A4660" t="inlineStr">
        <is>
          <t>Energy use, min</t>
        </is>
      </c>
      <c r="B4660">
        <v>1500</v>
      </c>
    </row>
    <row r="4661">
      <c r="A4661" t="inlineStr">
        <is>
          <t>Energy use, max</t>
        </is>
      </c>
      <c r="B4661">
        <v>2900</v>
      </c>
    </row>
    <row r="4662">
      <c r="A4662" t="inlineStr">
        <is>
          <t>Electric motor, mean</t>
        </is>
      </c>
      <c r="B4662">
        <v>0</v>
      </c>
    </row>
    <row r="4663">
      <c r="A4663" t="inlineStr">
        <is>
          <t>Electric motor, min</t>
        </is>
      </c>
      <c r="B4663">
        <v>0</v>
      </c>
    </row>
    <row r="4664">
      <c r="A4664" t="inlineStr">
        <is>
          <t>Electric motor, max</t>
        </is>
      </c>
      <c r="B4664">
        <v>0</v>
      </c>
    </row>
    <row r="4665">
      <c r="A4665" t="inlineStr">
        <is>
          <t>Combustion engine, mean</t>
        </is>
      </c>
      <c r="B4665">
        <v>169</v>
      </c>
    </row>
    <row r="4666">
      <c r="A4666" t="inlineStr">
        <is>
          <t>Combustion engine, min</t>
        </is>
      </c>
      <c r="B4666">
        <v>111</v>
      </c>
    </row>
    <row r="4667">
      <c r="A4667" t="inlineStr">
        <is>
          <t>Combustion engine, max</t>
        </is>
      </c>
      <c r="B4667">
        <v>194</v>
      </c>
    </row>
    <row r="4668">
      <c r="A4668" t="inlineStr">
        <is>
          <t>Fuel tank, mean</t>
        </is>
      </c>
      <c r="B4668">
        <v>48</v>
      </c>
    </row>
    <row r="4669">
      <c r="A4669" t="inlineStr">
        <is>
          <t>Fuel tank, min</t>
        </is>
      </c>
      <c r="B4669">
        <v>30</v>
      </c>
    </row>
    <row r="4670">
      <c r="A4670" t="inlineStr">
        <is>
          <t>Fuel tank, max</t>
        </is>
      </c>
      <c r="B4670">
        <v>60</v>
      </c>
    </row>
    <row r="4671">
      <c r="A4671" t="inlineStr">
        <is>
          <t>Battery capacity, mean</t>
        </is>
      </c>
      <c r="B4671">
        <v>0</v>
      </c>
    </row>
    <row r="4672">
      <c r="A4672" t="inlineStr">
        <is>
          <t>Battery capacity, min</t>
        </is>
      </c>
      <c r="B4672">
        <v>0</v>
      </c>
    </row>
    <row r="4673">
      <c r="A4673" t="inlineStr">
        <is>
          <t>Battery capacity, max</t>
        </is>
      </c>
      <c r="B4673">
        <v>0</v>
      </c>
    </row>
    <row r="4674">
      <c r="A4674" t="inlineStr">
        <is>
          <t>Battery replacement, mean</t>
        </is>
      </c>
      <c r="B4674">
        <v>0</v>
      </c>
    </row>
    <row r="4675">
      <c r="A4675" t="inlineStr">
        <is>
          <t>Battery replacement, min</t>
        </is>
      </c>
      <c r="B4675">
        <v>0</v>
      </c>
    </row>
    <row r="4676">
      <c r="A4676" t="inlineStr">
        <is>
          <t>Battery replacement, max</t>
        </is>
      </c>
      <c r="B4676">
        <v>0</v>
      </c>
    </row>
    <row r="4677">
      <c r="A4677" t="inlineStr">
        <is>
          <t>Fuel cell system, mean</t>
        </is>
      </c>
      <c r="B4677">
        <v>0</v>
      </c>
    </row>
    <row r="4678">
      <c r="A4678" t="inlineStr">
        <is>
          <t>Fuel cell system, min</t>
        </is>
      </c>
      <c r="B4678">
        <v>0</v>
      </c>
    </row>
    <row r="4679">
      <c r="A4679" t="inlineStr">
        <is>
          <t>Fuel cell system, max</t>
        </is>
      </c>
      <c r="B4679">
        <v>0</v>
      </c>
    </row>
    <row r="4680">
      <c r="A4680" t="inlineStr">
        <is>
          <t>Fuel cell stack replacement, mean</t>
        </is>
      </c>
      <c r="B4680">
        <v>0</v>
      </c>
    </row>
    <row r="4681">
      <c r="A4681" t="inlineStr">
        <is>
          <t>Fuel cell replacement, min</t>
        </is>
      </c>
      <c r="B4681">
        <v>0</v>
      </c>
    </row>
    <row r="4682">
      <c r="A4682" t="inlineStr">
        <is>
          <t>Fuel cell replacement, max</t>
        </is>
      </c>
      <c r="B4682">
        <v>0</v>
      </c>
    </row>
    <row r="4683">
      <c r="A4683" t="inlineStr">
        <is>
          <t>Onboard charger mass</t>
        </is>
      </c>
      <c r="B4683">
        <v>0</v>
      </c>
    </row>
    <row r="4684">
      <c r="A4684" t="inlineStr">
        <is>
          <t>Controller mass</t>
        </is>
      </c>
      <c r="B4684">
        <v>0</v>
      </c>
    </row>
    <row r="4685">
      <c r="A4685" t="inlineStr">
        <is>
          <t>Converter mass</t>
        </is>
      </c>
      <c r="B4685">
        <v>0</v>
      </c>
    </row>
    <row r="4686">
      <c r="A4686" t="inlineStr">
        <is>
          <t>Electrical powertrain mass</t>
        </is>
      </c>
      <c r="B4686">
        <v>0</v>
      </c>
    </row>
    <row r="4687">
      <c r="A4687" t="inlineStr">
        <is>
          <t>Inverter mass</t>
        </is>
      </c>
      <c r="B4687">
        <v>0</v>
      </c>
    </row>
    <row r="4688">
      <c r="A4688" t="inlineStr">
        <is>
          <t>NOx</t>
        </is>
      </c>
      <c r="B4688">
        <v>0.2</v>
      </c>
    </row>
    <row r="4689">
      <c r="A4689" t="inlineStr">
        <is>
          <t>PM 2.5</t>
        </is>
      </c>
      <c r="B4689">
        <v>0.0017499999999999998</v>
      </c>
    </row>
    <row r="4690">
      <c r="A4690" t="inlineStr">
        <is>
          <t>energy use source</t>
        </is>
      </c>
      <c r="B4690"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691">
      <c r="A4691" t="inlineStr">
        <is>
          <t>comment</t>
        </is>
      </c>
      <c r="B4691"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692">
      <c r="A4692" t="inlineStr">
        <is>
          <t>Exchanges</t>
        </is>
      </c>
    </row>
    <row r="4693">
      <c r="A4693" t="inlineStr">
        <is>
          <t>name</t>
        </is>
      </c>
      <c r="B4693" t="inlineStr">
        <is>
          <t>amount</t>
        </is>
      </c>
      <c r="C4693" t="inlineStr">
        <is>
          <t>location</t>
        </is>
      </c>
      <c r="D4693" t="inlineStr">
        <is>
          <t>unit</t>
        </is>
      </c>
      <c r="E4693" t="inlineStr">
        <is>
          <t>categories</t>
        </is>
      </c>
      <c r="F4693" t="inlineStr">
        <is>
          <t>type</t>
        </is>
      </c>
      <c r="G4693" t="inlineStr">
        <is>
          <t>reference product</t>
        </is>
      </c>
      <c r="H4693" t="inlineStr">
        <is>
          <t>comment</t>
        </is>
      </c>
      <c r="I4693" t="inlineStr">
        <is>
          <t>uncertainty type</t>
        </is>
      </c>
    </row>
    <row r="4694">
      <c r="A4694" t="inlineStr">
        <is>
          <t>diesel, synthetic, burned in passenger car</t>
        </is>
      </c>
      <c r="B4694">
        <v>1.0</v>
      </c>
      <c r="C4694" t="inlineStr">
        <is>
          <t>RER</t>
        </is>
      </c>
      <c r="D4694" t="inlineStr">
        <is>
          <t>megajoule</t>
        </is>
      </c>
      <c r="F4694" t="inlineStr">
        <is>
          <t>production</t>
        </is>
      </c>
      <c r="G4694" t="inlineStr">
        <is>
          <t>heat</t>
        </is>
      </c>
      <c r="I4694">
        <v>0</v>
      </c>
    </row>
    <row r="4695">
      <c r="A4695" t="inlineStr">
        <is>
          <t>diesel production, synthetic, from Fischer Tropsch process, market-average hydrogen, energy allocation, at fuelling station</t>
        </is>
      </c>
      <c r="B4695">
        <v>0.023255813953488372</v>
      </c>
      <c r="C4695" t="inlineStr">
        <is>
          <t>RER</t>
        </is>
      </c>
      <c r="D4695" t="inlineStr">
        <is>
          <t>kilogram</t>
        </is>
      </c>
      <c r="F4695" t="inlineStr">
        <is>
          <t>technosphere</t>
        </is>
      </c>
      <c r="G4695" t="inlineStr">
        <is>
          <t>diesel, synthetic, vehicle grade</t>
        </is>
      </c>
      <c r="I4695">
        <v>0</v>
      </c>
    </row>
    <row r="4696">
      <c r="A4696" t="inlineStr">
        <is>
          <t>treatment of brake wear emissions, passenger car</t>
        </is>
      </c>
      <c r="B4696">
        <v>-7.967052081550097e-06</v>
      </c>
      <c r="C4696" t="inlineStr">
        <is>
          <t>RER</t>
        </is>
      </c>
      <c r="D4696" t="inlineStr">
        <is>
          <t>kilogram</t>
        </is>
      </c>
      <c r="F4696" t="inlineStr">
        <is>
          <t>technosphere</t>
        </is>
      </c>
      <c r="G4696" t="inlineStr">
        <is>
          <t>brake wear emissions, passenger car</t>
        </is>
      </c>
      <c r="I4696">
        <v>0</v>
      </c>
    </row>
    <row r="4697">
      <c r="A4697" t="inlineStr">
        <is>
          <t>treatment of road wear emissions, passenger car</t>
        </is>
      </c>
      <c r="B4697">
        <v>-9.150770397723165e-06</v>
      </c>
      <c r="C4697" t="inlineStr">
        <is>
          <t>RER</t>
        </is>
      </c>
      <c r="D4697" t="inlineStr">
        <is>
          <t>kilogram</t>
        </is>
      </c>
      <c r="F4697" t="inlineStr">
        <is>
          <t>technosphere</t>
        </is>
      </c>
      <c r="G4697" t="inlineStr">
        <is>
          <t>road wear emissions, passenger car</t>
        </is>
      </c>
      <c r="I4697">
        <v>0</v>
      </c>
    </row>
    <row r="4698">
      <c r="A4698" t="inlineStr">
        <is>
          <t>treatment of tyre wear emissions, passenger car</t>
        </is>
      </c>
      <c r="B4698">
        <v>-1.0568832109350394e-05</v>
      </c>
      <c r="C4698" t="inlineStr">
        <is>
          <t>RER</t>
        </is>
      </c>
      <c r="D4698" t="inlineStr">
        <is>
          <t>kilogram</t>
        </is>
      </c>
      <c r="F4698" t="inlineStr">
        <is>
          <t>technosphere</t>
        </is>
      </c>
      <c r="G4698" t="inlineStr">
        <is>
          <t>tyre wear emissions, passenger car</t>
        </is>
      </c>
      <c r="I4698">
        <v>0</v>
      </c>
    </row>
    <row r="4699">
      <c r="A4699" t="inlineStr">
        <is>
          <t>market for tetrafluoroethane, R134a</t>
        </is>
      </c>
      <c r="B4699">
        <v>3.4832470313950515e-06</v>
      </c>
      <c r="C4699" t="inlineStr">
        <is>
          <t>GLO</t>
        </is>
      </c>
      <c r="D4699" t="inlineStr">
        <is>
          <t>kilogram</t>
        </is>
      </c>
      <c r="F4699" t="inlineStr">
        <is>
          <t>technosphere</t>
        </is>
      </c>
      <c r="G4699" t="inlineStr">
        <is>
          <t>tetrafluoroethane, R134a</t>
        </is>
      </c>
      <c r="I4699">
        <v>0</v>
      </c>
    </row>
    <row r="4700">
      <c r="A4700" t="inlineStr">
        <is>
          <t>Toluene</t>
        </is>
      </c>
      <c r="B4700">
        <v>1.8388993477254683e-09</v>
      </c>
      <c r="D4700" t="inlineStr">
        <is>
          <t>kilogram</t>
        </is>
      </c>
      <c r="E4700" t="inlineStr">
        <is>
          <t>air::non-urban air or from high stacks</t>
        </is>
      </c>
      <c r="F4700" t="inlineStr">
        <is>
          <t>biosphere</t>
        </is>
      </c>
      <c r="I4700">
        <v>0</v>
      </c>
    </row>
    <row r="4701">
      <c r="A4701" t="inlineStr">
        <is>
          <t>NMVOC, non-methane volatile organic compounds</t>
        </is>
      </c>
      <c r="B4701">
        <v>1.4657892889270108e-07</v>
      </c>
      <c r="D4701" t="inlineStr">
        <is>
          <t>kilogram</t>
        </is>
      </c>
      <c r="E4701" t="inlineStr">
        <is>
          <t>air::non-urban air or from high stacks</t>
        </is>
      </c>
      <c r="F4701" t="inlineStr">
        <is>
          <t>biosphere</t>
        </is>
      </c>
      <c r="I4701">
        <v>0</v>
      </c>
    </row>
    <row r="4702">
      <c r="A4702" t="inlineStr">
        <is>
          <t>Dinitrogen monoxide</t>
        </is>
      </c>
      <c r="B4702">
        <v>1.3837910754355256e-06</v>
      </c>
      <c r="D4702" t="inlineStr">
        <is>
          <t>kilogram</t>
        </is>
      </c>
      <c r="E4702" t="inlineStr">
        <is>
          <t>air::non-urban air or from high stacks</t>
        </is>
      </c>
      <c r="F4702" t="inlineStr">
        <is>
          <t>biosphere</t>
        </is>
      </c>
      <c r="I4702">
        <v>0</v>
      </c>
    </row>
    <row r="4703">
      <c r="A4703" t="inlineStr">
        <is>
          <t>Ethane</t>
        </is>
      </c>
      <c r="B4703">
        <v>4.072149787837132e-09</v>
      </c>
      <c r="D4703" t="inlineStr">
        <is>
          <t>kilogram</t>
        </is>
      </c>
      <c r="E4703" t="inlineStr">
        <is>
          <t>air::urban air close to ground</t>
        </is>
      </c>
      <c r="F4703" t="inlineStr">
        <is>
          <t>biosphere</t>
        </is>
      </c>
      <c r="I4703">
        <v>0</v>
      </c>
    </row>
    <row r="4704">
      <c r="A4704" t="inlineStr">
        <is>
          <t>Pentane</t>
        </is>
      </c>
      <c r="B4704">
        <v>4.935939064657017e-10</v>
      </c>
      <c r="D4704" t="inlineStr">
        <is>
          <t>kilogram</t>
        </is>
      </c>
      <c r="E4704" t="inlineStr">
        <is>
          <t>air::urban air close to ground</t>
        </is>
      </c>
      <c r="F4704" t="inlineStr">
        <is>
          <t>biosphere</t>
        </is>
      </c>
      <c r="I4704">
        <v>0</v>
      </c>
    </row>
    <row r="4705">
      <c r="A4705" t="inlineStr">
        <is>
          <t>Selenium IV</t>
        </is>
      </c>
      <c r="B4705">
        <v>1.4312488373385127e-12</v>
      </c>
      <c r="D4705" t="inlineStr">
        <is>
          <t>kilogram</t>
        </is>
      </c>
      <c r="E4705" t="inlineStr">
        <is>
          <t>air::non-urban air or from high stacks</t>
        </is>
      </c>
      <c r="F4705" t="inlineStr">
        <is>
          <t>biosphere</t>
        </is>
      </c>
      <c r="I4705">
        <v>0</v>
      </c>
    </row>
    <row r="4706">
      <c r="A4706" t="inlineStr">
        <is>
          <t>Arsenic ion</t>
        </is>
      </c>
      <c r="B4706">
        <v>1.4312488373385127e-12</v>
      </c>
      <c r="D4706" t="inlineStr">
        <is>
          <t>kilogram</t>
        </is>
      </c>
      <c r="E4706" t="inlineStr">
        <is>
          <t>air::non-urban air or from high stacks</t>
        </is>
      </c>
      <c r="F4706" t="inlineStr">
        <is>
          <t>biosphere</t>
        </is>
      </c>
      <c r="I4706">
        <v>0</v>
      </c>
    </row>
    <row r="4707">
      <c r="A4707" t="inlineStr">
        <is>
          <t>Arsenic ion</t>
        </is>
      </c>
      <c r="B4707">
        <v>8.98750956554421e-13</v>
      </c>
      <c r="D4707" t="inlineStr">
        <is>
          <t>kilogram</t>
        </is>
      </c>
      <c r="E4707" t="inlineStr">
        <is>
          <t>air::urban air close to ground</t>
        </is>
      </c>
      <c r="F4707" t="inlineStr">
        <is>
          <t>biosphere</t>
        </is>
      </c>
      <c r="I4707">
        <v>0</v>
      </c>
    </row>
    <row r="4708">
      <c r="A4708" t="inlineStr">
        <is>
          <t>Propylene</t>
        </is>
      </c>
      <c r="B4708">
        <v>9.594256886963272e-09</v>
      </c>
      <c r="D4708" t="inlineStr">
        <is>
          <t>kilogram</t>
        </is>
      </c>
      <c r="E4708" t="inlineStr">
        <is>
          <t>air::non-urban air or from high stacks</t>
        </is>
      </c>
      <c r="F4708" t="inlineStr">
        <is>
          <t>biosphere</t>
        </is>
      </c>
      <c r="I4708">
        <v>0</v>
      </c>
    </row>
    <row r="4709">
      <c r="A4709" t="inlineStr">
        <is>
          <t>Particulate Matter, &lt; 2.5 um</t>
        </is>
      </c>
      <c r="B4709">
        <v>1.636891619531532e-07</v>
      </c>
      <c r="D4709" t="inlineStr">
        <is>
          <t>kilogram</t>
        </is>
      </c>
      <c r="E4709" t="inlineStr">
        <is>
          <t>air::urban air close to ground</t>
        </is>
      </c>
      <c r="F4709" t="inlineStr">
        <is>
          <t>biosphere</t>
        </is>
      </c>
      <c r="I4709">
        <v>0</v>
      </c>
    </row>
    <row r="4710">
      <c r="A4710" t="inlineStr">
        <is>
          <t>Nickel II</t>
        </is>
      </c>
      <c r="B4710">
        <v>2.856355271045539e-12</v>
      </c>
      <c r="D4710" t="inlineStr">
        <is>
          <t>kilogram</t>
        </is>
      </c>
      <c r="E4710" t="inlineStr">
        <is>
          <t>air::non-urban air or from high stacks</t>
        </is>
      </c>
      <c r="F4710" t="inlineStr">
        <is>
          <t>biosphere</t>
        </is>
      </c>
      <c r="I4710">
        <v>0</v>
      </c>
    </row>
    <row r="4711">
      <c r="A4711" t="inlineStr">
        <is>
          <t>Methane, fossil</t>
        </is>
      </c>
      <c r="B4711">
        <v>2.3985624245130236e-06</v>
      </c>
      <c r="D4711" t="inlineStr">
        <is>
          <t>kilogram</t>
        </is>
      </c>
      <c r="E4711" t="inlineStr">
        <is>
          <t>air::non-urban air or from high stacks</t>
        </is>
      </c>
      <c r="F4711" t="inlineStr">
        <is>
          <t>biosphere</t>
        </is>
      </c>
      <c r="I4711">
        <v>0</v>
      </c>
    </row>
    <row r="4712">
      <c r="A4712" t="inlineStr">
        <is>
          <t>Mercury II</t>
        </is>
      </c>
      <c r="B4712">
        <v>7.555519944566824e-11</v>
      </c>
      <c r="D4712" t="inlineStr">
        <is>
          <t>kilogram</t>
        </is>
      </c>
      <c r="E4712" t="inlineStr">
        <is>
          <t>air::non-urban air or from high stacks</t>
        </is>
      </c>
      <c r="F4712" t="inlineStr">
        <is>
          <t>biosphere</t>
        </is>
      </c>
      <c r="I4712">
        <v>0</v>
      </c>
    </row>
    <row r="4713">
      <c r="A4713" t="inlineStr">
        <is>
          <t>Ammonia</t>
        </is>
      </c>
      <c r="B4713">
        <v>8.515878173642505e-07</v>
      </c>
      <c r="D4713" t="inlineStr">
        <is>
          <t>kilogram</t>
        </is>
      </c>
      <c r="E4713" t="inlineStr">
        <is>
          <t>air::non-urban air or from high stacks</t>
        </is>
      </c>
      <c r="F4713" t="inlineStr">
        <is>
          <t>biosphere</t>
        </is>
      </c>
      <c r="I4713">
        <v>0</v>
      </c>
    </row>
    <row r="4714">
      <c r="A4714" t="inlineStr">
        <is>
          <t>Ethane</t>
        </is>
      </c>
      <c r="B4714">
        <v>8.794736114330666e-10</v>
      </c>
      <c r="D4714" t="inlineStr">
        <is>
          <t>kilogram</t>
        </is>
      </c>
      <c r="E4714" t="inlineStr">
        <is>
          <t>air::non-urban air or from high stacks</t>
        </is>
      </c>
      <c r="F4714" t="inlineStr">
        <is>
          <t>biosphere</t>
        </is>
      </c>
      <c r="I4714">
        <v>0</v>
      </c>
    </row>
    <row r="4715">
      <c r="A4715" t="inlineStr">
        <is>
          <t>Nickel II</t>
        </is>
      </c>
      <c r="B4715">
        <v>1.7936446091257316e-12</v>
      </c>
      <c r="D4715" t="inlineStr">
        <is>
          <t>kilogram</t>
        </is>
      </c>
      <c r="E4715" t="inlineStr">
        <is>
          <t>air::urban air close to ground</t>
        </is>
      </c>
      <c r="F4715" t="inlineStr">
        <is>
          <t>biosphere</t>
        </is>
      </c>
      <c r="I4715">
        <v>0</v>
      </c>
    </row>
    <row r="4716">
      <c r="A4716" t="inlineStr">
        <is>
          <t>Cadmium II</t>
        </is>
      </c>
      <c r="B4716">
        <v>7.12553100652158e-13</v>
      </c>
      <c r="D4716" t="inlineStr">
        <is>
          <t>kilogram</t>
        </is>
      </c>
      <c r="E4716" t="inlineStr">
        <is>
          <t>air::non-urban air or from high stacks</t>
        </is>
      </c>
      <c r="F4716" t="inlineStr">
        <is>
          <t>biosphere</t>
        </is>
      </c>
      <c r="I4716">
        <v>0</v>
      </c>
    </row>
    <row r="4717">
      <c r="A4717" t="inlineStr">
        <is>
          <t>Ammonia</t>
        </is>
      </c>
      <c r="B4717">
        <v>5.347535547726079e-07</v>
      </c>
      <c r="D4717" t="inlineStr">
        <is>
          <t>kilogram</t>
        </is>
      </c>
      <c r="E4717" t="inlineStr">
        <is>
          <t>air::urban air close to ground</t>
        </is>
      </c>
      <c r="F4717" t="inlineStr">
        <is>
          <t>biosphere</t>
        </is>
      </c>
      <c r="I4717">
        <v>0</v>
      </c>
    </row>
    <row r="4718">
      <c r="A4718" t="inlineStr">
        <is>
          <t>Butane</t>
        </is>
      </c>
      <c r="B4718">
        <v>2.9315788039353776e-10</v>
      </c>
      <c r="D4718" t="inlineStr">
        <is>
          <t>kilogram</t>
        </is>
      </c>
      <c r="E4718" t="inlineStr">
        <is>
          <t>air::non-urban air or from high stacks</t>
        </is>
      </c>
      <c r="F4718" t="inlineStr">
        <is>
          <t>biosphere</t>
        </is>
      </c>
      <c r="I4718">
        <v>0</v>
      </c>
    </row>
    <row r="4719">
      <c r="A4719" t="inlineStr">
        <is>
          <t>PAH, polycyclic aromatic hydrocarbons</t>
        </is>
      </c>
      <c r="B4719">
        <v>5.091636535281869e-10</v>
      </c>
      <c r="D4719" t="inlineStr">
        <is>
          <t>kilogram</t>
        </is>
      </c>
      <c r="E4719" t="inlineStr">
        <is>
          <t>air::urban air close to ground</t>
        </is>
      </c>
      <c r="F4719" t="inlineStr">
        <is>
          <t>biosphere</t>
        </is>
      </c>
      <c r="I4719">
        <v>0</v>
      </c>
    </row>
    <row r="4720">
      <c r="A4720" t="inlineStr">
        <is>
          <t>Copper ion</t>
        </is>
      </c>
      <c r="B4720">
        <v>8.16979042710669e-11</v>
      </c>
      <c r="D4720" t="inlineStr">
        <is>
          <t>kilogram</t>
        </is>
      </c>
      <c r="E4720" t="inlineStr">
        <is>
          <t>air::non-urban air or from high stacks</t>
        </is>
      </c>
      <c r="F4720" t="inlineStr">
        <is>
          <t>biosphere</t>
        </is>
      </c>
      <c r="I4720">
        <v>0</v>
      </c>
    </row>
    <row r="4721">
      <c r="A4721" t="inlineStr">
        <is>
          <t>Nitrogen oxides</t>
        </is>
      </c>
      <c r="B4721">
        <v>1.2205207650351623e-05</v>
      </c>
      <c r="D4721" t="inlineStr">
        <is>
          <t>kilogram</t>
        </is>
      </c>
      <c r="E4721" t="inlineStr">
        <is>
          <t>air::non-urban air or from high stacks</t>
        </is>
      </c>
      <c r="F4721" t="inlineStr">
        <is>
          <t>biosphere</t>
        </is>
      </c>
      <c r="I4721">
        <v>0</v>
      </c>
    </row>
    <row r="4722">
      <c r="A4722" t="inlineStr">
        <is>
          <t>Butane</t>
        </is>
      </c>
      <c r="B4722">
        <v>1.3573831832855856e-09</v>
      </c>
      <c r="D4722" t="inlineStr">
        <is>
          <t>kilogram</t>
        </is>
      </c>
      <c r="E4722" t="inlineStr">
        <is>
          <t>air::urban air close to ground</t>
        </is>
      </c>
      <c r="F4722" t="inlineStr">
        <is>
          <t>biosphere</t>
        </is>
      </c>
      <c r="I4722">
        <v>0</v>
      </c>
    </row>
    <row r="4723">
      <c r="A4723" t="inlineStr">
        <is>
          <t>Copper ion</t>
        </is>
      </c>
      <c r="B4723">
        <v>5.130209510040208e-11</v>
      </c>
      <c r="D4723" t="inlineStr">
        <is>
          <t>kilogram</t>
        </is>
      </c>
      <c r="E4723" t="inlineStr">
        <is>
          <t>air::urban air close to ground</t>
        </is>
      </c>
      <c r="F4723" t="inlineStr">
        <is>
          <t>biosphere</t>
        </is>
      </c>
      <c r="I4723">
        <v>0</v>
      </c>
    </row>
    <row r="4724">
      <c r="A4724" t="inlineStr">
        <is>
          <t>Chromium III</t>
        </is>
      </c>
      <c r="B4724">
        <v>7.637454356709601e-11</v>
      </c>
      <c r="D4724" t="inlineStr">
        <is>
          <t>kilogram</t>
        </is>
      </c>
      <c r="E4724" t="inlineStr">
        <is>
          <t>air::urban air close to ground</t>
        </is>
      </c>
      <c r="F4724" t="inlineStr">
        <is>
          <t>biosphere</t>
        </is>
      </c>
      <c r="I4724">
        <v>0</v>
      </c>
    </row>
    <row r="4725">
      <c r="A4725" t="inlineStr">
        <is>
          <t>Propane</t>
        </is>
      </c>
      <c r="B4725">
        <v>1.3573831832855856e-09</v>
      </c>
      <c r="D4725" t="inlineStr">
        <is>
          <t>kilogram</t>
        </is>
      </c>
      <c r="E4725" t="inlineStr">
        <is>
          <t>air::urban air close to ground</t>
        </is>
      </c>
      <c r="F4725" t="inlineStr">
        <is>
          <t>biosphere</t>
        </is>
      </c>
      <c r="I4725">
        <v>0</v>
      </c>
    </row>
    <row r="4726">
      <c r="A4726" t="inlineStr">
        <is>
          <t>Toluene</t>
        </is>
      </c>
      <c r="B4726">
        <v>8.514495184008822e-09</v>
      </c>
      <c r="D4726" t="inlineStr">
        <is>
          <t>kilogram</t>
        </is>
      </c>
      <c r="E4726" t="inlineStr">
        <is>
          <t>air::urban air close to ground</t>
        </is>
      </c>
      <c r="F4726" t="inlineStr">
        <is>
          <t>biosphere</t>
        </is>
      </c>
      <c r="I4726">
        <v>0</v>
      </c>
    </row>
    <row r="4727">
      <c r="A4727" t="inlineStr">
        <is>
          <t>Dinitrogen monoxide</t>
        </is>
      </c>
      <c r="B4727">
        <v>8.68949829854063e-07</v>
      </c>
      <c r="D4727" t="inlineStr">
        <is>
          <t>kilogram</t>
        </is>
      </c>
      <c r="E4727" t="inlineStr">
        <is>
          <t>air::urban air close to ground</t>
        </is>
      </c>
      <c r="F4727" t="inlineStr">
        <is>
          <t>biosphere</t>
        </is>
      </c>
      <c r="I4727">
        <v>0</v>
      </c>
    </row>
    <row r="4728">
      <c r="A4728" t="inlineStr">
        <is>
          <t>Zinc II</t>
        </is>
      </c>
      <c r="B4728">
        <v>1.6162087653443074e-10</v>
      </c>
      <c r="D4728" t="inlineStr">
        <is>
          <t>kilogram</t>
        </is>
      </c>
      <c r="E4728" t="inlineStr">
        <is>
          <t>air::urban air close to ground</t>
        </is>
      </c>
      <c r="F4728" t="inlineStr">
        <is>
          <t>biosphere</t>
        </is>
      </c>
      <c r="I4728">
        <v>0</v>
      </c>
    </row>
    <row r="4729">
      <c r="A4729" t="inlineStr">
        <is>
          <t>Chromium VI</t>
        </is>
      </c>
      <c r="B4729">
        <v>2.426366216798939e-13</v>
      </c>
      <c r="D4729" t="inlineStr">
        <is>
          <t>kilogram</t>
        </is>
      </c>
      <c r="E4729" t="inlineStr">
        <is>
          <t>air::non-urban air or from high stacks</t>
        </is>
      </c>
      <c r="F4729" t="inlineStr">
        <is>
          <t>biosphere</t>
        </is>
      </c>
      <c r="I4729">
        <v>0</v>
      </c>
    </row>
    <row r="4730">
      <c r="A4730" t="inlineStr">
        <is>
          <t>Benzene</t>
        </is>
      </c>
      <c r="B4730">
        <v>2.1320570436842153e-08</v>
      </c>
      <c r="D4730" t="inlineStr">
        <is>
          <t>kilogram</t>
        </is>
      </c>
      <c r="E4730" t="inlineStr">
        <is>
          <t>air::non-urban air or from high stacks</t>
        </is>
      </c>
      <c r="F4730" t="inlineStr">
        <is>
          <t>biosphere</t>
        </is>
      </c>
      <c r="I4730">
        <v>0</v>
      </c>
    </row>
    <row r="4731">
      <c r="A4731" t="inlineStr">
        <is>
          <t>Carbon monoxide, fossil</t>
        </is>
      </c>
      <c r="B4731">
        <v>4.486574608647261e-06</v>
      </c>
      <c r="D4731" t="inlineStr">
        <is>
          <t>kilogram</t>
        </is>
      </c>
      <c r="E4731" t="inlineStr">
        <is>
          <t>air::non-urban air or from high stacks</t>
        </is>
      </c>
      <c r="F4731" t="inlineStr">
        <is>
          <t>biosphere</t>
        </is>
      </c>
      <c r="I4731">
        <v>0</v>
      </c>
    </row>
    <row r="4732">
      <c r="A4732" t="inlineStr">
        <is>
          <t>Chromium VI</t>
        </is>
      </c>
      <c r="B4732">
        <v>1.5236336208114335e-13</v>
      </c>
      <c r="D4732" t="inlineStr">
        <is>
          <t>kilogram</t>
        </is>
      </c>
      <c r="E4732" t="inlineStr">
        <is>
          <t>air::urban air close to ground</t>
        </is>
      </c>
      <c r="F4732" t="inlineStr">
        <is>
          <t>biosphere</t>
        </is>
      </c>
      <c r="I4732">
        <v>0</v>
      </c>
    </row>
    <row r="4733">
      <c r="A4733" t="inlineStr">
        <is>
          <t>Methane, fossil</t>
        </is>
      </c>
      <c r="B4733">
        <v>1.5324029278860158e-06</v>
      </c>
      <c r="D4733" t="inlineStr">
        <is>
          <t>kilogram</t>
        </is>
      </c>
      <c r="E4733" t="inlineStr">
        <is>
          <t>air::urban air close to ground</t>
        </is>
      </c>
      <c r="F4733" t="inlineStr">
        <is>
          <t>biosphere</t>
        </is>
      </c>
      <c r="I4733">
        <v>0</v>
      </c>
    </row>
    <row r="4734">
      <c r="A4734" t="inlineStr">
        <is>
          <t>Sulfur dioxide</t>
        </is>
      </c>
      <c r="B4734">
        <v>4.6773094625996215e-07</v>
      </c>
      <c r="D4734" t="inlineStr">
        <is>
          <t>kilogram</t>
        </is>
      </c>
      <c r="E4734" t="inlineStr">
        <is>
          <t>air</t>
        </is>
      </c>
      <c r="F4734" t="inlineStr">
        <is>
          <t>biosphere</t>
        </is>
      </c>
      <c r="I4734">
        <v>0</v>
      </c>
    </row>
    <row r="4735">
      <c r="A4735" t="inlineStr">
        <is>
          <t>NMVOC, non-methane volatile organic compounds</t>
        </is>
      </c>
      <c r="B4735">
        <v>6.786915792678135e-07</v>
      </c>
      <c r="D4735" t="inlineStr">
        <is>
          <t>kilogram</t>
        </is>
      </c>
      <c r="E4735" t="inlineStr">
        <is>
          <t>air::urban air close to ground</t>
        </is>
      </c>
      <c r="F4735" t="inlineStr">
        <is>
          <t>biosphere</t>
        </is>
      </c>
      <c r="I4735">
        <v>0</v>
      </c>
    </row>
    <row r="4736">
      <c r="A4736" t="inlineStr">
        <is>
          <t>Formaldehyde</t>
        </is>
      </c>
      <c r="B4736">
        <v>1.4807816718010298e-07</v>
      </c>
      <c r="D4736" t="inlineStr">
        <is>
          <t>kilogram</t>
        </is>
      </c>
      <c r="E4736" t="inlineStr">
        <is>
          <t>air::urban air close to ground</t>
        </is>
      </c>
      <c r="F4736" t="inlineStr">
        <is>
          <t>biosphere</t>
        </is>
      </c>
      <c r="I4736">
        <v>0</v>
      </c>
    </row>
    <row r="4737">
      <c r="A4737" t="inlineStr">
        <is>
          <t>Nitrogen oxides</t>
        </is>
      </c>
      <c r="B4737">
        <v>1.6646759692298164e-05</v>
      </c>
      <c r="D4737" t="inlineStr">
        <is>
          <t>kilogram</t>
        </is>
      </c>
      <c r="E4737" t="inlineStr">
        <is>
          <t>air::urban air close to ground</t>
        </is>
      </c>
      <c r="F4737" t="inlineStr">
        <is>
          <t>biosphere</t>
        </is>
      </c>
      <c r="I4737">
        <v>0</v>
      </c>
    </row>
    <row r="4738">
      <c r="A4738" t="inlineStr">
        <is>
          <t>Formaldehyde</t>
        </is>
      </c>
      <c r="B4738">
        <v>3.198085755910623e-08</v>
      </c>
      <c r="D4738" t="inlineStr">
        <is>
          <t>kilogram</t>
        </is>
      </c>
      <c r="E4738" t="inlineStr">
        <is>
          <t>air::non-urban air or from high stacks</t>
        </is>
      </c>
      <c r="F4738" t="inlineStr">
        <is>
          <t>biosphere</t>
        </is>
      </c>
      <c r="I4738">
        <v>0</v>
      </c>
    </row>
    <row r="4739">
      <c r="A4739" t="inlineStr">
        <is>
          <t>Zinc II</t>
        </is>
      </c>
      <c r="B4739">
        <v>2.5737910759022457e-10</v>
      </c>
      <c r="D4739" t="inlineStr">
        <is>
          <t>kilogram</t>
        </is>
      </c>
      <c r="E4739" t="inlineStr">
        <is>
          <t>air::non-urban air or from high stacks</t>
        </is>
      </c>
      <c r="F4739" t="inlineStr">
        <is>
          <t>biosphere</t>
        </is>
      </c>
      <c r="I4739">
        <v>0</v>
      </c>
    </row>
    <row r="4740">
      <c r="A4740" t="inlineStr">
        <is>
          <t>Carbon monoxide, fossil</t>
        </is>
      </c>
      <c r="B4740">
        <v>1.4237602031170576e-05</v>
      </c>
      <c r="D4740" t="inlineStr">
        <is>
          <t>kilogram</t>
        </is>
      </c>
      <c r="E4740" t="inlineStr">
        <is>
          <t>air::urban air close to ground</t>
        </is>
      </c>
      <c r="F4740" t="inlineStr">
        <is>
          <t>biosphere</t>
        </is>
      </c>
      <c r="I4740">
        <v>0</v>
      </c>
    </row>
    <row r="4741">
      <c r="A4741" t="inlineStr">
        <is>
          <t>m-Xylene</t>
        </is>
      </c>
      <c r="B4741">
        <v>7.527306895116669e-09</v>
      </c>
      <c r="D4741" t="inlineStr">
        <is>
          <t>kilogram</t>
        </is>
      </c>
      <c r="E4741" t="inlineStr">
        <is>
          <t>air::urban air close to ground</t>
        </is>
      </c>
      <c r="F4741" t="inlineStr">
        <is>
          <t>biosphere</t>
        </is>
      </c>
      <c r="I4741">
        <v>0</v>
      </c>
    </row>
    <row r="4742">
      <c r="A4742" t="inlineStr">
        <is>
          <t>PAH, polycyclic aromatic hydrocarbons</t>
        </is>
      </c>
      <c r="B4742">
        <v>8.108362635164032e-10</v>
      </c>
      <c r="D4742" t="inlineStr">
        <is>
          <t>kilogram</t>
        </is>
      </c>
      <c r="E4742" t="inlineStr">
        <is>
          <t>air::non-urban air or from high stacks</t>
        </is>
      </c>
      <c r="F4742" t="inlineStr">
        <is>
          <t>biosphere</t>
        </is>
      </c>
      <c r="I4742">
        <v>0</v>
      </c>
    </row>
    <row r="4743">
      <c r="A4743" t="inlineStr">
        <is>
          <t>Particulate Matter, &lt; 2.5 um</t>
        </is>
      </c>
      <c r="B4743">
        <v>1.5058152272837298e-07</v>
      </c>
      <c r="D4743" t="inlineStr">
        <is>
          <t>kilogram</t>
        </is>
      </c>
      <c r="E4743" t="inlineStr">
        <is>
          <t>air::non-urban air or from high stacks</t>
        </is>
      </c>
      <c r="F4743" t="inlineStr">
        <is>
          <t>biosphere</t>
        </is>
      </c>
      <c r="I4743">
        <v>0</v>
      </c>
    </row>
    <row r="4744">
      <c r="A4744" t="inlineStr">
        <is>
          <t>Pentane</t>
        </is>
      </c>
      <c r="B4744">
        <v>1.0660286289332767e-10</v>
      </c>
      <c r="D4744" t="inlineStr">
        <is>
          <t>kilogram</t>
        </is>
      </c>
      <c r="E4744" t="inlineStr">
        <is>
          <t>air::non-urban air or from high stacks</t>
        </is>
      </c>
      <c r="F4744" t="inlineStr">
        <is>
          <t>biosphere</t>
        </is>
      </c>
      <c r="I4744">
        <v>0</v>
      </c>
    </row>
    <row r="4745">
      <c r="A4745" t="inlineStr">
        <is>
          <t>1,1,1,2-Tetrafluoroethane</t>
        </is>
      </c>
      <c r="B4745">
        <v>2.00956556691731e-06</v>
      </c>
      <c r="D4745" t="inlineStr">
        <is>
          <t>kilogram</t>
        </is>
      </c>
      <c r="E4745" t="inlineStr">
        <is>
          <t>air</t>
        </is>
      </c>
      <c r="F4745" t="inlineStr">
        <is>
          <t>biosphere</t>
        </is>
      </c>
      <c r="I4745">
        <v>0</v>
      </c>
    </row>
    <row r="4746">
      <c r="A4746" t="inlineStr">
        <is>
          <t>Acetaldehyde</t>
        </is>
      </c>
      <c r="B4746">
        <v>7.983881383537138e-08</v>
      </c>
      <c r="D4746" t="inlineStr">
        <is>
          <t>kilogram</t>
        </is>
      </c>
      <c r="E4746" t="inlineStr">
        <is>
          <t>air::urban air close to ground</t>
        </is>
      </c>
      <c r="F4746" t="inlineStr">
        <is>
          <t>biosphere</t>
        </is>
      </c>
      <c r="I4746">
        <v>0</v>
      </c>
    </row>
    <row r="4747">
      <c r="A4747" t="inlineStr">
        <is>
          <t>Benzene</t>
        </is>
      </c>
      <c r="B4747">
        <v>2.617468470906676e-08</v>
      </c>
      <c r="D4747" t="inlineStr">
        <is>
          <t>kilogram</t>
        </is>
      </c>
      <c r="E4747" t="inlineStr">
        <is>
          <t>air::urban air close to ground</t>
        </is>
      </c>
      <c r="F4747" t="inlineStr">
        <is>
          <t>biosphere</t>
        </is>
      </c>
      <c r="I4747">
        <v>0</v>
      </c>
    </row>
    <row r="4748">
      <c r="A4748" t="inlineStr">
        <is>
          <t>Mercury II</t>
        </is>
      </c>
      <c r="B4748">
        <v>4.74447939061248e-11</v>
      </c>
      <c r="D4748" t="inlineStr">
        <is>
          <t>kilogram</t>
        </is>
      </c>
      <c r="E4748" t="inlineStr">
        <is>
          <t>air::urban air close to ground</t>
        </is>
      </c>
      <c r="F4748" t="inlineStr">
        <is>
          <t>biosphere</t>
        </is>
      </c>
      <c r="I4748">
        <v>0</v>
      </c>
    </row>
    <row r="4749">
      <c r="A4749" t="inlineStr">
        <is>
          <t>Cadmium II</t>
        </is>
      </c>
      <c r="B4749">
        <v>4.4744682628565553e-13</v>
      </c>
      <c r="D4749" t="inlineStr">
        <is>
          <t>kilogram</t>
        </is>
      </c>
      <c r="E4749" t="inlineStr">
        <is>
          <t>air::urban air close to ground</t>
        </is>
      </c>
      <c r="F4749" t="inlineStr">
        <is>
          <t>biosphere</t>
        </is>
      </c>
      <c r="I4749">
        <v>0</v>
      </c>
    </row>
    <row r="4750">
      <c r="A4750" t="inlineStr">
        <is>
          <t>Propane</t>
        </is>
      </c>
      <c r="B4750">
        <v>2.9315788039353776e-10</v>
      </c>
      <c r="D4750" t="inlineStr">
        <is>
          <t>kilogram</t>
        </is>
      </c>
      <c r="E4750" t="inlineStr">
        <is>
          <t>air::non-urban air or from high stacks</t>
        </is>
      </c>
      <c r="F4750" t="inlineStr">
        <is>
          <t>biosphere</t>
        </is>
      </c>
      <c r="I4750">
        <v>0</v>
      </c>
    </row>
    <row r="4751">
      <c r="A4751" t="inlineStr">
        <is>
          <t>Chromium III</t>
        </is>
      </c>
      <c r="B4751">
        <v>1.2162544101483783e-10</v>
      </c>
      <c r="D4751" t="inlineStr">
        <is>
          <t>kilogram</t>
        </is>
      </c>
      <c r="E4751" t="inlineStr">
        <is>
          <t>air::non-urban air or from high stacks</t>
        </is>
      </c>
      <c r="F4751" t="inlineStr">
        <is>
          <t>biosphere</t>
        </is>
      </c>
      <c r="I4751">
        <v>0</v>
      </c>
    </row>
    <row r="4752">
      <c r="A4752" t="inlineStr">
        <is>
          <t>Acetone</t>
        </is>
      </c>
      <c r="B4752">
        <v>3.627915248219963e-08</v>
      </c>
      <c r="D4752" t="inlineStr">
        <is>
          <t>kilogram</t>
        </is>
      </c>
      <c r="E4752" t="inlineStr">
        <is>
          <t>air::urban air close to ground</t>
        </is>
      </c>
      <c r="F4752" t="inlineStr">
        <is>
          <t>biosphere</t>
        </is>
      </c>
      <c r="I4752">
        <v>0</v>
      </c>
    </row>
    <row r="4753">
      <c r="A4753" t="inlineStr">
        <is>
          <t>Acrolein</t>
        </is>
      </c>
      <c r="B4753">
        <v>4.4176654985650857e-08</v>
      </c>
      <c r="D4753" t="inlineStr">
        <is>
          <t>kilogram</t>
        </is>
      </c>
      <c r="E4753" t="inlineStr">
        <is>
          <t>air::urban air close to ground</t>
        </is>
      </c>
      <c r="F4753" t="inlineStr">
        <is>
          <t>biosphere</t>
        </is>
      </c>
      <c r="I4753">
        <v>0</v>
      </c>
    </row>
    <row r="4754">
      <c r="A4754" t="inlineStr">
        <is>
          <t>Benzaldehyde</t>
        </is>
      </c>
      <c r="B4754">
        <v>1.061226839406165e-08</v>
      </c>
      <c r="D4754" t="inlineStr">
        <is>
          <t>kilogram</t>
        </is>
      </c>
      <c r="E4754" t="inlineStr">
        <is>
          <t>air::urban air close to ground</t>
        </is>
      </c>
      <c r="F4754" t="inlineStr">
        <is>
          <t>biosphere</t>
        </is>
      </c>
      <c r="I4754">
        <v>0</v>
      </c>
    </row>
    <row r="4755">
      <c r="A4755" t="inlineStr">
        <is>
          <t>Cyclohexane</t>
        </is>
      </c>
      <c r="B4755">
        <v>8.020901039562743e-09</v>
      </c>
      <c r="D4755" t="inlineStr">
        <is>
          <t>kilogram</t>
        </is>
      </c>
      <c r="E4755" t="inlineStr">
        <is>
          <t>air::urban air close to ground</t>
        </is>
      </c>
      <c r="F4755" t="inlineStr">
        <is>
          <t>biosphere</t>
        </is>
      </c>
      <c r="I4755">
        <v>0</v>
      </c>
    </row>
    <row r="4756">
      <c r="A4756" t="inlineStr">
        <is>
          <t>Heptane</t>
        </is>
      </c>
      <c r="B4756">
        <v>2.4679695323285083e-09</v>
      </c>
      <c r="D4756" t="inlineStr">
        <is>
          <t>kilogram</t>
        </is>
      </c>
      <c r="E4756" t="inlineStr">
        <is>
          <t>air::urban air close to ground</t>
        </is>
      </c>
      <c r="F4756" t="inlineStr">
        <is>
          <t>biosphere</t>
        </is>
      </c>
      <c r="I4756">
        <v>0</v>
      </c>
    </row>
    <row r="4757">
      <c r="A4757" t="inlineStr">
        <is>
          <t>Methyl ethyl ketone</t>
        </is>
      </c>
      <c r="B4757">
        <v>1.4807816718010298e-08</v>
      </c>
      <c r="D4757" t="inlineStr">
        <is>
          <t>kilogram</t>
        </is>
      </c>
      <c r="E4757" t="inlineStr">
        <is>
          <t>air::urban air close to ground</t>
        </is>
      </c>
      <c r="F4757" t="inlineStr">
        <is>
          <t>biosphere</t>
        </is>
      </c>
      <c r="I4757">
        <v>0</v>
      </c>
    </row>
    <row r="4758">
      <c r="A4758" t="inlineStr">
        <is>
          <t>o-Xylene</t>
        </is>
      </c>
      <c r="B4758">
        <v>3.331758809148392e-09</v>
      </c>
      <c r="D4758" t="inlineStr">
        <is>
          <t>kilogram</t>
        </is>
      </c>
      <c r="E4758" t="inlineStr">
        <is>
          <t>air::urban air close to ground</t>
        </is>
      </c>
      <c r="F4758" t="inlineStr">
        <is>
          <t>biosphere</t>
        </is>
      </c>
      <c r="I4758">
        <v>0</v>
      </c>
    </row>
    <row r="4759">
      <c r="A4759" t="inlineStr">
        <is>
          <t>Propylene</t>
        </is>
      </c>
      <c r="B4759">
        <v>4.4423450154030895e-08</v>
      </c>
      <c r="D4759" t="inlineStr">
        <is>
          <t>kilogram</t>
        </is>
      </c>
      <c r="E4759" t="inlineStr">
        <is>
          <t>air::urban air close to ground</t>
        </is>
      </c>
      <c r="F4759" t="inlineStr">
        <is>
          <t>biosphere</t>
        </is>
      </c>
      <c r="I4759">
        <v>0</v>
      </c>
    </row>
    <row r="4760">
      <c r="A4760" t="inlineStr">
        <is>
          <t>Selenium IV</t>
        </is>
      </c>
      <c r="B4760">
        <v>8.98750956554421e-13</v>
      </c>
      <c r="D4760" t="inlineStr">
        <is>
          <t>kilogram</t>
        </is>
      </c>
      <c r="E4760" t="inlineStr">
        <is>
          <t>air::urban air close to ground</t>
        </is>
      </c>
      <c r="F4760" t="inlineStr">
        <is>
          <t>biosphere</t>
        </is>
      </c>
      <c r="I4760">
        <v>0</v>
      </c>
    </row>
    <row r="4761">
      <c r="A4761" t="inlineStr">
        <is>
          <t>Styrene</t>
        </is>
      </c>
      <c r="B4761">
        <v>4.5657434563224585e-09</v>
      </c>
      <c r="D4761" t="inlineStr">
        <is>
          <t>kilogram</t>
        </is>
      </c>
      <c r="E4761" t="inlineStr">
        <is>
          <t>air::urban air close to ground</t>
        </is>
      </c>
      <c r="F4761" t="inlineStr">
        <is>
          <t>biosphere</t>
        </is>
      </c>
      <c r="I4761">
        <v>0</v>
      </c>
    </row>
    <row r="4762">
      <c r="A4762" t="inlineStr">
        <is>
          <t>Acetaldehyde</t>
        </is>
      </c>
      <c r="B4762">
        <v>1.7243010879114162e-08</v>
      </c>
      <c r="D4762" t="inlineStr">
        <is>
          <t>kilogram</t>
        </is>
      </c>
      <c r="E4762" t="inlineStr">
        <is>
          <t>air::non-urban air or from high stacks</t>
        </is>
      </c>
      <c r="F4762" t="inlineStr">
        <is>
          <t>biosphere</t>
        </is>
      </c>
      <c r="I4762">
        <v>0</v>
      </c>
    </row>
    <row r="4763">
      <c r="A4763" t="inlineStr">
        <is>
          <t>Acetone</t>
        </is>
      </c>
      <c r="B4763">
        <v>7.835309664097135e-09</v>
      </c>
      <c r="D4763" t="inlineStr">
        <is>
          <t>kilogram</t>
        </is>
      </c>
      <c r="E4763" t="inlineStr">
        <is>
          <t>air::non-urban air or from high stacks</t>
        </is>
      </c>
      <c r="F4763" t="inlineStr">
        <is>
          <t>biosphere</t>
        </is>
      </c>
      <c r="I4763">
        <v>0</v>
      </c>
    </row>
    <row r="4764">
      <c r="A4764" t="inlineStr">
        <is>
          <t>Acrolein</t>
        </is>
      </c>
      <c r="B4764">
        <v>9.540955946351132e-09</v>
      </c>
      <c r="D4764" t="inlineStr">
        <is>
          <t>kilogram</t>
        </is>
      </c>
      <c r="E4764" t="inlineStr">
        <is>
          <t>air::non-urban air or from high stacks</t>
        </is>
      </c>
      <c r="F4764" t="inlineStr">
        <is>
          <t>biosphere</t>
        </is>
      </c>
      <c r="I4764">
        <v>0</v>
      </c>
    </row>
    <row r="4765">
      <c r="A4765" t="inlineStr">
        <is>
          <t>Benzaldehyde</t>
        </is>
      </c>
      <c r="B4765">
        <v>2.291961388595036e-09</v>
      </c>
      <c r="D4765" t="inlineStr">
        <is>
          <t>kilogram</t>
        </is>
      </c>
      <c r="E4765" t="inlineStr">
        <is>
          <t>air::non-urban air or from high stacks</t>
        </is>
      </c>
      <c r="F4765" t="inlineStr">
        <is>
          <t>biosphere</t>
        </is>
      </c>
      <c r="I4765">
        <v>0</v>
      </c>
    </row>
    <row r="4766">
      <c r="A4766" t="inlineStr">
        <is>
          <t>Cyclohexane</t>
        </is>
      </c>
      <c r="B4766">
        <v>1.7322965145796874e-09</v>
      </c>
      <c r="D4766" t="inlineStr">
        <is>
          <t>kilogram</t>
        </is>
      </c>
      <c r="E4766" t="inlineStr">
        <is>
          <t>air::non-urban air or from high stacks</t>
        </is>
      </c>
      <c r="F4766" t="inlineStr">
        <is>
          <t>biosphere</t>
        </is>
      </c>
      <c r="I4766">
        <v>0</v>
      </c>
    </row>
    <row r="4767">
      <c r="A4767" t="inlineStr">
        <is>
          <t>Heptane</t>
        </is>
      </c>
      <c r="B4767">
        <v>5.330142847190914e-10</v>
      </c>
      <c r="D4767" t="inlineStr">
        <is>
          <t>kilogram</t>
        </is>
      </c>
      <c r="E4767" t="inlineStr">
        <is>
          <t>air::non-urban air or from high stacks</t>
        </is>
      </c>
      <c r="F4767" t="inlineStr">
        <is>
          <t>biosphere</t>
        </is>
      </c>
      <c r="I4767">
        <v>0</v>
      </c>
    </row>
    <row r="4768">
      <c r="A4768" t="inlineStr">
        <is>
          <t>Methyl ethyl ketone</t>
        </is>
      </c>
      <c r="B4768">
        <v>3.198085708314548e-09</v>
      </c>
      <c r="D4768" t="inlineStr">
        <is>
          <t>kilogram</t>
        </is>
      </c>
      <c r="E4768" t="inlineStr">
        <is>
          <t>air::non-urban air or from high stacks</t>
        </is>
      </c>
      <c r="F4768" t="inlineStr">
        <is>
          <t>biosphere</t>
        </is>
      </c>
      <c r="I4768">
        <v>0</v>
      </c>
    </row>
    <row r="4769">
      <c r="A4769" t="inlineStr">
        <is>
          <t>m-Xylene</t>
        </is>
      </c>
      <c r="B4769">
        <v>1.6256935624437191e-09</v>
      </c>
      <c r="D4769" t="inlineStr">
        <is>
          <t>kilogram</t>
        </is>
      </c>
      <c r="E4769" t="inlineStr">
        <is>
          <t>air::non-urban air or from high stacks</t>
        </is>
      </c>
      <c r="F4769" t="inlineStr">
        <is>
          <t>biosphere</t>
        </is>
      </c>
      <c r="I4769">
        <v>0</v>
      </c>
    </row>
    <row r="4770">
      <c r="A4770" t="inlineStr">
        <is>
          <t>o-Xylene</t>
        </is>
      </c>
      <c r="B4770">
        <v>7.195693022193013e-10</v>
      </c>
      <c r="D4770" t="inlineStr">
        <is>
          <t>kilogram</t>
        </is>
      </c>
      <c r="E4770" t="inlineStr">
        <is>
          <t>air::non-urban air or from high stacks</t>
        </is>
      </c>
      <c r="F4770" t="inlineStr">
        <is>
          <t>biosphere</t>
        </is>
      </c>
      <c r="I4770">
        <v>0</v>
      </c>
    </row>
    <row r="4771">
      <c r="A4771" t="inlineStr">
        <is>
          <t>Styrene</t>
        </is>
      </c>
      <c r="B4771">
        <v>9.86076444578847e-10</v>
      </c>
      <c r="D4771" t="inlineStr">
        <is>
          <t>kilogram</t>
        </is>
      </c>
      <c r="E4771" t="inlineStr">
        <is>
          <t>air::non-urban air or from high stacks</t>
        </is>
      </c>
      <c r="F4771" t="inlineStr">
        <is>
          <t>biosphere</t>
        </is>
      </c>
      <c r="I4771">
        <v>0</v>
      </c>
    </row>
    <row r="4772">
      <c r="A4772" t="inlineStr">
        <is>
          <t>Ethylene</t>
        </is>
      </c>
      <c r="B4772">
        <v>1.3536812652791e-07</v>
      </c>
      <c r="D4772" t="inlineStr">
        <is>
          <t>kilogram</t>
        </is>
      </c>
      <c r="E4772" t="inlineStr">
        <is>
          <t>air::urban air close to ground</t>
        </is>
      </c>
      <c r="F4772" t="inlineStr">
        <is>
          <t>biosphere</t>
        </is>
      </c>
      <c r="I4772">
        <v>0</v>
      </c>
    </row>
    <row r="4773">
      <c r="A4773" t="inlineStr">
        <is>
          <t>Ethylene</t>
        </is>
      </c>
      <c r="B4773">
        <v>2.923583389166125e-08</v>
      </c>
      <c r="D4773" t="inlineStr">
        <is>
          <t>kilogram</t>
        </is>
      </c>
      <c r="E4773" t="inlineStr">
        <is>
          <t>air::non-urban air or from high stacks</t>
        </is>
      </c>
      <c r="F4773" t="inlineStr">
        <is>
          <t>biosphere</t>
        </is>
      </c>
      <c r="I4773">
        <v>0</v>
      </c>
    </row>
    <row r="4774">
      <c r="A4774" t="inlineStr">
        <is>
          <t>market for internal combustion engine, passenger car</t>
        </is>
      </c>
      <c r="B4774">
        <v>0.0007866161325923368</v>
      </c>
      <c r="C4774" t="inlineStr">
        <is>
          <t>GLO</t>
        </is>
      </c>
      <c r="D4774" t="inlineStr">
        <is>
          <t>kilogram</t>
        </is>
      </c>
      <c r="F4774" t="inlineStr">
        <is>
          <t>technosphere</t>
        </is>
      </c>
      <c r="G4774" t="inlineStr">
        <is>
          <t>internal combustion engine, passenger car</t>
        </is>
      </c>
      <c r="H4774" t="inlineStr">
        <is>
          <t> Energy-use allocation: 293.5769348144531 * 4.999999873689376e-06 / 1.866074920371751 MJ per kilometer.</t>
        </is>
      </c>
      <c r="I4774">
        <v>0</v>
      </c>
    </row>
    <row r="4775">
      <c r="A4775" t="inlineStr">
        <is>
          <t>market for waste plastic, industrial electronics</t>
        </is>
      </c>
      <c r="B4775">
        <v>-0.00013127930051786527</v>
      </c>
      <c r="C4775" t="inlineStr">
        <is>
          <t>CH</t>
        </is>
      </c>
      <c r="D4775" t="inlineStr">
        <is>
          <t>kilogram</t>
        </is>
      </c>
      <c r="F4775" t="inlineStr">
        <is>
          <t>technosphere</t>
        </is>
      </c>
      <c r="G4775" t="inlineStr">
        <is>
          <t>waste plastic, industrial electronics</t>
        </is>
      </c>
      <c r="H4775" t="inlineStr">
        <is>
          <t> Energy-use allocation: -48.99540328979492 * 4.999999873689376e-06 / 1.866074920371751 MJ per kilometer.</t>
        </is>
      </c>
      <c r="I4775">
        <v>0</v>
      </c>
    </row>
    <row r="4776">
      <c r="A4776" t="inlineStr">
        <is>
          <t>polyethylene production, high density, granulate</t>
        </is>
      </c>
      <c r="B4776">
        <v>0.00013127930051786527</v>
      </c>
      <c r="C4776" t="inlineStr">
        <is>
          <t>RER</t>
        </is>
      </c>
      <c r="D4776" t="inlineStr">
        <is>
          <t>kilogram</t>
        </is>
      </c>
      <c r="F4776" t="inlineStr">
        <is>
          <t>technosphere</t>
        </is>
      </c>
      <c r="G4776" t="inlineStr">
        <is>
          <t>polyethylene, high density, granulate</t>
        </is>
      </c>
      <c r="H4776" t="inlineStr">
        <is>
          <t> Energy-use allocation: 48.99540328979492 * 4.999999873689376e-06 / 1.866074920371751 MJ per kilometer.</t>
        </is>
      </c>
      <c r="I4776">
        <v>0</v>
      </c>
    </row>
    <row r="4777">
      <c r="A4777" t="inlineStr">
        <is>
          <t>Carbon dioxide, non-fossil</t>
        </is>
      </c>
      <c r="B4777">
        <v>0.0732</v>
      </c>
      <c r="D4777" t="inlineStr">
        <is>
          <t>kilogram</t>
        </is>
      </c>
      <c r="E4777" t="inlineStr">
        <is>
          <t>air::urban air close to ground</t>
        </is>
      </c>
      <c r="F4777" t="inlineStr">
        <is>
          <t>biosphere</t>
        </is>
      </c>
      <c r="I4777">
        <v>0</v>
      </c>
    </row>
    <row r="4778"/>
    <row r="4779">
      <c r="A4779" t="inlineStr">
        <is>
          <t>Activity</t>
        </is>
      </c>
      <c r="B4779" t="inlineStr">
        <is>
          <t>petrol, burned in passenger car</t>
        </is>
      </c>
    </row>
    <row r="4780">
      <c r="A4780" t="inlineStr">
        <is>
          <t>location</t>
        </is>
      </c>
      <c r="B4780" t="inlineStr">
        <is>
          <t>RER</t>
        </is>
      </c>
    </row>
    <row r="4781">
      <c r="A4781" t="inlineStr">
        <is>
          <t>production amount</t>
        </is>
      </c>
      <c r="B4781">
        <v>1</v>
      </c>
    </row>
    <row r="4782">
      <c r="A4782" t="inlineStr">
        <is>
          <t>reference product</t>
        </is>
      </c>
      <c r="B4782" t="inlineStr">
        <is>
          <t>heat</t>
        </is>
      </c>
    </row>
    <row r="4783">
      <c r="A4783" t="inlineStr">
        <is>
          <t>type</t>
        </is>
      </c>
      <c r="B4783" t="inlineStr">
        <is>
          <t>process</t>
        </is>
      </c>
    </row>
    <row r="4784">
      <c r="A4784" t="inlineStr">
        <is>
          <t>unit</t>
        </is>
      </c>
      <c r="B4784" t="inlineStr">
        <is>
          <t>megajoule</t>
        </is>
      </c>
    </row>
    <row r="4785">
      <c r="A4785" t="inlineStr">
        <is>
          <t>Power, mean</t>
        </is>
      </c>
      <c r="B4785">
        <v>126</v>
      </c>
    </row>
    <row r="4786">
      <c r="A4786" t="inlineStr">
        <is>
          <t>Power, min</t>
        </is>
      </c>
      <c r="B4786">
        <v>54</v>
      </c>
    </row>
    <row r="4787">
      <c r="A4787" t="inlineStr">
        <is>
          <t>Power, max</t>
        </is>
      </c>
      <c r="B4787">
        <v>158</v>
      </c>
    </row>
    <row r="4788">
      <c r="A4788" t="inlineStr">
        <is>
          <t>Lifetime, mean</t>
        </is>
      </c>
      <c r="B4788">
        <v>200000</v>
      </c>
    </row>
    <row r="4789">
      <c r="A4789" t="inlineStr">
        <is>
          <t>Lifetime, min</t>
        </is>
      </c>
      <c r="B4789">
        <v>160000</v>
      </c>
    </row>
    <row r="4790">
      <c r="A4790" t="inlineStr">
        <is>
          <t>Lifetime, max</t>
        </is>
      </c>
      <c r="B4790">
        <v>250000</v>
      </c>
    </row>
    <row r="4791">
      <c r="A4791" t="inlineStr">
        <is>
          <t>Energy use, mean</t>
        </is>
      </c>
      <c r="B4791">
        <v>2330</v>
      </c>
    </row>
    <row r="4792">
      <c r="A4792" t="inlineStr">
        <is>
          <t>Energy use, min</t>
        </is>
      </c>
      <c r="B4792">
        <v>1530</v>
      </c>
    </row>
    <row r="4793">
      <c r="A4793" t="inlineStr">
        <is>
          <t>Energy use, max</t>
        </is>
      </c>
      <c r="B4793">
        <v>3000</v>
      </c>
    </row>
    <row r="4794">
      <c r="A4794" t="inlineStr">
        <is>
          <t>Electric motor, mean</t>
        </is>
      </c>
      <c r="B4794">
        <v>0</v>
      </c>
    </row>
    <row r="4795">
      <c r="A4795" t="inlineStr">
        <is>
          <t>Electric motor, min</t>
        </is>
      </c>
      <c r="B4795">
        <v>0</v>
      </c>
    </row>
    <row r="4796">
      <c r="A4796" t="inlineStr">
        <is>
          <t>Electric motor, max</t>
        </is>
      </c>
      <c r="B4796">
        <v>0</v>
      </c>
    </row>
    <row r="4797">
      <c r="A4797" t="inlineStr">
        <is>
          <t>Combustion engine, mean</t>
        </is>
      </c>
      <c r="B4797">
        <v>146</v>
      </c>
    </row>
    <row r="4798">
      <c r="A4798" t="inlineStr">
        <is>
          <t>Combustion engine, min</t>
        </is>
      </c>
      <c r="B4798">
        <v>96</v>
      </c>
    </row>
    <row r="4799">
      <c r="A4799" t="inlineStr">
        <is>
          <t>Combustion engine, max</t>
        </is>
      </c>
      <c r="B4799">
        <v>168</v>
      </c>
    </row>
    <row r="4800">
      <c r="A4800" t="inlineStr">
        <is>
          <t>Fuel tank, mean</t>
        </is>
      </c>
      <c r="B4800">
        <v>48</v>
      </c>
    </row>
    <row r="4801">
      <c r="A4801" t="inlineStr">
        <is>
          <t>Fuel tank, min</t>
        </is>
      </c>
      <c r="B4801">
        <v>30</v>
      </c>
    </row>
    <row r="4802">
      <c r="A4802" t="inlineStr">
        <is>
          <t>Fuel tank, max</t>
        </is>
      </c>
      <c r="B4802">
        <v>48</v>
      </c>
    </row>
    <row r="4803">
      <c r="A4803" t="inlineStr">
        <is>
          <t>Battery capacity, mean</t>
        </is>
      </c>
      <c r="B4803">
        <v>0</v>
      </c>
    </row>
    <row r="4804">
      <c r="A4804" t="inlineStr">
        <is>
          <t>Battery capacity, min</t>
        </is>
      </c>
      <c r="B4804">
        <v>0</v>
      </c>
    </row>
    <row r="4805">
      <c r="A4805" t="inlineStr">
        <is>
          <t>Battery capacity, max</t>
        </is>
      </c>
      <c r="B4805">
        <v>0</v>
      </c>
    </row>
    <row r="4806">
      <c r="A4806" t="inlineStr">
        <is>
          <t>Battery replacement, mean</t>
        </is>
      </c>
      <c r="B4806">
        <v>0</v>
      </c>
    </row>
    <row r="4807">
      <c r="A4807" t="inlineStr">
        <is>
          <t>Battery replacement, min</t>
        </is>
      </c>
      <c r="B4807">
        <v>0</v>
      </c>
    </row>
    <row r="4808">
      <c r="A4808" t="inlineStr">
        <is>
          <t>Battery replacement, max</t>
        </is>
      </c>
      <c r="B4808">
        <v>0</v>
      </c>
    </row>
    <row r="4809">
      <c r="A4809" t="inlineStr">
        <is>
          <t>Fuel cell system, mean</t>
        </is>
      </c>
      <c r="B4809">
        <v>0</v>
      </c>
    </row>
    <row r="4810">
      <c r="A4810" t="inlineStr">
        <is>
          <t>Fuel cell system, min</t>
        </is>
      </c>
      <c r="B4810">
        <v>0</v>
      </c>
    </row>
    <row r="4811">
      <c r="A4811" t="inlineStr">
        <is>
          <t>Fuel cell system, max</t>
        </is>
      </c>
      <c r="B4811">
        <v>0</v>
      </c>
    </row>
    <row r="4812">
      <c r="A4812" t="inlineStr">
        <is>
          <t>Fuel cell stack replacement, mean</t>
        </is>
      </c>
      <c r="B4812">
        <v>0</v>
      </c>
    </row>
    <row r="4813">
      <c r="A4813" t="inlineStr">
        <is>
          <t>Fuel cell replacement, min</t>
        </is>
      </c>
      <c r="B4813">
        <v>0</v>
      </c>
    </row>
    <row r="4814">
      <c r="A4814" t="inlineStr">
        <is>
          <t>Fuel cell replacement, max</t>
        </is>
      </c>
      <c r="B4814">
        <v>0</v>
      </c>
    </row>
    <row r="4815">
      <c r="A4815" t="inlineStr">
        <is>
          <t>Onboard charger mass</t>
        </is>
      </c>
      <c r="B4815">
        <v>0</v>
      </c>
    </row>
    <row r="4816">
      <c r="A4816" t="inlineStr">
        <is>
          <t>Controller mass</t>
        </is>
      </c>
      <c r="B4816">
        <v>0</v>
      </c>
    </row>
    <row r="4817">
      <c r="A4817" t="inlineStr">
        <is>
          <t>Converter mass</t>
        </is>
      </c>
      <c r="B4817">
        <v>0</v>
      </c>
    </row>
    <row r="4818">
      <c r="A4818" t="inlineStr">
        <is>
          <t>Electrical powertrain mass</t>
        </is>
      </c>
      <c r="B4818">
        <v>0</v>
      </c>
    </row>
    <row r="4819">
      <c r="A4819" t="inlineStr">
        <is>
          <t>Inverter mass</t>
        </is>
      </c>
      <c r="B4819">
        <v>0</v>
      </c>
    </row>
    <row r="4820">
      <c r="A4820" t="inlineStr">
        <is>
          <t>NOx</t>
        </is>
      </c>
      <c r="B4820">
        <v>0.03</v>
      </c>
    </row>
    <row r="4821">
      <c r="A4821" t="inlineStr">
        <is>
          <t>PM 2.5</t>
        </is>
      </c>
      <c r="B4821">
        <v>0.000143099</v>
      </c>
    </row>
    <row r="4822">
      <c r="A4822" t="inlineStr">
        <is>
          <t>energy use source</t>
        </is>
      </c>
      <c r="B4822"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4823">
      <c r="A4823" t="inlineStr">
        <is>
          <t>comment</t>
        </is>
      </c>
      <c r="B4823"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824">
      <c r="A4824" t="inlineStr">
        <is>
          <t>Exchanges</t>
        </is>
      </c>
    </row>
    <row r="4825">
      <c r="A4825" t="inlineStr">
        <is>
          <t>name</t>
        </is>
      </c>
      <c r="B4825" t="inlineStr">
        <is>
          <t>amount</t>
        </is>
      </c>
      <c r="C4825" t="inlineStr">
        <is>
          <t>location</t>
        </is>
      </c>
      <c r="D4825" t="inlineStr">
        <is>
          <t>unit</t>
        </is>
      </c>
      <c r="E4825" t="inlineStr">
        <is>
          <t>categories</t>
        </is>
      </c>
      <c r="F4825" t="inlineStr">
        <is>
          <t>type</t>
        </is>
      </c>
      <c r="G4825" t="inlineStr">
        <is>
          <t>reference product</t>
        </is>
      </c>
      <c r="H4825" t="inlineStr">
        <is>
          <t>comment</t>
        </is>
      </c>
      <c r="I4825" t="inlineStr">
        <is>
          <t>uncertainty type</t>
        </is>
      </c>
    </row>
    <row r="4826">
      <c r="A4826" t="inlineStr">
        <is>
          <t>petrol, burned in passenger car</t>
        </is>
      </c>
      <c r="B4826">
        <v>1.0</v>
      </c>
      <c r="C4826" t="inlineStr">
        <is>
          <t>RER</t>
        </is>
      </c>
      <c r="D4826" t="inlineStr">
        <is>
          <t>megajoule</t>
        </is>
      </c>
      <c r="F4826" t="inlineStr">
        <is>
          <t>production</t>
        </is>
      </c>
      <c r="G4826" t="inlineStr">
        <is>
          <t>heat</t>
        </is>
      </c>
      <c r="I4826">
        <v>0</v>
      </c>
    </row>
    <row r="4827">
      <c r="A4827" t="inlineStr">
        <is>
          <t>market for petrol, low-sulfur</t>
        </is>
      </c>
      <c r="B4827">
        <v>0.023474178403755867</v>
      </c>
      <c r="C4827" t="inlineStr">
        <is>
          <t>Europe without Switzerland</t>
        </is>
      </c>
      <c r="D4827" t="inlineStr">
        <is>
          <t>kilogram</t>
        </is>
      </c>
      <c r="F4827" t="inlineStr">
        <is>
          <t>technosphere</t>
        </is>
      </c>
      <c r="G4827" t="inlineStr">
        <is>
          <t>petrol, low-sulfur</t>
        </is>
      </c>
      <c r="H4827" t="inlineStr">
        <is>
          <t>Default carculator fuel energy preserved (2.70629967951 MJ/vkm); premise reference LHV 42.6 MJ/kg. Regional scenario blend belongs to premise.</t>
        </is>
      </c>
      <c r="I4827">
        <v>0</v>
      </c>
    </row>
    <row r="4828">
      <c r="A4828" t="inlineStr">
        <is>
          <t>treatment of brake wear emissions, passenger car</t>
        </is>
      </c>
      <c r="B4828">
        <v>-5.438002312680902e-06</v>
      </c>
      <c r="C4828" t="inlineStr">
        <is>
          <t>RER</t>
        </is>
      </c>
      <c r="D4828" t="inlineStr">
        <is>
          <t>kilogram</t>
        </is>
      </c>
      <c r="F4828" t="inlineStr">
        <is>
          <t>technosphere</t>
        </is>
      </c>
      <c r="G4828" t="inlineStr">
        <is>
          <t>brake wear emissions, passenger car</t>
        </is>
      </c>
      <c r="I4828">
        <v>0</v>
      </c>
    </row>
    <row r="4829">
      <c r="A4829" t="inlineStr">
        <is>
          <t>treatment of road wear emissions, passenger car</t>
        </is>
      </c>
      <c r="B4829">
        <v>-6.242977641245232e-06</v>
      </c>
      <c r="C4829" t="inlineStr">
        <is>
          <t>RER</t>
        </is>
      </c>
      <c r="D4829" t="inlineStr">
        <is>
          <t>kilogram</t>
        </is>
      </c>
      <c r="F4829" t="inlineStr">
        <is>
          <t>technosphere</t>
        </is>
      </c>
      <c r="G4829" t="inlineStr">
        <is>
          <t>road wear emissions, passenger car</t>
        </is>
      </c>
      <c r="I4829">
        <v>0</v>
      </c>
    </row>
    <row r="4830">
      <c r="A4830" t="inlineStr">
        <is>
          <t>treatment of tyre wear emissions, passenger car</t>
        </is>
      </c>
      <c r="B4830">
        <v>-7.228598070295418e-06</v>
      </c>
      <c r="C4830" t="inlineStr">
        <is>
          <t>RER</t>
        </is>
      </c>
      <c r="D4830" t="inlineStr">
        <is>
          <t>kilogram</t>
        </is>
      </c>
      <c r="F4830" t="inlineStr">
        <is>
          <t>technosphere</t>
        </is>
      </c>
      <c r="G4830" t="inlineStr">
        <is>
          <t>tyre wear emissions, passenger car</t>
        </is>
      </c>
      <c r="I4830">
        <v>0</v>
      </c>
    </row>
    <row r="4831">
      <c r="A4831" t="inlineStr">
        <is>
          <t>market for tetrafluoroethane, R134a</t>
        </is>
      </c>
      <c r="B4831">
        <v>2.4018034573062128e-06</v>
      </c>
      <c r="C4831" t="inlineStr">
        <is>
          <t>GLO</t>
        </is>
      </c>
      <c r="D4831" t="inlineStr">
        <is>
          <t>kilogram</t>
        </is>
      </c>
      <c r="F4831" t="inlineStr">
        <is>
          <t>technosphere</t>
        </is>
      </c>
      <c r="G4831" t="inlineStr">
        <is>
          <t>tetrafluoroethane, R134a</t>
        </is>
      </c>
      <c r="I4831">
        <v>0</v>
      </c>
    </row>
    <row r="4832">
      <c r="A4832" t="inlineStr">
        <is>
          <t>Toluene</t>
        </is>
      </c>
      <c r="B4832">
        <v>8.485774790285088e-08</v>
      </c>
      <c r="D4832" t="inlineStr">
        <is>
          <t>kilogram</t>
        </is>
      </c>
      <c r="E4832" t="inlineStr">
        <is>
          <t>air::non-urban air or from high stacks</t>
        </is>
      </c>
      <c r="F4832" t="inlineStr">
        <is>
          <t>biosphere</t>
        </is>
      </c>
      <c r="I4832">
        <v>0</v>
      </c>
    </row>
    <row r="4833">
      <c r="A4833" t="inlineStr">
        <is>
          <t>NMVOC, non-methane volatile organic compounds</t>
        </is>
      </c>
      <c r="B4833">
        <v>3.1778359610804548e-06</v>
      </c>
      <c r="D4833" t="inlineStr">
        <is>
          <t>kilogram</t>
        </is>
      </c>
      <c r="E4833" t="inlineStr">
        <is>
          <t>air::non-urban air or from high stacks</t>
        </is>
      </c>
      <c r="F4833" t="inlineStr">
        <is>
          <t>biosphere</t>
        </is>
      </c>
      <c r="I4833">
        <v>0</v>
      </c>
    </row>
    <row r="4834">
      <c r="A4834" t="inlineStr">
        <is>
          <t>Dinitrogen monoxide</t>
        </is>
      </c>
      <c r="B4834">
        <v>4.674883409401355e-08</v>
      </c>
      <c r="D4834" t="inlineStr">
        <is>
          <t>kilogram</t>
        </is>
      </c>
      <c r="E4834" t="inlineStr">
        <is>
          <t>air::non-urban air or from high stacks</t>
        </is>
      </c>
      <c r="F4834" t="inlineStr">
        <is>
          <t>biosphere</t>
        </is>
      </c>
      <c r="I4834">
        <v>0</v>
      </c>
    </row>
    <row r="4835">
      <c r="A4835" t="inlineStr">
        <is>
          <t>Ethane</t>
        </is>
      </c>
      <c r="B4835">
        <v>6.178202979323652e-07</v>
      </c>
      <c r="D4835" t="inlineStr">
        <is>
          <t>kilogram</t>
        </is>
      </c>
      <c r="E4835" t="inlineStr">
        <is>
          <t>air::urban air close to ground</t>
        </is>
      </c>
      <c r="F4835" t="inlineStr">
        <is>
          <t>biosphere</t>
        </is>
      </c>
      <c r="I4835">
        <v>0</v>
      </c>
    </row>
    <row r="4836">
      <c r="A4836" t="inlineStr">
        <is>
          <t>Pentane</t>
        </is>
      </c>
      <c r="B4836">
        <v>4.2475143382439017e-07</v>
      </c>
      <c r="D4836" t="inlineStr">
        <is>
          <t>kilogram</t>
        </is>
      </c>
      <c r="E4836" t="inlineStr">
        <is>
          <t>air::urban air close to ground</t>
        </is>
      </c>
      <c r="F4836" t="inlineStr">
        <is>
          <t>biosphere</t>
        </is>
      </c>
      <c r="I4836">
        <v>0</v>
      </c>
    </row>
    <row r="4837">
      <c r="A4837" t="inlineStr">
        <is>
          <t>Selenium IV</t>
        </is>
      </c>
      <c r="B4837">
        <v>2.6658564722165628e-12</v>
      </c>
      <c r="D4837" t="inlineStr">
        <is>
          <t>kilogram</t>
        </is>
      </c>
      <c r="E4837" t="inlineStr">
        <is>
          <t>air::non-urban air or from high stacks</t>
        </is>
      </c>
      <c r="F4837" t="inlineStr">
        <is>
          <t>biosphere</t>
        </is>
      </c>
      <c r="I4837">
        <v>0</v>
      </c>
    </row>
    <row r="4838">
      <c r="A4838" t="inlineStr">
        <is>
          <t>Arsenic ion</t>
        </is>
      </c>
      <c r="B4838">
        <v>4.001626718125109e-12</v>
      </c>
      <c r="D4838" t="inlineStr">
        <is>
          <t>kilogram</t>
        </is>
      </c>
      <c r="E4838" t="inlineStr">
        <is>
          <t>air::non-urban air or from high stacks</t>
        </is>
      </c>
      <c r="F4838" t="inlineStr">
        <is>
          <t>biosphere</t>
        </is>
      </c>
      <c r="I4838">
        <v>0</v>
      </c>
    </row>
    <row r="4839">
      <c r="A4839" t="inlineStr">
        <is>
          <t>Arsenic ion</t>
        </is>
      </c>
      <c r="B4839">
        <v>3.038373047003884e-12</v>
      </c>
      <c r="D4839" t="inlineStr">
        <is>
          <t>kilogram</t>
        </is>
      </c>
      <c r="E4839" t="inlineStr">
        <is>
          <t>air::urban air close to ground</t>
        </is>
      </c>
      <c r="F4839" t="inlineStr">
        <is>
          <t>biosphere</t>
        </is>
      </c>
      <c r="I4839">
        <v>0</v>
      </c>
    </row>
    <row r="4840">
      <c r="A4840" t="inlineStr">
        <is>
          <t>Propylene</t>
        </is>
      </c>
      <c r="B4840">
        <v>2.9314492534191425e-08</v>
      </c>
      <c r="D4840" t="inlineStr">
        <is>
          <t>kilogram</t>
        </is>
      </c>
      <c r="E4840" t="inlineStr">
        <is>
          <t>air::non-urban air or from high stacks</t>
        </is>
      </c>
      <c r="F4840" t="inlineStr">
        <is>
          <t>biosphere</t>
        </is>
      </c>
      <c r="I4840">
        <v>0</v>
      </c>
    </row>
    <row r="4841">
      <c r="A4841" t="inlineStr">
        <is>
          <t>Particulate Matter, &lt; 2.5 um</t>
        </is>
      </c>
      <c r="B4841">
        <v>2.3699093868880875e-07</v>
      </c>
      <c r="D4841" t="inlineStr">
        <is>
          <t>kilogram</t>
        </is>
      </c>
      <c r="E4841" t="inlineStr">
        <is>
          <t>air::urban air close to ground</t>
        </is>
      </c>
      <c r="F4841" t="inlineStr">
        <is>
          <t>biosphere</t>
        </is>
      </c>
      <c r="I4841">
        <v>0</v>
      </c>
    </row>
    <row r="4842">
      <c r="A4842" t="inlineStr">
        <is>
          <t>Nickel II</t>
        </is>
      </c>
      <c r="B4842">
        <v>3.069429555789392e-11</v>
      </c>
      <c r="D4842" t="inlineStr">
        <is>
          <t>kilogram</t>
        </is>
      </c>
      <c r="E4842" t="inlineStr">
        <is>
          <t>air::non-urban air or from high stacks</t>
        </is>
      </c>
      <c r="F4842" t="inlineStr">
        <is>
          <t>biosphere</t>
        </is>
      </c>
      <c r="I4842">
        <v>0</v>
      </c>
    </row>
    <row r="4843">
      <c r="A4843" t="inlineStr">
        <is>
          <t>Methane, fossil</t>
        </is>
      </c>
      <c r="B4843">
        <v>5.142891864640064e-07</v>
      </c>
      <c r="D4843" t="inlineStr">
        <is>
          <t>kilogram</t>
        </is>
      </c>
      <c r="E4843" t="inlineStr">
        <is>
          <t>air::non-urban air or from high stacks</t>
        </is>
      </c>
      <c r="F4843" t="inlineStr">
        <is>
          <t>biosphere</t>
        </is>
      </c>
      <c r="I4843">
        <v>0</v>
      </c>
    </row>
    <row r="4844">
      <c r="A4844" t="inlineStr">
        <is>
          <t>Mercury II</t>
        </is>
      </c>
      <c r="B4844">
        <v>1.1595623051201971e-10</v>
      </c>
      <c r="D4844" t="inlineStr">
        <is>
          <t>kilogram</t>
        </is>
      </c>
      <c r="E4844" t="inlineStr">
        <is>
          <t>air::non-urban air or from high stacks</t>
        </is>
      </c>
      <c r="F4844" t="inlineStr">
        <is>
          <t>biosphere</t>
        </is>
      </c>
      <c r="I4844">
        <v>0</v>
      </c>
    </row>
    <row r="4845">
      <c r="A4845" t="inlineStr">
        <is>
          <t>Ammonia</t>
        </is>
      </c>
      <c r="B4845">
        <v>1.8978800516687959e-06</v>
      </c>
      <c r="D4845" t="inlineStr">
        <is>
          <t>kilogram</t>
        </is>
      </c>
      <c r="E4845" t="inlineStr">
        <is>
          <t>air::non-urban air or from high stacks</t>
        </is>
      </c>
      <c r="F4845" t="inlineStr">
        <is>
          <t>biosphere</t>
        </is>
      </c>
      <c r="I4845">
        <v>0</v>
      </c>
    </row>
    <row r="4846">
      <c r="A4846" t="inlineStr">
        <is>
          <t>Ethane</t>
        </is>
      </c>
      <c r="B4846">
        <v>2.46858901080647e-08</v>
      </c>
      <c r="D4846" t="inlineStr">
        <is>
          <t>kilogram</t>
        </is>
      </c>
      <c r="E4846" t="inlineStr">
        <is>
          <t>air::non-urban air or from high stacks</t>
        </is>
      </c>
      <c r="F4846" t="inlineStr">
        <is>
          <t>biosphere</t>
        </is>
      </c>
      <c r="I4846">
        <v>0</v>
      </c>
    </row>
    <row r="4847">
      <c r="A4847" t="inlineStr">
        <is>
          <t>Nickel II</t>
        </is>
      </c>
      <c r="B4847">
        <v>2.33057020978785e-11</v>
      </c>
      <c r="D4847" t="inlineStr">
        <is>
          <t>kilogram</t>
        </is>
      </c>
      <c r="E4847" t="inlineStr">
        <is>
          <t>air::urban air close to ground</t>
        </is>
      </c>
      <c r="F4847" t="inlineStr">
        <is>
          <t>biosphere</t>
        </is>
      </c>
      <c r="I4847">
        <v>0</v>
      </c>
    </row>
    <row r="4848">
      <c r="A4848" t="inlineStr">
        <is>
          <t>Cadmium II</t>
        </is>
      </c>
      <c r="B4848">
        <v>2.6658564722165628e-12</v>
      </c>
      <c r="D4848" t="inlineStr">
        <is>
          <t>kilogram</t>
        </is>
      </c>
      <c r="E4848" t="inlineStr">
        <is>
          <t>air::non-urban air or from high stacks</t>
        </is>
      </c>
      <c r="F4848" t="inlineStr">
        <is>
          <t>biosphere</t>
        </is>
      </c>
      <c r="I4848">
        <v>0</v>
      </c>
    </row>
    <row r="4849">
      <c r="A4849" t="inlineStr">
        <is>
          <t>Ammonia</t>
        </is>
      </c>
      <c r="B4849">
        <v>1.4410307235331609e-06</v>
      </c>
      <c r="D4849" t="inlineStr">
        <is>
          <t>kilogram</t>
        </is>
      </c>
      <c r="E4849" t="inlineStr">
        <is>
          <t>air::urban air close to ground</t>
        </is>
      </c>
      <c r="F4849" t="inlineStr">
        <is>
          <t>biosphere</t>
        </is>
      </c>
      <c r="I4849">
        <v>0</v>
      </c>
    </row>
    <row r="4850">
      <c r="A4850" t="inlineStr">
        <is>
          <t>Butane</t>
        </is>
      </c>
      <c r="B4850">
        <v>4.0114570112848195e-08</v>
      </c>
      <c r="D4850" t="inlineStr">
        <is>
          <t>kilogram</t>
        </is>
      </c>
      <c r="E4850" t="inlineStr">
        <is>
          <t>air::non-urban air or from high stacks</t>
        </is>
      </c>
      <c r="F4850" t="inlineStr">
        <is>
          <t>biosphere</t>
        </is>
      </c>
      <c r="I4850">
        <v>0</v>
      </c>
    </row>
    <row r="4851">
      <c r="A4851" t="inlineStr">
        <is>
          <t>PAH, polycyclic aromatic hydrocarbons</t>
        </is>
      </c>
      <c r="B4851">
        <v>3.5346981515115725e-10</v>
      </c>
      <c r="D4851" t="inlineStr">
        <is>
          <t>kilogram</t>
        </is>
      </c>
      <c r="E4851" t="inlineStr">
        <is>
          <t>air::urban air close to ground</t>
        </is>
      </c>
      <c r="F4851" t="inlineStr">
        <is>
          <t>biosphere</t>
        </is>
      </c>
      <c r="I4851">
        <v>0</v>
      </c>
    </row>
    <row r="4852">
      <c r="A4852" t="inlineStr">
        <is>
          <t>Copper ion</t>
        </is>
      </c>
      <c r="B4852">
        <v>6.025176924783301e-11</v>
      </c>
      <c r="D4852" t="inlineStr">
        <is>
          <t>kilogram</t>
        </is>
      </c>
      <c r="E4852" t="inlineStr">
        <is>
          <t>air::non-urban air or from high stacks</t>
        </is>
      </c>
      <c r="F4852" t="inlineStr">
        <is>
          <t>biosphere</t>
        </is>
      </c>
      <c r="I4852">
        <v>0</v>
      </c>
    </row>
    <row r="4853">
      <c r="A4853" t="inlineStr">
        <is>
          <t>Nitrogen oxides</t>
        </is>
      </c>
      <c r="B4853">
        <v>8.487546844117613e-06</v>
      </c>
      <c r="D4853" t="inlineStr">
        <is>
          <t>kilogram</t>
        </is>
      </c>
      <c r="E4853" t="inlineStr">
        <is>
          <t>air::non-urban air or from high stacks</t>
        </is>
      </c>
      <c r="F4853" t="inlineStr">
        <is>
          <t>biosphere</t>
        </is>
      </c>
      <c r="I4853">
        <v>0</v>
      </c>
    </row>
    <row r="4854">
      <c r="A4854" t="inlineStr">
        <is>
          <t>Hexane</t>
        </is>
      </c>
      <c r="B4854">
        <v>3.089101489661827e-07</v>
      </c>
      <c r="D4854" t="inlineStr">
        <is>
          <t>kilogram</t>
        </is>
      </c>
      <c r="E4854" t="inlineStr">
        <is>
          <t>air::urban air close to ground</t>
        </is>
      </c>
      <c r="F4854" t="inlineStr">
        <is>
          <t>biosphere</t>
        </is>
      </c>
      <c r="I4854">
        <v>0</v>
      </c>
    </row>
    <row r="4855">
      <c r="A4855" t="inlineStr">
        <is>
          <t>Butane</t>
        </is>
      </c>
      <c r="B4855">
        <v>1.0039579421318718e-06</v>
      </c>
      <c r="D4855" t="inlineStr">
        <is>
          <t>kilogram</t>
        </is>
      </c>
      <c r="E4855" t="inlineStr">
        <is>
          <t>air::urban air close to ground</t>
        </is>
      </c>
      <c r="F4855" t="inlineStr">
        <is>
          <t>biosphere</t>
        </is>
      </c>
      <c r="I4855">
        <v>0</v>
      </c>
    </row>
    <row r="4856">
      <c r="A4856" t="inlineStr">
        <is>
          <t>Copper ion</t>
        </is>
      </c>
      <c r="B4856">
        <v>4.57482306137567e-11</v>
      </c>
      <c r="D4856" t="inlineStr">
        <is>
          <t>kilogram</t>
        </is>
      </c>
      <c r="E4856" t="inlineStr">
        <is>
          <t>air::urban air close to ground</t>
        </is>
      </c>
      <c r="F4856" t="inlineStr">
        <is>
          <t>biosphere</t>
        </is>
      </c>
      <c r="I4856">
        <v>0</v>
      </c>
    </row>
    <row r="4857">
      <c r="A4857" t="inlineStr">
        <is>
          <t>Chromium III</t>
        </is>
      </c>
      <c r="B4857">
        <v>6.387488609167662e-11</v>
      </c>
      <c r="D4857" t="inlineStr">
        <is>
          <t>kilogram</t>
        </is>
      </c>
      <c r="E4857" t="inlineStr">
        <is>
          <t>air::urban air close to ground</t>
        </is>
      </c>
      <c r="F4857" t="inlineStr">
        <is>
          <t>biosphere</t>
        </is>
      </c>
      <c r="I4857">
        <v>0</v>
      </c>
    </row>
    <row r="4858">
      <c r="A4858" t="inlineStr">
        <is>
          <t>Propane</t>
        </is>
      </c>
      <c r="B4858">
        <v>1.351481901727049e-07</v>
      </c>
      <c r="D4858" t="inlineStr">
        <is>
          <t>kilogram</t>
        </is>
      </c>
      <c r="E4858" t="inlineStr">
        <is>
          <t>air::urban air close to ground</t>
        </is>
      </c>
      <c r="F4858" t="inlineStr">
        <is>
          <t>biosphere</t>
        </is>
      </c>
      <c r="I4858">
        <v>0</v>
      </c>
    </row>
    <row r="4859">
      <c r="A4859" t="inlineStr">
        <is>
          <t>Toluene</t>
        </is>
      </c>
      <c r="B4859">
        <v>2.1237572531383947e-06</v>
      </c>
      <c r="D4859" t="inlineStr">
        <is>
          <t>kilogram</t>
        </is>
      </c>
      <c r="E4859" t="inlineStr">
        <is>
          <t>air::urban air close to ground</t>
        </is>
      </c>
      <c r="F4859" t="inlineStr">
        <is>
          <t>biosphere</t>
        </is>
      </c>
      <c r="I4859">
        <v>0</v>
      </c>
    </row>
    <row r="4860">
      <c r="A4860" t="inlineStr">
        <is>
          <t>Dinitrogen monoxide</t>
        </is>
      </c>
      <c r="B4860">
        <v>3.5495663709460686e-08</v>
      </c>
      <c r="D4860" t="inlineStr">
        <is>
          <t>kilogram</t>
        </is>
      </c>
      <c r="E4860" t="inlineStr">
        <is>
          <t>air::urban air close to ground</t>
        </is>
      </c>
      <c r="F4860" t="inlineStr">
        <is>
          <t>biosphere</t>
        </is>
      </c>
      <c r="I4860">
        <v>0</v>
      </c>
    </row>
    <row r="4861">
      <c r="A4861" t="inlineStr">
        <is>
          <t>Zinc II</t>
        </is>
      </c>
      <c r="B4861">
        <v>3.3447998609123704e-10</v>
      </c>
      <c r="D4861" t="inlineStr">
        <is>
          <t>kilogram</t>
        </is>
      </c>
      <c r="E4861" t="inlineStr">
        <is>
          <t>air::urban air close to ground</t>
        </is>
      </c>
      <c r="F4861" t="inlineStr">
        <is>
          <t>biosphere</t>
        </is>
      </c>
      <c r="I4861">
        <v>0</v>
      </c>
    </row>
    <row r="4862">
      <c r="A4862" t="inlineStr">
        <is>
          <t>Chromium VI</t>
        </is>
      </c>
      <c r="B4862">
        <v>1.6825022521085002e-13</v>
      </c>
      <c r="D4862" t="inlineStr">
        <is>
          <t>kilogram</t>
        </is>
      </c>
      <c r="E4862" t="inlineStr">
        <is>
          <t>air::non-urban air or from high stacks</t>
        </is>
      </c>
      <c r="F4862" t="inlineStr">
        <is>
          <t>biosphere</t>
        </is>
      </c>
      <c r="I4862">
        <v>0</v>
      </c>
    </row>
    <row r="4863">
      <c r="A4863" t="inlineStr">
        <is>
          <t>Benzene</t>
        </is>
      </c>
      <c r="B4863">
        <v>3.53245327151087e-08</v>
      </c>
      <c r="D4863" t="inlineStr">
        <is>
          <t>kilogram</t>
        </is>
      </c>
      <c r="E4863" t="inlineStr">
        <is>
          <t>air::non-urban air or from high stacks</t>
        </is>
      </c>
      <c r="F4863" t="inlineStr">
        <is>
          <t>biosphere</t>
        </is>
      </c>
      <c r="I4863">
        <v>0</v>
      </c>
    </row>
    <row r="4864">
      <c r="A4864" t="inlineStr">
        <is>
          <t>Carbon monoxide, fossil</t>
        </is>
      </c>
      <c r="B4864">
        <v>0.0001087694681937128</v>
      </c>
      <c r="D4864" t="inlineStr">
        <is>
          <t>kilogram</t>
        </is>
      </c>
      <c r="E4864" t="inlineStr">
        <is>
          <t>air::non-urban air or from high stacks</t>
        </is>
      </c>
      <c r="F4864" t="inlineStr">
        <is>
          <t>biosphere</t>
        </is>
      </c>
      <c r="I4864">
        <v>0</v>
      </c>
    </row>
    <row r="4865">
      <c r="A4865" t="inlineStr">
        <is>
          <t>Chromium VI</t>
        </is>
      </c>
      <c r="B4865">
        <v>1.2774977274422347e-13</v>
      </c>
      <c r="D4865" t="inlineStr">
        <is>
          <t>kilogram</t>
        </is>
      </c>
      <c r="E4865" t="inlineStr">
        <is>
          <t>air::urban air close to ground</t>
        </is>
      </c>
      <c r="F4865" t="inlineStr">
        <is>
          <t>biosphere</t>
        </is>
      </c>
      <c r="I4865">
        <v>0</v>
      </c>
    </row>
    <row r="4866">
      <c r="A4866" t="inlineStr">
        <is>
          <t>Methane, fossil</t>
        </is>
      </c>
      <c r="B4866">
        <v>1.4737951202945778e-06</v>
      </c>
      <c r="D4866" t="inlineStr">
        <is>
          <t>kilogram</t>
        </is>
      </c>
      <c r="E4866" t="inlineStr">
        <is>
          <t>air::urban air close to ground</t>
        </is>
      </c>
      <c r="F4866" t="inlineStr">
        <is>
          <t>biosphere</t>
        </is>
      </c>
      <c r="I4866">
        <v>0</v>
      </c>
    </row>
    <row r="4867">
      <c r="A4867" t="inlineStr">
        <is>
          <t>Sulfur dioxide</t>
        </is>
      </c>
      <c r="B4867">
        <v>3.7723729745496776e-07</v>
      </c>
      <c r="D4867" t="inlineStr">
        <is>
          <t>kilogram</t>
        </is>
      </c>
      <c r="E4867" t="inlineStr">
        <is>
          <t>air</t>
        </is>
      </c>
      <c r="F4867" t="inlineStr">
        <is>
          <t>biosphere</t>
        </is>
      </c>
      <c r="I4867">
        <v>0</v>
      </c>
    </row>
    <row r="4868">
      <c r="A4868" t="inlineStr">
        <is>
          <t>NMVOC, non-methane volatile organic compounds</t>
        </is>
      </c>
      <c r="B4868">
        <v>1.9676329903559775e-05</v>
      </c>
      <c r="D4868" t="inlineStr">
        <is>
          <t>kilogram</t>
        </is>
      </c>
      <c r="E4868" t="inlineStr">
        <is>
          <t>air::urban air close to ground</t>
        </is>
      </c>
      <c r="F4868" t="inlineStr">
        <is>
          <t>biosphere</t>
        </is>
      </c>
      <c r="I4868">
        <v>0</v>
      </c>
    </row>
    <row r="4869">
      <c r="A4869" t="inlineStr">
        <is>
          <t>Formaldehyde</t>
        </is>
      </c>
      <c r="B4869">
        <v>3.282170227745136e-07</v>
      </c>
      <c r="D4869" t="inlineStr">
        <is>
          <t>kilogram</t>
        </is>
      </c>
      <c r="E4869" t="inlineStr">
        <is>
          <t>air::urban air close to ground</t>
        </is>
      </c>
      <c r="F4869" t="inlineStr">
        <is>
          <t>biosphere</t>
        </is>
      </c>
      <c r="I4869">
        <v>0</v>
      </c>
    </row>
    <row r="4870">
      <c r="A4870" t="inlineStr">
        <is>
          <t>Nitrogen oxides</t>
        </is>
      </c>
      <c r="B4870">
        <v>1.1323855960379002e-05</v>
      </c>
      <c r="D4870" t="inlineStr">
        <is>
          <t>kilogram</t>
        </is>
      </c>
      <c r="E4870" t="inlineStr">
        <is>
          <t>air::urban air close to ground</t>
        </is>
      </c>
      <c r="F4870" t="inlineStr">
        <is>
          <t>biosphere</t>
        </is>
      </c>
      <c r="I4870">
        <v>0</v>
      </c>
    </row>
    <row r="4871">
      <c r="A4871" t="inlineStr">
        <is>
          <t>Formaldehyde</t>
        </is>
      </c>
      <c r="B4871">
        <v>1.3114378791720136e-08</v>
      </c>
      <c r="D4871" t="inlineStr">
        <is>
          <t>kilogram</t>
        </is>
      </c>
      <c r="E4871" t="inlineStr">
        <is>
          <t>air::non-urban air or from high stacks</t>
        </is>
      </c>
      <c r="F4871" t="inlineStr">
        <is>
          <t>biosphere</t>
        </is>
      </c>
      <c r="I4871">
        <v>0</v>
      </c>
    </row>
    <row r="4872">
      <c r="A4872" t="inlineStr">
        <is>
          <t>Zinc II</t>
        </is>
      </c>
      <c r="B4872">
        <v>4.4051995837597756e-10</v>
      </c>
      <c r="D4872" t="inlineStr">
        <is>
          <t>kilogram</t>
        </is>
      </c>
      <c r="E4872" t="inlineStr">
        <is>
          <t>air::non-urban air or from high stacks</t>
        </is>
      </c>
      <c r="F4872" t="inlineStr">
        <is>
          <t>biosphere</t>
        </is>
      </c>
      <c r="I4872">
        <v>0</v>
      </c>
    </row>
    <row r="4873">
      <c r="A4873" t="inlineStr">
        <is>
          <t>Carbon monoxide, fossil</t>
        </is>
      </c>
      <c r="B4873">
        <v>0.00020171446470292127</v>
      </c>
      <c r="D4873" t="inlineStr">
        <is>
          <t>kilogram</t>
        </is>
      </c>
      <c r="E4873" t="inlineStr">
        <is>
          <t>air::urban air close to ground</t>
        </is>
      </c>
      <c r="F4873" t="inlineStr">
        <is>
          <t>biosphere</t>
        </is>
      </c>
      <c r="I4873">
        <v>0</v>
      </c>
    </row>
    <row r="4874">
      <c r="A4874" t="inlineStr">
        <is>
          <t>m-Xylene</t>
        </is>
      </c>
      <c r="B4874">
        <v>1.0425717317567554e-06</v>
      </c>
      <c r="D4874" t="inlineStr">
        <is>
          <t>kilogram</t>
        </is>
      </c>
      <c r="E4874" t="inlineStr">
        <is>
          <t>air::urban air close to ground</t>
        </is>
      </c>
      <c r="F4874" t="inlineStr">
        <is>
          <t>biosphere</t>
        </is>
      </c>
      <c r="I4874">
        <v>0</v>
      </c>
    </row>
    <row r="4875">
      <c r="A4875" t="inlineStr">
        <is>
          <t>PAH, polycyclic aromatic hydrocarbons</t>
        </is>
      </c>
      <c r="B4875">
        <v>4.655301522860326e-10</v>
      </c>
      <c r="D4875" t="inlineStr">
        <is>
          <t>kilogram</t>
        </is>
      </c>
      <c r="E4875" t="inlineStr">
        <is>
          <t>air::non-urban air or from high stacks</t>
        </is>
      </c>
      <c r="F4875" t="inlineStr">
        <is>
          <t>biosphere</t>
        </is>
      </c>
      <c r="I4875">
        <v>0</v>
      </c>
    </row>
    <row r="4876">
      <c r="A4876" t="inlineStr">
        <is>
          <t>Particulate Matter, &lt; 2.5 um</t>
        </is>
      </c>
      <c r="B4876">
        <v>3.1212402999812946e-07</v>
      </c>
      <c r="D4876" t="inlineStr">
        <is>
          <t>kilogram</t>
        </is>
      </c>
      <c r="E4876" t="inlineStr">
        <is>
          <t>air::non-urban air or from high stacks</t>
        </is>
      </c>
      <c r="F4876" t="inlineStr">
        <is>
          <t>biosphere</t>
        </is>
      </c>
      <c r="I4876">
        <v>0</v>
      </c>
    </row>
    <row r="4877">
      <c r="A4877" t="inlineStr">
        <is>
          <t>Pentane</t>
        </is>
      </c>
      <c r="B4877">
        <v>1.697155010567295e-08</v>
      </c>
      <c r="D4877" t="inlineStr">
        <is>
          <t>kilogram</t>
        </is>
      </c>
      <c r="E4877" t="inlineStr">
        <is>
          <t>air::non-urban air or from high stacks</t>
        </is>
      </c>
      <c r="F4877" t="inlineStr">
        <is>
          <t>biosphere</t>
        </is>
      </c>
      <c r="I4877">
        <v>0</v>
      </c>
    </row>
    <row r="4878">
      <c r="A4878" t="inlineStr">
        <is>
          <t>1,1,1,2-Tetrafluoroethane</t>
        </is>
      </c>
      <c r="B4878">
        <v>1.3856558213651742e-06</v>
      </c>
      <c r="D4878" t="inlineStr">
        <is>
          <t>kilogram</t>
        </is>
      </c>
      <c r="E4878" t="inlineStr">
        <is>
          <t>air</t>
        </is>
      </c>
      <c r="F4878" t="inlineStr">
        <is>
          <t>biosphere</t>
        </is>
      </c>
      <c r="I4878">
        <v>0</v>
      </c>
    </row>
    <row r="4879">
      <c r="A4879" t="inlineStr">
        <is>
          <t>Acetaldehyde</t>
        </is>
      </c>
      <c r="B4879">
        <v>1.544550744830913e-07</v>
      </c>
      <c r="D4879" t="inlineStr">
        <is>
          <t>kilogram</t>
        </is>
      </c>
      <c r="E4879" t="inlineStr">
        <is>
          <t>air::urban air close to ground</t>
        </is>
      </c>
      <c r="F4879" t="inlineStr">
        <is>
          <t>biosphere</t>
        </is>
      </c>
      <c r="I4879">
        <v>0</v>
      </c>
    </row>
    <row r="4880">
      <c r="A4880" t="inlineStr">
        <is>
          <t>Benzene</t>
        </is>
      </c>
      <c r="B4880">
        <v>1.4380293200880646e-06</v>
      </c>
      <c r="D4880" t="inlineStr">
        <is>
          <t>kilogram</t>
        </is>
      </c>
      <c r="E4880" t="inlineStr">
        <is>
          <t>air::urban air close to ground</t>
        </is>
      </c>
      <c r="F4880" t="inlineStr">
        <is>
          <t>biosphere</t>
        </is>
      </c>
      <c r="I4880">
        <v>0</v>
      </c>
    </row>
    <row r="4881">
      <c r="A4881" t="inlineStr">
        <is>
          <t>Mercury II</t>
        </is>
      </c>
      <c r="B4881">
        <v>8.804375664359864e-11</v>
      </c>
      <c r="D4881" t="inlineStr">
        <is>
          <t>kilogram</t>
        </is>
      </c>
      <c r="E4881" t="inlineStr">
        <is>
          <t>air::urban air close to ground</t>
        </is>
      </c>
      <c r="F4881" t="inlineStr">
        <is>
          <t>biosphere</t>
        </is>
      </c>
      <c r="I4881">
        <v>0</v>
      </c>
    </row>
    <row r="4882">
      <c r="A4882" t="inlineStr">
        <is>
          <t>Cadmium II</t>
        </is>
      </c>
      <c r="B4882">
        <v>2.0241433189600118e-12</v>
      </c>
      <c r="D4882" t="inlineStr">
        <is>
          <t>kilogram</t>
        </is>
      </c>
      <c r="E4882" t="inlineStr">
        <is>
          <t>air::urban air close to ground</t>
        </is>
      </c>
      <c r="F4882" t="inlineStr">
        <is>
          <t>biosphere</t>
        </is>
      </c>
      <c r="I4882">
        <v>0</v>
      </c>
    </row>
    <row r="4883">
      <c r="A4883" t="inlineStr">
        <is>
          <t>Propane</t>
        </is>
      </c>
      <c r="B4883">
        <v>5.4000384611391535e-09</v>
      </c>
      <c r="D4883" t="inlineStr">
        <is>
          <t>kilogram</t>
        </is>
      </c>
      <c r="E4883" t="inlineStr">
        <is>
          <t>air::non-urban air or from high stacks</t>
        </is>
      </c>
      <c r="F4883" t="inlineStr">
        <is>
          <t>biosphere</t>
        </is>
      </c>
      <c r="I4883">
        <v>0</v>
      </c>
    </row>
    <row r="4884">
      <c r="A4884" t="inlineStr">
        <is>
          <t>Chromium III</t>
        </is>
      </c>
      <c r="B4884">
        <v>8.412510539423576e-11</v>
      </c>
      <c r="D4884" t="inlineStr">
        <is>
          <t>kilogram</t>
        </is>
      </c>
      <c r="E4884" t="inlineStr">
        <is>
          <t>air::non-urban air or from high stacks</t>
        </is>
      </c>
      <c r="F4884" t="inlineStr">
        <is>
          <t>biosphere</t>
        </is>
      </c>
      <c r="I4884">
        <v>0</v>
      </c>
    </row>
    <row r="4885">
      <c r="A4885" t="inlineStr">
        <is>
          <t>1-Pentene</t>
        </is>
      </c>
      <c r="B4885">
        <v>1.9306884310386414e-08</v>
      </c>
      <c r="D4885" t="inlineStr">
        <is>
          <t>kilogram</t>
        </is>
      </c>
      <c r="E4885" t="inlineStr">
        <is>
          <t>air::urban air close to ground</t>
        </is>
      </c>
      <c r="F4885" t="inlineStr">
        <is>
          <t>biosphere</t>
        </is>
      </c>
      <c r="I4885">
        <v>0</v>
      </c>
    </row>
    <row r="4886">
      <c r="A4886" t="inlineStr">
        <is>
          <t>Acetone</t>
        </is>
      </c>
      <c r="B4886">
        <v>1.158413058623185e-07</v>
      </c>
      <c r="D4886" t="inlineStr">
        <is>
          <t>kilogram</t>
        </is>
      </c>
      <c r="E4886" t="inlineStr">
        <is>
          <t>air::urban air close to ground</t>
        </is>
      </c>
      <c r="F4886" t="inlineStr">
        <is>
          <t>biosphere</t>
        </is>
      </c>
      <c r="I4886">
        <v>0</v>
      </c>
    </row>
    <row r="4887">
      <c r="A4887" t="inlineStr">
        <is>
          <t>Acrolein</t>
        </is>
      </c>
      <c r="B4887">
        <v>3.861376862077283e-08</v>
      </c>
      <c r="D4887" t="inlineStr">
        <is>
          <t>kilogram</t>
        </is>
      </c>
      <c r="E4887" t="inlineStr">
        <is>
          <t>air::urban air close to ground</t>
        </is>
      </c>
      <c r="F4887" t="inlineStr">
        <is>
          <t>biosphere</t>
        </is>
      </c>
      <c r="I4887">
        <v>0</v>
      </c>
    </row>
    <row r="4888">
      <c r="A4888" t="inlineStr">
        <is>
          <t>Benzaldehyde</t>
        </is>
      </c>
      <c r="B4888">
        <v>3.861376862077283e-08</v>
      </c>
      <c r="D4888" t="inlineStr">
        <is>
          <t>kilogram</t>
        </is>
      </c>
      <c r="E4888" t="inlineStr">
        <is>
          <t>air::urban air close to ground</t>
        </is>
      </c>
      <c r="F4888" t="inlineStr">
        <is>
          <t>biosphere</t>
        </is>
      </c>
      <c r="I4888">
        <v>0</v>
      </c>
    </row>
    <row r="4889">
      <c r="A4889" t="inlineStr">
        <is>
          <t>Cyclohexane</t>
        </is>
      </c>
      <c r="B4889">
        <v>2.1237571691219508e-07</v>
      </c>
      <c r="D4889" t="inlineStr">
        <is>
          <t>kilogram</t>
        </is>
      </c>
      <c r="E4889" t="inlineStr">
        <is>
          <t>air::urban air close to ground</t>
        </is>
      </c>
      <c r="F4889" t="inlineStr">
        <is>
          <t>biosphere</t>
        </is>
      </c>
      <c r="I4889">
        <v>0</v>
      </c>
    </row>
    <row r="4890">
      <c r="A4890" t="inlineStr">
        <is>
          <t>Heptane</t>
        </is>
      </c>
      <c r="B4890">
        <v>1.351481901727049e-07</v>
      </c>
      <c r="D4890" t="inlineStr">
        <is>
          <t>kilogram</t>
        </is>
      </c>
      <c r="E4890" t="inlineStr">
        <is>
          <t>air::urban air close to ground</t>
        </is>
      </c>
      <c r="F4890" t="inlineStr">
        <is>
          <t>biosphere</t>
        </is>
      </c>
      <c r="I4890">
        <v>0</v>
      </c>
    </row>
    <row r="4891">
      <c r="A4891" t="inlineStr">
        <is>
          <t>Methyl ethyl ketone</t>
        </is>
      </c>
      <c r="B4891">
        <v>1.9306884310386414e-08</v>
      </c>
      <c r="D4891" t="inlineStr">
        <is>
          <t>kilogram</t>
        </is>
      </c>
      <c r="E4891" t="inlineStr">
        <is>
          <t>air::urban air close to ground</t>
        </is>
      </c>
      <c r="F4891" t="inlineStr">
        <is>
          <t>biosphere</t>
        </is>
      </c>
      <c r="I4891">
        <v>0</v>
      </c>
    </row>
    <row r="4892">
      <c r="A4892" t="inlineStr">
        <is>
          <t>o-Xylene</t>
        </is>
      </c>
      <c r="B4892">
        <v>4.4405832863683197e-07</v>
      </c>
      <c r="D4892" t="inlineStr">
        <is>
          <t>kilogram</t>
        </is>
      </c>
      <c r="E4892" t="inlineStr">
        <is>
          <t>air::urban air close to ground</t>
        </is>
      </c>
      <c r="F4892" t="inlineStr">
        <is>
          <t>biosphere</t>
        </is>
      </c>
      <c r="I4892">
        <v>0</v>
      </c>
    </row>
    <row r="4893">
      <c r="A4893" t="inlineStr">
        <is>
          <t>Propylene</t>
        </is>
      </c>
      <c r="B4893">
        <v>7.33661582790573e-07</v>
      </c>
      <c r="D4893" t="inlineStr">
        <is>
          <t>kilogram</t>
        </is>
      </c>
      <c r="E4893" t="inlineStr">
        <is>
          <t>air::urban air close to ground</t>
        </is>
      </c>
      <c r="F4893" t="inlineStr">
        <is>
          <t>biosphere</t>
        </is>
      </c>
      <c r="I4893">
        <v>0</v>
      </c>
    </row>
    <row r="4894">
      <c r="A4894" t="inlineStr">
        <is>
          <t>Selenium IV</t>
        </is>
      </c>
      <c r="B4894">
        <v>2.0241433189600118e-12</v>
      </c>
      <c r="D4894" t="inlineStr">
        <is>
          <t>kilogram</t>
        </is>
      </c>
      <c r="E4894" t="inlineStr">
        <is>
          <t>air::urban air close to ground</t>
        </is>
      </c>
      <c r="F4894" t="inlineStr">
        <is>
          <t>biosphere</t>
        </is>
      </c>
      <c r="I4894">
        <v>0</v>
      </c>
    </row>
    <row r="4895">
      <c r="A4895" t="inlineStr">
        <is>
          <t>Styrene</t>
        </is>
      </c>
      <c r="B4895">
        <v>1.9306884310386417e-07</v>
      </c>
      <c r="D4895" t="inlineStr">
        <is>
          <t>kilogram</t>
        </is>
      </c>
      <c r="E4895" t="inlineStr">
        <is>
          <t>air::urban air close to ground</t>
        </is>
      </c>
      <c r="F4895" t="inlineStr">
        <is>
          <t>biosphere</t>
        </is>
      </c>
      <c r="I4895">
        <v>0</v>
      </c>
    </row>
    <row r="4896">
      <c r="A4896" t="inlineStr">
        <is>
          <t>1-Pentene</t>
        </is>
      </c>
      <c r="B4896">
        <v>7.714340658770217e-10</v>
      </c>
      <c r="D4896" t="inlineStr">
        <is>
          <t>kilogram</t>
        </is>
      </c>
      <c r="E4896" t="inlineStr">
        <is>
          <t>air::non-urban air or from high stacks</t>
        </is>
      </c>
      <c r="F4896" t="inlineStr">
        <is>
          <t>biosphere</t>
        </is>
      </c>
      <c r="I4896">
        <v>0</v>
      </c>
    </row>
    <row r="4897">
      <c r="A4897" t="inlineStr">
        <is>
          <t>Acetaldehyde</t>
        </is>
      </c>
      <c r="B4897">
        <v>6.171472527016175e-09</v>
      </c>
      <c r="D4897" t="inlineStr">
        <is>
          <t>kilogram</t>
        </is>
      </c>
      <c r="E4897" t="inlineStr">
        <is>
          <t>air::non-urban air or from high stacks</t>
        </is>
      </c>
      <c r="F4897" t="inlineStr">
        <is>
          <t>biosphere</t>
        </is>
      </c>
      <c r="I4897">
        <v>0</v>
      </c>
    </row>
    <row r="4898">
      <c r="A4898" t="inlineStr">
        <is>
          <t>Acetone</t>
        </is>
      </c>
      <c r="B4898">
        <v>4.628604395262132e-09</v>
      </c>
      <c r="D4898" t="inlineStr">
        <is>
          <t>kilogram</t>
        </is>
      </c>
      <c r="E4898" t="inlineStr">
        <is>
          <t>air::non-urban air or from high stacks</t>
        </is>
      </c>
      <c r="F4898" t="inlineStr">
        <is>
          <t>biosphere</t>
        </is>
      </c>
      <c r="I4898">
        <v>0</v>
      </c>
    </row>
    <row r="4899">
      <c r="A4899" t="inlineStr">
        <is>
          <t>Acrolein</t>
        </is>
      </c>
      <c r="B4899">
        <v>1.542868131754044e-09</v>
      </c>
      <c r="D4899" t="inlineStr">
        <is>
          <t>kilogram</t>
        </is>
      </c>
      <c r="E4899" t="inlineStr">
        <is>
          <t>air::non-urban air or from high stacks</t>
        </is>
      </c>
      <c r="F4899" t="inlineStr">
        <is>
          <t>biosphere</t>
        </is>
      </c>
      <c r="I4899">
        <v>0</v>
      </c>
    </row>
    <row r="4900">
      <c r="A4900" t="inlineStr">
        <is>
          <t>Benzaldehyde</t>
        </is>
      </c>
      <c r="B4900">
        <v>1.542868131754044e-09</v>
      </c>
      <c r="D4900" t="inlineStr">
        <is>
          <t>kilogram</t>
        </is>
      </c>
      <c r="E4900" t="inlineStr">
        <is>
          <t>air::non-urban air or from high stacks</t>
        </is>
      </c>
      <c r="F4900" t="inlineStr">
        <is>
          <t>biosphere</t>
        </is>
      </c>
      <c r="I4900">
        <v>0</v>
      </c>
    </row>
    <row r="4901">
      <c r="A4901" t="inlineStr">
        <is>
          <t>Cyclohexane</t>
        </is>
      </c>
      <c r="B4901">
        <v>8.485775052836473e-09</v>
      </c>
      <c r="D4901" t="inlineStr">
        <is>
          <t>kilogram</t>
        </is>
      </c>
      <c r="E4901" t="inlineStr">
        <is>
          <t>air::non-urban air or from high stacks</t>
        </is>
      </c>
      <c r="F4901" t="inlineStr">
        <is>
          <t>biosphere</t>
        </is>
      </c>
      <c r="I4901">
        <v>0</v>
      </c>
    </row>
    <row r="4902">
      <c r="A4902" t="inlineStr">
        <is>
          <t>Heptane</t>
        </is>
      </c>
      <c r="B4902">
        <v>5.4000384611391535e-09</v>
      </c>
      <c r="D4902" t="inlineStr">
        <is>
          <t>kilogram</t>
        </is>
      </c>
      <c r="E4902" t="inlineStr">
        <is>
          <t>air::non-urban air or from high stacks</t>
        </is>
      </c>
      <c r="F4902" t="inlineStr">
        <is>
          <t>biosphere</t>
        </is>
      </c>
      <c r="I4902">
        <v>0</v>
      </c>
    </row>
    <row r="4903">
      <c r="A4903" t="inlineStr">
        <is>
          <t>Hexane</t>
        </is>
      </c>
      <c r="B4903">
        <v>1.234294505403235e-08</v>
      </c>
      <c r="D4903" t="inlineStr">
        <is>
          <t>kilogram</t>
        </is>
      </c>
      <c r="E4903" t="inlineStr">
        <is>
          <t>air::non-urban air or from high stacks</t>
        </is>
      </c>
      <c r="F4903" t="inlineStr">
        <is>
          <t>biosphere</t>
        </is>
      </c>
      <c r="I4903">
        <v>0</v>
      </c>
    </row>
    <row r="4904">
      <c r="A4904" t="inlineStr">
        <is>
          <t>Methyl ethyl ketone</t>
        </is>
      </c>
      <c r="B4904">
        <v>7.714340658770217e-10</v>
      </c>
      <c r="D4904" t="inlineStr">
        <is>
          <t>kilogram</t>
        </is>
      </c>
      <c r="E4904" t="inlineStr">
        <is>
          <t>air::non-urban air or from high stacks</t>
        </is>
      </c>
      <c r="F4904" t="inlineStr">
        <is>
          <t>biosphere</t>
        </is>
      </c>
      <c r="I4904">
        <v>0</v>
      </c>
    </row>
    <row r="4905">
      <c r="A4905" t="inlineStr">
        <is>
          <t>m-Xylene</t>
        </is>
      </c>
      <c r="B4905">
        <v>4.165743758822378e-08</v>
      </c>
      <c r="D4905" t="inlineStr">
        <is>
          <t>kilogram</t>
        </is>
      </c>
      <c r="E4905" t="inlineStr">
        <is>
          <t>air::non-urban air or from high stacks</t>
        </is>
      </c>
      <c r="F4905" t="inlineStr">
        <is>
          <t>biosphere</t>
        </is>
      </c>
      <c r="I4905">
        <v>0</v>
      </c>
    </row>
    <row r="4906">
      <c r="A4906" t="inlineStr">
        <is>
          <t>o-Xylene</t>
        </is>
      </c>
      <c r="B4906">
        <v>1.7742983843360735e-08</v>
      </c>
      <c r="D4906" t="inlineStr">
        <is>
          <t>kilogram</t>
        </is>
      </c>
      <c r="E4906" t="inlineStr">
        <is>
          <t>air::non-urban air or from high stacks</t>
        </is>
      </c>
      <c r="F4906" t="inlineStr">
        <is>
          <t>biosphere</t>
        </is>
      </c>
      <c r="I4906">
        <v>0</v>
      </c>
    </row>
    <row r="4907">
      <c r="A4907" t="inlineStr">
        <is>
          <t>Styrene</t>
        </is>
      </c>
      <c r="B4907">
        <v>7.714340002391748e-09</v>
      </c>
      <c r="D4907" t="inlineStr">
        <is>
          <t>kilogram</t>
        </is>
      </c>
      <c r="E4907" t="inlineStr">
        <is>
          <t>air::non-urban air or from high stacks</t>
        </is>
      </c>
      <c r="F4907" t="inlineStr">
        <is>
          <t>biosphere</t>
        </is>
      </c>
      <c r="I4907">
        <v>0</v>
      </c>
    </row>
    <row r="4908">
      <c r="A4908" t="inlineStr">
        <is>
          <t>Ethylene</t>
        </is>
      </c>
      <c r="B4908">
        <v>1.4094024811438196e-06</v>
      </c>
      <c r="D4908" t="inlineStr">
        <is>
          <t>kilogram</t>
        </is>
      </c>
      <c r="E4908" t="inlineStr">
        <is>
          <t>air::urban air close to ground</t>
        </is>
      </c>
      <c r="F4908" t="inlineStr">
        <is>
          <t>biosphere</t>
        </is>
      </c>
      <c r="I4908">
        <v>0</v>
      </c>
    </row>
    <row r="4909">
      <c r="A4909" t="inlineStr">
        <is>
          <t>Ethylene</t>
        </is>
      </c>
      <c r="B4909">
        <v>5.631468910634723e-08</v>
      </c>
      <c r="D4909" t="inlineStr">
        <is>
          <t>kilogram</t>
        </is>
      </c>
      <c r="E4909" t="inlineStr">
        <is>
          <t>air::non-urban air or from high stacks</t>
        </is>
      </c>
      <c r="F4909" t="inlineStr">
        <is>
          <t>biosphere</t>
        </is>
      </c>
      <c r="I4909">
        <v>0</v>
      </c>
    </row>
    <row r="4910">
      <c r="A4910" t="inlineStr">
        <is>
          <t>market for internal combustion engine, passenger car</t>
        </is>
      </c>
      <c r="B4910">
        <v>0.0004975535070430082</v>
      </c>
      <c r="C4910" t="inlineStr">
        <is>
          <t>GLO</t>
        </is>
      </c>
      <c r="D4910" t="inlineStr">
        <is>
          <t>kilogram</t>
        </is>
      </c>
      <c r="F4910" t="inlineStr">
        <is>
          <t>technosphere</t>
        </is>
      </c>
      <c r="G4910" t="inlineStr">
        <is>
          <t>internal combustion engine, passenger car</t>
        </is>
      </c>
      <c r="H4910" t="inlineStr">
        <is>
          <t> Energy-use allocation: 269.3057861328125 * 4.999999873689376e-06 / 2.7062996795066048 MJ per kilometer.</t>
        </is>
      </c>
      <c r="I4910">
        <v>0</v>
      </c>
    </row>
    <row r="4911">
      <c r="A4911" t="inlineStr">
        <is>
          <t>market for waste plastic, industrial electronics</t>
        </is>
      </c>
      <c r="B4911">
        <v>-8.978854216197933e-05</v>
      </c>
      <c r="C4911" t="inlineStr">
        <is>
          <t>CH</t>
        </is>
      </c>
      <c r="D4911" t="inlineStr">
        <is>
          <t>kilogram</t>
        </is>
      </c>
      <c r="F4911" t="inlineStr">
        <is>
          <t>technosphere</t>
        </is>
      </c>
      <c r="G4911" t="inlineStr">
        <is>
          <t>waste plastic, industrial electronics</t>
        </is>
      </c>
      <c r="H4911" t="inlineStr">
        <is>
          <t> Energy-use allocation: -48.59894180297852 * 4.999999873689376e-06 / 2.7062996795066048 MJ per kilometer.</t>
        </is>
      </c>
      <c r="I4911">
        <v>0</v>
      </c>
    </row>
    <row r="4912">
      <c r="A4912" t="inlineStr">
        <is>
          <t>polyethylene production, high density, granulate</t>
        </is>
      </c>
      <c r="B4912">
        <v>8.978854216197933e-05</v>
      </c>
      <c r="C4912" t="inlineStr">
        <is>
          <t>RER</t>
        </is>
      </c>
      <c r="D4912" t="inlineStr">
        <is>
          <t>kilogram</t>
        </is>
      </c>
      <c r="F4912" t="inlineStr">
        <is>
          <t>technosphere</t>
        </is>
      </c>
      <c r="G4912" t="inlineStr">
        <is>
          <t>polyethylene, high density, granulate</t>
        </is>
      </c>
      <c r="H4912" t="inlineStr">
        <is>
          <t> Energy-use allocation: 48.59894180297852 * 4.999999873689376e-06 / 2.7062996795066048 MJ per kilometer.</t>
        </is>
      </c>
      <c r="I4912">
        <v>0</v>
      </c>
    </row>
    <row r="4913">
      <c r="A4913" t="inlineStr">
        <is>
          <t>Carbon dioxide, fossil</t>
        </is>
      </c>
      <c r="B4913">
        <v>0.07370000000000002</v>
      </c>
      <c r="D4913" t="inlineStr">
        <is>
          <t>kilogram</t>
        </is>
      </c>
      <c r="E4913" t="inlineStr">
        <is>
          <t>air</t>
        </is>
      </c>
      <c r="F4913" t="inlineStr">
        <is>
          <t>biosphere</t>
        </is>
      </c>
      <c r="H4913" t="inlineStr">
        <is>
          <t>Reference fuel full-oxidation CO2; premise reclassifies fossil/biogenic emissions with its regional blend. Other carbon pollutants remain model defaults (not an elemental closure).</t>
        </is>
      </c>
      <c r="I4913">
        <v>0</v>
      </c>
    </row>
    <row r="4914"/>
    <row r="4915">
      <c r="A4915" t="inlineStr">
        <is>
          <t>Activity</t>
        </is>
      </c>
      <c r="B4915" t="inlineStr">
        <is>
          <t>bioethanol, from non-residual cellulosic biomass, burned in passenger car</t>
        </is>
      </c>
    </row>
    <row r="4916">
      <c r="A4916" t="inlineStr">
        <is>
          <t>location</t>
        </is>
      </c>
      <c r="B4916" t="inlineStr">
        <is>
          <t>RER</t>
        </is>
      </c>
    </row>
    <row r="4917">
      <c r="A4917" t="inlineStr">
        <is>
          <t>production amount</t>
        </is>
      </c>
      <c r="B4917">
        <v>1</v>
      </c>
    </row>
    <row r="4918">
      <c r="A4918" t="inlineStr">
        <is>
          <t>reference product</t>
        </is>
      </c>
      <c r="B4918" t="inlineStr">
        <is>
          <t>heat</t>
        </is>
      </c>
    </row>
    <row r="4919">
      <c r="A4919" t="inlineStr">
        <is>
          <t>type</t>
        </is>
      </c>
      <c r="B4919" t="inlineStr">
        <is>
          <t>process</t>
        </is>
      </c>
    </row>
    <row r="4920">
      <c r="A4920" t="inlineStr">
        <is>
          <t>unit</t>
        </is>
      </c>
      <c r="B4920" t="inlineStr">
        <is>
          <t>megajoule</t>
        </is>
      </c>
    </row>
    <row r="4921">
      <c r="A4921" t="inlineStr">
        <is>
          <t>Power, mean</t>
        </is>
      </c>
      <c r="B4921">
        <v>126</v>
      </c>
    </row>
    <row r="4922">
      <c r="A4922" t="inlineStr">
        <is>
          <t>Power, min</t>
        </is>
      </c>
      <c r="B4922">
        <v>54</v>
      </c>
    </row>
    <row r="4923">
      <c r="A4923" t="inlineStr">
        <is>
          <t>Power, max</t>
        </is>
      </c>
      <c r="B4923">
        <v>158</v>
      </c>
    </row>
    <row r="4924">
      <c r="A4924" t="inlineStr">
        <is>
          <t>Lifetime, mean</t>
        </is>
      </c>
      <c r="B4924">
        <v>200000</v>
      </c>
    </row>
    <row r="4925">
      <c r="A4925" t="inlineStr">
        <is>
          <t>Lifetime, min</t>
        </is>
      </c>
      <c r="B4925">
        <v>160000</v>
      </c>
    </row>
    <row r="4926">
      <c r="A4926" t="inlineStr">
        <is>
          <t>Lifetime, max</t>
        </is>
      </c>
      <c r="B4926">
        <v>250000</v>
      </c>
    </row>
    <row r="4927">
      <c r="A4927" t="inlineStr">
        <is>
          <t>Energy use, mean</t>
        </is>
      </c>
      <c r="B4927">
        <v>2330</v>
      </c>
    </row>
    <row r="4928">
      <c r="A4928" t="inlineStr">
        <is>
          <t>Energy use, min</t>
        </is>
      </c>
      <c r="B4928">
        <v>1530</v>
      </c>
    </row>
    <row r="4929">
      <c r="A4929" t="inlineStr">
        <is>
          <t>Energy use, max</t>
        </is>
      </c>
      <c r="B4929">
        <v>3000</v>
      </c>
    </row>
    <row r="4930">
      <c r="A4930" t="inlineStr">
        <is>
          <t>Electric motor, mean</t>
        </is>
      </c>
      <c r="B4930">
        <v>0</v>
      </c>
    </row>
    <row r="4931">
      <c r="A4931" t="inlineStr">
        <is>
          <t>Electric motor, min</t>
        </is>
      </c>
      <c r="B4931">
        <v>0</v>
      </c>
    </row>
    <row r="4932">
      <c r="A4932" t="inlineStr">
        <is>
          <t>Electric motor, max</t>
        </is>
      </c>
      <c r="B4932">
        <v>0</v>
      </c>
    </row>
    <row r="4933">
      <c r="A4933" t="inlineStr">
        <is>
          <t>Combustion engine, mean</t>
        </is>
      </c>
      <c r="B4933">
        <v>146</v>
      </c>
    </row>
    <row r="4934">
      <c r="A4934" t="inlineStr">
        <is>
          <t>Combustion engine, min</t>
        </is>
      </c>
      <c r="B4934">
        <v>96</v>
      </c>
    </row>
    <row r="4935">
      <c r="A4935" t="inlineStr">
        <is>
          <t>Combustion engine, max</t>
        </is>
      </c>
      <c r="B4935">
        <v>168</v>
      </c>
    </row>
    <row r="4936">
      <c r="A4936" t="inlineStr">
        <is>
          <t>Fuel tank, mean</t>
        </is>
      </c>
      <c r="B4936">
        <v>48</v>
      </c>
    </row>
    <row r="4937">
      <c r="A4937" t="inlineStr">
        <is>
          <t>Fuel tank, min</t>
        </is>
      </c>
      <c r="B4937">
        <v>30</v>
      </c>
    </row>
    <row r="4938">
      <c r="A4938" t="inlineStr">
        <is>
          <t>Fuel tank, max</t>
        </is>
      </c>
      <c r="B4938">
        <v>48</v>
      </c>
    </row>
    <row r="4939">
      <c r="A4939" t="inlineStr">
        <is>
          <t>Battery capacity, mean</t>
        </is>
      </c>
      <c r="B4939">
        <v>0</v>
      </c>
    </row>
    <row r="4940">
      <c r="A4940" t="inlineStr">
        <is>
          <t>Battery capacity, min</t>
        </is>
      </c>
      <c r="B4940">
        <v>0</v>
      </c>
    </row>
    <row r="4941">
      <c r="A4941" t="inlineStr">
        <is>
          <t>Battery capacity, max</t>
        </is>
      </c>
      <c r="B4941">
        <v>0</v>
      </c>
    </row>
    <row r="4942">
      <c r="A4942" t="inlineStr">
        <is>
          <t>Battery replacement, mean</t>
        </is>
      </c>
      <c r="B4942">
        <v>0</v>
      </c>
    </row>
    <row r="4943">
      <c r="A4943" t="inlineStr">
        <is>
          <t>Battery replacement, min</t>
        </is>
      </c>
      <c r="B4943">
        <v>0</v>
      </c>
    </row>
    <row r="4944">
      <c r="A4944" t="inlineStr">
        <is>
          <t>Battery replacement, max</t>
        </is>
      </c>
      <c r="B4944">
        <v>0</v>
      </c>
    </row>
    <row r="4945">
      <c r="A4945" t="inlineStr">
        <is>
          <t>Fuel cell system, mean</t>
        </is>
      </c>
      <c r="B4945">
        <v>0</v>
      </c>
    </row>
    <row r="4946">
      <c r="A4946" t="inlineStr">
        <is>
          <t>Fuel cell system, min</t>
        </is>
      </c>
      <c r="B4946">
        <v>0</v>
      </c>
    </row>
    <row r="4947">
      <c r="A4947" t="inlineStr">
        <is>
          <t>Fuel cell system, max</t>
        </is>
      </c>
      <c r="B4947">
        <v>0</v>
      </c>
    </row>
    <row r="4948">
      <c r="A4948" t="inlineStr">
        <is>
          <t>Fuel cell stack replacement, mean</t>
        </is>
      </c>
      <c r="B4948">
        <v>0</v>
      </c>
    </row>
    <row r="4949">
      <c r="A4949" t="inlineStr">
        <is>
          <t>Fuel cell replacement, min</t>
        </is>
      </c>
      <c r="B4949">
        <v>0</v>
      </c>
    </row>
    <row r="4950">
      <c r="A4950" t="inlineStr">
        <is>
          <t>Fuel cell replacement, max</t>
        </is>
      </c>
      <c r="B4950">
        <v>0</v>
      </c>
    </row>
    <row r="4951">
      <c r="A4951" t="inlineStr">
        <is>
          <t>Onboard charger mass</t>
        </is>
      </c>
      <c r="B4951">
        <v>0</v>
      </c>
    </row>
    <row r="4952">
      <c r="A4952" t="inlineStr">
        <is>
          <t>Controller mass</t>
        </is>
      </c>
      <c r="B4952">
        <v>0</v>
      </c>
    </row>
    <row r="4953">
      <c r="A4953" t="inlineStr">
        <is>
          <t>Converter mass</t>
        </is>
      </c>
      <c r="B4953">
        <v>0</v>
      </c>
    </row>
    <row r="4954">
      <c r="A4954" t="inlineStr">
        <is>
          <t>Electrical powertrain mass</t>
        </is>
      </c>
      <c r="B4954">
        <v>0</v>
      </c>
    </row>
    <row r="4955">
      <c r="A4955" t="inlineStr">
        <is>
          <t>Inverter mass</t>
        </is>
      </c>
      <c r="B4955">
        <v>0</v>
      </c>
    </row>
    <row r="4956">
      <c r="A4956" t="inlineStr">
        <is>
          <t>NOx</t>
        </is>
      </c>
      <c r="B4956">
        <v>0.03</v>
      </c>
    </row>
    <row r="4957">
      <c r="A4957" t="inlineStr">
        <is>
          <t>PM 2.5</t>
        </is>
      </c>
      <c r="B4957">
        <v>0.000143099</v>
      </c>
    </row>
    <row r="4958">
      <c r="A4958" t="inlineStr">
        <is>
          <t>energy use source</t>
        </is>
      </c>
      <c r="B4958"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959">
      <c r="A4959" t="inlineStr">
        <is>
          <t>comment</t>
        </is>
      </c>
      <c r="B4959"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960">
      <c r="A4960" t="inlineStr">
        <is>
          <t>Exchanges</t>
        </is>
      </c>
    </row>
    <row r="4961">
      <c r="A4961" t="inlineStr">
        <is>
          <t>name</t>
        </is>
      </c>
      <c r="B4961" t="inlineStr">
        <is>
          <t>amount</t>
        </is>
      </c>
      <c r="C4961" t="inlineStr">
        <is>
          <t>location</t>
        </is>
      </c>
      <c r="D4961" t="inlineStr">
        <is>
          <t>unit</t>
        </is>
      </c>
      <c r="E4961" t="inlineStr">
        <is>
          <t>categories</t>
        </is>
      </c>
      <c r="F4961" t="inlineStr">
        <is>
          <t>type</t>
        </is>
      </c>
      <c r="G4961" t="inlineStr">
        <is>
          <t>reference product</t>
        </is>
      </c>
      <c r="H4961" t="inlineStr">
        <is>
          <t>comment</t>
        </is>
      </c>
      <c r="I4961" t="inlineStr">
        <is>
          <t>uncertainty type</t>
        </is>
      </c>
    </row>
    <row r="4962">
      <c r="A4962" t="inlineStr">
        <is>
          <t>bioethanol, from non-residual cellulosic biomass, burned in passenger car</t>
        </is>
      </c>
      <c r="B4962">
        <v>1.0</v>
      </c>
      <c r="C4962" t="inlineStr">
        <is>
          <t>RER</t>
        </is>
      </c>
      <c r="D4962" t="inlineStr">
        <is>
          <t>megajoule</t>
        </is>
      </c>
      <c r="F4962" t="inlineStr">
        <is>
          <t>production</t>
        </is>
      </c>
      <c r="G4962" t="inlineStr">
        <is>
          <t>heat</t>
        </is>
      </c>
      <c r="I4962">
        <v>0</v>
      </c>
    </row>
    <row r="4963">
      <c r="A4963" t="inlineStr">
        <is>
          <t>ethanol production, via fermentation, from eucalyptus</t>
        </is>
      </c>
      <c r="B4963">
        <v>0.03773584905660377</v>
      </c>
      <c r="C4963" t="inlineStr">
        <is>
          <t>ES</t>
        </is>
      </c>
      <c r="D4963" t="inlineStr">
        <is>
          <t>kilogram</t>
        </is>
      </c>
      <c r="F4963" t="inlineStr">
        <is>
          <t>technosphere</t>
        </is>
      </c>
      <c r="G4963" t="inlineStr">
        <is>
          <t>ethanol, from eucalyptus</t>
        </is>
      </c>
      <c r="I4963">
        <v>0</v>
      </c>
    </row>
    <row r="4964">
      <c r="A4964" t="inlineStr">
        <is>
          <t>treatment of brake wear emissions, passenger car</t>
        </is>
      </c>
      <c r="B4964">
        <v>-5.438002312680902e-06</v>
      </c>
      <c r="C4964" t="inlineStr">
        <is>
          <t>RER</t>
        </is>
      </c>
      <c r="D4964" t="inlineStr">
        <is>
          <t>kilogram</t>
        </is>
      </c>
      <c r="F4964" t="inlineStr">
        <is>
          <t>technosphere</t>
        </is>
      </c>
      <c r="G4964" t="inlineStr">
        <is>
          <t>brake wear emissions, passenger car</t>
        </is>
      </c>
      <c r="I4964">
        <v>0</v>
      </c>
    </row>
    <row r="4965">
      <c r="A4965" t="inlineStr">
        <is>
          <t>treatment of road wear emissions, passenger car</t>
        </is>
      </c>
      <c r="B4965">
        <v>-6.242977641245232e-06</v>
      </c>
      <c r="C4965" t="inlineStr">
        <is>
          <t>RER</t>
        </is>
      </c>
      <c r="D4965" t="inlineStr">
        <is>
          <t>kilogram</t>
        </is>
      </c>
      <c r="F4965" t="inlineStr">
        <is>
          <t>technosphere</t>
        </is>
      </c>
      <c r="G4965" t="inlineStr">
        <is>
          <t>road wear emissions, passenger car</t>
        </is>
      </c>
      <c r="I4965">
        <v>0</v>
      </c>
    </row>
    <row r="4966">
      <c r="A4966" t="inlineStr">
        <is>
          <t>treatment of tyre wear emissions, passenger car</t>
        </is>
      </c>
      <c r="B4966">
        <v>-7.228598070295418e-06</v>
      </c>
      <c r="C4966" t="inlineStr">
        <is>
          <t>RER</t>
        </is>
      </c>
      <c r="D4966" t="inlineStr">
        <is>
          <t>kilogram</t>
        </is>
      </c>
      <c r="F4966" t="inlineStr">
        <is>
          <t>technosphere</t>
        </is>
      </c>
      <c r="G4966" t="inlineStr">
        <is>
          <t>tyre wear emissions, passenger car</t>
        </is>
      </c>
      <c r="I4966">
        <v>0</v>
      </c>
    </row>
    <row r="4967">
      <c r="A4967" t="inlineStr">
        <is>
          <t>market for tetrafluoroethane, R134a</t>
        </is>
      </c>
      <c r="B4967">
        <v>2.4018034573062128e-06</v>
      </c>
      <c r="C4967" t="inlineStr">
        <is>
          <t>GLO</t>
        </is>
      </c>
      <c r="D4967" t="inlineStr">
        <is>
          <t>kilogram</t>
        </is>
      </c>
      <c r="F4967" t="inlineStr">
        <is>
          <t>technosphere</t>
        </is>
      </c>
      <c r="G4967" t="inlineStr">
        <is>
          <t>tetrafluoroethane, R134a</t>
        </is>
      </c>
      <c r="I4967">
        <v>0</v>
      </c>
    </row>
    <row r="4968">
      <c r="A4968" t="inlineStr">
        <is>
          <t>Toluene</t>
        </is>
      </c>
      <c r="B4968">
        <v>8.485774790285088e-08</v>
      </c>
      <c r="D4968" t="inlineStr">
        <is>
          <t>kilogram</t>
        </is>
      </c>
      <c r="E4968" t="inlineStr">
        <is>
          <t>air::non-urban air or from high stacks</t>
        </is>
      </c>
      <c r="F4968" t="inlineStr">
        <is>
          <t>biosphere</t>
        </is>
      </c>
      <c r="I4968">
        <v>0</v>
      </c>
    </row>
    <row r="4969">
      <c r="A4969" t="inlineStr">
        <is>
          <t>NMVOC, non-methane volatile organic compounds</t>
        </is>
      </c>
      <c r="B4969">
        <v>3.1778359610804548e-06</v>
      </c>
      <c r="D4969" t="inlineStr">
        <is>
          <t>kilogram</t>
        </is>
      </c>
      <c r="E4969" t="inlineStr">
        <is>
          <t>air::non-urban air or from high stacks</t>
        </is>
      </c>
      <c r="F4969" t="inlineStr">
        <is>
          <t>biosphere</t>
        </is>
      </c>
      <c r="I4969">
        <v>0</v>
      </c>
    </row>
    <row r="4970">
      <c r="A4970" t="inlineStr">
        <is>
          <t>Dinitrogen monoxide</t>
        </is>
      </c>
      <c r="B4970">
        <v>4.674883409401355e-08</v>
      </c>
      <c r="D4970" t="inlineStr">
        <is>
          <t>kilogram</t>
        </is>
      </c>
      <c r="E4970" t="inlineStr">
        <is>
          <t>air::non-urban air or from high stacks</t>
        </is>
      </c>
      <c r="F4970" t="inlineStr">
        <is>
          <t>biosphere</t>
        </is>
      </c>
      <c r="I4970">
        <v>0</v>
      </c>
    </row>
    <row r="4971">
      <c r="A4971" t="inlineStr">
        <is>
          <t>Ethane</t>
        </is>
      </c>
      <c r="B4971">
        <v>6.178202979323652e-07</v>
      </c>
      <c r="D4971" t="inlineStr">
        <is>
          <t>kilogram</t>
        </is>
      </c>
      <c r="E4971" t="inlineStr">
        <is>
          <t>air::urban air close to ground</t>
        </is>
      </c>
      <c r="F4971" t="inlineStr">
        <is>
          <t>biosphere</t>
        </is>
      </c>
      <c r="I4971">
        <v>0</v>
      </c>
    </row>
    <row r="4972">
      <c r="A4972" t="inlineStr">
        <is>
          <t>Pentane</t>
        </is>
      </c>
      <c r="B4972">
        <v>4.2475143382439017e-07</v>
      </c>
      <c r="D4972" t="inlineStr">
        <is>
          <t>kilogram</t>
        </is>
      </c>
      <c r="E4972" t="inlineStr">
        <is>
          <t>air::urban air close to ground</t>
        </is>
      </c>
      <c r="F4972" t="inlineStr">
        <is>
          <t>biosphere</t>
        </is>
      </c>
      <c r="I4972">
        <v>0</v>
      </c>
    </row>
    <row r="4973">
      <c r="A4973" t="inlineStr">
        <is>
          <t>Selenium IV</t>
        </is>
      </c>
      <c r="B4973">
        <v>2.6658564722165628e-12</v>
      </c>
      <c r="D4973" t="inlineStr">
        <is>
          <t>kilogram</t>
        </is>
      </c>
      <c r="E4973" t="inlineStr">
        <is>
          <t>air::non-urban air or from high stacks</t>
        </is>
      </c>
      <c r="F4973" t="inlineStr">
        <is>
          <t>biosphere</t>
        </is>
      </c>
      <c r="I4973">
        <v>0</v>
      </c>
    </row>
    <row r="4974">
      <c r="A4974" t="inlineStr">
        <is>
          <t>Arsenic ion</t>
        </is>
      </c>
      <c r="B4974">
        <v>4.001626718125109e-12</v>
      </c>
      <c r="D4974" t="inlineStr">
        <is>
          <t>kilogram</t>
        </is>
      </c>
      <c r="E4974" t="inlineStr">
        <is>
          <t>air::non-urban air or from high stacks</t>
        </is>
      </c>
      <c r="F4974" t="inlineStr">
        <is>
          <t>biosphere</t>
        </is>
      </c>
      <c r="I4974">
        <v>0</v>
      </c>
    </row>
    <row r="4975">
      <c r="A4975" t="inlineStr">
        <is>
          <t>Arsenic ion</t>
        </is>
      </c>
      <c r="B4975">
        <v>3.038373047003884e-12</v>
      </c>
      <c r="D4975" t="inlineStr">
        <is>
          <t>kilogram</t>
        </is>
      </c>
      <c r="E4975" t="inlineStr">
        <is>
          <t>air::urban air close to ground</t>
        </is>
      </c>
      <c r="F4975" t="inlineStr">
        <is>
          <t>biosphere</t>
        </is>
      </c>
      <c r="I4975">
        <v>0</v>
      </c>
    </row>
    <row r="4976">
      <c r="A4976" t="inlineStr">
        <is>
          <t>Propylene</t>
        </is>
      </c>
      <c r="B4976">
        <v>2.9314492534191425e-08</v>
      </c>
      <c r="D4976" t="inlineStr">
        <is>
          <t>kilogram</t>
        </is>
      </c>
      <c r="E4976" t="inlineStr">
        <is>
          <t>air::non-urban air or from high stacks</t>
        </is>
      </c>
      <c r="F4976" t="inlineStr">
        <is>
          <t>biosphere</t>
        </is>
      </c>
      <c r="I4976">
        <v>0</v>
      </c>
    </row>
    <row r="4977">
      <c r="A4977" t="inlineStr">
        <is>
          <t>Particulate Matter, &lt; 2.5 um</t>
        </is>
      </c>
      <c r="B4977">
        <v>2.3699093868880875e-07</v>
      </c>
      <c r="D4977" t="inlineStr">
        <is>
          <t>kilogram</t>
        </is>
      </c>
      <c r="E4977" t="inlineStr">
        <is>
          <t>air::urban air close to ground</t>
        </is>
      </c>
      <c r="F4977" t="inlineStr">
        <is>
          <t>biosphere</t>
        </is>
      </c>
      <c r="I4977">
        <v>0</v>
      </c>
    </row>
    <row r="4978">
      <c r="A4978" t="inlineStr">
        <is>
          <t>Nickel II</t>
        </is>
      </c>
      <c r="B4978">
        <v>3.069429555789392e-11</v>
      </c>
      <c r="D4978" t="inlineStr">
        <is>
          <t>kilogram</t>
        </is>
      </c>
      <c r="E4978" t="inlineStr">
        <is>
          <t>air::non-urban air or from high stacks</t>
        </is>
      </c>
      <c r="F4978" t="inlineStr">
        <is>
          <t>biosphere</t>
        </is>
      </c>
      <c r="I4978">
        <v>0</v>
      </c>
    </row>
    <row r="4979">
      <c r="A4979" t="inlineStr">
        <is>
          <t>Methane, fossil</t>
        </is>
      </c>
      <c r="B4979">
        <v>5.142891864640064e-07</v>
      </c>
      <c r="D4979" t="inlineStr">
        <is>
          <t>kilogram</t>
        </is>
      </c>
      <c r="E4979" t="inlineStr">
        <is>
          <t>air::non-urban air or from high stacks</t>
        </is>
      </c>
      <c r="F4979" t="inlineStr">
        <is>
          <t>biosphere</t>
        </is>
      </c>
      <c r="I4979">
        <v>0</v>
      </c>
    </row>
    <row r="4980">
      <c r="A4980" t="inlineStr">
        <is>
          <t>Mercury II</t>
        </is>
      </c>
      <c r="B4980">
        <v>1.1595623051201971e-10</v>
      </c>
      <c r="D4980" t="inlineStr">
        <is>
          <t>kilogram</t>
        </is>
      </c>
      <c r="E4980" t="inlineStr">
        <is>
          <t>air::non-urban air or from high stacks</t>
        </is>
      </c>
      <c r="F4980" t="inlineStr">
        <is>
          <t>biosphere</t>
        </is>
      </c>
      <c r="I4980">
        <v>0</v>
      </c>
    </row>
    <row r="4981">
      <c r="A4981" t="inlineStr">
        <is>
          <t>Ammonia</t>
        </is>
      </c>
      <c r="B4981">
        <v>1.8978800516687959e-06</v>
      </c>
      <c r="D4981" t="inlineStr">
        <is>
          <t>kilogram</t>
        </is>
      </c>
      <c r="E4981" t="inlineStr">
        <is>
          <t>air::non-urban air or from high stacks</t>
        </is>
      </c>
      <c r="F4981" t="inlineStr">
        <is>
          <t>biosphere</t>
        </is>
      </c>
      <c r="I4981">
        <v>0</v>
      </c>
    </row>
    <row r="4982">
      <c r="A4982" t="inlineStr">
        <is>
          <t>Ethane</t>
        </is>
      </c>
      <c r="B4982">
        <v>2.46858901080647e-08</v>
      </c>
      <c r="D4982" t="inlineStr">
        <is>
          <t>kilogram</t>
        </is>
      </c>
      <c r="E4982" t="inlineStr">
        <is>
          <t>air::non-urban air or from high stacks</t>
        </is>
      </c>
      <c r="F4982" t="inlineStr">
        <is>
          <t>biosphere</t>
        </is>
      </c>
      <c r="I4982">
        <v>0</v>
      </c>
    </row>
    <row r="4983">
      <c r="A4983" t="inlineStr">
        <is>
          <t>Nickel II</t>
        </is>
      </c>
      <c r="B4983">
        <v>2.33057020978785e-11</v>
      </c>
      <c r="D4983" t="inlineStr">
        <is>
          <t>kilogram</t>
        </is>
      </c>
      <c r="E4983" t="inlineStr">
        <is>
          <t>air::urban air close to ground</t>
        </is>
      </c>
      <c r="F4983" t="inlineStr">
        <is>
          <t>biosphere</t>
        </is>
      </c>
      <c r="I4983">
        <v>0</v>
      </c>
    </row>
    <row r="4984">
      <c r="A4984" t="inlineStr">
        <is>
          <t>Cadmium II</t>
        </is>
      </c>
      <c r="B4984">
        <v>2.6658564722165628e-12</v>
      </c>
      <c r="D4984" t="inlineStr">
        <is>
          <t>kilogram</t>
        </is>
      </c>
      <c r="E4984" t="inlineStr">
        <is>
          <t>air::non-urban air or from high stacks</t>
        </is>
      </c>
      <c r="F4984" t="inlineStr">
        <is>
          <t>biosphere</t>
        </is>
      </c>
      <c r="I4984">
        <v>0</v>
      </c>
    </row>
    <row r="4985">
      <c r="A4985" t="inlineStr">
        <is>
          <t>Ammonia</t>
        </is>
      </c>
      <c r="B4985">
        <v>1.4410307235331609e-06</v>
      </c>
      <c r="D4985" t="inlineStr">
        <is>
          <t>kilogram</t>
        </is>
      </c>
      <c r="E4985" t="inlineStr">
        <is>
          <t>air::urban air close to ground</t>
        </is>
      </c>
      <c r="F4985" t="inlineStr">
        <is>
          <t>biosphere</t>
        </is>
      </c>
      <c r="I4985">
        <v>0</v>
      </c>
    </row>
    <row r="4986">
      <c r="A4986" t="inlineStr">
        <is>
          <t>Butane</t>
        </is>
      </c>
      <c r="B4986">
        <v>4.0114570112848195e-08</v>
      </c>
      <c r="D4986" t="inlineStr">
        <is>
          <t>kilogram</t>
        </is>
      </c>
      <c r="E4986" t="inlineStr">
        <is>
          <t>air::non-urban air or from high stacks</t>
        </is>
      </c>
      <c r="F4986" t="inlineStr">
        <is>
          <t>biosphere</t>
        </is>
      </c>
      <c r="I4986">
        <v>0</v>
      </c>
    </row>
    <row r="4987">
      <c r="A4987" t="inlineStr">
        <is>
          <t>PAH, polycyclic aromatic hydrocarbons</t>
        </is>
      </c>
      <c r="B4987">
        <v>3.5346981515115725e-10</v>
      </c>
      <c r="D4987" t="inlineStr">
        <is>
          <t>kilogram</t>
        </is>
      </c>
      <c r="E4987" t="inlineStr">
        <is>
          <t>air::urban air close to ground</t>
        </is>
      </c>
      <c r="F4987" t="inlineStr">
        <is>
          <t>biosphere</t>
        </is>
      </c>
      <c r="I4987">
        <v>0</v>
      </c>
    </row>
    <row r="4988">
      <c r="A4988" t="inlineStr">
        <is>
          <t>Copper ion</t>
        </is>
      </c>
      <c r="B4988">
        <v>6.025176924783301e-11</v>
      </c>
      <c r="D4988" t="inlineStr">
        <is>
          <t>kilogram</t>
        </is>
      </c>
      <c r="E4988" t="inlineStr">
        <is>
          <t>air::non-urban air or from high stacks</t>
        </is>
      </c>
      <c r="F4988" t="inlineStr">
        <is>
          <t>biosphere</t>
        </is>
      </c>
      <c r="I4988">
        <v>0</v>
      </c>
    </row>
    <row r="4989">
      <c r="A4989" t="inlineStr">
        <is>
          <t>Nitrogen oxides</t>
        </is>
      </c>
      <c r="B4989">
        <v>8.487546844117613e-06</v>
      </c>
      <c r="D4989" t="inlineStr">
        <is>
          <t>kilogram</t>
        </is>
      </c>
      <c r="E4989" t="inlineStr">
        <is>
          <t>air::non-urban air or from high stacks</t>
        </is>
      </c>
      <c r="F4989" t="inlineStr">
        <is>
          <t>biosphere</t>
        </is>
      </c>
      <c r="I4989">
        <v>0</v>
      </c>
    </row>
    <row r="4990">
      <c r="A4990" t="inlineStr">
        <is>
          <t>Hexane</t>
        </is>
      </c>
      <c r="B4990">
        <v>3.089101489661827e-07</v>
      </c>
      <c r="D4990" t="inlineStr">
        <is>
          <t>kilogram</t>
        </is>
      </c>
      <c r="E4990" t="inlineStr">
        <is>
          <t>air::urban air close to ground</t>
        </is>
      </c>
      <c r="F4990" t="inlineStr">
        <is>
          <t>biosphere</t>
        </is>
      </c>
      <c r="I4990">
        <v>0</v>
      </c>
    </row>
    <row r="4991">
      <c r="A4991" t="inlineStr">
        <is>
          <t>Butane</t>
        </is>
      </c>
      <c r="B4991">
        <v>1.0039579421318718e-06</v>
      </c>
      <c r="D4991" t="inlineStr">
        <is>
          <t>kilogram</t>
        </is>
      </c>
      <c r="E4991" t="inlineStr">
        <is>
          <t>air::urban air close to ground</t>
        </is>
      </c>
      <c r="F4991" t="inlineStr">
        <is>
          <t>biosphere</t>
        </is>
      </c>
      <c r="I4991">
        <v>0</v>
      </c>
    </row>
    <row r="4992">
      <c r="A4992" t="inlineStr">
        <is>
          <t>Copper ion</t>
        </is>
      </c>
      <c r="B4992">
        <v>4.57482306137567e-11</v>
      </c>
      <c r="D4992" t="inlineStr">
        <is>
          <t>kilogram</t>
        </is>
      </c>
      <c r="E4992" t="inlineStr">
        <is>
          <t>air::urban air close to ground</t>
        </is>
      </c>
      <c r="F4992" t="inlineStr">
        <is>
          <t>biosphere</t>
        </is>
      </c>
      <c r="I4992">
        <v>0</v>
      </c>
    </row>
    <row r="4993">
      <c r="A4993" t="inlineStr">
        <is>
          <t>Chromium III</t>
        </is>
      </c>
      <c r="B4993">
        <v>6.387488609167662e-11</v>
      </c>
      <c r="D4993" t="inlineStr">
        <is>
          <t>kilogram</t>
        </is>
      </c>
      <c r="E4993" t="inlineStr">
        <is>
          <t>air::urban air close to ground</t>
        </is>
      </c>
      <c r="F4993" t="inlineStr">
        <is>
          <t>biosphere</t>
        </is>
      </c>
      <c r="I4993">
        <v>0</v>
      </c>
    </row>
    <row r="4994">
      <c r="A4994" t="inlineStr">
        <is>
          <t>Propane</t>
        </is>
      </c>
      <c r="B4994">
        <v>1.351481901727049e-07</v>
      </c>
      <c r="D4994" t="inlineStr">
        <is>
          <t>kilogram</t>
        </is>
      </c>
      <c r="E4994" t="inlineStr">
        <is>
          <t>air::urban air close to ground</t>
        </is>
      </c>
      <c r="F4994" t="inlineStr">
        <is>
          <t>biosphere</t>
        </is>
      </c>
      <c r="I4994">
        <v>0</v>
      </c>
    </row>
    <row r="4995">
      <c r="A4995" t="inlineStr">
        <is>
          <t>Toluene</t>
        </is>
      </c>
      <c r="B4995">
        <v>2.1237572531383947e-06</v>
      </c>
      <c r="D4995" t="inlineStr">
        <is>
          <t>kilogram</t>
        </is>
      </c>
      <c r="E4995" t="inlineStr">
        <is>
          <t>air::urban air close to ground</t>
        </is>
      </c>
      <c r="F4995" t="inlineStr">
        <is>
          <t>biosphere</t>
        </is>
      </c>
      <c r="I4995">
        <v>0</v>
      </c>
    </row>
    <row r="4996">
      <c r="A4996" t="inlineStr">
        <is>
          <t>Dinitrogen monoxide</t>
        </is>
      </c>
      <c r="B4996">
        <v>3.5495663709460686e-08</v>
      </c>
      <c r="D4996" t="inlineStr">
        <is>
          <t>kilogram</t>
        </is>
      </c>
      <c r="E4996" t="inlineStr">
        <is>
          <t>air::urban air close to ground</t>
        </is>
      </c>
      <c r="F4996" t="inlineStr">
        <is>
          <t>biosphere</t>
        </is>
      </c>
      <c r="I4996">
        <v>0</v>
      </c>
    </row>
    <row r="4997">
      <c r="A4997" t="inlineStr">
        <is>
          <t>Zinc II</t>
        </is>
      </c>
      <c r="B4997">
        <v>3.3447998609123704e-10</v>
      </c>
      <c r="D4997" t="inlineStr">
        <is>
          <t>kilogram</t>
        </is>
      </c>
      <c r="E4997" t="inlineStr">
        <is>
          <t>air::urban air close to ground</t>
        </is>
      </c>
      <c r="F4997" t="inlineStr">
        <is>
          <t>biosphere</t>
        </is>
      </c>
      <c r="I4997">
        <v>0</v>
      </c>
    </row>
    <row r="4998">
      <c r="A4998" t="inlineStr">
        <is>
          <t>Chromium VI</t>
        </is>
      </c>
      <c r="B4998">
        <v>1.6825022521085002e-13</v>
      </c>
      <c r="D4998" t="inlineStr">
        <is>
          <t>kilogram</t>
        </is>
      </c>
      <c r="E4998" t="inlineStr">
        <is>
          <t>air::non-urban air or from high stacks</t>
        </is>
      </c>
      <c r="F4998" t="inlineStr">
        <is>
          <t>biosphere</t>
        </is>
      </c>
      <c r="I4998">
        <v>0</v>
      </c>
    </row>
    <row r="4999">
      <c r="A4999" t="inlineStr">
        <is>
          <t>Benzene</t>
        </is>
      </c>
      <c r="B4999">
        <v>3.53245327151087e-08</v>
      </c>
      <c r="D4999" t="inlineStr">
        <is>
          <t>kilogram</t>
        </is>
      </c>
      <c r="E4999" t="inlineStr">
        <is>
          <t>air::non-urban air or from high stacks</t>
        </is>
      </c>
      <c r="F4999" t="inlineStr">
        <is>
          <t>biosphere</t>
        </is>
      </c>
      <c r="I4999">
        <v>0</v>
      </c>
    </row>
    <row r="5000">
      <c r="A5000" t="inlineStr">
        <is>
          <t>Carbon monoxide, fossil</t>
        </is>
      </c>
      <c r="B5000">
        <v>0.0001087694681937128</v>
      </c>
      <c r="D5000" t="inlineStr">
        <is>
          <t>kilogram</t>
        </is>
      </c>
      <c r="E5000" t="inlineStr">
        <is>
          <t>air::non-urban air or from high stacks</t>
        </is>
      </c>
      <c r="F5000" t="inlineStr">
        <is>
          <t>biosphere</t>
        </is>
      </c>
      <c r="I5000">
        <v>0</v>
      </c>
    </row>
    <row r="5001">
      <c r="A5001" t="inlineStr">
        <is>
          <t>Chromium VI</t>
        </is>
      </c>
      <c r="B5001">
        <v>1.2774977274422347e-13</v>
      </c>
      <c r="D5001" t="inlineStr">
        <is>
          <t>kilogram</t>
        </is>
      </c>
      <c r="E5001" t="inlineStr">
        <is>
          <t>air::urban air close to ground</t>
        </is>
      </c>
      <c r="F5001" t="inlineStr">
        <is>
          <t>biosphere</t>
        </is>
      </c>
      <c r="I5001">
        <v>0</v>
      </c>
    </row>
    <row r="5002">
      <c r="A5002" t="inlineStr">
        <is>
          <t>Methane, fossil</t>
        </is>
      </c>
      <c r="B5002">
        <v>1.4737951202945778e-06</v>
      </c>
      <c r="D5002" t="inlineStr">
        <is>
          <t>kilogram</t>
        </is>
      </c>
      <c r="E5002" t="inlineStr">
        <is>
          <t>air::urban air close to ground</t>
        </is>
      </c>
      <c r="F5002" t="inlineStr">
        <is>
          <t>biosphere</t>
        </is>
      </c>
      <c r="I5002">
        <v>0</v>
      </c>
    </row>
    <row r="5003">
      <c r="A5003" t="inlineStr">
        <is>
          <t>Sulfur dioxide</t>
        </is>
      </c>
      <c r="B5003">
        <v>3.7723729745496776e-07</v>
      </c>
      <c r="D5003" t="inlineStr">
        <is>
          <t>kilogram</t>
        </is>
      </c>
      <c r="E5003" t="inlineStr">
        <is>
          <t>air</t>
        </is>
      </c>
      <c r="F5003" t="inlineStr">
        <is>
          <t>biosphere</t>
        </is>
      </c>
      <c r="I5003">
        <v>0</v>
      </c>
    </row>
    <row r="5004">
      <c r="A5004" t="inlineStr">
        <is>
          <t>NMVOC, non-methane volatile organic compounds</t>
        </is>
      </c>
      <c r="B5004">
        <v>1.9676329903559775e-05</v>
      </c>
      <c r="D5004" t="inlineStr">
        <is>
          <t>kilogram</t>
        </is>
      </c>
      <c r="E5004" t="inlineStr">
        <is>
          <t>air::urban air close to ground</t>
        </is>
      </c>
      <c r="F5004" t="inlineStr">
        <is>
          <t>biosphere</t>
        </is>
      </c>
      <c r="I5004">
        <v>0</v>
      </c>
    </row>
    <row r="5005">
      <c r="A5005" t="inlineStr">
        <is>
          <t>Formaldehyde</t>
        </is>
      </c>
      <c r="B5005">
        <v>3.282170227745136e-07</v>
      </c>
      <c r="D5005" t="inlineStr">
        <is>
          <t>kilogram</t>
        </is>
      </c>
      <c r="E5005" t="inlineStr">
        <is>
          <t>air::urban air close to ground</t>
        </is>
      </c>
      <c r="F5005" t="inlineStr">
        <is>
          <t>biosphere</t>
        </is>
      </c>
      <c r="I5005">
        <v>0</v>
      </c>
    </row>
    <row r="5006">
      <c r="A5006" t="inlineStr">
        <is>
          <t>Nitrogen oxides</t>
        </is>
      </c>
      <c r="B5006">
        <v>1.1323855960379002e-05</v>
      </c>
      <c r="D5006" t="inlineStr">
        <is>
          <t>kilogram</t>
        </is>
      </c>
      <c r="E5006" t="inlineStr">
        <is>
          <t>air::urban air close to ground</t>
        </is>
      </c>
      <c r="F5006" t="inlineStr">
        <is>
          <t>biosphere</t>
        </is>
      </c>
      <c r="I5006">
        <v>0</v>
      </c>
    </row>
    <row r="5007">
      <c r="A5007" t="inlineStr">
        <is>
          <t>Formaldehyde</t>
        </is>
      </c>
      <c r="B5007">
        <v>1.3114378791720136e-08</v>
      </c>
      <c r="D5007" t="inlineStr">
        <is>
          <t>kilogram</t>
        </is>
      </c>
      <c r="E5007" t="inlineStr">
        <is>
          <t>air::non-urban air or from high stacks</t>
        </is>
      </c>
      <c r="F5007" t="inlineStr">
        <is>
          <t>biosphere</t>
        </is>
      </c>
      <c r="I5007">
        <v>0</v>
      </c>
    </row>
    <row r="5008">
      <c r="A5008" t="inlineStr">
        <is>
          <t>Zinc II</t>
        </is>
      </c>
      <c r="B5008">
        <v>4.4051995837597756e-10</v>
      </c>
      <c r="D5008" t="inlineStr">
        <is>
          <t>kilogram</t>
        </is>
      </c>
      <c r="E5008" t="inlineStr">
        <is>
          <t>air::non-urban air or from high stacks</t>
        </is>
      </c>
      <c r="F5008" t="inlineStr">
        <is>
          <t>biosphere</t>
        </is>
      </c>
      <c r="I5008">
        <v>0</v>
      </c>
    </row>
    <row r="5009">
      <c r="A5009" t="inlineStr">
        <is>
          <t>Carbon monoxide, fossil</t>
        </is>
      </c>
      <c r="B5009">
        <v>0.00020171446470292127</v>
      </c>
      <c r="D5009" t="inlineStr">
        <is>
          <t>kilogram</t>
        </is>
      </c>
      <c r="E5009" t="inlineStr">
        <is>
          <t>air::urban air close to ground</t>
        </is>
      </c>
      <c r="F5009" t="inlineStr">
        <is>
          <t>biosphere</t>
        </is>
      </c>
      <c r="I5009">
        <v>0</v>
      </c>
    </row>
    <row r="5010">
      <c r="A5010" t="inlineStr">
        <is>
          <t>m-Xylene</t>
        </is>
      </c>
      <c r="B5010">
        <v>1.0425717317567554e-06</v>
      </c>
      <c r="D5010" t="inlineStr">
        <is>
          <t>kilogram</t>
        </is>
      </c>
      <c r="E5010" t="inlineStr">
        <is>
          <t>air::urban air close to ground</t>
        </is>
      </c>
      <c r="F5010" t="inlineStr">
        <is>
          <t>biosphere</t>
        </is>
      </c>
      <c r="I5010">
        <v>0</v>
      </c>
    </row>
    <row r="5011">
      <c r="A5011" t="inlineStr">
        <is>
          <t>PAH, polycyclic aromatic hydrocarbons</t>
        </is>
      </c>
      <c r="B5011">
        <v>4.655301522860326e-10</v>
      </c>
      <c r="D5011" t="inlineStr">
        <is>
          <t>kilogram</t>
        </is>
      </c>
      <c r="E5011" t="inlineStr">
        <is>
          <t>air::non-urban air or from high stacks</t>
        </is>
      </c>
      <c r="F5011" t="inlineStr">
        <is>
          <t>biosphere</t>
        </is>
      </c>
      <c r="I5011">
        <v>0</v>
      </c>
    </row>
    <row r="5012">
      <c r="A5012" t="inlineStr">
        <is>
          <t>Particulate Matter, &lt; 2.5 um</t>
        </is>
      </c>
      <c r="B5012">
        <v>3.1212402999812946e-07</v>
      </c>
      <c r="D5012" t="inlineStr">
        <is>
          <t>kilogram</t>
        </is>
      </c>
      <c r="E5012" t="inlineStr">
        <is>
          <t>air::non-urban air or from high stacks</t>
        </is>
      </c>
      <c r="F5012" t="inlineStr">
        <is>
          <t>biosphere</t>
        </is>
      </c>
      <c r="I5012">
        <v>0</v>
      </c>
    </row>
    <row r="5013">
      <c r="A5013" t="inlineStr">
        <is>
          <t>Pentane</t>
        </is>
      </c>
      <c r="B5013">
        <v>1.697155010567295e-08</v>
      </c>
      <c r="D5013" t="inlineStr">
        <is>
          <t>kilogram</t>
        </is>
      </c>
      <c r="E5013" t="inlineStr">
        <is>
          <t>air::non-urban air or from high stacks</t>
        </is>
      </c>
      <c r="F5013" t="inlineStr">
        <is>
          <t>biosphere</t>
        </is>
      </c>
      <c r="I5013">
        <v>0</v>
      </c>
    </row>
    <row r="5014">
      <c r="A5014" t="inlineStr">
        <is>
          <t>1,1,1,2-Tetrafluoroethane</t>
        </is>
      </c>
      <c r="B5014">
        <v>1.3856558213651742e-06</v>
      </c>
      <c r="D5014" t="inlineStr">
        <is>
          <t>kilogram</t>
        </is>
      </c>
      <c r="E5014" t="inlineStr">
        <is>
          <t>air</t>
        </is>
      </c>
      <c r="F5014" t="inlineStr">
        <is>
          <t>biosphere</t>
        </is>
      </c>
      <c r="I5014">
        <v>0</v>
      </c>
    </row>
    <row r="5015">
      <c r="A5015" t="inlineStr">
        <is>
          <t>Acetaldehyde</t>
        </is>
      </c>
      <c r="B5015">
        <v>1.544550744830913e-07</v>
      </c>
      <c r="D5015" t="inlineStr">
        <is>
          <t>kilogram</t>
        </is>
      </c>
      <c r="E5015" t="inlineStr">
        <is>
          <t>air::urban air close to ground</t>
        </is>
      </c>
      <c r="F5015" t="inlineStr">
        <is>
          <t>biosphere</t>
        </is>
      </c>
      <c r="I5015">
        <v>0</v>
      </c>
    </row>
    <row r="5016">
      <c r="A5016" t="inlineStr">
        <is>
          <t>Benzene</t>
        </is>
      </c>
      <c r="B5016">
        <v>1.4380293200880646e-06</v>
      </c>
      <c r="D5016" t="inlineStr">
        <is>
          <t>kilogram</t>
        </is>
      </c>
      <c r="E5016" t="inlineStr">
        <is>
          <t>air::urban air close to ground</t>
        </is>
      </c>
      <c r="F5016" t="inlineStr">
        <is>
          <t>biosphere</t>
        </is>
      </c>
      <c r="I5016">
        <v>0</v>
      </c>
    </row>
    <row r="5017">
      <c r="A5017" t="inlineStr">
        <is>
          <t>Mercury II</t>
        </is>
      </c>
      <c r="B5017">
        <v>8.804375664359864e-11</v>
      </c>
      <c r="D5017" t="inlineStr">
        <is>
          <t>kilogram</t>
        </is>
      </c>
      <c r="E5017" t="inlineStr">
        <is>
          <t>air::urban air close to ground</t>
        </is>
      </c>
      <c r="F5017" t="inlineStr">
        <is>
          <t>biosphere</t>
        </is>
      </c>
      <c r="I5017">
        <v>0</v>
      </c>
    </row>
    <row r="5018">
      <c r="A5018" t="inlineStr">
        <is>
          <t>Cadmium II</t>
        </is>
      </c>
      <c r="B5018">
        <v>2.0241433189600118e-12</v>
      </c>
      <c r="D5018" t="inlineStr">
        <is>
          <t>kilogram</t>
        </is>
      </c>
      <c r="E5018" t="inlineStr">
        <is>
          <t>air::urban air close to ground</t>
        </is>
      </c>
      <c r="F5018" t="inlineStr">
        <is>
          <t>biosphere</t>
        </is>
      </c>
      <c r="I5018">
        <v>0</v>
      </c>
    </row>
    <row r="5019">
      <c r="A5019" t="inlineStr">
        <is>
          <t>Propane</t>
        </is>
      </c>
      <c r="B5019">
        <v>5.4000384611391535e-09</v>
      </c>
      <c r="D5019" t="inlineStr">
        <is>
          <t>kilogram</t>
        </is>
      </c>
      <c r="E5019" t="inlineStr">
        <is>
          <t>air::non-urban air or from high stacks</t>
        </is>
      </c>
      <c r="F5019" t="inlineStr">
        <is>
          <t>biosphere</t>
        </is>
      </c>
      <c r="I5019">
        <v>0</v>
      </c>
    </row>
    <row r="5020">
      <c r="A5020" t="inlineStr">
        <is>
          <t>Chromium III</t>
        </is>
      </c>
      <c r="B5020">
        <v>8.412510539423576e-11</v>
      </c>
      <c r="D5020" t="inlineStr">
        <is>
          <t>kilogram</t>
        </is>
      </c>
      <c r="E5020" t="inlineStr">
        <is>
          <t>air::non-urban air or from high stacks</t>
        </is>
      </c>
      <c r="F5020" t="inlineStr">
        <is>
          <t>biosphere</t>
        </is>
      </c>
      <c r="I5020">
        <v>0</v>
      </c>
    </row>
    <row r="5021">
      <c r="A5021" t="inlineStr">
        <is>
          <t>1-Pentene</t>
        </is>
      </c>
      <c r="B5021">
        <v>1.9306884310386414e-08</v>
      </c>
      <c r="D5021" t="inlineStr">
        <is>
          <t>kilogram</t>
        </is>
      </c>
      <c r="E5021" t="inlineStr">
        <is>
          <t>air::urban air close to ground</t>
        </is>
      </c>
      <c r="F5021" t="inlineStr">
        <is>
          <t>biosphere</t>
        </is>
      </c>
      <c r="I5021">
        <v>0</v>
      </c>
    </row>
    <row r="5022">
      <c r="A5022" t="inlineStr">
        <is>
          <t>Acetone</t>
        </is>
      </c>
      <c r="B5022">
        <v>1.158413058623185e-07</v>
      </c>
      <c r="D5022" t="inlineStr">
        <is>
          <t>kilogram</t>
        </is>
      </c>
      <c r="E5022" t="inlineStr">
        <is>
          <t>air::urban air close to ground</t>
        </is>
      </c>
      <c r="F5022" t="inlineStr">
        <is>
          <t>biosphere</t>
        </is>
      </c>
      <c r="I5022">
        <v>0</v>
      </c>
    </row>
    <row r="5023">
      <c r="A5023" t="inlineStr">
        <is>
          <t>Acrolein</t>
        </is>
      </c>
      <c r="B5023">
        <v>3.861376862077283e-08</v>
      </c>
      <c r="D5023" t="inlineStr">
        <is>
          <t>kilogram</t>
        </is>
      </c>
      <c r="E5023" t="inlineStr">
        <is>
          <t>air::urban air close to ground</t>
        </is>
      </c>
      <c r="F5023" t="inlineStr">
        <is>
          <t>biosphere</t>
        </is>
      </c>
      <c r="I5023">
        <v>0</v>
      </c>
    </row>
    <row r="5024">
      <c r="A5024" t="inlineStr">
        <is>
          <t>Benzaldehyde</t>
        </is>
      </c>
      <c r="B5024">
        <v>3.861376862077283e-08</v>
      </c>
      <c r="D5024" t="inlineStr">
        <is>
          <t>kilogram</t>
        </is>
      </c>
      <c r="E5024" t="inlineStr">
        <is>
          <t>air::urban air close to ground</t>
        </is>
      </c>
      <c r="F5024" t="inlineStr">
        <is>
          <t>biosphere</t>
        </is>
      </c>
      <c r="I5024">
        <v>0</v>
      </c>
    </row>
    <row r="5025">
      <c r="A5025" t="inlineStr">
        <is>
          <t>Cyclohexane</t>
        </is>
      </c>
      <c r="B5025">
        <v>2.1237571691219508e-07</v>
      </c>
      <c r="D5025" t="inlineStr">
        <is>
          <t>kilogram</t>
        </is>
      </c>
      <c r="E5025" t="inlineStr">
        <is>
          <t>air::urban air close to ground</t>
        </is>
      </c>
      <c r="F5025" t="inlineStr">
        <is>
          <t>biosphere</t>
        </is>
      </c>
      <c r="I5025">
        <v>0</v>
      </c>
    </row>
    <row r="5026">
      <c r="A5026" t="inlineStr">
        <is>
          <t>Heptane</t>
        </is>
      </c>
      <c r="B5026">
        <v>1.351481901727049e-07</v>
      </c>
      <c r="D5026" t="inlineStr">
        <is>
          <t>kilogram</t>
        </is>
      </c>
      <c r="E5026" t="inlineStr">
        <is>
          <t>air::urban air close to ground</t>
        </is>
      </c>
      <c r="F5026" t="inlineStr">
        <is>
          <t>biosphere</t>
        </is>
      </c>
      <c r="I5026">
        <v>0</v>
      </c>
    </row>
    <row r="5027">
      <c r="A5027" t="inlineStr">
        <is>
          <t>Methyl ethyl ketone</t>
        </is>
      </c>
      <c r="B5027">
        <v>1.9306884310386414e-08</v>
      </c>
      <c r="D5027" t="inlineStr">
        <is>
          <t>kilogram</t>
        </is>
      </c>
      <c r="E5027" t="inlineStr">
        <is>
          <t>air::urban air close to ground</t>
        </is>
      </c>
      <c r="F5027" t="inlineStr">
        <is>
          <t>biosphere</t>
        </is>
      </c>
      <c r="I5027">
        <v>0</v>
      </c>
    </row>
    <row r="5028">
      <c r="A5028" t="inlineStr">
        <is>
          <t>o-Xylene</t>
        </is>
      </c>
      <c r="B5028">
        <v>4.4405832863683197e-07</v>
      </c>
      <c r="D5028" t="inlineStr">
        <is>
          <t>kilogram</t>
        </is>
      </c>
      <c r="E5028" t="inlineStr">
        <is>
          <t>air::urban air close to ground</t>
        </is>
      </c>
      <c r="F5028" t="inlineStr">
        <is>
          <t>biosphere</t>
        </is>
      </c>
      <c r="I5028">
        <v>0</v>
      </c>
    </row>
    <row r="5029">
      <c r="A5029" t="inlineStr">
        <is>
          <t>Propylene</t>
        </is>
      </c>
      <c r="B5029">
        <v>7.33661582790573e-07</v>
      </c>
      <c r="D5029" t="inlineStr">
        <is>
          <t>kilogram</t>
        </is>
      </c>
      <c r="E5029" t="inlineStr">
        <is>
          <t>air::urban air close to ground</t>
        </is>
      </c>
      <c r="F5029" t="inlineStr">
        <is>
          <t>biosphere</t>
        </is>
      </c>
      <c r="I5029">
        <v>0</v>
      </c>
    </row>
    <row r="5030">
      <c r="A5030" t="inlineStr">
        <is>
          <t>Selenium IV</t>
        </is>
      </c>
      <c r="B5030">
        <v>2.0241433189600118e-12</v>
      </c>
      <c r="D5030" t="inlineStr">
        <is>
          <t>kilogram</t>
        </is>
      </c>
      <c r="E5030" t="inlineStr">
        <is>
          <t>air::urban air close to ground</t>
        </is>
      </c>
      <c r="F5030" t="inlineStr">
        <is>
          <t>biosphere</t>
        </is>
      </c>
      <c r="I5030">
        <v>0</v>
      </c>
    </row>
    <row r="5031">
      <c r="A5031" t="inlineStr">
        <is>
          <t>Styrene</t>
        </is>
      </c>
      <c r="B5031">
        <v>1.9306884310386417e-07</v>
      </c>
      <c r="D5031" t="inlineStr">
        <is>
          <t>kilogram</t>
        </is>
      </c>
      <c r="E5031" t="inlineStr">
        <is>
          <t>air::urban air close to ground</t>
        </is>
      </c>
      <c r="F5031" t="inlineStr">
        <is>
          <t>biosphere</t>
        </is>
      </c>
      <c r="I5031">
        <v>0</v>
      </c>
    </row>
    <row r="5032">
      <c r="A5032" t="inlineStr">
        <is>
          <t>1-Pentene</t>
        </is>
      </c>
      <c r="B5032">
        <v>7.714340658770217e-10</v>
      </c>
      <c r="D5032" t="inlineStr">
        <is>
          <t>kilogram</t>
        </is>
      </c>
      <c r="E5032" t="inlineStr">
        <is>
          <t>air::non-urban air or from high stacks</t>
        </is>
      </c>
      <c r="F5032" t="inlineStr">
        <is>
          <t>biosphere</t>
        </is>
      </c>
      <c r="I5032">
        <v>0</v>
      </c>
    </row>
    <row r="5033">
      <c r="A5033" t="inlineStr">
        <is>
          <t>Acetaldehyde</t>
        </is>
      </c>
      <c r="B5033">
        <v>6.171472527016175e-09</v>
      </c>
      <c r="D5033" t="inlineStr">
        <is>
          <t>kilogram</t>
        </is>
      </c>
      <c r="E5033" t="inlineStr">
        <is>
          <t>air::non-urban air or from high stacks</t>
        </is>
      </c>
      <c r="F5033" t="inlineStr">
        <is>
          <t>biosphere</t>
        </is>
      </c>
      <c r="I5033">
        <v>0</v>
      </c>
    </row>
    <row r="5034">
      <c r="A5034" t="inlineStr">
        <is>
          <t>Acetone</t>
        </is>
      </c>
      <c r="B5034">
        <v>4.628604395262132e-09</v>
      </c>
      <c r="D5034" t="inlineStr">
        <is>
          <t>kilogram</t>
        </is>
      </c>
      <c r="E5034" t="inlineStr">
        <is>
          <t>air::non-urban air or from high stacks</t>
        </is>
      </c>
      <c r="F5034" t="inlineStr">
        <is>
          <t>biosphere</t>
        </is>
      </c>
      <c r="I5034">
        <v>0</v>
      </c>
    </row>
    <row r="5035">
      <c r="A5035" t="inlineStr">
        <is>
          <t>Acrolein</t>
        </is>
      </c>
      <c r="B5035">
        <v>1.542868131754044e-09</v>
      </c>
      <c r="D5035" t="inlineStr">
        <is>
          <t>kilogram</t>
        </is>
      </c>
      <c r="E5035" t="inlineStr">
        <is>
          <t>air::non-urban air or from high stacks</t>
        </is>
      </c>
      <c r="F5035" t="inlineStr">
        <is>
          <t>biosphere</t>
        </is>
      </c>
      <c r="I5035">
        <v>0</v>
      </c>
    </row>
    <row r="5036">
      <c r="A5036" t="inlineStr">
        <is>
          <t>Benzaldehyde</t>
        </is>
      </c>
      <c r="B5036">
        <v>1.542868131754044e-09</v>
      </c>
      <c r="D5036" t="inlineStr">
        <is>
          <t>kilogram</t>
        </is>
      </c>
      <c r="E5036" t="inlineStr">
        <is>
          <t>air::non-urban air or from high stacks</t>
        </is>
      </c>
      <c r="F5036" t="inlineStr">
        <is>
          <t>biosphere</t>
        </is>
      </c>
      <c r="I5036">
        <v>0</v>
      </c>
    </row>
    <row r="5037">
      <c r="A5037" t="inlineStr">
        <is>
          <t>Cyclohexane</t>
        </is>
      </c>
      <c r="B5037">
        <v>8.485775052836473e-09</v>
      </c>
      <c r="D5037" t="inlineStr">
        <is>
          <t>kilogram</t>
        </is>
      </c>
      <c r="E5037" t="inlineStr">
        <is>
          <t>air::non-urban air or from high stacks</t>
        </is>
      </c>
      <c r="F5037" t="inlineStr">
        <is>
          <t>biosphere</t>
        </is>
      </c>
      <c r="I5037">
        <v>0</v>
      </c>
    </row>
    <row r="5038">
      <c r="A5038" t="inlineStr">
        <is>
          <t>Heptane</t>
        </is>
      </c>
      <c r="B5038">
        <v>5.4000384611391535e-09</v>
      </c>
      <c r="D5038" t="inlineStr">
        <is>
          <t>kilogram</t>
        </is>
      </c>
      <c r="E5038" t="inlineStr">
        <is>
          <t>air::non-urban air or from high stacks</t>
        </is>
      </c>
      <c r="F5038" t="inlineStr">
        <is>
          <t>biosphere</t>
        </is>
      </c>
      <c r="I5038">
        <v>0</v>
      </c>
    </row>
    <row r="5039">
      <c r="A5039" t="inlineStr">
        <is>
          <t>Hexane</t>
        </is>
      </c>
      <c r="B5039">
        <v>1.234294505403235e-08</v>
      </c>
      <c r="D5039" t="inlineStr">
        <is>
          <t>kilogram</t>
        </is>
      </c>
      <c r="E5039" t="inlineStr">
        <is>
          <t>air::non-urban air or from high stacks</t>
        </is>
      </c>
      <c r="F5039" t="inlineStr">
        <is>
          <t>biosphere</t>
        </is>
      </c>
      <c r="I5039">
        <v>0</v>
      </c>
    </row>
    <row r="5040">
      <c r="A5040" t="inlineStr">
        <is>
          <t>Methyl ethyl ketone</t>
        </is>
      </c>
      <c r="B5040">
        <v>7.714340658770217e-10</v>
      </c>
      <c r="D5040" t="inlineStr">
        <is>
          <t>kilogram</t>
        </is>
      </c>
      <c r="E5040" t="inlineStr">
        <is>
          <t>air::non-urban air or from high stacks</t>
        </is>
      </c>
      <c r="F5040" t="inlineStr">
        <is>
          <t>biosphere</t>
        </is>
      </c>
      <c r="I5040">
        <v>0</v>
      </c>
    </row>
    <row r="5041">
      <c r="A5041" t="inlineStr">
        <is>
          <t>m-Xylene</t>
        </is>
      </c>
      <c r="B5041">
        <v>4.165743758822378e-08</v>
      </c>
      <c r="D5041" t="inlineStr">
        <is>
          <t>kilogram</t>
        </is>
      </c>
      <c r="E5041" t="inlineStr">
        <is>
          <t>air::non-urban air or from high stacks</t>
        </is>
      </c>
      <c r="F5041" t="inlineStr">
        <is>
          <t>biosphere</t>
        </is>
      </c>
      <c r="I5041">
        <v>0</v>
      </c>
    </row>
    <row r="5042">
      <c r="A5042" t="inlineStr">
        <is>
          <t>o-Xylene</t>
        </is>
      </c>
      <c r="B5042">
        <v>1.7742983843360735e-08</v>
      </c>
      <c r="D5042" t="inlineStr">
        <is>
          <t>kilogram</t>
        </is>
      </c>
      <c r="E5042" t="inlineStr">
        <is>
          <t>air::non-urban air or from high stacks</t>
        </is>
      </c>
      <c r="F5042" t="inlineStr">
        <is>
          <t>biosphere</t>
        </is>
      </c>
      <c r="I5042">
        <v>0</v>
      </c>
    </row>
    <row r="5043">
      <c r="A5043" t="inlineStr">
        <is>
          <t>Styrene</t>
        </is>
      </c>
      <c r="B5043">
        <v>7.714340002391748e-09</v>
      </c>
      <c r="D5043" t="inlineStr">
        <is>
          <t>kilogram</t>
        </is>
      </c>
      <c r="E5043" t="inlineStr">
        <is>
          <t>air::non-urban air or from high stacks</t>
        </is>
      </c>
      <c r="F5043" t="inlineStr">
        <is>
          <t>biosphere</t>
        </is>
      </c>
      <c r="I5043">
        <v>0</v>
      </c>
    </row>
    <row r="5044">
      <c r="A5044" t="inlineStr">
        <is>
          <t>Ethylene</t>
        </is>
      </c>
      <c r="B5044">
        <v>1.4094024811438196e-06</v>
      </c>
      <c r="D5044" t="inlineStr">
        <is>
          <t>kilogram</t>
        </is>
      </c>
      <c r="E5044" t="inlineStr">
        <is>
          <t>air::urban air close to ground</t>
        </is>
      </c>
      <c r="F5044" t="inlineStr">
        <is>
          <t>biosphere</t>
        </is>
      </c>
      <c r="I5044">
        <v>0</v>
      </c>
    </row>
    <row r="5045">
      <c r="A5045" t="inlineStr">
        <is>
          <t>Ethylene</t>
        </is>
      </c>
      <c r="B5045">
        <v>5.631468910634723e-08</v>
      </c>
      <c r="D5045" t="inlineStr">
        <is>
          <t>kilogram</t>
        </is>
      </c>
      <c r="E5045" t="inlineStr">
        <is>
          <t>air::non-urban air or from high stacks</t>
        </is>
      </c>
      <c r="F5045" t="inlineStr">
        <is>
          <t>biosphere</t>
        </is>
      </c>
      <c r="I5045">
        <v>0</v>
      </c>
    </row>
    <row r="5046">
      <c r="A5046" t="inlineStr">
        <is>
          <t>market for internal combustion engine, passenger car</t>
        </is>
      </c>
      <c r="B5046">
        <v>0.0004975535070430082</v>
      </c>
      <c r="C5046" t="inlineStr">
        <is>
          <t>GLO</t>
        </is>
      </c>
      <c r="D5046" t="inlineStr">
        <is>
          <t>kilogram</t>
        </is>
      </c>
      <c r="F5046" t="inlineStr">
        <is>
          <t>technosphere</t>
        </is>
      </c>
      <c r="G5046" t="inlineStr">
        <is>
          <t>internal combustion engine, passenger car</t>
        </is>
      </c>
      <c r="H5046" t="inlineStr">
        <is>
          <t> Energy-use allocation: 269.3057861328125 * 4.999999873689376e-06 / 2.7062996795066048 MJ per kilometer.</t>
        </is>
      </c>
      <c r="I5046">
        <v>0</v>
      </c>
    </row>
    <row r="5047">
      <c r="A5047" t="inlineStr">
        <is>
          <t>market for waste plastic, industrial electronics</t>
        </is>
      </c>
      <c r="B5047">
        <v>-8.978854216197933e-05</v>
      </c>
      <c r="C5047" t="inlineStr">
        <is>
          <t>CH</t>
        </is>
      </c>
      <c r="D5047" t="inlineStr">
        <is>
          <t>kilogram</t>
        </is>
      </c>
      <c r="F5047" t="inlineStr">
        <is>
          <t>technosphere</t>
        </is>
      </c>
      <c r="G5047" t="inlineStr">
        <is>
          <t>waste plastic, industrial electronics</t>
        </is>
      </c>
      <c r="H5047" t="inlineStr">
        <is>
          <t> Energy-use allocation: -48.59894180297852 * 4.999999873689376e-06 / 2.7062996795066048 MJ per kilometer.</t>
        </is>
      </c>
      <c r="I5047">
        <v>0</v>
      </c>
    </row>
    <row r="5048">
      <c r="A5048" t="inlineStr">
        <is>
          <t>polyethylene production, high density, granulate</t>
        </is>
      </c>
      <c r="B5048">
        <v>8.978854216197933e-05</v>
      </c>
      <c r="C5048" t="inlineStr">
        <is>
          <t>RER</t>
        </is>
      </c>
      <c r="D5048" t="inlineStr">
        <is>
          <t>kilogram</t>
        </is>
      </c>
      <c r="F5048" t="inlineStr">
        <is>
          <t>technosphere</t>
        </is>
      </c>
      <c r="G5048" t="inlineStr">
        <is>
          <t>polyethylene, high density, granulate</t>
        </is>
      </c>
      <c r="H5048" t="inlineStr">
        <is>
          <t> Energy-use allocation: 48.59894180297852 * 4.999999873689376e-06 / 2.7062996795066048 MJ per kilometer.</t>
        </is>
      </c>
      <c r="I5048">
        <v>0</v>
      </c>
    </row>
    <row r="5049">
      <c r="A5049" t="inlineStr">
        <is>
          <t>Carbon dioxide, non-fossil</t>
        </is>
      </c>
      <c r="B5049">
        <v>0.0739</v>
      </c>
      <c r="D5049" t="inlineStr">
        <is>
          <t>kilogram</t>
        </is>
      </c>
      <c r="E5049" t="inlineStr">
        <is>
          <t>air::urban air close to ground</t>
        </is>
      </c>
      <c r="F5049" t="inlineStr">
        <is>
          <t>biosphere</t>
        </is>
      </c>
      <c r="I5049">
        <v>0</v>
      </c>
    </row>
    <row r="5050"/>
    <row r="5051">
      <c r="A5051" t="inlineStr">
        <is>
          <t>Activity</t>
        </is>
      </c>
      <c r="B5051" t="inlineStr">
        <is>
          <t>bioethanol, from forest residues, burned in passenger car</t>
        </is>
      </c>
    </row>
    <row r="5052">
      <c r="A5052" t="inlineStr">
        <is>
          <t>location</t>
        </is>
      </c>
      <c r="B5052" t="inlineStr">
        <is>
          <t>RER</t>
        </is>
      </c>
    </row>
    <row r="5053">
      <c r="A5053" t="inlineStr">
        <is>
          <t>production amount</t>
        </is>
      </c>
      <c r="B5053">
        <v>1</v>
      </c>
    </row>
    <row r="5054">
      <c r="A5054" t="inlineStr">
        <is>
          <t>reference product</t>
        </is>
      </c>
      <c r="B5054" t="inlineStr">
        <is>
          <t>heat</t>
        </is>
      </c>
    </row>
    <row r="5055">
      <c r="A5055" t="inlineStr">
        <is>
          <t>type</t>
        </is>
      </c>
      <c r="B5055" t="inlineStr">
        <is>
          <t>process</t>
        </is>
      </c>
    </row>
    <row r="5056">
      <c r="A5056" t="inlineStr">
        <is>
          <t>unit</t>
        </is>
      </c>
      <c r="B5056" t="inlineStr">
        <is>
          <t>megajoule</t>
        </is>
      </c>
    </row>
    <row r="5057">
      <c r="A5057" t="inlineStr">
        <is>
          <t>Power, mean</t>
        </is>
      </c>
      <c r="B5057">
        <v>126</v>
      </c>
    </row>
    <row r="5058">
      <c r="A5058" t="inlineStr">
        <is>
          <t>Power, min</t>
        </is>
      </c>
      <c r="B5058">
        <v>54</v>
      </c>
    </row>
    <row r="5059">
      <c r="A5059" t="inlineStr">
        <is>
          <t>Power, max</t>
        </is>
      </c>
      <c r="B5059">
        <v>158</v>
      </c>
    </row>
    <row r="5060">
      <c r="A5060" t="inlineStr">
        <is>
          <t>Lifetime, mean</t>
        </is>
      </c>
      <c r="B5060">
        <v>200000</v>
      </c>
    </row>
    <row r="5061">
      <c r="A5061" t="inlineStr">
        <is>
          <t>Lifetime, min</t>
        </is>
      </c>
      <c r="B5061">
        <v>160000</v>
      </c>
    </row>
    <row r="5062">
      <c r="A5062" t="inlineStr">
        <is>
          <t>Lifetime, max</t>
        </is>
      </c>
      <c r="B5062">
        <v>250000</v>
      </c>
    </row>
    <row r="5063">
      <c r="A5063" t="inlineStr">
        <is>
          <t>Energy use, mean</t>
        </is>
      </c>
      <c r="B5063">
        <v>2330</v>
      </c>
    </row>
    <row r="5064">
      <c r="A5064" t="inlineStr">
        <is>
          <t>Energy use, min</t>
        </is>
      </c>
      <c r="B5064">
        <v>1530</v>
      </c>
    </row>
    <row r="5065">
      <c r="A5065" t="inlineStr">
        <is>
          <t>Energy use, max</t>
        </is>
      </c>
      <c r="B5065">
        <v>3000</v>
      </c>
    </row>
    <row r="5066">
      <c r="A5066" t="inlineStr">
        <is>
          <t>Electric motor, mean</t>
        </is>
      </c>
      <c r="B5066">
        <v>0</v>
      </c>
    </row>
    <row r="5067">
      <c r="A5067" t="inlineStr">
        <is>
          <t>Electric motor, min</t>
        </is>
      </c>
      <c r="B5067">
        <v>0</v>
      </c>
    </row>
    <row r="5068">
      <c r="A5068" t="inlineStr">
        <is>
          <t>Electric motor, max</t>
        </is>
      </c>
      <c r="B5068">
        <v>0</v>
      </c>
    </row>
    <row r="5069">
      <c r="A5069" t="inlineStr">
        <is>
          <t>Combustion engine, mean</t>
        </is>
      </c>
      <c r="B5069">
        <v>146</v>
      </c>
    </row>
    <row r="5070">
      <c r="A5070" t="inlineStr">
        <is>
          <t>Combustion engine, min</t>
        </is>
      </c>
      <c r="B5070">
        <v>96</v>
      </c>
    </row>
    <row r="5071">
      <c r="A5071" t="inlineStr">
        <is>
          <t>Combustion engine, max</t>
        </is>
      </c>
      <c r="B5071">
        <v>168</v>
      </c>
    </row>
    <row r="5072">
      <c r="A5072" t="inlineStr">
        <is>
          <t>Fuel tank, mean</t>
        </is>
      </c>
      <c r="B5072">
        <v>48</v>
      </c>
    </row>
    <row r="5073">
      <c r="A5073" t="inlineStr">
        <is>
          <t>Fuel tank, min</t>
        </is>
      </c>
      <c r="B5073">
        <v>30</v>
      </c>
    </row>
    <row r="5074">
      <c r="A5074" t="inlineStr">
        <is>
          <t>Fuel tank, max</t>
        </is>
      </c>
      <c r="B5074">
        <v>48</v>
      </c>
    </row>
    <row r="5075">
      <c r="A5075" t="inlineStr">
        <is>
          <t>Battery capacity, mean</t>
        </is>
      </c>
      <c r="B5075">
        <v>0</v>
      </c>
    </row>
    <row r="5076">
      <c r="A5076" t="inlineStr">
        <is>
          <t>Battery capacity, min</t>
        </is>
      </c>
      <c r="B5076">
        <v>0</v>
      </c>
    </row>
    <row r="5077">
      <c r="A5077" t="inlineStr">
        <is>
          <t>Battery capacity, max</t>
        </is>
      </c>
      <c r="B5077">
        <v>0</v>
      </c>
    </row>
    <row r="5078">
      <c r="A5078" t="inlineStr">
        <is>
          <t>Battery replacement, mean</t>
        </is>
      </c>
      <c r="B5078">
        <v>0</v>
      </c>
    </row>
    <row r="5079">
      <c r="A5079" t="inlineStr">
        <is>
          <t>Battery replacement, min</t>
        </is>
      </c>
      <c r="B5079">
        <v>0</v>
      </c>
    </row>
    <row r="5080">
      <c r="A5080" t="inlineStr">
        <is>
          <t>Battery replacement, max</t>
        </is>
      </c>
      <c r="B5080">
        <v>0</v>
      </c>
    </row>
    <row r="5081">
      <c r="A5081" t="inlineStr">
        <is>
          <t>Fuel cell system, mean</t>
        </is>
      </c>
      <c r="B5081">
        <v>0</v>
      </c>
    </row>
    <row r="5082">
      <c r="A5082" t="inlineStr">
        <is>
          <t>Fuel cell system, min</t>
        </is>
      </c>
      <c r="B5082">
        <v>0</v>
      </c>
    </row>
    <row r="5083">
      <c r="A5083" t="inlineStr">
        <is>
          <t>Fuel cell system, max</t>
        </is>
      </c>
      <c r="B5083">
        <v>0</v>
      </c>
    </row>
    <row r="5084">
      <c r="A5084" t="inlineStr">
        <is>
          <t>Fuel cell stack replacement, mean</t>
        </is>
      </c>
      <c r="B5084">
        <v>0</v>
      </c>
    </row>
    <row r="5085">
      <c r="A5085" t="inlineStr">
        <is>
          <t>Fuel cell replacement, min</t>
        </is>
      </c>
      <c r="B5085">
        <v>0</v>
      </c>
    </row>
    <row r="5086">
      <c r="A5086" t="inlineStr">
        <is>
          <t>Fuel cell replacement, max</t>
        </is>
      </c>
      <c r="B5086">
        <v>0</v>
      </c>
    </row>
    <row r="5087">
      <c r="A5087" t="inlineStr">
        <is>
          <t>Onboard charger mass</t>
        </is>
      </c>
      <c r="B5087">
        <v>0</v>
      </c>
    </row>
    <row r="5088">
      <c r="A5088" t="inlineStr">
        <is>
          <t>Controller mass</t>
        </is>
      </c>
      <c r="B5088">
        <v>0</v>
      </c>
    </row>
    <row r="5089">
      <c r="A5089" t="inlineStr">
        <is>
          <t>Converter mass</t>
        </is>
      </c>
      <c r="B5089">
        <v>0</v>
      </c>
    </row>
    <row r="5090">
      <c r="A5090" t="inlineStr">
        <is>
          <t>Electrical powertrain mass</t>
        </is>
      </c>
      <c r="B5090">
        <v>0</v>
      </c>
    </row>
    <row r="5091">
      <c r="A5091" t="inlineStr">
        <is>
          <t>Inverter mass</t>
        </is>
      </c>
      <c r="B5091">
        <v>0</v>
      </c>
    </row>
    <row r="5092">
      <c r="A5092" t="inlineStr">
        <is>
          <t>NOx</t>
        </is>
      </c>
      <c r="B5092">
        <v>0.03</v>
      </c>
    </row>
    <row r="5093">
      <c r="A5093" t="inlineStr">
        <is>
          <t>PM 2.5</t>
        </is>
      </c>
      <c r="B5093">
        <v>0.000143099</v>
      </c>
    </row>
    <row r="5094">
      <c r="A5094" t="inlineStr">
        <is>
          <t>energy use source</t>
        </is>
      </c>
      <c r="B5094"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095">
      <c r="A5095" t="inlineStr">
        <is>
          <t>comment</t>
        </is>
      </c>
      <c r="B5095"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096">
      <c r="A5096" t="inlineStr">
        <is>
          <t>Exchanges</t>
        </is>
      </c>
    </row>
    <row r="5097">
      <c r="A5097" t="inlineStr">
        <is>
          <t>name</t>
        </is>
      </c>
      <c r="B5097" t="inlineStr">
        <is>
          <t>amount</t>
        </is>
      </c>
      <c r="C5097" t="inlineStr">
        <is>
          <t>location</t>
        </is>
      </c>
      <c r="D5097" t="inlineStr">
        <is>
          <t>unit</t>
        </is>
      </c>
      <c r="E5097" t="inlineStr">
        <is>
          <t>categories</t>
        </is>
      </c>
      <c r="F5097" t="inlineStr">
        <is>
          <t>type</t>
        </is>
      </c>
      <c r="G5097" t="inlineStr">
        <is>
          <t>reference product</t>
        </is>
      </c>
      <c r="H5097" t="inlineStr">
        <is>
          <t>comment</t>
        </is>
      </c>
      <c r="I5097" t="inlineStr">
        <is>
          <t>uncertainty type</t>
        </is>
      </c>
    </row>
    <row r="5098">
      <c r="A5098" t="inlineStr">
        <is>
          <t>bioethanol, from forest residues, burned in passenger car</t>
        </is>
      </c>
      <c r="B5098">
        <v>1.0</v>
      </c>
      <c r="C5098" t="inlineStr">
        <is>
          <t>RER</t>
        </is>
      </c>
      <c r="D5098" t="inlineStr">
        <is>
          <t>megajoule</t>
        </is>
      </c>
      <c r="F5098" t="inlineStr">
        <is>
          <t>production</t>
        </is>
      </c>
      <c r="G5098" t="inlineStr">
        <is>
          <t>heat</t>
        </is>
      </c>
      <c r="I5098">
        <v>0</v>
      </c>
    </row>
    <row r="5099">
      <c r="A5099" t="inlineStr">
        <is>
          <t>ethanol production, via fermentation, from forest residue, economic allocation</t>
        </is>
      </c>
      <c r="B5099">
        <v>0.03773584905660377</v>
      </c>
      <c r="C5099" t="inlineStr">
        <is>
          <t>US</t>
        </is>
      </c>
      <c r="D5099" t="inlineStr">
        <is>
          <t>kilogram</t>
        </is>
      </c>
      <c r="F5099" t="inlineStr">
        <is>
          <t>technosphere</t>
        </is>
      </c>
      <c r="G5099" t="inlineStr">
        <is>
          <t>ethanol, from forest residue</t>
        </is>
      </c>
      <c r="I5099">
        <v>0</v>
      </c>
    </row>
    <row r="5100">
      <c r="A5100" t="inlineStr">
        <is>
          <t>treatment of brake wear emissions, passenger car</t>
        </is>
      </c>
      <c r="B5100">
        <v>-5.438002312680902e-06</v>
      </c>
      <c r="C5100" t="inlineStr">
        <is>
          <t>RER</t>
        </is>
      </c>
      <c r="D5100" t="inlineStr">
        <is>
          <t>kilogram</t>
        </is>
      </c>
      <c r="F5100" t="inlineStr">
        <is>
          <t>technosphere</t>
        </is>
      </c>
      <c r="G5100" t="inlineStr">
        <is>
          <t>brake wear emissions, passenger car</t>
        </is>
      </c>
      <c r="I5100">
        <v>0</v>
      </c>
    </row>
    <row r="5101">
      <c r="A5101" t="inlineStr">
        <is>
          <t>treatment of road wear emissions, passenger car</t>
        </is>
      </c>
      <c r="B5101">
        <v>-6.242977641245232e-06</v>
      </c>
      <c r="C5101" t="inlineStr">
        <is>
          <t>RER</t>
        </is>
      </c>
      <c r="D5101" t="inlineStr">
        <is>
          <t>kilogram</t>
        </is>
      </c>
      <c r="F5101" t="inlineStr">
        <is>
          <t>technosphere</t>
        </is>
      </c>
      <c r="G5101" t="inlineStr">
        <is>
          <t>road wear emissions, passenger car</t>
        </is>
      </c>
      <c r="I5101">
        <v>0</v>
      </c>
    </row>
    <row r="5102">
      <c r="A5102" t="inlineStr">
        <is>
          <t>treatment of tyre wear emissions, passenger car</t>
        </is>
      </c>
      <c r="B5102">
        <v>-7.228598070295418e-06</v>
      </c>
      <c r="C5102" t="inlineStr">
        <is>
          <t>RER</t>
        </is>
      </c>
      <c r="D5102" t="inlineStr">
        <is>
          <t>kilogram</t>
        </is>
      </c>
      <c r="F5102" t="inlineStr">
        <is>
          <t>technosphere</t>
        </is>
      </c>
      <c r="G5102" t="inlineStr">
        <is>
          <t>tyre wear emissions, passenger car</t>
        </is>
      </c>
      <c r="I5102">
        <v>0</v>
      </c>
    </row>
    <row r="5103">
      <c r="A5103" t="inlineStr">
        <is>
          <t>market for tetrafluoroethane, R134a</t>
        </is>
      </c>
      <c r="B5103">
        <v>2.4018034573062128e-06</v>
      </c>
      <c r="C5103" t="inlineStr">
        <is>
          <t>GLO</t>
        </is>
      </c>
      <c r="D5103" t="inlineStr">
        <is>
          <t>kilogram</t>
        </is>
      </c>
      <c r="F5103" t="inlineStr">
        <is>
          <t>technosphere</t>
        </is>
      </c>
      <c r="G5103" t="inlineStr">
        <is>
          <t>tetrafluoroethane, R134a</t>
        </is>
      </c>
      <c r="I5103">
        <v>0</v>
      </c>
    </row>
    <row r="5104">
      <c r="A5104" t="inlineStr">
        <is>
          <t>Toluene</t>
        </is>
      </c>
      <c r="B5104">
        <v>8.485774790285088e-08</v>
      </c>
      <c r="D5104" t="inlineStr">
        <is>
          <t>kilogram</t>
        </is>
      </c>
      <c r="E5104" t="inlineStr">
        <is>
          <t>air::non-urban air or from high stacks</t>
        </is>
      </c>
      <c r="F5104" t="inlineStr">
        <is>
          <t>biosphere</t>
        </is>
      </c>
      <c r="I5104">
        <v>0</v>
      </c>
    </row>
    <row r="5105">
      <c r="A5105" t="inlineStr">
        <is>
          <t>NMVOC, non-methane volatile organic compounds</t>
        </is>
      </c>
      <c r="B5105">
        <v>3.1778359610804548e-06</v>
      </c>
      <c r="D5105" t="inlineStr">
        <is>
          <t>kilogram</t>
        </is>
      </c>
      <c r="E5105" t="inlineStr">
        <is>
          <t>air::non-urban air or from high stacks</t>
        </is>
      </c>
      <c r="F5105" t="inlineStr">
        <is>
          <t>biosphere</t>
        </is>
      </c>
      <c r="I5105">
        <v>0</v>
      </c>
    </row>
    <row r="5106">
      <c r="A5106" t="inlineStr">
        <is>
          <t>Dinitrogen monoxide</t>
        </is>
      </c>
      <c r="B5106">
        <v>4.674883409401355e-08</v>
      </c>
      <c r="D5106" t="inlineStr">
        <is>
          <t>kilogram</t>
        </is>
      </c>
      <c r="E5106" t="inlineStr">
        <is>
          <t>air::non-urban air or from high stacks</t>
        </is>
      </c>
      <c r="F5106" t="inlineStr">
        <is>
          <t>biosphere</t>
        </is>
      </c>
      <c r="I5106">
        <v>0</v>
      </c>
    </row>
    <row r="5107">
      <c r="A5107" t="inlineStr">
        <is>
          <t>Ethane</t>
        </is>
      </c>
      <c r="B5107">
        <v>6.178202979323652e-07</v>
      </c>
      <c r="D5107" t="inlineStr">
        <is>
          <t>kilogram</t>
        </is>
      </c>
      <c r="E5107" t="inlineStr">
        <is>
          <t>air::urban air close to ground</t>
        </is>
      </c>
      <c r="F5107" t="inlineStr">
        <is>
          <t>biosphere</t>
        </is>
      </c>
      <c r="I5107">
        <v>0</v>
      </c>
    </row>
    <row r="5108">
      <c r="A5108" t="inlineStr">
        <is>
          <t>Pentane</t>
        </is>
      </c>
      <c r="B5108">
        <v>4.2475143382439017e-07</v>
      </c>
      <c r="D5108" t="inlineStr">
        <is>
          <t>kilogram</t>
        </is>
      </c>
      <c r="E5108" t="inlineStr">
        <is>
          <t>air::urban air close to ground</t>
        </is>
      </c>
      <c r="F5108" t="inlineStr">
        <is>
          <t>biosphere</t>
        </is>
      </c>
      <c r="I5108">
        <v>0</v>
      </c>
    </row>
    <row r="5109">
      <c r="A5109" t="inlineStr">
        <is>
          <t>Selenium IV</t>
        </is>
      </c>
      <c r="B5109">
        <v>2.6658564722165628e-12</v>
      </c>
      <c r="D5109" t="inlineStr">
        <is>
          <t>kilogram</t>
        </is>
      </c>
      <c r="E5109" t="inlineStr">
        <is>
          <t>air::non-urban air or from high stacks</t>
        </is>
      </c>
      <c r="F5109" t="inlineStr">
        <is>
          <t>biosphere</t>
        </is>
      </c>
      <c r="I5109">
        <v>0</v>
      </c>
    </row>
    <row r="5110">
      <c r="A5110" t="inlineStr">
        <is>
          <t>Arsenic ion</t>
        </is>
      </c>
      <c r="B5110">
        <v>4.001626718125109e-12</v>
      </c>
      <c r="D5110" t="inlineStr">
        <is>
          <t>kilogram</t>
        </is>
      </c>
      <c r="E5110" t="inlineStr">
        <is>
          <t>air::non-urban air or from high stacks</t>
        </is>
      </c>
      <c r="F5110" t="inlineStr">
        <is>
          <t>biosphere</t>
        </is>
      </c>
      <c r="I5110">
        <v>0</v>
      </c>
    </row>
    <row r="5111">
      <c r="A5111" t="inlineStr">
        <is>
          <t>Arsenic ion</t>
        </is>
      </c>
      <c r="B5111">
        <v>3.038373047003884e-12</v>
      </c>
      <c r="D5111" t="inlineStr">
        <is>
          <t>kilogram</t>
        </is>
      </c>
      <c r="E5111" t="inlineStr">
        <is>
          <t>air::urban air close to ground</t>
        </is>
      </c>
      <c r="F5111" t="inlineStr">
        <is>
          <t>biosphere</t>
        </is>
      </c>
      <c r="I5111">
        <v>0</v>
      </c>
    </row>
    <row r="5112">
      <c r="A5112" t="inlineStr">
        <is>
          <t>Propylene</t>
        </is>
      </c>
      <c r="B5112">
        <v>2.9314492534191425e-08</v>
      </c>
      <c r="D5112" t="inlineStr">
        <is>
          <t>kilogram</t>
        </is>
      </c>
      <c r="E5112" t="inlineStr">
        <is>
          <t>air::non-urban air or from high stacks</t>
        </is>
      </c>
      <c r="F5112" t="inlineStr">
        <is>
          <t>biosphere</t>
        </is>
      </c>
      <c r="I5112">
        <v>0</v>
      </c>
    </row>
    <row r="5113">
      <c r="A5113" t="inlineStr">
        <is>
          <t>Particulate Matter, &lt; 2.5 um</t>
        </is>
      </c>
      <c r="B5113">
        <v>2.3699093868880875e-07</v>
      </c>
      <c r="D5113" t="inlineStr">
        <is>
          <t>kilogram</t>
        </is>
      </c>
      <c r="E5113" t="inlineStr">
        <is>
          <t>air::urban air close to ground</t>
        </is>
      </c>
      <c r="F5113" t="inlineStr">
        <is>
          <t>biosphere</t>
        </is>
      </c>
      <c r="I5113">
        <v>0</v>
      </c>
    </row>
    <row r="5114">
      <c r="A5114" t="inlineStr">
        <is>
          <t>Nickel II</t>
        </is>
      </c>
      <c r="B5114">
        <v>3.069429555789392e-11</v>
      </c>
      <c r="D5114" t="inlineStr">
        <is>
          <t>kilogram</t>
        </is>
      </c>
      <c r="E5114" t="inlineStr">
        <is>
          <t>air::non-urban air or from high stacks</t>
        </is>
      </c>
      <c r="F5114" t="inlineStr">
        <is>
          <t>biosphere</t>
        </is>
      </c>
      <c r="I5114">
        <v>0</v>
      </c>
    </row>
    <row r="5115">
      <c r="A5115" t="inlineStr">
        <is>
          <t>Methane, fossil</t>
        </is>
      </c>
      <c r="B5115">
        <v>5.142891864640064e-07</v>
      </c>
      <c r="D5115" t="inlineStr">
        <is>
          <t>kilogram</t>
        </is>
      </c>
      <c r="E5115" t="inlineStr">
        <is>
          <t>air::non-urban air or from high stacks</t>
        </is>
      </c>
      <c r="F5115" t="inlineStr">
        <is>
          <t>biosphere</t>
        </is>
      </c>
      <c r="I5115">
        <v>0</v>
      </c>
    </row>
    <row r="5116">
      <c r="A5116" t="inlineStr">
        <is>
          <t>Mercury II</t>
        </is>
      </c>
      <c r="B5116">
        <v>1.1595623051201971e-10</v>
      </c>
      <c r="D5116" t="inlineStr">
        <is>
          <t>kilogram</t>
        </is>
      </c>
      <c r="E5116" t="inlineStr">
        <is>
          <t>air::non-urban air or from high stacks</t>
        </is>
      </c>
      <c r="F5116" t="inlineStr">
        <is>
          <t>biosphere</t>
        </is>
      </c>
      <c r="I5116">
        <v>0</v>
      </c>
    </row>
    <row r="5117">
      <c r="A5117" t="inlineStr">
        <is>
          <t>Ammonia</t>
        </is>
      </c>
      <c r="B5117">
        <v>1.8978800516687959e-06</v>
      </c>
      <c r="D5117" t="inlineStr">
        <is>
          <t>kilogram</t>
        </is>
      </c>
      <c r="E5117" t="inlineStr">
        <is>
          <t>air::non-urban air or from high stacks</t>
        </is>
      </c>
      <c r="F5117" t="inlineStr">
        <is>
          <t>biosphere</t>
        </is>
      </c>
      <c r="I5117">
        <v>0</v>
      </c>
    </row>
    <row r="5118">
      <c r="A5118" t="inlineStr">
        <is>
          <t>Ethane</t>
        </is>
      </c>
      <c r="B5118">
        <v>2.46858901080647e-08</v>
      </c>
      <c r="D5118" t="inlineStr">
        <is>
          <t>kilogram</t>
        </is>
      </c>
      <c r="E5118" t="inlineStr">
        <is>
          <t>air::non-urban air or from high stacks</t>
        </is>
      </c>
      <c r="F5118" t="inlineStr">
        <is>
          <t>biosphere</t>
        </is>
      </c>
      <c r="I5118">
        <v>0</v>
      </c>
    </row>
    <row r="5119">
      <c r="A5119" t="inlineStr">
        <is>
          <t>Nickel II</t>
        </is>
      </c>
      <c r="B5119">
        <v>2.33057020978785e-11</v>
      </c>
      <c r="D5119" t="inlineStr">
        <is>
          <t>kilogram</t>
        </is>
      </c>
      <c r="E5119" t="inlineStr">
        <is>
          <t>air::urban air close to ground</t>
        </is>
      </c>
      <c r="F5119" t="inlineStr">
        <is>
          <t>biosphere</t>
        </is>
      </c>
      <c r="I5119">
        <v>0</v>
      </c>
    </row>
    <row r="5120">
      <c r="A5120" t="inlineStr">
        <is>
          <t>Cadmium II</t>
        </is>
      </c>
      <c r="B5120">
        <v>2.6658564722165628e-12</v>
      </c>
      <c r="D5120" t="inlineStr">
        <is>
          <t>kilogram</t>
        </is>
      </c>
      <c r="E5120" t="inlineStr">
        <is>
          <t>air::non-urban air or from high stacks</t>
        </is>
      </c>
      <c r="F5120" t="inlineStr">
        <is>
          <t>biosphere</t>
        </is>
      </c>
      <c r="I5120">
        <v>0</v>
      </c>
    </row>
    <row r="5121">
      <c r="A5121" t="inlineStr">
        <is>
          <t>Ammonia</t>
        </is>
      </c>
      <c r="B5121">
        <v>1.4410307235331609e-06</v>
      </c>
      <c r="D5121" t="inlineStr">
        <is>
          <t>kilogram</t>
        </is>
      </c>
      <c r="E5121" t="inlineStr">
        <is>
          <t>air::urban air close to ground</t>
        </is>
      </c>
      <c r="F5121" t="inlineStr">
        <is>
          <t>biosphere</t>
        </is>
      </c>
      <c r="I5121">
        <v>0</v>
      </c>
    </row>
    <row r="5122">
      <c r="A5122" t="inlineStr">
        <is>
          <t>Butane</t>
        </is>
      </c>
      <c r="B5122">
        <v>4.0114570112848195e-08</v>
      </c>
      <c r="D5122" t="inlineStr">
        <is>
          <t>kilogram</t>
        </is>
      </c>
      <c r="E5122" t="inlineStr">
        <is>
          <t>air::non-urban air or from high stacks</t>
        </is>
      </c>
      <c r="F5122" t="inlineStr">
        <is>
          <t>biosphere</t>
        </is>
      </c>
      <c r="I5122">
        <v>0</v>
      </c>
    </row>
    <row r="5123">
      <c r="A5123" t="inlineStr">
        <is>
          <t>PAH, polycyclic aromatic hydrocarbons</t>
        </is>
      </c>
      <c r="B5123">
        <v>3.5346981515115725e-10</v>
      </c>
      <c r="D5123" t="inlineStr">
        <is>
          <t>kilogram</t>
        </is>
      </c>
      <c r="E5123" t="inlineStr">
        <is>
          <t>air::urban air close to ground</t>
        </is>
      </c>
      <c r="F5123" t="inlineStr">
        <is>
          <t>biosphere</t>
        </is>
      </c>
      <c r="I5123">
        <v>0</v>
      </c>
    </row>
    <row r="5124">
      <c r="A5124" t="inlineStr">
        <is>
          <t>Copper ion</t>
        </is>
      </c>
      <c r="B5124">
        <v>6.025176924783301e-11</v>
      </c>
      <c r="D5124" t="inlineStr">
        <is>
          <t>kilogram</t>
        </is>
      </c>
      <c r="E5124" t="inlineStr">
        <is>
          <t>air::non-urban air or from high stacks</t>
        </is>
      </c>
      <c r="F5124" t="inlineStr">
        <is>
          <t>biosphere</t>
        </is>
      </c>
      <c r="I5124">
        <v>0</v>
      </c>
    </row>
    <row r="5125">
      <c r="A5125" t="inlineStr">
        <is>
          <t>Nitrogen oxides</t>
        </is>
      </c>
      <c r="B5125">
        <v>8.487546844117613e-06</v>
      </c>
      <c r="D5125" t="inlineStr">
        <is>
          <t>kilogram</t>
        </is>
      </c>
      <c r="E5125" t="inlineStr">
        <is>
          <t>air::non-urban air or from high stacks</t>
        </is>
      </c>
      <c r="F5125" t="inlineStr">
        <is>
          <t>biosphere</t>
        </is>
      </c>
      <c r="I5125">
        <v>0</v>
      </c>
    </row>
    <row r="5126">
      <c r="A5126" t="inlineStr">
        <is>
          <t>Hexane</t>
        </is>
      </c>
      <c r="B5126">
        <v>3.089101489661827e-07</v>
      </c>
      <c r="D5126" t="inlineStr">
        <is>
          <t>kilogram</t>
        </is>
      </c>
      <c r="E5126" t="inlineStr">
        <is>
          <t>air::urban air close to ground</t>
        </is>
      </c>
      <c r="F5126" t="inlineStr">
        <is>
          <t>biosphere</t>
        </is>
      </c>
      <c r="I5126">
        <v>0</v>
      </c>
    </row>
    <row r="5127">
      <c r="A5127" t="inlineStr">
        <is>
          <t>Butane</t>
        </is>
      </c>
      <c r="B5127">
        <v>1.0039579421318718e-06</v>
      </c>
      <c r="D5127" t="inlineStr">
        <is>
          <t>kilogram</t>
        </is>
      </c>
      <c r="E5127" t="inlineStr">
        <is>
          <t>air::urban air close to ground</t>
        </is>
      </c>
      <c r="F5127" t="inlineStr">
        <is>
          <t>biosphere</t>
        </is>
      </c>
      <c r="I5127">
        <v>0</v>
      </c>
    </row>
    <row r="5128">
      <c r="A5128" t="inlineStr">
        <is>
          <t>Copper ion</t>
        </is>
      </c>
      <c r="B5128">
        <v>4.57482306137567e-11</v>
      </c>
      <c r="D5128" t="inlineStr">
        <is>
          <t>kilogram</t>
        </is>
      </c>
      <c r="E5128" t="inlineStr">
        <is>
          <t>air::urban air close to ground</t>
        </is>
      </c>
      <c r="F5128" t="inlineStr">
        <is>
          <t>biosphere</t>
        </is>
      </c>
      <c r="I5128">
        <v>0</v>
      </c>
    </row>
    <row r="5129">
      <c r="A5129" t="inlineStr">
        <is>
          <t>Chromium III</t>
        </is>
      </c>
      <c r="B5129">
        <v>6.387488609167662e-11</v>
      </c>
      <c r="D5129" t="inlineStr">
        <is>
          <t>kilogram</t>
        </is>
      </c>
      <c r="E5129" t="inlineStr">
        <is>
          <t>air::urban air close to ground</t>
        </is>
      </c>
      <c r="F5129" t="inlineStr">
        <is>
          <t>biosphere</t>
        </is>
      </c>
      <c r="I5129">
        <v>0</v>
      </c>
    </row>
    <row r="5130">
      <c r="A5130" t="inlineStr">
        <is>
          <t>Propane</t>
        </is>
      </c>
      <c r="B5130">
        <v>1.351481901727049e-07</v>
      </c>
      <c r="D5130" t="inlineStr">
        <is>
          <t>kilogram</t>
        </is>
      </c>
      <c r="E5130" t="inlineStr">
        <is>
          <t>air::urban air close to ground</t>
        </is>
      </c>
      <c r="F5130" t="inlineStr">
        <is>
          <t>biosphere</t>
        </is>
      </c>
      <c r="I5130">
        <v>0</v>
      </c>
    </row>
    <row r="5131">
      <c r="A5131" t="inlineStr">
        <is>
          <t>Toluene</t>
        </is>
      </c>
      <c r="B5131">
        <v>2.1237572531383947e-06</v>
      </c>
      <c r="D5131" t="inlineStr">
        <is>
          <t>kilogram</t>
        </is>
      </c>
      <c r="E5131" t="inlineStr">
        <is>
          <t>air::urban air close to ground</t>
        </is>
      </c>
      <c r="F5131" t="inlineStr">
        <is>
          <t>biosphere</t>
        </is>
      </c>
      <c r="I5131">
        <v>0</v>
      </c>
    </row>
    <row r="5132">
      <c r="A5132" t="inlineStr">
        <is>
          <t>Dinitrogen monoxide</t>
        </is>
      </c>
      <c r="B5132">
        <v>3.5495663709460686e-08</v>
      </c>
      <c r="D5132" t="inlineStr">
        <is>
          <t>kilogram</t>
        </is>
      </c>
      <c r="E5132" t="inlineStr">
        <is>
          <t>air::urban air close to ground</t>
        </is>
      </c>
      <c r="F5132" t="inlineStr">
        <is>
          <t>biosphere</t>
        </is>
      </c>
      <c r="I5132">
        <v>0</v>
      </c>
    </row>
    <row r="5133">
      <c r="A5133" t="inlineStr">
        <is>
          <t>Zinc II</t>
        </is>
      </c>
      <c r="B5133">
        <v>3.3447998609123704e-10</v>
      </c>
      <c r="D5133" t="inlineStr">
        <is>
          <t>kilogram</t>
        </is>
      </c>
      <c r="E5133" t="inlineStr">
        <is>
          <t>air::urban air close to ground</t>
        </is>
      </c>
      <c r="F5133" t="inlineStr">
        <is>
          <t>biosphere</t>
        </is>
      </c>
      <c r="I5133">
        <v>0</v>
      </c>
    </row>
    <row r="5134">
      <c r="A5134" t="inlineStr">
        <is>
          <t>Chromium VI</t>
        </is>
      </c>
      <c r="B5134">
        <v>1.6825022521085002e-13</v>
      </c>
      <c r="D5134" t="inlineStr">
        <is>
          <t>kilogram</t>
        </is>
      </c>
      <c r="E5134" t="inlineStr">
        <is>
          <t>air::non-urban air or from high stacks</t>
        </is>
      </c>
      <c r="F5134" t="inlineStr">
        <is>
          <t>biosphere</t>
        </is>
      </c>
      <c r="I5134">
        <v>0</v>
      </c>
    </row>
    <row r="5135">
      <c r="A5135" t="inlineStr">
        <is>
          <t>Benzene</t>
        </is>
      </c>
      <c r="B5135">
        <v>3.53245327151087e-08</v>
      </c>
      <c r="D5135" t="inlineStr">
        <is>
          <t>kilogram</t>
        </is>
      </c>
      <c r="E5135" t="inlineStr">
        <is>
          <t>air::non-urban air or from high stacks</t>
        </is>
      </c>
      <c r="F5135" t="inlineStr">
        <is>
          <t>biosphere</t>
        </is>
      </c>
      <c r="I5135">
        <v>0</v>
      </c>
    </row>
    <row r="5136">
      <c r="A5136" t="inlineStr">
        <is>
          <t>Carbon monoxide, fossil</t>
        </is>
      </c>
      <c r="B5136">
        <v>0.0001087694681937128</v>
      </c>
      <c r="D5136" t="inlineStr">
        <is>
          <t>kilogram</t>
        </is>
      </c>
      <c r="E5136" t="inlineStr">
        <is>
          <t>air::non-urban air or from high stacks</t>
        </is>
      </c>
      <c r="F5136" t="inlineStr">
        <is>
          <t>biosphere</t>
        </is>
      </c>
      <c r="I5136">
        <v>0</v>
      </c>
    </row>
    <row r="5137">
      <c r="A5137" t="inlineStr">
        <is>
          <t>Chromium VI</t>
        </is>
      </c>
      <c r="B5137">
        <v>1.2774977274422347e-13</v>
      </c>
      <c r="D5137" t="inlineStr">
        <is>
          <t>kilogram</t>
        </is>
      </c>
      <c r="E5137" t="inlineStr">
        <is>
          <t>air::urban air close to ground</t>
        </is>
      </c>
      <c r="F5137" t="inlineStr">
        <is>
          <t>biosphere</t>
        </is>
      </c>
      <c r="I5137">
        <v>0</v>
      </c>
    </row>
    <row r="5138">
      <c r="A5138" t="inlineStr">
        <is>
          <t>Methane, fossil</t>
        </is>
      </c>
      <c r="B5138">
        <v>1.4737951202945778e-06</v>
      </c>
      <c r="D5138" t="inlineStr">
        <is>
          <t>kilogram</t>
        </is>
      </c>
      <c r="E5138" t="inlineStr">
        <is>
          <t>air::urban air close to ground</t>
        </is>
      </c>
      <c r="F5138" t="inlineStr">
        <is>
          <t>biosphere</t>
        </is>
      </c>
      <c r="I5138">
        <v>0</v>
      </c>
    </row>
    <row r="5139">
      <c r="A5139" t="inlineStr">
        <is>
          <t>Sulfur dioxide</t>
        </is>
      </c>
      <c r="B5139">
        <v>3.7723729745496776e-07</v>
      </c>
      <c r="D5139" t="inlineStr">
        <is>
          <t>kilogram</t>
        </is>
      </c>
      <c r="E5139" t="inlineStr">
        <is>
          <t>air</t>
        </is>
      </c>
      <c r="F5139" t="inlineStr">
        <is>
          <t>biosphere</t>
        </is>
      </c>
      <c r="I5139">
        <v>0</v>
      </c>
    </row>
    <row r="5140">
      <c r="A5140" t="inlineStr">
        <is>
          <t>NMVOC, non-methane volatile organic compounds</t>
        </is>
      </c>
      <c r="B5140">
        <v>1.9676329903559775e-05</v>
      </c>
      <c r="D5140" t="inlineStr">
        <is>
          <t>kilogram</t>
        </is>
      </c>
      <c r="E5140" t="inlineStr">
        <is>
          <t>air::urban air close to ground</t>
        </is>
      </c>
      <c r="F5140" t="inlineStr">
        <is>
          <t>biosphere</t>
        </is>
      </c>
      <c r="I5140">
        <v>0</v>
      </c>
    </row>
    <row r="5141">
      <c r="A5141" t="inlineStr">
        <is>
          <t>Formaldehyde</t>
        </is>
      </c>
      <c r="B5141">
        <v>3.282170227745136e-07</v>
      </c>
      <c r="D5141" t="inlineStr">
        <is>
          <t>kilogram</t>
        </is>
      </c>
      <c r="E5141" t="inlineStr">
        <is>
          <t>air::urban air close to ground</t>
        </is>
      </c>
      <c r="F5141" t="inlineStr">
        <is>
          <t>biosphere</t>
        </is>
      </c>
      <c r="I5141">
        <v>0</v>
      </c>
    </row>
    <row r="5142">
      <c r="A5142" t="inlineStr">
        <is>
          <t>Nitrogen oxides</t>
        </is>
      </c>
      <c r="B5142">
        <v>1.1323855960379002e-05</v>
      </c>
      <c r="D5142" t="inlineStr">
        <is>
          <t>kilogram</t>
        </is>
      </c>
      <c r="E5142" t="inlineStr">
        <is>
          <t>air::urban air close to ground</t>
        </is>
      </c>
      <c r="F5142" t="inlineStr">
        <is>
          <t>biosphere</t>
        </is>
      </c>
      <c r="I5142">
        <v>0</v>
      </c>
    </row>
    <row r="5143">
      <c r="A5143" t="inlineStr">
        <is>
          <t>Formaldehyde</t>
        </is>
      </c>
      <c r="B5143">
        <v>1.3114378791720136e-08</v>
      </c>
      <c r="D5143" t="inlineStr">
        <is>
          <t>kilogram</t>
        </is>
      </c>
      <c r="E5143" t="inlineStr">
        <is>
          <t>air::non-urban air or from high stacks</t>
        </is>
      </c>
      <c r="F5143" t="inlineStr">
        <is>
          <t>biosphere</t>
        </is>
      </c>
      <c r="I5143">
        <v>0</v>
      </c>
    </row>
    <row r="5144">
      <c r="A5144" t="inlineStr">
        <is>
          <t>Zinc II</t>
        </is>
      </c>
      <c r="B5144">
        <v>4.4051995837597756e-10</v>
      </c>
      <c r="D5144" t="inlineStr">
        <is>
          <t>kilogram</t>
        </is>
      </c>
      <c r="E5144" t="inlineStr">
        <is>
          <t>air::non-urban air or from high stacks</t>
        </is>
      </c>
      <c r="F5144" t="inlineStr">
        <is>
          <t>biosphere</t>
        </is>
      </c>
      <c r="I5144">
        <v>0</v>
      </c>
    </row>
    <row r="5145">
      <c r="A5145" t="inlineStr">
        <is>
          <t>Carbon monoxide, fossil</t>
        </is>
      </c>
      <c r="B5145">
        <v>0.00020171446470292127</v>
      </c>
      <c r="D5145" t="inlineStr">
        <is>
          <t>kilogram</t>
        </is>
      </c>
      <c r="E5145" t="inlineStr">
        <is>
          <t>air::urban air close to ground</t>
        </is>
      </c>
      <c r="F5145" t="inlineStr">
        <is>
          <t>biosphere</t>
        </is>
      </c>
      <c r="I5145">
        <v>0</v>
      </c>
    </row>
    <row r="5146">
      <c r="A5146" t="inlineStr">
        <is>
          <t>m-Xylene</t>
        </is>
      </c>
      <c r="B5146">
        <v>1.0425717317567554e-06</v>
      </c>
      <c r="D5146" t="inlineStr">
        <is>
          <t>kilogram</t>
        </is>
      </c>
      <c r="E5146" t="inlineStr">
        <is>
          <t>air::urban air close to ground</t>
        </is>
      </c>
      <c r="F5146" t="inlineStr">
        <is>
          <t>biosphere</t>
        </is>
      </c>
      <c r="I5146">
        <v>0</v>
      </c>
    </row>
    <row r="5147">
      <c r="A5147" t="inlineStr">
        <is>
          <t>PAH, polycyclic aromatic hydrocarbons</t>
        </is>
      </c>
      <c r="B5147">
        <v>4.655301522860326e-10</v>
      </c>
      <c r="D5147" t="inlineStr">
        <is>
          <t>kilogram</t>
        </is>
      </c>
      <c r="E5147" t="inlineStr">
        <is>
          <t>air::non-urban air or from high stacks</t>
        </is>
      </c>
      <c r="F5147" t="inlineStr">
        <is>
          <t>biosphere</t>
        </is>
      </c>
      <c r="I5147">
        <v>0</v>
      </c>
    </row>
    <row r="5148">
      <c r="A5148" t="inlineStr">
        <is>
          <t>Particulate Matter, &lt; 2.5 um</t>
        </is>
      </c>
      <c r="B5148">
        <v>3.1212402999812946e-07</v>
      </c>
      <c r="D5148" t="inlineStr">
        <is>
          <t>kilogram</t>
        </is>
      </c>
      <c r="E5148" t="inlineStr">
        <is>
          <t>air::non-urban air or from high stacks</t>
        </is>
      </c>
      <c r="F5148" t="inlineStr">
        <is>
          <t>biosphere</t>
        </is>
      </c>
      <c r="I5148">
        <v>0</v>
      </c>
    </row>
    <row r="5149">
      <c r="A5149" t="inlineStr">
        <is>
          <t>Pentane</t>
        </is>
      </c>
      <c r="B5149">
        <v>1.697155010567295e-08</v>
      </c>
      <c r="D5149" t="inlineStr">
        <is>
          <t>kilogram</t>
        </is>
      </c>
      <c r="E5149" t="inlineStr">
        <is>
          <t>air::non-urban air or from high stacks</t>
        </is>
      </c>
      <c r="F5149" t="inlineStr">
        <is>
          <t>biosphere</t>
        </is>
      </c>
      <c r="I5149">
        <v>0</v>
      </c>
    </row>
    <row r="5150">
      <c r="A5150" t="inlineStr">
        <is>
          <t>1,1,1,2-Tetrafluoroethane</t>
        </is>
      </c>
      <c r="B5150">
        <v>1.3856558213651742e-06</v>
      </c>
      <c r="D5150" t="inlineStr">
        <is>
          <t>kilogram</t>
        </is>
      </c>
      <c r="E5150" t="inlineStr">
        <is>
          <t>air</t>
        </is>
      </c>
      <c r="F5150" t="inlineStr">
        <is>
          <t>biosphere</t>
        </is>
      </c>
      <c r="I5150">
        <v>0</v>
      </c>
    </row>
    <row r="5151">
      <c r="A5151" t="inlineStr">
        <is>
          <t>Acetaldehyde</t>
        </is>
      </c>
      <c r="B5151">
        <v>1.544550744830913e-07</v>
      </c>
      <c r="D5151" t="inlineStr">
        <is>
          <t>kilogram</t>
        </is>
      </c>
      <c r="E5151" t="inlineStr">
        <is>
          <t>air::urban air close to ground</t>
        </is>
      </c>
      <c r="F5151" t="inlineStr">
        <is>
          <t>biosphere</t>
        </is>
      </c>
      <c r="I5151">
        <v>0</v>
      </c>
    </row>
    <row r="5152">
      <c r="A5152" t="inlineStr">
        <is>
          <t>Benzene</t>
        </is>
      </c>
      <c r="B5152">
        <v>1.4380293200880646e-06</v>
      </c>
      <c r="D5152" t="inlineStr">
        <is>
          <t>kilogram</t>
        </is>
      </c>
      <c r="E5152" t="inlineStr">
        <is>
          <t>air::urban air close to ground</t>
        </is>
      </c>
      <c r="F5152" t="inlineStr">
        <is>
          <t>biosphere</t>
        </is>
      </c>
      <c r="I5152">
        <v>0</v>
      </c>
    </row>
    <row r="5153">
      <c r="A5153" t="inlineStr">
        <is>
          <t>Mercury II</t>
        </is>
      </c>
      <c r="B5153">
        <v>8.804375664359864e-11</v>
      </c>
      <c r="D5153" t="inlineStr">
        <is>
          <t>kilogram</t>
        </is>
      </c>
      <c r="E5153" t="inlineStr">
        <is>
          <t>air::urban air close to ground</t>
        </is>
      </c>
      <c r="F5153" t="inlineStr">
        <is>
          <t>biosphere</t>
        </is>
      </c>
      <c r="I5153">
        <v>0</v>
      </c>
    </row>
    <row r="5154">
      <c r="A5154" t="inlineStr">
        <is>
          <t>Cadmium II</t>
        </is>
      </c>
      <c r="B5154">
        <v>2.0241433189600118e-12</v>
      </c>
      <c r="D5154" t="inlineStr">
        <is>
          <t>kilogram</t>
        </is>
      </c>
      <c r="E5154" t="inlineStr">
        <is>
          <t>air::urban air close to ground</t>
        </is>
      </c>
      <c r="F5154" t="inlineStr">
        <is>
          <t>biosphere</t>
        </is>
      </c>
      <c r="I5154">
        <v>0</v>
      </c>
    </row>
    <row r="5155">
      <c r="A5155" t="inlineStr">
        <is>
          <t>Propane</t>
        </is>
      </c>
      <c r="B5155">
        <v>5.4000384611391535e-09</v>
      </c>
      <c r="D5155" t="inlineStr">
        <is>
          <t>kilogram</t>
        </is>
      </c>
      <c r="E5155" t="inlineStr">
        <is>
          <t>air::non-urban air or from high stacks</t>
        </is>
      </c>
      <c r="F5155" t="inlineStr">
        <is>
          <t>biosphere</t>
        </is>
      </c>
      <c r="I5155">
        <v>0</v>
      </c>
    </row>
    <row r="5156">
      <c r="A5156" t="inlineStr">
        <is>
          <t>Chromium III</t>
        </is>
      </c>
      <c r="B5156">
        <v>8.412510539423576e-11</v>
      </c>
      <c r="D5156" t="inlineStr">
        <is>
          <t>kilogram</t>
        </is>
      </c>
      <c r="E5156" t="inlineStr">
        <is>
          <t>air::non-urban air or from high stacks</t>
        </is>
      </c>
      <c r="F5156" t="inlineStr">
        <is>
          <t>biosphere</t>
        </is>
      </c>
      <c r="I5156">
        <v>0</v>
      </c>
    </row>
    <row r="5157">
      <c r="A5157" t="inlineStr">
        <is>
          <t>1-Pentene</t>
        </is>
      </c>
      <c r="B5157">
        <v>1.9306884310386414e-08</v>
      </c>
      <c r="D5157" t="inlineStr">
        <is>
          <t>kilogram</t>
        </is>
      </c>
      <c r="E5157" t="inlineStr">
        <is>
          <t>air::urban air close to ground</t>
        </is>
      </c>
      <c r="F5157" t="inlineStr">
        <is>
          <t>biosphere</t>
        </is>
      </c>
      <c r="I5157">
        <v>0</v>
      </c>
    </row>
    <row r="5158">
      <c r="A5158" t="inlineStr">
        <is>
          <t>Acetone</t>
        </is>
      </c>
      <c r="B5158">
        <v>1.158413058623185e-07</v>
      </c>
      <c r="D5158" t="inlineStr">
        <is>
          <t>kilogram</t>
        </is>
      </c>
      <c r="E5158" t="inlineStr">
        <is>
          <t>air::urban air close to ground</t>
        </is>
      </c>
      <c r="F5158" t="inlineStr">
        <is>
          <t>biosphere</t>
        </is>
      </c>
      <c r="I5158">
        <v>0</v>
      </c>
    </row>
    <row r="5159">
      <c r="A5159" t="inlineStr">
        <is>
          <t>Acrolein</t>
        </is>
      </c>
      <c r="B5159">
        <v>3.861376862077283e-08</v>
      </c>
      <c r="D5159" t="inlineStr">
        <is>
          <t>kilogram</t>
        </is>
      </c>
      <c r="E5159" t="inlineStr">
        <is>
          <t>air::urban air close to ground</t>
        </is>
      </c>
      <c r="F5159" t="inlineStr">
        <is>
          <t>biosphere</t>
        </is>
      </c>
      <c r="I5159">
        <v>0</v>
      </c>
    </row>
    <row r="5160">
      <c r="A5160" t="inlineStr">
        <is>
          <t>Benzaldehyde</t>
        </is>
      </c>
      <c r="B5160">
        <v>3.861376862077283e-08</v>
      </c>
      <c r="D5160" t="inlineStr">
        <is>
          <t>kilogram</t>
        </is>
      </c>
      <c r="E5160" t="inlineStr">
        <is>
          <t>air::urban air close to ground</t>
        </is>
      </c>
      <c r="F5160" t="inlineStr">
        <is>
          <t>biosphere</t>
        </is>
      </c>
      <c r="I5160">
        <v>0</v>
      </c>
    </row>
    <row r="5161">
      <c r="A5161" t="inlineStr">
        <is>
          <t>Cyclohexane</t>
        </is>
      </c>
      <c r="B5161">
        <v>2.1237571691219508e-07</v>
      </c>
      <c r="D5161" t="inlineStr">
        <is>
          <t>kilogram</t>
        </is>
      </c>
      <c r="E5161" t="inlineStr">
        <is>
          <t>air::urban air close to ground</t>
        </is>
      </c>
      <c r="F5161" t="inlineStr">
        <is>
          <t>biosphere</t>
        </is>
      </c>
      <c r="I5161">
        <v>0</v>
      </c>
    </row>
    <row r="5162">
      <c r="A5162" t="inlineStr">
        <is>
          <t>Heptane</t>
        </is>
      </c>
      <c r="B5162">
        <v>1.351481901727049e-07</v>
      </c>
      <c r="D5162" t="inlineStr">
        <is>
          <t>kilogram</t>
        </is>
      </c>
      <c r="E5162" t="inlineStr">
        <is>
          <t>air::urban air close to ground</t>
        </is>
      </c>
      <c r="F5162" t="inlineStr">
        <is>
          <t>biosphere</t>
        </is>
      </c>
      <c r="I5162">
        <v>0</v>
      </c>
    </row>
    <row r="5163">
      <c r="A5163" t="inlineStr">
        <is>
          <t>Methyl ethyl ketone</t>
        </is>
      </c>
      <c r="B5163">
        <v>1.9306884310386414e-08</v>
      </c>
      <c r="D5163" t="inlineStr">
        <is>
          <t>kilogram</t>
        </is>
      </c>
      <c r="E5163" t="inlineStr">
        <is>
          <t>air::urban air close to ground</t>
        </is>
      </c>
      <c r="F5163" t="inlineStr">
        <is>
          <t>biosphere</t>
        </is>
      </c>
      <c r="I5163">
        <v>0</v>
      </c>
    </row>
    <row r="5164">
      <c r="A5164" t="inlineStr">
        <is>
          <t>o-Xylene</t>
        </is>
      </c>
      <c r="B5164">
        <v>4.4405832863683197e-07</v>
      </c>
      <c r="D5164" t="inlineStr">
        <is>
          <t>kilogram</t>
        </is>
      </c>
      <c r="E5164" t="inlineStr">
        <is>
          <t>air::urban air close to ground</t>
        </is>
      </c>
      <c r="F5164" t="inlineStr">
        <is>
          <t>biosphere</t>
        </is>
      </c>
      <c r="I5164">
        <v>0</v>
      </c>
    </row>
    <row r="5165">
      <c r="A5165" t="inlineStr">
        <is>
          <t>Propylene</t>
        </is>
      </c>
      <c r="B5165">
        <v>7.33661582790573e-07</v>
      </c>
      <c r="D5165" t="inlineStr">
        <is>
          <t>kilogram</t>
        </is>
      </c>
      <c r="E5165" t="inlineStr">
        <is>
          <t>air::urban air close to ground</t>
        </is>
      </c>
      <c r="F5165" t="inlineStr">
        <is>
          <t>biosphere</t>
        </is>
      </c>
      <c r="I5165">
        <v>0</v>
      </c>
    </row>
    <row r="5166">
      <c r="A5166" t="inlineStr">
        <is>
          <t>Selenium IV</t>
        </is>
      </c>
      <c r="B5166">
        <v>2.0241433189600118e-12</v>
      </c>
      <c r="D5166" t="inlineStr">
        <is>
          <t>kilogram</t>
        </is>
      </c>
      <c r="E5166" t="inlineStr">
        <is>
          <t>air::urban air close to ground</t>
        </is>
      </c>
      <c r="F5166" t="inlineStr">
        <is>
          <t>biosphere</t>
        </is>
      </c>
      <c r="I5166">
        <v>0</v>
      </c>
    </row>
    <row r="5167">
      <c r="A5167" t="inlineStr">
        <is>
          <t>Styrene</t>
        </is>
      </c>
      <c r="B5167">
        <v>1.9306884310386417e-07</v>
      </c>
      <c r="D5167" t="inlineStr">
        <is>
          <t>kilogram</t>
        </is>
      </c>
      <c r="E5167" t="inlineStr">
        <is>
          <t>air::urban air close to ground</t>
        </is>
      </c>
      <c r="F5167" t="inlineStr">
        <is>
          <t>biosphere</t>
        </is>
      </c>
      <c r="I5167">
        <v>0</v>
      </c>
    </row>
    <row r="5168">
      <c r="A5168" t="inlineStr">
        <is>
          <t>1-Pentene</t>
        </is>
      </c>
      <c r="B5168">
        <v>7.714340658770217e-10</v>
      </c>
      <c r="D5168" t="inlineStr">
        <is>
          <t>kilogram</t>
        </is>
      </c>
      <c r="E5168" t="inlineStr">
        <is>
          <t>air::non-urban air or from high stacks</t>
        </is>
      </c>
      <c r="F5168" t="inlineStr">
        <is>
          <t>biosphere</t>
        </is>
      </c>
      <c r="I5168">
        <v>0</v>
      </c>
    </row>
    <row r="5169">
      <c r="A5169" t="inlineStr">
        <is>
          <t>Acetaldehyde</t>
        </is>
      </c>
      <c r="B5169">
        <v>6.171472527016175e-09</v>
      </c>
      <c r="D5169" t="inlineStr">
        <is>
          <t>kilogram</t>
        </is>
      </c>
      <c r="E5169" t="inlineStr">
        <is>
          <t>air::non-urban air or from high stacks</t>
        </is>
      </c>
      <c r="F5169" t="inlineStr">
        <is>
          <t>biosphere</t>
        </is>
      </c>
      <c r="I5169">
        <v>0</v>
      </c>
    </row>
    <row r="5170">
      <c r="A5170" t="inlineStr">
        <is>
          <t>Acetone</t>
        </is>
      </c>
      <c r="B5170">
        <v>4.628604395262132e-09</v>
      </c>
      <c r="D5170" t="inlineStr">
        <is>
          <t>kilogram</t>
        </is>
      </c>
      <c r="E5170" t="inlineStr">
        <is>
          <t>air::non-urban air or from high stacks</t>
        </is>
      </c>
      <c r="F5170" t="inlineStr">
        <is>
          <t>biosphere</t>
        </is>
      </c>
      <c r="I5170">
        <v>0</v>
      </c>
    </row>
    <row r="5171">
      <c r="A5171" t="inlineStr">
        <is>
          <t>Acrolein</t>
        </is>
      </c>
      <c r="B5171">
        <v>1.542868131754044e-09</v>
      </c>
      <c r="D5171" t="inlineStr">
        <is>
          <t>kilogram</t>
        </is>
      </c>
      <c r="E5171" t="inlineStr">
        <is>
          <t>air::non-urban air or from high stacks</t>
        </is>
      </c>
      <c r="F5171" t="inlineStr">
        <is>
          <t>biosphere</t>
        </is>
      </c>
      <c r="I5171">
        <v>0</v>
      </c>
    </row>
    <row r="5172">
      <c r="A5172" t="inlineStr">
        <is>
          <t>Benzaldehyde</t>
        </is>
      </c>
      <c r="B5172">
        <v>1.542868131754044e-09</v>
      </c>
      <c r="D5172" t="inlineStr">
        <is>
          <t>kilogram</t>
        </is>
      </c>
      <c r="E5172" t="inlineStr">
        <is>
          <t>air::non-urban air or from high stacks</t>
        </is>
      </c>
      <c r="F5172" t="inlineStr">
        <is>
          <t>biosphere</t>
        </is>
      </c>
      <c r="I5172">
        <v>0</v>
      </c>
    </row>
    <row r="5173">
      <c r="A5173" t="inlineStr">
        <is>
          <t>Cyclohexane</t>
        </is>
      </c>
      <c r="B5173">
        <v>8.485775052836473e-09</v>
      </c>
      <c r="D5173" t="inlineStr">
        <is>
          <t>kilogram</t>
        </is>
      </c>
      <c r="E5173" t="inlineStr">
        <is>
          <t>air::non-urban air or from high stacks</t>
        </is>
      </c>
      <c r="F5173" t="inlineStr">
        <is>
          <t>biosphere</t>
        </is>
      </c>
      <c r="I5173">
        <v>0</v>
      </c>
    </row>
    <row r="5174">
      <c r="A5174" t="inlineStr">
        <is>
          <t>Heptane</t>
        </is>
      </c>
      <c r="B5174">
        <v>5.4000384611391535e-09</v>
      </c>
      <c r="D5174" t="inlineStr">
        <is>
          <t>kilogram</t>
        </is>
      </c>
      <c r="E5174" t="inlineStr">
        <is>
          <t>air::non-urban air or from high stacks</t>
        </is>
      </c>
      <c r="F5174" t="inlineStr">
        <is>
          <t>biosphere</t>
        </is>
      </c>
      <c r="I5174">
        <v>0</v>
      </c>
    </row>
    <row r="5175">
      <c r="A5175" t="inlineStr">
        <is>
          <t>Hexane</t>
        </is>
      </c>
      <c r="B5175">
        <v>1.234294505403235e-08</v>
      </c>
      <c r="D5175" t="inlineStr">
        <is>
          <t>kilogram</t>
        </is>
      </c>
      <c r="E5175" t="inlineStr">
        <is>
          <t>air::non-urban air or from high stacks</t>
        </is>
      </c>
      <c r="F5175" t="inlineStr">
        <is>
          <t>biosphere</t>
        </is>
      </c>
      <c r="I5175">
        <v>0</v>
      </c>
    </row>
    <row r="5176">
      <c r="A5176" t="inlineStr">
        <is>
          <t>Methyl ethyl ketone</t>
        </is>
      </c>
      <c r="B5176">
        <v>7.714340658770217e-10</v>
      </c>
      <c r="D5176" t="inlineStr">
        <is>
          <t>kilogram</t>
        </is>
      </c>
      <c r="E5176" t="inlineStr">
        <is>
          <t>air::non-urban air or from high stacks</t>
        </is>
      </c>
      <c r="F5176" t="inlineStr">
        <is>
          <t>biosphere</t>
        </is>
      </c>
      <c r="I5176">
        <v>0</v>
      </c>
    </row>
    <row r="5177">
      <c r="A5177" t="inlineStr">
        <is>
          <t>m-Xylene</t>
        </is>
      </c>
      <c r="B5177">
        <v>4.165743758822378e-08</v>
      </c>
      <c r="D5177" t="inlineStr">
        <is>
          <t>kilogram</t>
        </is>
      </c>
      <c r="E5177" t="inlineStr">
        <is>
          <t>air::non-urban air or from high stacks</t>
        </is>
      </c>
      <c r="F5177" t="inlineStr">
        <is>
          <t>biosphere</t>
        </is>
      </c>
      <c r="I5177">
        <v>0</v>
      </c>
    </row>
    <row r="5178">
      <c r="A5178" t="inlineStr">
        <is>
          <t>o-Xylene</t>
        </is>
      </c>
      <c r="B5178">
        <v>1.7742983843360735e-08</v>
      </c>
      <c r="D5178" t="inlineStr">
        <is>
          <t>kilogram</t>
        </is>
      </c>
      <c r="E5178" t="inlineStr">
        <is>
          <t>air::non-urban air or from high stacks</t>
        </is>
      </c>
      <c r="F5178" t="inlineStr">
        <is>
          <t>biosphere</t>
        </is>
      </c>
      <c r="I5178">
        <v>0</v>
      </c>
    </row>
    <row r="5179">
      <c r="A5179" t="inlineStr">
        <is>
          <t>Styrene</t>
        </is>
      </c>
      <c r="B5179">
        <v>7.714340002391748e-09</v>
      </c>
      <c r="D5179" t="inlineStr">
        <is>
          <t>kilogram</t>
        </is>
      </c>
      <c r="E5179" t="inlineStr">
        <is>
          <t>air::non-urban air or from high stacks</t>
        </is>
      </c>
      <c r="F5179" t="inlineStr">
        <is>
          <t>biosphere</t>
        </is>
      </c>
      <c r="I5179">
        <v>0</v>
      </c>
    </row>
    <row r="5180">
      <c r="A5180" t="inlineStr">
        <is>
          <t>Ethylene</t>
        </is>
      </c>
      <c r="B5180">
        <v>1.4094024811438196e-06</v>
      </c>
      <c r="D5180" t="inlineStr">
        <is>
          <t>kilogram</t>
        </is>
      </c>
      <c r="E5180" t="inlineStr">
        <is>
          <t>air::urban air close to ground</t>
        </is>
      </c>
      <c r="F5180" t="inlineStr">
        <is>
          <t>biosphere</t>
        </is>
      </c>
      <c r="I5180">
        <v>0</v>
      </c>
    </row>
    <row r="5181">
      <c r="A5181" t="inlineStr">
        <is>
          <t>Ethylene</t>
        </is>
      </c>
      <c r="B5181">
        <v>5.631468910634723e-08</v>
      </c>
      <c r="D5181" t="inlineStr">
        <is>
          <t>kilogram</t>
        </is>
      </c>
      <c r="E5181" t="inlineStr">
        <is>
          <t>air::non-urban air or from high stacks</t>
        </is>
      </c>
      <c r="F5181" t="inlineStr">
        <is>
          <t>biosphere</t>
        </is>
      </c>
      <c r="I5181">
        <v>0</v>
      </c>
    </row>
    <row r="5182">
      <c r="A5182" t="inlineStr">
        <is>
          <t>market for internal combustion engine, passenger car</t>
        </is>
      </c>
      <c r="B5182">
        <v>0.0004975535070430082</v>
      </c>
      <c r="C5182" t="inlineStr">
        <is>
          <t>GLO</t>
        </is>
      </c>
      <c r="D5182" t="inlineStr">
        <is>
          <t>kilogram</t>
        </is>
      </c>
      <c r="F5182" t="inlineStr">
        <is>
          <t>technosphere</t>
        </is>
      </c>
      <c r="G5182" t="inlineStr">
        <is>
          <t>internal combustion engine, passenger car</t>
        </is>
      </c>
      <c r="H5182" t="inlineStr">
        <is>
          <t> Energy-use allocation: 269.3057861328125 * 4.999999873689376e-06 / 2.7062996795066048 MJ per kilometer.</t>
        </is>
      </c>
      <c r="I5182">
        <v>0</v>
      </c>
    </row>
    <row r="5183">
      <c r="A5183" t="inlineStr">
        <is>
          <t>market for waste plastic, industrial electronics</t>
        </is>
      </c>
      <c r="B5183">
        <v>-8.978854216197933e-05</v>
      </c>
      <c r="C5183" t="inlineStr">
        <is>
          <t>CH</t>
        </is>
      </c>
      <c r="D5183" t="inlineStr">
        <is>
          <t>kilogram</t>
        </is>
      </c>
      <c r="F5183" t="inlineStr">
        <is>
          <t>technosphere</t>
        </is>
      </c>
      <c r="G5183" t="inlineStr">
        <is>
          <t>waste plastic, industrial electronics</t>
        </is>
      </c>
      <c r="H5183" t="inlineStr">
        <is>
          <t> Energy-use allocation: -48.59894180297852 * 4.999999873689376e-06 / 2.7062996795066048 MJ per kilometer.</t>
        </is>
      </c>
      <c r="I5183">
        <v>0</v>
      </c>
    </row>
    <row r="5184">
      <c r="A5184" t="inlineStr">
        <is>
          <t>polyethylene production, high density, granulate</t>
        </is>
      </c>
      <c r="B5184">
        <v>8.978854216197933e-05</v>
      </c>
      <c r="C5184" t="inlineStr">
        <is>
          <t>RER</t>
        </is>
      </c>
      <c r="D5184" t="inlineStr">
        <is>
          <t>kilogram</t>
        </is>
      </c>
      <c r="F5184" t="inlineStr">
        <is>
          <t>technosphere</t>
        </is>
      </c>
      <c r="G5184" t="inlineStr">
        <is>
          <t>polyethylene, high density, granulate</t>
        </is>
      </c>
      <c r="H5184" t="inlineStr">
        <is>
          <t> Energy-use allocation: 48.59894180297852 * 4.999999873689376e-06 / 2.7062996795066048 MJ per kilometer.</t>
        </is>
      </c>
      <c r="I5184">
        <v>0</v>
      </c>
    </row>
    <row r="5185">
      <c r="A5185" t="inlineStr">
        <is>
          <t>Carbon dioxide, non-fossil</t>
        </is>
      </c>
      <c r="B5185">
        <v>0.0739</v>
      </c>
      <c r="D5185" t="inlineStr">
        <is>
          <t>kilogram</t>
        </is>
      </c>
      <c r="E5185" t="inlineStr">
        <is>
          <t>air::urban air close to ground</t>
        </is>
      </c>
      <c r="F5185" t="inlineStr">
        <is>
          <t>biosphere</t>
        </is>
      </c>
      <c r="I5185">
        <v>0</v>
      </c>
    </row>
    <row r="5186"/>
    <row r="5187">
      <c r="A5187" t="inlineStr">
        <is>
          <t>Activity</t>
        </is>
      </c>
      <c r="B5187" t="inlineStr">
        <is>
          <t>bioethanol, from sugar crops, burned in passenger car</t>
        </is>
      </c>
    </row>
    <row r="5188">
      <c r="A5188" t="inlineStr">
        <is>
          <t>location</t>
        </is>
      </c>
      <c r="B5188" t="inlineStr">
        <is>
          <t>RER</t>
        </is>
      </c>
    </row>
    <row r="5189">
      <c r="A5189" t="inlineStr">
        <is>
          <t>production amount</t>
        </is>
      </c>
      <c r="B5189">
        <v>1</v>
      </c>
    </row>
    <row r="5190">
      <c r="A5190" t="inlineStr">
        <is>
          <t>reference product</t>
        </is>
      </c>
      <c r="B5190" t="inlineStr">
        <is>
          <t>heat</t>
        </is>
      </c>
    </row>
    <row r="5191">
      <c r="A5191" t="inlineStr">
        <is>
          <t>type</t>
        </is>
      </c>
      <c r="B5191" t="inlineStr">
        <is>
          <t>process</t>
        </is>
      </c>
    </row>
    <row r="5192">
      <c r="A5192" t="inlineStr">
        <is>
          <t>unit</t>
        </is>
      </c>
      <c r="B5192" t="inlineStr">
        <is>
          <t>megajoule</t>
        </is>
      </c>
    </row>
    <row r="5193">
      <c r="A5193" t="inlineStr">
        <is>
          <t>Power, mean</t>
        </is>
      </c>
      <c r="B5193">
        <v>126</v>
      </c>
    </row>
    <row r="5194">
      <c r="A5194" t="inlineStr">
        <is>
          <t>Power, min</t>
        </is>
      </c>
      <c r="B5194">
        <v>54</v>
      </c>
    </row>
    <row r="5195">
      <c r="A5195" t="inlineStr">
        <is>
          <t>Power, max</t>
        </is>
      </c>
      <c r="B5195">
        <v>158</v>
      </c>
    </row>
    <row r="5196">
      <c r="A5196" t="inlineStr">
        <is>
          <t>Lifetime, mean</t>
        </is>
      </c>
      <c r="B5196">
        <v>200000</v>
      </c>
    </row>
    <row r="5197">
      <c r="A5197" t="inlineStr">
        <is>
          <t>Lifetime, min</t>
        </is>
      </c>
      <c r="B5197">
        <v>160000</v>
      </c>
    </row>
    <row r="5198">
      <c r="A5198" t="inlineStr">
        <is>
          <t>Lifetime, max</t>
        </is>
      </c>
      <c r="B5198">
        <v>250000</v>
      </c>
    </row>
    <row r="5199">
      <c r="A5199" t="inlineStr">
        <is>
          <t>Energy use, mean</t>
        </is>
      </c>
      <c r="B5199">
        <v>2330</v>
      </c>
    </row>
    <row r="5200">
      <c r="A5200" t="inlineStr">
        <is>
          <t>Energy use, min</t>
        </is>
      </c>
      <c r="B5200">
        <v>1530</v>
      </c>
    </row>
    <row r="5201">
      <c r="A5201" t="inlineStr">
        <is>
          <t>Energy use, max</t>
        </is>
      </c>
      <c r="B5201">
        <v>3000</v>
      </c>
    </row>
    <row r="5202">
      <c r="A5202" t="inlineStr">
        <is>
          <t>Electric motor, mean</t>
        </is>
      </c>
      <c r="B5202">
        <v>0</v>
      </c>
    </row>
    <row r="5203">
      <c r="A5203" t="inlineStr">
        <is>
          <t>Electric motor, min</t>
        </is>
      </c>
      <c r="B5203">
        <v>0</v>
      </c>
    </row>
    <row r="5204">
      <c r="A5204" t="inlineStr">
        <is>
          <t>Electric motor, max</t>
        </is>
      </c>
      <c r="B5204">
        <v>0</v>
      </c>
    </row>
    <row r="5205">
      <c r="A5205" t="inlineStr">
        <is>
          <t>Combustion engine, mean</t>
        </is>
      </c>
      <c r="B5205">
        <v>146</v>
      </c>
    </row>
    <row r="5206">
      <c r="A5206" t="inlineStr">
        <is>
          <t>Combustion engine, min</t>
        </is>
      </c>
      <c r="B5206">
        <v>96</v>
      </c>
    </row>
    <row r="5207">
      <c r="A5207" t="inlineStr">
        <is>
          <t>Combustion engine, max</t>
        </is>
      </c>
      <c r="B5207">
        <v>168</v>
      </c>
    </row>
    <row r="5208">
      <c r="A5208" t="inlineStr">
        <is>
          <t>Fuel tank, mean</t>
        </is>
      </c>
      <c r="B5208">
        <v>48</v>
      </c>
    </row>
    <row r="5209">
      <c r="A5209" t="inlineStr">
        <is>
          <t>Fuel tank, min</t>
        </is>
      </c>
      <c r="B5209">
        <v>30</v>
      </c>
    </row>
    <row r="5210">
      <c r="A5210" t="inlineStr">
        <is>
          <t>Fuel tank, max</t>
        </is>
      </c>
      <c r="B5210">
        <v>48</v>
      </c>
    </row>
    <row r="5211">
      <c r="A5211" t="inlineStr">
        <is>
          <t>Battery capacity, mean</t>
        </is>
      </c>
      <c r="B5211">
        <v>0</v>
      </c>
    </row>
    <row r="5212">
      <c r="A5212" t="inlineStr">
        <is>
          <t>Battery capacity, min</t>
        </is>
      </c>
      <c r="B5212">
        <v>0</v>
      </c>
    </row>
    <row r="5213">
      <c r="A5213" t="inlineStr">
        <is>
          <t>Battery capacity, max</t>
        </is>
      </c>
      <c r="B5213">
        <v>0</v>
      </c>
    </row>
    <row r="5214">
      <c r="A5214" t="inlineStr">
        <is>
          <t>Battery replacement, mean</t>
        </is>
      </c>
      <c r="B5214">
        <v>0</v>
      </c>
    </row>
    <row r="5215">
      <c r="A5215" t="inlineStr">
        <is>
          <t>Battery replacement, min</t>
        </is>
      </c>
      <c r="B5215">
        <v>0</v>
      </c>
    </row>
    <row r="5216">
      <c r="A5216" t="inlineStr">
        <is>
          <t>Battery replacement, max</t>
        </is>
      </c>
      <c r="B5216">
        <v>0</v>
      </c>
    </row>
    <row r="5217">
      <c r="A5217" t="inlineStr">
        <is>
          <t>Fuel cell system, mean</t>
        </is>
      </c>
      <c r="B5217">
        <v>0</v>
      </c>
    </row>
    <row r="5218">
      <c r="A5218" t="inlineStr">
        <is>
          <t>Fuel cell system, min</t>
        </is>
      </c>
      <c r="B5218">
        <v>0</v>
      </c>
    </row>
    <row r="5219">
      <c r="A5219" t="inlineStr">
        <is>
          <t>Fuel cell system, max</t>
        </is>
      </c>
      <c r="B5219">
        <v>0</v>
      </c>
    </row>
    <row r="5220">
      <c r="A5220" t="inlineStr">
        <is>
          <t>Fuel cell stack replacement, mean</t>
        </is>
      </c>
      <c r="B5220">
        <v>0</v>
      </c>
    </row>
    <row r="5221">
      <c r="A5221" t="inlineStr">
        <is>
          <t>Fuel cell replacement, min</t>
        </is>
      </c>
      <c r="B5221">
        <v>0</v>
      </c>
    </row>
    <row r="5222">
      <c r="A5222" t="inlineStr">
        <is>
          <t>Fuel cell replacement, max</t>
        </is>
      </c>
      <c r="B5222">
        <v>0</v>
      </c>
    </row>
    <row r="5223">
      <c r="A5223" t="inlineStr">
        <is>
          <t>Onboard charger mass</t>
        </is>
      </c>
      <c r="B5223">
        <v>0</v>
      </c>
    </row>
    <row r="5224">
      <c r="A5224" t="inlineStr">
        <is>
          <t>Controller mass</t>
        </is>
      </c>
      <c r="B5224">
        <v>0</v>
      </c>
    </row>
    <row r="5225">
      <c r="A5225" t="inlineStr">
        <is>
          <t>Converter mass</t>
        </is>
      </c>
      <c r="B5225">
        <v>0</v>
      </c>
    </row>
    <row r="5226">
      <c r="A5226" t="inlineStr">
        <is>
          <t>Electrical powertrain mass</t>
        </is>
      </c>
      <c r="B5226">
        <v>0</v>
      </c>
    </row>
    <row r="5227">
      <c r="A5227" t="inlineStr">
        <is>
          <t>Inverter mass</t>
        </is>
      </c>
      <c r="B5227">
        <v>0</v>
      </c>
    </row>
    <row r="5228">
      <c r="A5228" t="inlineStr">
        <is>
          <t>NOx</t>
        </is>
      </c>
      <c r="B5228">
        <v>0.03</v>
      </c>
    </row>
    <row r="5229">
      <c r="A5229" t="inlineStr">
        <is>
          <t>PM 2.5</t>
        </is>
      </c>
      <c r="B5229">
        <v>0.000143099</v>
      </c>
    </row>
    <row r="5230">
      <c r="A5230" t="inlineStr">
        <is>
          <t>energy use source</t>
        </is>
      </c>
      <c r="B5230"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231">
      <c r="A5231" t="inlineStr">
        <is>
          <t>comment</t>
        </is>
      </c>
      <c r="B5231"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232">
      <c r="A5232" t="inlineStr">
        <is>
          <t>Exchanges</t>
        </is>
      </c>
    </row>
    <row r="5233">
      <c r="A5233" t="inlineStr">
        <is>
          <t>name</t>
        </is>
      </c>
      <c r="B5233" t="inlineStr">
        <is>
          <t>amount</t>
        </is>
      </c>
      <c r="C5233" t="inlineStr">
        <is>
          <t>location</t>
        </is>
      </c>
      <c r="D5233" t="inlineStr">
        <is>
          <t>unit</t>
        </is>
      </c>
      <c r="E5233" t="inlineStr">
        <is>
          <t>categories</t>
        </is>
      </c>
      <c r="F5233" t="inlineStr">
        <is>
          <t>type</t>
        </is>
      </c>
      <c r="G5233" t="inlineStr">
        <is>
          <t>reference product</t>
        </is>
      </c>
      <c r="H5233" t="inlineStr">
        <is>
          <t>comment</t>
        </is>
      </c>
      <c r="I5233" t="inlineStr">
        <is>
          <t>uncertainty type</t>
        </is>
      </c>
    </row>
    <row r="5234">
      <c r="A5234" t="inlineStr">
        <is>
          <t>bioethanol, from sugar crops, burned in passenger car</t>
        </is>
      </c>
      <c r="B5234">
        <v>1.0</v>
      </c>
      <c r="C5234" t="inlineStr">
        <is>
          <t>RER</t>
        </is>
      </c>
      <c r="D5234" t="inlineStr">
        <is>
          <t>megajoule</t>
        </is>
      </c>
      <c r="F5234" t="inlineStr">
        <is>
          <t>production</t>
        </is>
      </c>
      <c r="G5234" t="inlineStr">
        <is>
          <t>heat</t>
        </is>
      </c>
      <c r="I5234">
        <v>0</v>
      </c>
    </row>
    <row r="5235">
      <c r="A5235" t="inlineStr">
        <is>
          <t>ethanol production, via fermentation, from sugarbeet, energy allocation</t>
        </is>
      </c>
      <c r="B5235">
        <v>0.03773584905660377</v>
      </c>
      <c r="C5235" t="inlineStr">
        <is>
          <t>RER</t>
        </is>
      </c>
      <c r="D5235" t="inlineStr">
        <is>
          <t>kilogram</t>
        </is>
      </c>
      <c r="F5235" t="inlineStr">
        <is>
          <t>technosphere</t>
        </is>
      </c>
      <c r="G5235" t="inlineStr">
        <is>
          <t>ethanol, from sugarbeet</t>
        </is>
      </c>
      <c r="I5235">
        <v>0</v>
      </c>
    </row>
    <row r="5236">
      <c r="A5236" t="inlineStr">
        <is>
          <t>treatment of brake wear emissions, passenger car</t>
        </is>
      </c>
      <c r="B5236">
        <v>-5.438002312680902e-06</v>
      </c>
      <c r="C5236" t="inlineStr">
        <is>
          <t>RER</t>
        </is>
      </c>
      <c r="D5236" t="inlineStr">
        <is>
          <t>kilogram</t>
        </is>
      </c>
      <c r="F5236" t="inlineStr">
        <is>
          <t>technosphere</t>
        </is>
      </c>
      <c r="G5236" t="inlineStr">
        <is>
          <t>brake wear emissions, passenger car</t>
        </is>
      </c>
      <c r="I5236">
        <v>0</v>
      </c>
    </row>
    <row r="5237">
      <c r="A5237" t="inlineStr">
        <is>
          <t>treatment of road wear emissions, passenger car</t>
        </is>
      </c>
      <c r="B5237">
        <v>-6.242977641245232e-06</v>
      </c>
      <c r="C5237" t="inlineStr">
        <is>
          <t>RER</t>
        </is>
      </c>
      <c r="D5237" t="inlineStr">
        <is>
          <t>kilogram</t>
        </is>
      </c>
      <c r="F5237" t="inlineStr">
        <is>
          <t>technosphere</t>
        </is>
      </c>
      <c r="G5237" t="inlineStr">
        <is>
          <t>road wear emissions, passenger car</t>
        </is>
      </c>
      <c r="I5237">
        <v>0</v>
      </c>
    </row>
    <row r="5238">
      <c r="A5238" t="inlineStr">
        <is>
          <t>treatment of tyre wear emissions, passenger car</t>
        </is>
      </c>
      <c r="B5238">
        <v>-7.228598070295418e-06</v>
      </c>
      <c r="C5238" t="inlineStr">
        <is>
          <t>RER</t>
        </is>
      </c>
      <c r="D5238" t="inlineStr">
        <is>
          <t>kilogram</t>
        </is>
      </c>
      <c r="F5238" t="inlineStr">
        <is>
          <t>technosphere</t>
        </is>
      </c>
      <c r="G5238" t="inlineStr">
        <is>
          <t>tyre wear emissions, passenger car</t>
        </is>
      </c>
      <c r="I5238">
        <v>0</v>
      </c>
    </row>
    <row r="5239">
      <c r="A5239" t="inlineStr">
        <is>
          <t>market for tetrafluoroethane, R134a</t>
        </is>
      </c>
      <c r="B5239">
        <v>2.4018034573062128e-06</v>
      </c>
      <c r="C5239" t="inlineStr">
        <is>
          <t>GLO</t>
        </is>
      </c>
      <c r="D5239" t="inlineStr">
        <is>
          <t>kilogram</t>
        </is>
      </c>
      <c r="F5239" t="inlineStr">
        <is>
          <t>technosphere</t>
        </is>
      </c>
      <c r="G5239" t="inlineStr">
        <is>
          <t>tetrafluoroethane, R134a</t>
        </is>
      </c>
      <c r="I5239">
        <v>0</v>
      </c>
    </row>
    <row r="5240">
      <c r="A5240" t="inlineStr">
        <is>
          <t>Toluene</t>
        </is>
      </c>
      <c r="B5240">
        <v>8.485774790285088e-08</v>
      </c>
      <c r="D5240" t="inlineStr">
        <is>
          <t>kilogram</t>
        </is>
      </c>
      <c r="E5240" t="inlineStr">
        <is>
          <t>air::non-urban air or from high stacks</t>
        </is>
      </c>
      <c r="F5240" t="inlineStr">
        <is>
          <t>biosphere</t>
        </is>
      </c>
      <c r="I5240">
        <v>0</v>
      </c>
    </row>
    <row r="5241">
      <c r="A5241" t="inlineStr">
        <is>
          <t>NMVOC, non-methane volatile organic compounds</t>
        </is>
      </c>
      <c r="B5241">
        <v>3.1778359610804548e-06</v>
      </c>
      <c r="D5241" t="inlineStr">
        <is>
          <t>kilogram</t>
        </is>
      </c>
      <c r="E5241" t="inlineStr">
        <is>
          <t>air::non-urban air or from high stacks</t>
        </is>
      </c>
      <c r="F5241" t="inlineStr">
        <is>
          <t>biosphere</t>
        </is>
      </c>
      <c r="I5241">
        <v>0</v>
      </c>
    </row>
    <row r="5242">
      <c r="A5242" t="inlineStr">
        <is>
          <t>Dinitrogen monoxide</t>
        </is>
      </c>
      <c r="B5242">
        <v>4.674883409401355e-08</v>
      </c>
      <c r="D5242" t="inlineStr">
        <is>
          <t>kilogram</t>
        </is>
      </c>
      <c r="E5242" t="inlineStr">
        <is>
          <t>air::non-urban air or from high stacks</t>
        </is>
      </c>
      <c r="F5242" t="inlineStr">
        <is>
          <t>biosphere</t>
        </is>
      </c>
      <c r="I5242">
        <v>0</v>
      </c>
    </row>
    <row r="5243">
      <c r="A5243" t="inlineStr">
        <is>
          <t>Ethane</t>
        </is>
      </c>
      <c r="B5243">
        <v>6.178202979323652e-07</v>
      </c>
      <c r="D5243" t="inlineStr">
        <is>
          <t>kilogram</t>
        </is>
      </c>
      <c r="E5243" t="inlineStr">
        <is>
          <t>air::urban air close to ground</t>
        </is>
      </c>
      <c r="F5243" t="inlineStr">
        <is>
          <t>biosphere</t>
        </is>
      </c>
      <c r="I5243">
        <v>0</v>
      </c>
    </row>
    <row r="5244">
      <c r="A5244" t="inlineStr">
        <is>
          <t>Pentane</t>
        </is>
      </c>
      <c r="B5244">
        <v>4.2475143382439017e-07</v>
      </c>
      <c r="D5244" t="inlineStr">
        <is>
          <t>kilogram</t>
        </is>
      </c>
      <c r="E5244" t="inlineStr">
        <is>
          <t>air::urban air close to ground</t>
        </is>
      </c>
      <c r="F5244" t="inlineStr">
        <is>
          <t>biosphere</t>
        </is>
      </c>
      <c r="I5244">
        <v>0</v>
      </c>
    </row>
    <row r="5245">
      <c r="A5245" t="inlineStr">
        <is>
          <t>Selenium IV</t>
        </is>
      </c>
      <c r="B5245">
        <v>2.6658564722165628e-12</v>
      </c>
      <c r="D5245" t="inlineStr">
        <is>
          <t>kilogram</t>
        </is>
      </c>
      <c r="E5245" t="inlineStr">
        <is>
          <t>air::non-urban air or from high stacks</t>
        </is>
      </c>
      <c r="F5245" t="inlineStr">
        <is>
          <t>biosphere</t>
        </is>
      </c>
      <c r="I5245">
        <v>0</v>
      </c>
    </row>
    <row r="5246">
      <c r="A5246" t="inlineStr">
        <is>
          <t>Arsenic ion</t>
        </is>
      </c>
      <c r="B5246">
        <v>4.001626718125109e-12</v>
      </c>
      <c r="D5246" t="inlineStr">
        <is>
          <t>kilogram</t>
        </is>
      </c>
      <c r="E5246" t="inlineStr">
        <is>
          <t>air::non-urban air or from high stacks</t>
        </is>
      </c>
      <c r="F5246" t="inlineStr">
        <is>
          <t>biosphere</t>
        </is>
      </c>
      <c r="I5246">
        <v>0</v>
      </c>
    </row>
    <row r="5247">
      <c r="A5247" t="inlineStr">
        <is>
          <t>Arsenic ion</t>
        </is>
      </c>
      <c r="B5247">
        <v>3.038373047003884e-12</v>
      </c>
      <c r="D5247" t="inlineStr">
        <is>
          <t>kilogram</t>
        </is>
      </c>
      <c r="E5247" t="inlineStr">
        <is>
          <t>air::urban air close to ground</t>
        </is>
      </c>
      <c r="F5247" t="inlineStr">
        <is>
          <t>biosphere</t>
        </is>
      </c>
      <c r="I5247">
        <v>0</v>
      </c>
    </row>
    <row r="5248">
      <c r="A5248" t="inlineStr">
        <is>
          <t>Propylene</t>
        </is>
      </c>
      <c r="B5248">
        <v>2.9314492534191425e-08</v>
      </c>
      <c r="D5248" t="inlineStr">
        <is>
          <t>kilogram</t>
        </is>
      </c>
      <c r="E5248" t="inlineStr">
        <is>
          <t>air::non-urban air or from high stacks</t>
        </is>
      </c>
      <c r="F5248" t="inlineStr">
        <is>
          <t>biosphere</t>
        </is>
      </c>
      <c r="I5248">
        <v>0</v>
      </c>
    </row>
    <row r="5249">
      <c r="A5249" t="inlineStr">
        <is>
          <t>Particulate Matter, &lt; 2.5 um</t>
        </is>
      </c>
      <c r="B5249">
        <v>2.3699093868880875e-07</v>
      </c>
      <c r="D5249" t="inlineStr">
        <is>
          <t>kilogram</t>
        </is>
      </c>
      <c r="E5249" t="inlineStr">
        <is>
          <t>air::urban air close to ground</t>
        </is>
      </c>
      <c r="F5249" t="inlineStr">
        <is>
          <t>biosphere</t>
        </is>
      </c>
      <c r="I5249">
        <v>0</v>
      </c>
    </row>
    <row r="5250">
      <c r="A5250" t="inlineStr">
        <is>
          <t>Nickel II</t>
        </is>
      </c>
      <c r="B5250">
        <v>3.069429555789392e-11</v>
      </c>
      <c r="D5250" t="inlineStr">
        <is>
          <t>kilogram</t>
        </is>
      </c>
      <c r="E5250" t="inlineStr">
        <is>
          <t>air::non-urban air or from high stacks</t>
        </is>
      </c>
      <c r="F5250" t="inlineStr">
        <is>
          <t>biosphere</t>
        </is>
      </c>
      <c r="I5250">
        <v>0</v>
      </c>
    </row>
    <row r="5251">
      <c r="A5251" t="inlineStr">
        <is>
          <t>Methane, fossil</t>
        </is>
      </c>
      <c r="B5251">
        <v>5.142891864640064e-07</v>
      </c>
      <c r="D5251" t="inlineStr">
        <is>
          <t>kilogram</t>
        </is>
      </c>
      <c r="E5251" t="inlineStr">
        <is>
          <t>air::non-urban air or from high stacks</t>
        </is>
      </c>
      <c r="F5251" t="inlineStr">
        <is>
          <t>biosphere</t>
        </is>
      </c>
      <c r="I5251">
        <v>0</v>
      </c>
    </row>
    <row r="5252">
      <c r="A5252" t="inlineStr">
        <is>
          <t>Mercury II</t>
        </is>
      </c>
      <c r="B5252">
        <v>1.1595623051201971e-10</v>
      </c>
      <c r="D5252" t="inlineStr">
        <is>
          <t>kilogram</t>
        </is>
      </c>
      <c r="E5252" t="inlineStr">
        <is>
          <t>air::non-urban air or from high stacks</t>
        </is>
      </c>
      <c r="F5252" t="inlineStr">
        <is>
          <t>biosphere</t>
        </is>
      </c>
      <c r="I5252">
        <v>0</v>
      </c>
    </row>
    <row r="5253">
      <c r="A5253" t="inlineStr">
        <is>
          <t>Ammonia</t>
        </is>
      </c>
      <c r="B5253">
        <v>1.8978800516687959e-06</v>
      </c>
      <c r="D5253" t="inlineStr">
        <is>
          <t>kilogram</t>
        </is>
      </c>
      <c r="E5253" t="inlineStr">
        <is>
          <t>air::non-urban air or from high stacks</t>
        </is>
      </c>
      <c r="F5253" t="inlineStr">
        <is>
          <t>biosphere</t>
        </is>
      </c>
      <c r="I5253">
        <v>0</v>
      </c>
    </row>
    <row r="5254">
      <c r="A5254" t="inlineStr">
        <is>
          <t>Ethane</t>
        </is>
      </c>
      <c r="B5254">
        <v>2.46858901080647e-08</v>
      </c>
      <c r="D5254" t="inlineStr">
        <is>
          <t>kilogram</t>
        </is>
      </c>
      <c r="E5254" t="inlineStr">
        <is>
          <t>air::non-urban air or from high stacks</t>
        </is>
      </c>
      <c r="F5254" t="inlineStr">
        <is>
          <t>biosphere</t>
        </is>
      </c>
      <c r="I5254">
        <v>0</v>
      </c>
    </row>
    <row r="5255">
      <c r="A5255" t="inlineStr">
        <is>
          <t>Nickel II</t>
        </is>
      </c>
      <c r="B5255">
        <v>2.33057020978785e-11</v>
      </c>
      <c r="D5255" t="inlineStr">
        <is>
          <t>kilogram</t>
        </is>
      </c>
      <c r="E5255" t="inlineStr">
        <is>
          <t>air::urban air close to ground</t>
        </is>
      </c>
      <c r="F5255" t="inlineStr">
        <is>
          <t>biosphere</t>
        </is>
      </c>
      <c r="I5255">
        <v>0</v>
      </c>
    </row>
    <row r="5256">
      <c r="A5256" t="inlineStr">
        <is>
          <t>Cadmium II</t>
        </is>
      </c>
      <c r="B5256">
        <v>2.6658564722165628e-12</v>
      </c>
      <c r="D5256" t="inlineStr">
        <is>
          <t>kilogram</t>
        </is>
      </c>
      <c r="E5256" t="inlineStr">
        <is>
          <t>air::non-urban air or from high stacks</t>
        </is>
      </c>
      <c r="F5256" t="inlineStr">
        <is>
          <t>biosphere</t>
        </is>
      </c>
      <c r="I5256">
        <v>0</v>
      </c>
    </row>
    <row r="5257">
      <c r="A5257" t="inlineStr">
        <is>
          <t>Ammonia</t>
        </is>
      </c>
      <c r="B5257">
        <v>1.4410307235331609e-06</v>
      </c>
      <c r="D5257" t="inlineStr">
        <is>
          <t>kilogram</t>
        </is>
      </c>
      <c r="E5257" t="inlineStr">
        <is>
          <t>air::urban air close to ground</t>
        </is>
      </c>
      <c r="F5257" t="inlineStr">
        <is>
          <t>biosphere</t>
        </is>
      </c>
      <c r="I5257">
        <v>0</v>
      </c>
    </row>
    <row r="5258">
      <c r="A5258" t="inlineStr">
        <is>
          <t>Butane</t>
        </is>
      </c>
      <c r="B5258">
        <v>4.0114570112848195e-08</v>
      </c>
      <c r="D5258" t="inlineStr">
        <is>
          <t>kilogram</t>
        </is>
      </c>
      <c r="E5258" t="inlineStr">
        <is>
          <t>air::non-urban air or from high stacks</t>
        </is>
      </c>
      <c r="F5258" t="inlineStr">
        <is>
          <t>biosphere</t>
        </is>
      </c>
      <c r="I5258">
        <v>0</v>
      </c>
    </row>
    <row r="5259">
      <c r="A5259" t="inlineStr">
        <is>
          <t>PAH, polycyclic aromatic hydrocarbons</t>
        </is>
      </c>
      <c r="B5259">
        <v>3.5346981515115725e-10</v>
      </c>
      <c r="D5259" t="inlineStr">
        <is>
          <t>kilogram</t>
        </is>
      </c>
      <c r="E5259" t="inlineStr">
        <is>
          <t>air::urban air close to ground</t>
        </is>
      </c>
      <c r="F5259" t="inlineStr">
        <is>
          <t>biosphere</t>
        </is>
      </c>
      <c r="I5259">
        <v>0</v>
      </c>
    </row>
    <row r="5260">
      <c r="A5260" t="inlineStr">
        <is>
          <t>Copper ion</t>
        </is>
      </c>
      <c r="B5260">
        <v>6.025176924783301e-11</v>
      </c>
      <c r="D5260" t="inlineStr">
        <is>
          <t>kilogram</t>
        </is>
      </c>
      <c r="E5260" t="inlineStr">
        <is>
          <t>air::non-urban air or from high stacks</t>
        </is>
      </c>
      <c r="F5260" t="inlineStr">
        <is>
          <t>biosphere</t>
        </is>
      </c>
      <c r="I5260">
        <v>0</v>
      </c>
    </row>
    <row r="5261">
      <c r="A5261" t="inlineStr">
        <is>
          <t>Nitrogen oxides</t>
        </is>
      </c>
      <c r="B5261">
        <v>8.487546844117613e-06</v>
      </c>
      <c r="D5261" t="inlineStr">
        <is>
          <t>kilogram</t>
        </is>
      </c>
      <c r="E5261" t="inlineStr">
        <is>
          <t>air::non-urban air or from high stacks</t>
        </is>
      </c>
      <c r="F5261" t="inlineStr">
        <is>
          <t>biosphere</t>
        </is>
      </c>
      <c r="I5261">
        <v>0</v>
      </c>
    </row>
    <row r="5262">
      <c r="A5262" t="inlineStr">
        <is>
          <t>Hexane</t>
        </is>
      </c>
      <c r="B5262">
        <v>3.089101489661827e-07</v>
      </c>
      <c r="D5262" t="inlineStr">
        <is>
          <t>kilogram</t>
        </is>
      </c>
      <c r="E5262" t="inlineStr">
        <is>
          <t>air::urban air close to ground</t>
        </is>
      </c>
      <c r="F5262" t="inlineStr">
        <is>
          <t>biosphere</t>
        </is>
      </c>
      <c r="I5262">
        <v>0</v>
      </c>
    </row>
    <row r="5263">
      <c r="A5263" t="inlineStr">
        <is>
          <t>Butane</t>
        </is>
      </c>
      <c r="B5263">
        <v>1.0039579421318718e-06</v>
      </c>
      <c r="D5263" t="inlineStr">
        <is>
          <t>kilogram</t>
        </is>
      </c>
      <c r="E5263" t="inlineStr">
        <is>
          <t>air::urban air close to ground</t>
        </is>
      </c>
      <c r="F5263" t="inlineStr">
        <is>
          <t>biosphere</t>
        </is>
      </c>
      <c r="I5263">
        <v>0</v>
      </c>
    </row>
    <row r="5264">
      <c r="A5264" t="inlineStr">
        <is>
          <t>Copper ion</t>
        </is>
      </c>
      <c r="B5264">
        <v>4.57482306137567e-11</v>
      </c>
      <c r="D5264" t="inlineStr">
        <is>
          <t>kilogram</t>
        </is>
      </c>
      <c r="E5264" t="inlineStr">
        <is>
          <t>air::urban air close to ground</t>
        </is>
      </c>
      <c r="F5264" t="inlineStr">
        <is>
          <t>biosphere</t>
        </is>
      </c>
      <c r="I5264">
        <v>0</v>
      </c>
    </row>
    <row r="5265">
      <c r="A5265" t="inlineStr">
        <is>
          <t>Chromium III</t>
        </is>
      </c>
      <c r="B5265">
        <v>6.387488609167662e-11</v>
      </c>
      <c r="D5265" t="inlineStr">
        <is>
          <t>kilogram</t>
        </is>
      </c>
      <c r="E5265" t="inlineStr">
        <is>
          <t>air::urban air close to ground</t>
        </is>
      </c>
      <c r="F5265" t="inlineStr">
        <is>
          <t>biosphere</t>
        </is>
      </c>
      <c r="I5265">
        <v>0</v>
      </c>
    </row>
    <row r="5266">
      <c r="A5266" t="inlineStr">
        <is>
          <t>Propane</t>
        </is>
      </c>
      <c r="B5266">
        <v>1.351481901727049e-07</v>
      </c>
      <c r="D5266" t="inlineStr">
        <is>
          <t>kilogram</t>
        </is>
      </c>
      <c r="E5266" t="inlineStr">
        <is>
          <t>air::urban air close to ground</t>
        </is>
      </c>
      <c r="F5266" t="inlineStr">
        <is>
          <t>biosphere</t>
        </is>
      </c>
      <c r="I5266">
        <v>0</v>
      </c>
    </row>
    <row r="5267">
      <c r="A5267" t="inlineStr">
        <is>
          <t>Toluene</t>
        </is>
      </c>
      <c r="B5267">
        <v>2.1237572531383947e-06</v>
      </c>
      <c r="D5267" t="inlineStr">
        <is>
          <t>kilogram</t>
        </is>
      </c>
      <c r="E5267" t="inlineStr">
        <is>
          <t>air::urban air close to ground</t>
        </is>
      </c>
      <c r="F5267" t="inlineStr">
        <is>
          <t>biosphere</t>
        </is>
      </c>
      <c r="I5267">
        <v>0</v>
      </c>
    </row>
    <row r="5268">
      <c r="A5268" t="inlineStr">
        <is>
          <t>Dinitrogen monoxide</t>
        </is>
      </c>
      <c r="B5268">
        <v>3.5495663709460686e-08</v>
      </c>
      <c r="D5268" t="inlineStr">
        <is>
          <t>kilogram</t>
        </is>
      </c>
      <c r="E5268" t="inlineStr">
        <is>
          <t>air::urban air close to ground</t>
        </is>
      </c>
      <c r="F5268" t="inlineStr">
        <is>
          <t>biosphere</t>
        </is>
      </c>
      <c r="I5268">
        <v>0</v>
      </c>
    </row>
    <row r="5269">
      <c r="A5269" t="inlineStr">
        <is>
          <t>Zinc II</t>
        </is>
      </c>
      <c r="B5269">
        <v>3.3447998609123704e-10</v>
      </c>
      <c r="D5269" t="inlineStr">
        <is>
          <t>kilogram</t>
        </is>
      </c>
      <c r="E5269" t="inlineStr">
        <is>
          <t>air::urban air close to ground</t>
        </is>
      </c>
      <c r="F5269" t="inlineStr">
        <is>
          <t>biosphere</t>
        </is>
      </c>
      <c r="I5269">
        <v>0</v>
      </c>
    </row>
    <row r="5270">
      <c r="A5270" t="inlineStr">
        <is>
          <t>Chromium VI</t>
        </is>
      </c>
      <c r="B5270">
        <v>1.6825022521085002e-13</v>
      </c>
      <c r="D5270" t="inlineStr">
        <is>
          <t>kilogram</t>
        </is>
      </c>
      <c r="E5270" t="inlineStr">
        <is>
          <t>air::non-urban air or from high stacks</t>
        </is>
      </c>
      <c r="F5270" t="inlineStr">
        <is>
          <t>biosphere</t>
        </is>
      </c>
      <c r="I5270">
        <v>0</v>
      </c>
    </row>
    <row r="5271">
      <c r="A5271" t="inlineStr">
        <is>
          <t>Benzene</t>
        </is>
      </c>
      <c r="B5271">
        <v>3.53245327151087e-08</v>
      </c>
      <c r="D5271" t="inlineStr">
        <is>
          <t>kilogram</t>
        </is>
      </c>
      <c r="E5271" t="inlineStr">
        <is>
          <t>air::non-urban air or from high stacks</t>
        </is>
      </c>
      <c r="F5271" t="inlineStr">
        <is>
          <t>biosphere</t>
        </is>
      </c>
      <c r="I5271">
        <v>0</v>
      </c>
    </row>
    <row r="5272">
      <c r="A5272" t="inlineStr">
        <is>
          <t>Carbon monoxide, fossil</t>
        </is>
      </c>
      <c r="B5272">
        <v>0.0001087694681937128</v>
      </c>
      <c r="D5272" t="inlineStr">
        <is>
          <t>kilogram</t>
        </is>
      </c>
      <c r="E5272" t="inlineStr">
        <is>
          <t>air::non-urban air or from high stacks</t>
        </is>
      </c>
      <c r="F5272" t="inlineStr">
        <is>
          <t>biosphere</t>
        </is>
      </c>
      <c r="I5272">
        <v>0</v>
      </c>
    </row>
    <row r="5273">
      <c r="A5273" t="inlineStr">
        <is>
          <t>Chromium VI</t>
        </is>
      </c>
      <c r="B5273">
        <v>1.2774977274422347e-13</v>
      </c>
      <c r="D5273" t="inlineStr">
        <is>
          <t>kilogram</t>
        </is>
      </c>
      <c r="E5273" t="inlineStr">
        <is>
          <t>air::urban air close to ground</t>
        </is>
      </c>
      <c r="F5273" t="inlineStr">
        <is>
          <t>biosphere</t>
        </is>
      </c>
      <c r="I5273">
        <v>0</v>
      </c>
    </row>
    <row r="5274">
      <c r="A5274" t="inlineStr">
        <is>
          <t>Methane, fossil</t>
        </is>
      </c>
      <c r="B5274">
        <v>1.4737951202945778e-06</v>
      </c>
      <c r="D5274" t="inlineStr">
        <is>
          <t>kilogram</t>
        </is>
      </c>
      <c r="E5274" t="inlineStr">
        <is>
          <t>air::urban air close to ground</t>
        </is>
      </c>
      <c r="F5274" t="inlineStr">
        <is>
          <t>biosphere</t>
        </is>
      </c>
      <c r="I5274">
        <v>0</v>
      </c>
    </row>
    <row r="5275">
      <c r="A5275" t="inlineStr">
        <is>
          <t>Sulfur dioxide</t>
        </is>
      </c>
      <c r="B5275">
        <v>3.7723729745496776e-07</v>
      </c>
      <c r="D5275" t="inlineStr">
        <is>
          <t>kilogram</t>
        </is>
      </c>
      <c r="E5275" t="inlineStr">
        <is>
          <t>air</t>
        </is>
      </c>
      <c r="F5275" t="inlineStr">
        <is>
          <t>biosphere</t>
        </is>
      </c>
      <c r="I5275">
        <v>0</v>
      </c>
    </row>
    <row r="5276">
      <c r="A5276" t="inlineStr">
        <is>
          <t>NMVOC, non-methane volatile organic compounds</t>
        </is>
      </c>
      <c r="B5276">
        <v>1.9676329903559775e-05</v>
      </c>
      <c r="D5276" t="inlineStr">
        <is>
          <t>kilogram</t>
        </is>
      </c>
      <c r="E5276" t="inlineStr">
        <is>
          <t>air::urban air close to ground</t>
        </is>
      </c>
      <c r="F5276" t="inlineStr">
        <is>
          <t>biosphere</t>
        </is>
      </c>
      <c r="I5276">
        <v>0</v>
      </c>
    </row>
    <row r="5277">
      <c r="A5277" t="inlineStr">
        <is>
          <t>Formaldehyde</t>
        </is>
      </c>
      <c r="B5277">
        <v>3.282170227745136e-07</v>
      </c>
      <c r="D5277" t="inlineStr">
        <is>
          <t>kilogram</t>
        </is>
      </c>
      <c r="E5277" t="inlineStr">
        <is>
          <t>air::urban air close to ground</t>
        </is>
      </c>
      <c r="F5277" t="inlineStr">
        <is>
          <t>biosphere</t>
        </is>
      </c>
      <c r="I5277">
        <v>0</v>
      </c>
    </row>
    <row r="5278">
      <c r="A5278" t="inlineStr">
        <is>
          <t>Nitrogen oxides</t>
        </is>
      </c>
      <c r="B5278">
        <v>1.1323855960379002e-05</v>
      </c>
      <c r="D5278" t="inlineStr">
        <is>
          <t>kilogram</t>
        </is>
      </c>
      <c r="E5278" t="inlineStr">
        <is>
          <t>air::urban air close to ground</t>
        </is>
      </c>
      <c r="F5278" t="inlineStr">
        <is>
          <t>biosphere</t>
        </is>
      </c>
      <c r="I5278">
        <v>0</v>
      </c>
    </row>
    <row r="5279">
      <c r="A5279" t="inlineStr">
        <is>
          <t>Formaldehyde</t>
        </is>
      </c>
      <c r="B5279">
        <v>1.3114378791720136e-08</v>
      </c>
      <c r="D5279" t="inlineStr">
        <is>
          <t>kilogram</t>
        </is>
      </c>
      <c r="E5279" t="inlineStr">
        <is>
          <t>air::non-urban air or from high stacks</t>
        </is>
      </c>
      <c r="F5279" t="inlineStr">
        <is>
          <t>biosphere</t>
        </is>
      </c>
      <c r="I5279">
        <v>0</v>
      </c>
    </row>
    <row r="5280">
      <c r="A5280" t="inlineStr">
        <is>
          <t>Zinc II</t>
        </is>
      </c>
      <c r="B5280">
        <v>4.4051995837597756e-10</v>
      </c>
      <c r="D5280" t="inlineStr">
        <is>
          <t>kilogram</t>
        </is>
      </c>
      <c r="E5280" t="inlineStr">
        <is>
          <t>air::non-urban air or from high stacks</t>
        </is>
      </c>
      <c r="F5280" t="inlineStr">
        <is>
          <t>biosphere</t>
        </is>
      </c>
      <c r="I5280">
        <v>0</v>
      </c>
    </row>
    <row r="5281">
      <c r="A5281" t="inlineStr">
        <is>
          <t>Carbon monoxide, fossil</t>
        </is>
      </c>
      <c r="B5281">
        <v>0.00020171446470292127</v>
      </c>
      <c r="D5281" t="inlineStr">
        <is>
          <t>kilogram</t>
        </is>
      </c>
      <c r="E5281" t="inlineStr">
        <is>
          <t>air::urban air close to ground</t>
        </is>
      </c>
      <c r="F5281" t="inlineStr">
        <is>
          <t>biosphere</t>
        </is>
      </c>
      <c r="I5281">
        <v>0</v>
      </c>
    </row>
    <row r="5282">
      <c r="A5282" t="inlineStr">
        <is>
          <t>m-Xylene</t>
        </is>
      </c>
      <c r="B5282">
        <v>1.0425717317567554e-06</v>
      </c>
      <c r="D5282" t="inlineStr">
        <is>
          <t>kilogram</t>
        </is>
      </c>
      <c r="E5282" t="inlineStr">
        <is>
          <t>air::urban air close to ground</t>
        </is>
      </c>
      <c r="F5282" t="inlineStr">
        <is>
          <t>biosphere</t>
        </is>
      </c>
      <c r="I5282">
        <v>0</v>
      </c>
    </row>
    <row r="5283">
      <c r="A5283" t="inlineStr">
        <is>
          <t>PAH, polycyclic aromatic hydrocarbons</t>
        </is>
      </c>
      <c r="B5283">
        <v>4.655301522860326e-10</v>
      </c>
      <c r="D5283" t="inlineStr">
        <is>
          <t>kilogram</t>
        </is>
      </c>
      <c r="E5283" t="inlineStr">
        <is>
          <t>air::non-urban air or from high stacks</t>
        </is>
      </c>
      <c r="F5283" t="inlineStr">
        <is>
          <t>biosphere</t>
        </is>
      </c>
      <c r="I5283">
        <v>0</v>
      </c>
    </row>
    <row r="5284">
      <c r="A5284" t="inlineStr">
        <is>
          <t>Particulate Matter, &lt; 2.5 um</t>
        </is>
      </c>
      <c r="B5284">
        <v>3.1212402999812946e-07</v>
      </c>
      <c r="D5284" t="inlineStr">
        <is>
          <t>kilogram</t>
        </is>
      </c>
      <c r="E5284" t="inlineStr">
        <is>
          <t>air::non-urban air or from high stacks</t>
        </is>
      </c>
      <c r="F5284" t="inlineStr">
        <is>
          <t>biosphere</t>
        </is>
      </c>
      <c r="I5284">
        <v>0</v>
      </c>
    </row>
    <row r="5285">
      <c r="A5285" t="inlineStr">
        <is>
          <t>Pentane</t>
        </is>
      </c>
      <c r="B5285">
        <v>1.697155010567295e-08</v>
      </c>
      <c r="D5285" t="inlineStr">
        <is>
          <t>kilogram</t>
        </is>
      </c>
      <c r="E5285" t="inlineStr">
        <is>
          <t>air::non-urban air or from high stacks</t>
        </is>
      </c>
      <c r="F5285" t="inlineStr">
        <is>
          <t>biosphere</t>
        </is>
      </c>
      <c r="I5285">
        <v>0</v>
      </c>
    </row>
    <row r="5286">
      <c r="A5286" t="inlineStr">
        <is>
          <t>1,1,1,2-Tetrafluoroethane</t>
        </is>
      </c>
      <c r="B5286">
        <v>1.3856558213651742e-06</v>
      </c>
      <c r="D5286" t="inlineStr">
        <is>
          <t>kilogram</t>
        </is>
      </c>
      <c r="E5286" t="inlineStr">
        <is>
          <t>air</t>
        </is>
      </c>
      <c r="F5286" t="inlineStr">
        <is>
          <t>biosphere</t>
        </is>
      </c>
      <c r="I5286">
        <v>0</v>
      </c>
    </row>
    <row r="5287">
      <c r="A5287" t="inlineStr">
        <is>
          <t>Acetaldehyde</t>
        </is>
      </c>
      <c r="B5287">
        <v>1.544550744830913e-07</v>
      </c>
      <c r="D5287" t="inlineStr">
        <is>
          <t>kilogram</t>
        </is>
      </c>
      <c r="E5287" t="inlineStr">
        <is>
          <t>air::urban air close to ground</t>
        </is>
      </c>
      <c r="F5287" t="inlineStr">
        <is>
          <t>biosphere</t>
        </is>
      </c>
      <c r="I5287">
        <v>0</v>
      </c>
    </row>
    <row r="5288">
      <c r="A5288" t="inlineStr">
        <is>
          <t>Benzene</t>
        </is>
      </c>
      <c r="B5288">
        <v>1.4380293200880646e-06</v>
      </c>
      <c r="D5288" t="inlineStr">
        <is>
          <t>kilogram</t>
        </is>
      </c>
      <c r="E5288" t="inlineStr">
        <is>
          <t>air::urban air close to ground</t>
        </is>
      </c>
      <c r="F5288" t="inlineStr">
        <is>
          <t>biosphere</t>
        </is>
      </c>
      <c r="I5288">
        <v>0</v>
      </c>
    </row>
    <row r="5289">
      <c r="A5289" t="inlineStr">
        <is>
          <t>Mercury II</t>
        </is>
      </c>
      <c r="B5289">
        <v>8.804375664359864e-11</v>
      </c>
      <c r="D5289" t="inlineStr">
        <is>
          <t>kilogram</t>
        </is>
      </c>
      <c r="E5289" t="inlineStr">
        <is>
          <t>air::urban air close to ground</t>
        </is>
      </c>
      <c r="F5289" t="inlineStr">
        <is>
          <t>biosphere</t>
        </is>
      </c>
      <c r="I5289">
        <v>0</v>
      </c>
    </row>
    <row r="5290">
      <c r="A5290" t="inlineStr">
        <is>
          <t>Cadmium II</t>
        </is>
      </c>
      <c r="B5290">
        <v>2.0241433189600118e-12</v>
      </c>
      <c r="D5290" t="inlineStr">
        <is>
          <t>kilogram</t>
        </is>
      </c>
      <c r="E5290" t="inlineStr">
        <is>
          <t>air::urban air close to ground</t>
        </is>
      </c>
      <c r="F5290" t="inlineStr">
        <is>
          <t>biosphere</t>
        </is>
      </c>
      <c r="I5290">
        <v>0</v>
      </c>
    </row>
    <row r="5291">
      <c r="A5291" t="inlineStr">
        <is>
          <t>Propane</t>
        </is>
      </c>
      <c r="B5291">
        <v>5.4000384611391535e-09</v>
      </c>
      <c r="D5291" t="inlineStr">
        <is>
          <t>kilogram</t>
        </is>
      </c>
      <c r="E5291" t="inlineStr">
        <is>
          <t>air::non-urban air or from high stacks</t>
        </is>
      </c>
      <c r="F5291" t="inlineStr">
        <is>
          <t>biosphere</t>
        </is>
      </c>
      <c r="I5291">
        <v>0</v>
      </c>
    </row>
    <row r="5292">
      <c r="A5292" t="inlineStr">
        <is>
          <t>Chromium III</t>
        </is>
      </c>
      <c r="B5292">
        <v>8.412510539423576e-11</v>
      </c>
      <c r="D5292" t="inlineStr">
        <is>
          <t>kilogram</t>
        </is>
      </c>
      <c r="E5292" t="inlineStr">
        <is>
          <t>air::non-urban air or from high stacks</t>
        </is>
      </c>
      <c r="F5292" t="inlineStr">
        <is>
          <t>biosphere</t>
        </is>
      </c>
      <c r="I5292">
        <v>0</v>
      </c>
    </row>
    <row r="5293">
      <c r="A5293" t="inlineStr">
        <is>
          <t>1-Pentene</t>
        </is>
      </c>
      <c r="B5293">
        <v>1.9306884310386414e-08</v>
      </c>
      <c r="D5293" t="inlineStr">
        <is>
          <t>kilogram</t>
        </is>
      </c>
      <c r="E5293" t="inlineStr">
        <is>
          <t>air::urban air close to ground</t>
        </is>
      </c>
      <c r="F5293" t="inlineStr">
        <is>
          <t>biosphere</t>
        </is>
      </c>
      <c r="I5293">
        <v>0</v>
      </c>
    </row>
    <row r="5294">
      <c r="A5294" t="inlineStr">
        <is>
          <t>Acetone</t>
        </is>
      </c>
      <c r="B5294">
        <v>1.158413058623185e-07</v>
      </c>
      <c r="D5294" t="inlineStr">
        <is>
          <t>kilogram</t>
        </is>
      </c>
      <c r="E5294" t="inlineStr">
        <is>
          <t>air::urban air close to ground</t>
        </is>
      </c>
      <c r="F5294" t="inlineStr">
        <is>
          <t>biosphere</t>
        </is>
      </c>
      <c r="I5294">
        <v>0</v>
      </c>
    </row>
    <row r="5295">
      <c r="A5295" t="inlineStr">
        <is>
          <t>Acrolein</t>
        </is>
      </c>
      <c r="B5295">
        <v>3.861376862077283e-08</v>
      </c>
      <c r="D5295" t="inlineStr">
        <is>
          <t>kilogram</t>
        </is>
      </c>
      <c r="E5295" t="inlineStr">
        <is>
          <t>air::urban air close to ground</t>
        </is>
      </c>
      <c r="F5295" t="inlineStr">
        <is>
          <t>biosphere</t>
        </is>
      </c>
      <c r="I5295">
        <v>0</v>
      </c>
    </row>
    <row r="5296">
      <c r="A5296" t="inlineStr">
        <is>
          <t>Benzaldehyde</t>
        </is>
      </c>
      <c r="B5296">
        <v>3.861376862077283e-08</v>
      </c>
      <c r="D5296" t="inlineStr">
        <is>
          <t>kilogram</t>
        </is>
      </c>
      <c r="E5296" t="inlineStr">
        <is>
          <t>air::urban air close to ground</t>
        </is>
      </c>
      <c r="F5296" t="inlineStr">
        <is>
          <t>biosphere</t>
        </is>
      </c>
      <c r="I5296">
        <v>0</v>
      </c>
    </row>
    <row r="5297">
      <c r="A5297" t="inlineStr">
        <is>
          <t>Cyclohexane</t>
        </is>
      </c>
      <c r="B5297">
        <v>2.1237571691219508e-07</v>
      </c>
      <c r="D5297" t="inlineStr">
        <is>
          <t>kilogram</t>
        </is>
      </c>
      <c r="E5297" t="inlineStr">
        <is>
          <t>air::urban air close to ground</t>
        </is>
      </c>
      <c r="F5297" t="inlineStr">
        <is>
          <t>biosphere</t>
        </is>
      </c>
      <c r="I5297">
        <v>0</v>
      </c>
    </row>
    <row r="5298">
      <c r="A5298" t="inlineStr">
        <is>
          <t>Heptane</t>
        </is>
      </c>
      <c r="B5298">
        <v>1.351481901727049e-07</v>
      </c>
      <c r="D5298" t="inlineStr">
        <is>
          <t>kilogram</t>
        </is>
      </c>
      <c r="E5298" t="inlineStr">
        <is>
          <t>air::urban air close to ground</t>
        </is>
      </c>
      <c r="F5298" t="inlineStr">
        <is>
          <t>biosphere</t>
        </is>
      </c>
      <c r="I5298">
        <v>0</v>
      </c>
    </row>
    <row r="5299">
      <c r="A5299" t="inlineStr">
        <is>
          <t>Methyl ethyl ketone</t>
        </is>
      </c>
      <c r="B5299">
        <v>1.9306884310386414e-08</v>
      </c>
      <c r="D5299" t="inlineStr">
        <is>
          <t>kilogram</t>
        </is>
      </c>
      <c r="E5299" t="inlineStr">
        <is>
          <t>air::urban air close to ground</t>
        </is>
      </c>
      <c r="F5299" t="inlineStr">
        <is>
          <t>biosphere</t>
        </is>
      </c>
      <c r="I5299">
        <v>0</v>
      </c>
    </row>
    <row r="5300">
      <c r="A5300" t="inlineStr">
        <is>
          <t>o-Xylene</t>
        </is>
      </c>
      <c r="B5300">
        <v>4.4405832863683197e-07</v>
      </c>
      <c r="D5300" t="inlineStr">
        <is>
          <t>kilogram</t>
        </is>
      </c>
      <c r="E5300" t="inlineStr">
        <is>
          <t>air::urban air close to ground</t>
        </is>
      </c>
      <c r="F5300" t="inlineStr">
        <is>
          <t>biosphere</t>
        </is>
      </c>
      <c r="I5300">
        <v>0</v>
      </c>
    </row>
    <row r="5301">
      <c r="A5301" t="inlineStr">
        <is>
          <t>Propylene</t>
        </is>
      </c>
      <c r="B5301">
        <v>7.33661582790573e-07</v>
      </c>
      <c r="D5301" t="inlineStr">
        <is>
          <t>kilogram</t>
        </is>
      </c>
      <c r="E5301" t="inlineStr">
        <is>
          <t>air::urban air close to ground</t>
        </is>
      </c>
      <c r="F5301" t="inlineStr">
        <is>
          <t>biosphere</t>
        </is>
      </c>
      <c r="I5301">
        <v>0</v>
      </c>
    </row>
    <row r="5302">
      <c r="A5302" t="inlineStr">
        <is>
          <t>Selenium IV</t>
        </is>
      </c>
      <c r="B5302">
        <v>2.0241433189600118e-12</v>
      </c>
      <c r="D5302" t="inlineStr">
        <is>
          <t>kilogram</t>
        </is>
      </c>
      <c r="E5302" t="inlineStr">
        <is>
          <t>air::urban air close to ground</t>
        </is>
      </c>
      <c r="F5302" t="inlineStr">
        <is>
          <t>biosphere</t>
        </is>
      </c>
      <c r="I5302">
        <v>0</v>
      </c>
    </row>
    <row r="5303">
      <c r="A5303" t="inlineStr">
        <is>
          <t>Styrene</t>
        </is>
      </c>
      <c r="B5303">
        <v>1.9306884310386417e-07</v>
      </c>
      <c r="D5303" t="inlineStr">
        <is>
          <t>kilogram</t>
        </is>
      </c>
      <c r="E5303" t="inlineStr">
        <is>
          <t>air::urban air close to ground</t>
        </is>
      </c>
      <c r="F5303" t="inlineStr">
        <is>
          <t>biosphere</t>
        </is>
      </c>
      <c r="I5303">
        <v>0</v>
      </c>
    </row>
    <row r="5304">
      <c r="A5304" t="inlineStr">
        <is>
          <t>1-Pentene</t>
        </is>
      </c>
      <c r="B5304">
        <v>7.714340658770217e-10</v>
      </c>
      <c r="D5304" t="inlineStr">
        <is>
          <t>kilogram</t>
        </is>
      </c>
      <c r="E5304" t="inlineStr">
        <is>
          <t>air::non-urban air or from high stacks</t>
        </is>
      </c>
      <c r="F5304" t="inlineStr">
        <is>
          <t>biosphere</t>
        </is>
      </c>
      <c r="I5304">
        <v>0</v>
      </c>
    </row>
    <row r="5305">
      <c r="A5305" t="inlineStr">
        <is>
          <t>Acetaldehyde</t>
        </is>
      </c>
      <c r="B5305">
        <v>6.171472527016175e-09</v>
      </c>
      <c r="D5305" t="inlineStr">
        <is>
          <t>kilogram</t>
        </is>
      </c>
      <c r="E5305" t="inlineStr">
        <is>
          <t>air::non-urban air or from high stacks</t>
        </is>
      </c>
      <c r="F5305" t="inlineStr">
        <is>
          <t>biosphere</t>
        </is>
      </c>
      <c r="I5305">
        <v>0</v>
      </c>
    </row>
    <row r="5306">
      <c r="A5306" t="inlineStr">
        <is>
          <t>Acetone</t>
        </is>
      </c>
      <c r="B5306">
        <v>4.628604395262132e-09</v>
      </c>
      <c r="D5306" t="inlineStr">
        <is>
          <t>kilogram</t>
        </is>
      </c>
      <c r="E5306" t="inlineStr">
        <is>
          <t>air::non-urban air or from high stacks</t>
        </is>
      </c>
      <c r="F5306" t="inlineStr">
        <is>
          <t>biosphere</t>
        </is>
      </c>
      <c r="I5306">
        <v>0</v>
      </c>
    </row>
    <row r="5307">
      <c r="A5307" t="inlineStr">
        <is>
          <t>Acrolein</t>
        </is>
      </c>
      <c r="B5307">
        <v>1.542868131754044e-09</v>
      </c>
      <c r="D5307" t="inlineStr">
        <is>
          <t>kilogram</t>
        </is>
      </c>
      <c r="E5307" t="inlineStr">
        <is>
          <t>air::non-urban air or from high stacks</t>
        </is>
      </c>
      <c r="F5307" t="inlineStr">
        <is>
          <t>biosphere</t>
        </is>
      </c>
      <c r="I5307">
        <v>0</v>
      </c>
    </row>
    <row r="5308">
      <c r="A5308" t="inlineStr">
        <is>
          <t>Benzaldehyde</t>
        </is>
      </c>
      <c r="B5308">
        <v>1.542868131754044e-09</v>
      </c>
      <c r="D5308" t="inlineStr">
        <is>
          <t>kilogram</t>
        </is>
      </c>
      <c r="E5308" t="inlineStr">
        <is>
          <t>air::non-urban air or from high stacks</t>
        </is>
      </c>
      <c r="F5308" t="inlineStr">
        <is>
          <t>biosphere</t>
        </is>
      </c>
      <c r="I5308">
        <v>0</v>
      </c>
    </row>
    <row r="5309">
      <c r="A5309" t="inlineStr">
        <is>
          <t>Cyclohexane</t>
        </is>
      </c>
      <c r="B5309">
        <v>8.485775052836473e-09</v>
      </c>
      <c r="D5309" t="inlineStr">
        <is>
          <t>kilogram</t>
        </is>
      </c>
      <c r="E5309" t="inlineStr">
        <is>
          <t>air::non-urban air or from high stacks</t>
        </is>
      </c>
      <c r="F5309" t="inlineStr">
        <is>
          <t>biosphere</t>
        </is>
      </c>
      <c r="I5309">
        <v>0</v>
      </c>
    </row>
    <row r="5310">
      <c r="A5310" t="inlineStr">
        <is>
          <t>Heptane</t>
        </is>
      </c>
      <c r="B5310">
        <v>5.4000384611391535e-09</v>
      </c>
      <c r="D5310" t="inlineStr">
        <is>
          <t>kilogram</t>
        </is>
      </c>
      <c r="E5310" t="inlineStr">
        <is>
          <t>air::non-urban air or from high stacks</t>
        </is>
      </c>
      <c r="F5310" t="inlineStr">
        <is>
          <t>biosphere</t>
        </is>
      </c>
      <c r="I5310">
        <v>0</v>
      </c>
    </row>
    <row r="5311">
      <c r="A5311" t="inlineStr">
        <is>
          <t>Hexane</t>
        </is>
      </c>
      <c r="B5311">
        <v>1.234294505403235e-08</v>
      </c>
      <c r="D5311" t="inlineStr">
        <is>
          <t>kilogram</t>
        </is>
      </c>
      <c r="E5311" t="inlineStr">
        <is>
          <t>air::non-urban air or from high stacks</t>
        </is>
      </c>
      <c r="F5311" t="inlineStr">
        <is>
          <t>biosphere</t>
        </is>
      </c>
      <c r="I5311">
        <v>0</v>
      </c>
    </row>
    <row r="5312">
      <c r="A5312" t="inlineStr">
        <is>
          <t>Methyl ethyl ketone</t>
        </is>
      </c>
      <c r="B5312">
        <v>7.714340658770217e-10</v>
      </c>
      <c r="D5312" t="inlineStr">
        <is>
          <t>kilogram</t>
        </is>
      </c>
      <c r="E5312" t="inlineStr">
        <is>
          <t>air::non-urban air or from high stacks</t>
        </is>
      </c>
      <c r="F5312" t="inlineStr">
        <is>
          <t>biosphere</t>
        </is>
      </c>
      <c r="I5312">
        <v>0</v>
      </c>
    </row>
    <row r="5313">
      <c r="A5313" t="inlineStr">
        <is>
          <t>m-Xylene</t>
        </is>
      </c>
      <c r="B5313">
        <v>4.165743758822378e-08</v>
      </c>
      <c r="D5313" t="inlineStr">
        <is>
          <t>kilogram</t>
        </is>
      </c>
      <c r="E5313" t="inlineStr">
        <is>
          <t>air::non-urban air or from high stacks</t>
        </is>
      </c>
      <c r="F5313" t="inlineStr">
        <is>
          <t>biosphere</t>
        </is>
      </c>
      <c r="I5313">
        <v>0</v>
      </c>
    </row>
    <row r="5314">
      <c r="A5314" t="inlineStr">
        <is>
          <t>o-Xylene</t>
        </is>
      </c>
      <c r="B5314">
        <v>1.7742983843360735e-08</v>
      </c>
      <c r="D5314" t="inlineStr">
        <is>
          <t>kilogram</t>
        </is>
      </c>
      <c r="E5314" t="inlineStr">
        <is>
          <t>air::non-urban air or from high stacks</t>
        </is>
      </c>
      <c r="F5314" t="inlineStr">
        <is>
          <t>biosphere</t>
        </is>
      </c>
      <c r="I5314">
        <v>0</v>
      </c>
    </row>
    <row r="5315">
      <c r="A5315" t="inlineStr">
        <is>
          <t>Styrene</t>
        </is>
      </c>
      <c r="B5315">
        <v>7.714340002391748e-09</v>
      </c>
      <c r="D5315" t="inlineStr">
        <is>
          <t>kilogram</t>
        </is>
      </c>
      <c r="E5315" t="inlineStr">
        <is>
          <t>air::non-urban air or from high stacks</t>
        </is>
      </c>
      <c r="F5315" t="inlineStr">
        <is>
          <t>biosphere</t>
        </is>
      </c>
      <c r="I5315">
        <v>0</v>
      </c>
    </row>
    <row r="5316">
      <c r="A5316" t="inlineStr">
        <is>
          <t>Ethylene</t>
        </is>
      </c>
      <c r="B5316">
        <v>1.4094024811438196e-06</v>
      </c>
      <c r="D5316" t="inlineStr">
        <is>
          <t>kilogram</t>
        </is>
      </c>
      <c r="E5316" t="inlineStr">
        <is>
          <t>air::urban air close to ground</t>
        </is>
      </c>
      <c r="F5316" t="inlineStr">
        <is>
          <t>biosphere</t>
        </is>
      </c>
      <c r="I5316">
        <v>0</v>
      </c>
    </row>
    <row r="5317">
      <c r="A5317" t="inlineStr">
        <is>
          <t>Ethylene</t>
        </is>
      </c>
      <c r="B5317">
        <v>5.631468910634723e-08</v>
      </c>
      <c r="D5317" t="inlineStr">
        <is>
          <t>kilogram</t>
        </is>
      </c>
      <c r="E5317" t="inlineStr">
        <is>
          <t>air::non-urban air or from high stacks</t>
        </is>
      </c>
      <c r="F5317" t="inlineStr">
        <is>
          <t>biosphere</t>
        </is>
      </c>
      <c r="I5317">
        <v>0</v>
      </c>
    </row>
    <row r="5318">
      <c r="A5318" t="inlineStr">
        <is>
          <t>market for internal combustion engine, passenger car</t>
        </is>
      </c>
      <c r="B5318">
        <v>0.0004975535070430082</v>
      </c>
      <c r="C5318" t="inlineStr">
        <is>
          <t>GLO</t>
        </is>
      </c>
      <c r="D5318" t="inlineStr">
        <is>
          <t>kilogram</t>
        </is>
      </c>
      <c r="F5318" t="inlineStr">
        <is>
          <t>technosphere</t>
        </is>
      </c>
      <c r="G5318" t="inlineStr">
        <is>
          <t>internal combustion engine, passenger car</t>
        </is>
      </c>
      <c r="H5318" t="inlineStr">
        <is>
          <t> Energy-use allocation: 269.3057861328125 * 4.999999873689376e-06 / 2.7062996795066048 MJ per kilometer.</t>
        </is>
      </c>
      <c r="I5318">
        <v>0</v>
      </c>
    </row>
    <row r="5319">
      <c r="A5319" t="inlineStr">
        <is>
          <t>market for waste plastic, industrial electronics</t>
        </is>
      </c>
      <c r="B5319">
        <v>-8.978854216197933e-05</v>
      </c>
      <c r="C5319" t="inlineStr">
        <is>
          <t>CH</t>
        </is>
      </c>
      <c r="D5319" t="inlineStr">
        <is>
          <t>kilogram</t>
        </is>
      </c>
      <c r="F5319" t="inlineStr">
        <is>
          <t>technosphere</t>
        </is>
      </c>
      <c r="G5319" t="inlineStr">
        <is>
          <t>waste plastic, industrial electronics</t>
        </is>
      </c>
      <c r="H5319" t="inlineStr">
        <is>
          <t> Energy-use allocation: -48.59894180297852 * 4.999999873689376e-06 / 2.7062996795066048 MJ per kilometer.</t>
        </is>
      </c>
      <c r="I5319">
        <v>0</v>
      </c>
    </row>
    <row r="5320">
      <c r="A5320" t="inlineStr">
        <is>
          <t>polyethylene production, high density, granulate</t>
        </is>
      </c>
      <c r="B5320">
        <v>8.978854216197933e-05</v>
      </c>
      <c r="C5320" t="inlineStr">
        <is>
          <t>RER</t>
        </is>
      </c>
      <c r="D5320" t="inlineStr">
        <is>
          <t>kilogram</t>
        </is>
      </c>
      <c r="F5320" t="inlineStr">
        <is>
          <t>technosphere</t>
        </is>
      </c>
      <c r="G5320" t="inlineStr">
        <is>
          <t>polyethylene, high density, granulate</t>
        </is>
      </c>
      <c r="H5320" t="inlineStr">
        <is>
          <t> Energy-use allocation: 48.59894180297852 * 4.999999873689376e-06 / 2.7062996795066048 MJ per kilometer.</t>
        </is>
      </c>
      <c r="I5320">
        <v>0</v>
      </c>
    </row>
    <row r="5321">
      <c r="A5321" t="inlineStr">
        <is>
          <t>Carbon dioxide, non-fossil</t>
        </is>
      </c>
      <c r="B5321">
        <v>0.0739</v>
      </c>
      <c r="D5321" t="inlineStr">
        <is>
          <t>kilogram</t>
        </is>
      </c>
      <c r="E5321" t="inlineStr">
        <is>
          <t>air::urban air close to ground</t>
        </is>
      </c>
      <c r="F5321" t="inlineStr">
        <is>
          <t>biosphere</t>
        </is>
      </c>
      <c r="I5321">
        <v>0</v>
      </c>
    </row>
    <row r="5322"/>
    <row r="5323">
      <c r="A5323" t="inlineStr">
        <is>
          <t>Activity</t>
        </is>
      </c>
      <c r="B5323" t="inlineStr">
        <is>
          <t>electricity, used in passenger car</t>
        </is>
      </c>
    </row>
    <row r="5324">
      <c r="A5324" t="inlineStr">
        <is>
          <t>location</t>
        </is>
      </c>
      <c r="B5324" t="inlineStr">
        <is>
          <t>RER</t>
        </is>
      </c>
    </row>
    <row r="5325">
      <c r="A5325" t="inlineStr">
        <is>
          <t>comment</t>
        </is>
      </c>
      <c r="B5325" t="inlineStr">
        <is>
          <t>Produces consumption of 1 MJ of purchased energy. Representative powertrain carrier: electricity. energy-specific equipment; excludes chassis, body, roads and whole-vehicle maintenance. Source transport, passenger car, battery electric, Medium [RER]; 0.633999538421631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344 km. Tank-to-wheel efficiency: 67.6 \%. Tank-to-wheel energy consumption: 561 kj/km. Fuel consumption: 0.0 l/100km. Electricity consumption: 17.6 kWh/100km. Battery capacity: 67 kWh. Fuel tank capacity: 0.0 kWh. Power share from combustion engine: 0.0 \%. Combustion engine power: 0.0 kW. Electric motor power: 141 kW. Curb mass (excl. driver and cargo): 1764 kg. Driving mass (incl. driver and cargo): 1904 kg. Battery mass: 400 kg. Fuel cell system efficiency: 0.0 \%. Number of passengers onboard: 1.6 passenger(s). Payload: 20 kg.  Carbon accounting: full-oxidation CO2 plus separately estimated pollutants; not a closed elemental carbon balance.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t>
        </is>
      </c>
    </row>
    <row r="5326">
      <c r="A5326" t="inlineStr">
        <is>
          <t>production amount</t>
        </is>
      </c>
      <c r="B5326">
        <v>1</v>
      </c>
    </row>
    <row r="5327">
      <c r="A5327" t="inlineStr">
        <is>
          <t>reference product</t>
        </is>
      </c>
      <c r="B5327" t="inlineStr">
        <is>
          <t>electricity, low voltage</t>
        </is>
      </c>
    </row>
    <row r="5328">
      <c r="A5328" t="inlineStr">
        <is>
          <t>type</t>
        </is>
      </c>
      <c r="B5328" t="inlineStr">
        <is>
          <t>process</t>
        </is>
      </c>
    </row>
    <row r="5329">
      <c r="A5329" t="inlineStr">
        <is>
          <t>unit</t>
        </is>
      </c>
      <c r="B5329" t="inlineStr">
        <is>
          <t>megajoule</t>
        </is>
      </c>
    </row>
    <row r="5330">
      <c r="A5330" t="inlineStr">
        <is>
          <t>Power, mean</t>
        </is>
      </c>
      <c r="B5330">
        <v>141</v>
      </c>
    </row>
    <row r="5331">
      <c r="A5331" t="inlineStr">
        <is>
          <t>Power, min</t>
        </is>
      </c>
      <c r="B5331">
        <v>57</v>
      </c>
    </row>
    <row r="5332">
      <c r="A5332" t="inlineStr">
        <is>
          <t>Power, max</t>
        </is>
      </c>
      <c r="B5332">
        <v>166</v>
      </c>
    </row>
    <row r="5333">
      <c r="A5333" t="inlineStr">
        <is>
          <t>Lifetime, mean</t>
        </is>
      </c>
      <c r="B5333">
        <v>200000</v>
      </c>
    </row>
    <row r="5334">
      <c r="A5334" t="inlineStr">
        <is>
          <t>Lifetime, min</t>
        </is>
      </c>
      <c r="B5334">
        <v>160000</v>
      </c>
    </row>
    <row r="5335">
      <c r="A5335" t="inlineStr">
        <is>
          <t>Lifetime, max</t>
        </is>
      </c>
      <c r="B5335">
        <v>250000</v>
      </c>
    </row>
    <row r="5336">
      <c r="A5336" t="inlineStr">
        <is>
          <t>Energy use, mean</t>
        </is>
      </c>
      <c r="B5336">
        <v>610</v>
      </c>
    </row>
    <row r="5337">
      <c r="A5337" t="inlineStr">
        <is>
          <t>Energy use, min</t>
        </is>
      </c>
      <c r="B5337">
        <v>530</v>
      </c>
    </row>
    <row r="5338">
      <c r="A5338" t="inlineStr">
        <is>
          <t>Energy use, max</t>
        </is>
      </c>
      <c r="B5338">
        <v>900</v>
      </c>
    </row>
    <row r="5339">
      <c r="A5339" t="inlineStr">
        <is>
          <t>Electric motor, mean</t>
        </is>
      </c>
      <c r="B5339">
        <v>90</v>
      </c>
    </row>
    <row r="5340">
      <c r="A5340" t="inlineStr">
        <is>
          <t>Electric motor, min</t>
        </is>
      </c>
      <c r="B5340">
        <v>47</v>
      </c>
    </row>
    <row r="5341">
      <c r="A5341" t="inlineStr">
        <is>
          <t>Electric motor, max</t>
        </is>
      </c>
      <c r="B5341">
        <v>102</v>
      </c>
    </row>
    <row r="5342">
      <c r="A5342" t="inlineStr">
        <is>
          <t>Combustion engine, mean</t>
        </is>
      </c>
      <c r="B5342">
        <v>0</v>
      </c>
    </row>
    <row r="5343">
      <c r="A5343" t="inlineStr">
        <is>
          <t>Combustion engine, min</t>
        </is>
      </c>
      <c r="B5343">
        <v>0</v>
      </c>
    </row>
    <row r="5344">
      <c r="A5344" t="inlineStr">
        <is>
          <t>Combustion engine, max</t>
        </is>
      </c>
      <c r="B5344">
        <v>0</v>
      </c>
    </row>
    <row r="5345">
      <c r="A5345" t="inlineStr">
        <is>
          <t>Fuel tank, mean</t>
        </is>
      </c>
      <c r="B5345">
        <v>0</v>
      </c>
    </row>
    <row r="5346">
      <c r="A5346" t="inlineStr">
        <is>
          <t>Fuel tank, min</t>
        </is>
      </c>
      <c r="B5346">
        <v>0</v>
      </c>
    </row>
    <row r="5347">
      <c r="A5347" t="inlineStr">
        <is>
          <t>Fuel tank, max</t>
        </is>
      </c>
      <c r="B5347">
        <v>0</v>
      </c>
    </row>
    <row r="5348">
      <c r="A5348" t="inlineStr">
        <is>
          <t>Battery capacity, mean</t>
        </is>
      </c>
      <c r="B5348">
        <v>67</v>
      </c>
    </row>
    <row r="5349">
      <c r="A5349" t="inlineStr">
        <is>
          <t>Battery capacity, min</t>
        </is>
      </c>
      <c r="B5349">
        <v>48</v>
      </c>
    </row>
    <row r="5350">
      <c r="A5350" t="inlineStr">
        <is>
          <t>Battery capacity, max</t>
        </is>
      </c>
      <c r="B5350">
        <v>110</v>
      </c>
    </row>
    <row r="5351">
      <c r="A5351" t="inlineStr">
        <is>
          <t>Battery replacement, mean</t>
        </is>
      </c>
      <c r="B5351">
        <v>0</v>
      </c>
    </row>
    <row r="5352">
      <c r="A5352" t="inlineStr">
        <is>
          <t>Battery replacement, min</t>
        </is>
      </c>
      <c r="B5352">
        <v>0</v>
      </c>
    </row>
    <row r="5353">
      <c r="A5353" t="inlineStr">
        <is>
          <t>Battery replacement, max</t>
        </is>
      </c>
      <c r="B5353">
        <v>0</v>
      </c>
    </row>
    <row r="5354">
      <c r="A5354" t="inlineStr">
        <is>
          <t>Fuel cell system, mean</t>
        </is>
      </c>
      <c r="B5354">
        <v>0</v>
      </c>
    </row>
    <row r="5355">
      <c r="A5355" t="inlineStr">
        <is>
          <t>Fuel cell system, min</t>
        </is>
      </c>
      <c r="B5355">
        <v>0</v>
      </c>
    </row>
    <row r="5356">
      <c r="A5356" t="inlineStr">
        <is>
          <t>Fuel cell system, max</t>
        </is>
      </c>
      <c r="B5356">
        <v>0</v>
      </c>
    </row>
    <row r="5357">
      <c r="A5357" t="inlineStr">
        <is>
          <t>Fuel cell stack replacement, mean</t>
        </is>
      </c>
      <c r="B5357">
        <v>0</v>
      </c>
    </row>
    <row r="5358">
      <c r="A5358" t="inlineStr">
        <is>
          <t>Fuel cell replacement, min</t>
        </is>
      </c>
      <c r="B5358">
        <v>0</v>
      </c>
    </row>
    <row r="5359">
      <c r="A5359" t="inlineStr">
        <is>
          <t>Fuel cell replacement, max</t>
        </is>
      </c>
      <c r="B5359">
        <v>0</v>
      </c>
    </row>
    <row r="5360">
      <c r="A5360" t="inlineStr">
        <is>
          <t>Onboard charger mass</t>
        </is>
      </c>
      <c r="B5360">
        <v>5</v>
      </c>
    </row>
    <row r="5361">
      <c r="A5361" t="inlineStr">
        <is>
          <t>Controller mass</t>
        </is>
      </c>
      <c r="B5361">
        <v>3</v>
      </c>
    </row>
    <row r="5362">
      <c r="A5362" t="inlineStr">
        <is>
          <t>Converter mass</t>
        </is>
      </c>
      <c r="B5362">
        <v>4</v>
      </c>
    </row>
    <row r="5363">
      <c r="A5363" t="inlineStr">
        <is>
          <t>Electrical powertrain mass</t>
        </is>
      </c>
      <c r="B5363">
        <v>0</v>
      </c>
    </row>
    <row r="5364">
      <c r="A5364" t="inlineStr">
        <is>
          <t>Inverter mass</t>
        </is>
      </c>
      <c r="B5364">
        <v>8</v>
      </c>
    </row>
    <row r="5365">
      <c r="A5365" t="inlineStr">
        <is>
          <t>NOx</t>
        </is>
      </c>
      <c r="B5365">
        <v>0</v>
      </c>
    </row>
    <row r="5366">
      <c r="A5366" t="inlineStr">
        <is>
          <t>PM 2.5</t>
        </is>
      </c>
      <c r="B5366">
        <v>0</v>
      </c>
    </row>
    <row r="5367">
      <c r="A5367" t="inlineStr">
        <is>
          <t>energy use source</t>
        </is>
      </c>
      <c r="B5367" t="inlineStr">
        <is>
          <t>{"source": ["transport, passenger car, battery electric, Medium", "transport, passenger car", "RER", "kilometer"], "source unit": "kilometer", "purchased MJ per source service": 0.6339995384216309, "boundary": "energy-specific equipment; excludes chassis, body, roads and whole-vehicle maintenance", "retained equipment": [{"supplier": ["market for charger, electric passenger car", "charger, electric passenger car", "GLO", "kilogram"], "amount per vehicle": 5.960869789123535, "vehicle per source service": 4.999999873689376e-06, "replacement correction factor": 1.0, "amount per MJ": 4.701004714750376e-05}, {"supplier": ["market for converter, for electric passenger car", "converter, for electric passenger car", "GLO", "kilogram"], "amount per vehicle": 4.470652103424072, "vehicle per source service": 4.999999873689376e-06, "replacement correction factor": 1.0, "amount per MJ": 3.525753348035379e-05}, {"supplier": ["market for electric motor, electric passenger car", "electric motor, electric passenger car", "GLO", "kilogram"], "amount per vehicle": 89.91343688964844, "vehicle per source service": 4.999999873689376e-06, "replacement correction factor": 1.0, "amount per MJ": 0.0007090970037776945}, {"supplier": ["market for mechanical powertrain, electric passenger car", "mechanical powertrain, electric passenger car", "GLO", "kilogram"], "amount per vehicle": 83.99685019753196, "vehicle per source service": 4.999999873689376e-06, "coefficient limitation":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"replacement correction factor": 1.0, "amount per MJ": 0.0006624361926564395}, {"supplier": ["market for inverter, for electric passenger car", "inverter, for electric passenger car", "GLO", "kilogram"], "amount per vehicle": 8.941304206848145, "vehicle per source service": 4.999999873689376e-06, "replacement correction factor": 1.0, "amount per MJ": 7.051506696070758e-05}, {"supplier": ["market for power distribution unit, for electric passenger car", "power distribution unit, for electric passenger car", "GLO", "kilogram"], "amount per vehicle": 3.973912954330444, "vehicle per source service": 4.999999873689376e-06, "replacement correction factor": 1.0, "amount per MJ": 3.134002955139514e-05}, {"supplier": ["market for used powertrain from electric passenger car, manual dismantling", "used powertrain from electric passenger car, manual dismantling", "GLO", "kilogram"], "amount per vehicle": -113.2601776123047, "vehicle per source service": 4.999999873689376e-06, "replacement correction factor": 1.0, "amount per MJ": -0.0008932196940795731}, {"supplier": ["market for battery capacity (MIX scenario)", "electricity storage capacity", "GLO", "kilowatt hour"], "amount per vehicle": 67.19999694824219, "vehicle per source service": 4.999999873689376e-06, "replacement correction factor": 1.0, "amount per MJ": 0.0005299688026423864}], "excluded": [{"supplier": "maintenance, passenger car", "amount per source service": 4.742312033971151e-06}, {"supplier": "market for road", "amount per source service": 0.001022523269057274}, {"supplier": "market for road maintenance", "amount per source service": 0.00129}, {"supplier": ["glider lightweighting, carculator passenger car 2020", "glider lightweighting", "GLO", "kilogram"], "amount per vehicle": 189.0,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5.883047873757103, "vehicle per source service": 4.999999873689376e-06, "replacement correction factor": 1.0, "boundary reason": "Provisional common auxiliary battery retained in full vehicle; excluded from energy-specific equipment."}], "alternative fuel recipe retained": false, "electric mechanical powertrain correction":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t>
        </is>
      </c>
    </row>
    <row r="5368">
      <c r="A5368" t="inlineStr">
        <is>
          <t>Exchanges</t>
        </is>
      </c>
    </row>
    <row r="5369">
      <c r="A5369" t="inlineStr">
        <is>
          <t>name</t>
        </is>
      </c>
      <c r="B5369" t="inlineStr">
        <is>
          <t>amount</t>
        </is>
      </c>
      <c r="C5369" t="inlineStr">
        <is>
          <t>location</t>
        </is>
      </c>
      <c r="D5369" t="inlineStr">
        <is>
          <t>unit</t>
        </is>
      </c>
      <c r="E5369" t="inlineStr">
        <is>
          <t>categories</t>
        </is>
      </c>
      <c r="F5369" t="inlineStr">
        <is>
          <t>type</t>
        </is>
      </c>
      <c r="G5369" t="inlineStr">
        <is>
          <t>reference product</t>
        </is>
      </c>
      <c r="H5369" t="inlineStr">
        <is>
          <t>comment</t>
        </is>
      </c>
      <c r="I5369" t="inlineStr">
        <is>
          <t>uncertainty type</t>
        </is>
      </c>
    </row>
    <row r="5370">
      <c r="A5370" t="inlineStr">
        <is>
          <t>electricity, used in passenger car</t>
        </is>
      </c>
      <c r="B5370">
        <v>1.0</v>
      </c>
      <c r="C5370" t="inlineStr">
        <is>
          <t>RER</t>
        </is>
      </c>
      <c r="D5370" t="inlineStr">
        <is>
          <t>megajoule</t>
        </is>
      </c>
      <c r="F5370" t="inlineStr">
        <is>
          <t>production</t>
        </is>
      </c>
      <c r="G5370" t="inlineStr">
        <is>
          <t>electricity, low voltage</t>
        </is>
      </c>
      <c r="I5370">
        <v>0</v>
      </c>
    </row>
    <row r="5371">
      <c r="A5371" t="inlineStr">
        <is>
          <t>market group for electricity, low voltage</t>
        </is>
      </c>
      <c r="B5371">
        <v>0.2777777777777778</v>
      </c>
      <c r="C5371" t="inlineStr">
        <is>
          <t>RER</t>
        </is>
      </c>
      <c r="D5371" t="inlineStr">
        <is>
          <t>kilowatt hour</t>
        </is>
      </c>
      <c r="F5371" t="inlineStr">
        <is>
          <t>technosphere</t>
        </is>
      </c>
      <c r="G5371" t="inlineStr">
        <is>
          <t>electricity, low voltage</t>
        </is>
      </c>
      <c r="H5371" t="inlineStr">
        <is>
          <t>Grid purchase including default charging losses; premise regional electricity supply.</t>
        </is>
      </c>
      <c r="I5371">
        <v>0</v>
      </c>
    </row>
    <row r="5372">
      <c r="A5372" t="inlineStr">
        <is>
          <t>treatment of brake wear emissions, passenger car</t>
        </is>
      </c>
      <c r="B5372">
        <v>-1.2917585606368163e-05</v>
      </c>
      <c r="C5372" t="inlineStr">
        <is>
          <t>RER</t>
        </is>
      </c>
      <c r="D5372" t="inlineStr">
        <is>
          <t>kilogram</t>
        </is>
      </c>
      <c r="F5372" t="inlineStr">
        <is>
          <t>technosphere</t>
        </is>
      </c>
      <c r="G5372" t="inlineStr">
        <is>
          <t>brake wear emissions, passenger car</t>
        </is>
      </c>
      <c r="I5372">
        <v>0</v>
      </c>
    </row>
    <row r="5373">
      <c r="A5373" t="inlineStr">
        <is>
          <t>treatment of road wear emissions, passenger car</t>
        </is>
      </c>
      <c r="B5373">
        <v>-2.8763892607167598e-05</v>
      </c>
      <c r="C5373" t="inlineStr">
        <is>
          <t>RER</t>
        </is>
      </c>
      <c r="D5373" t="inlineStr">
        <is>
          <t>kilogram</t>
        </is>
      </c>
      <c r="F5373" t="inlineStr">
        <is>
          <t>technosphere</t>
        </is>
      </c>
      <c r="G5373" t="inlineStr">
        <is>
          <t>road wear emissions, passenger car</t>
        </is>
      </c>
      <c r="I5373">
        <v>0</v>
      </c>
    </row>
    <row r="5374">
      <c r="A5374" t="inlineStr">
        <is>
          <t>treatment of tyre wear emissions, passenger car</t>
        </is>
      </c>
      <c r="B5374">
        <v>-3.2713899830380004e-05</v>
      </c>
      <c r="C5374" t="inlineStr">
        <is>
          <t>RER</t>
        </is>
      </c>
      <c r="D5374" t="inlineStr">
        <is>
          <t>kilogram</t>
        </is>
      </c>
      <c r="F5374" t="inlineStr">
        <is>
          <t>technosphere</t>
        </is>
      </c>
      <c r="G5374" t="inlineStr">
        <is>
          <t>tyre wear emissions, passenger car</t>
        </is>
      </c>
      <c r="I5374">
        <v>0</v>
      </c>
    </row>
    <row r="5375">
      <c r="A5375" t="inlineStr">
        <is>
          <t>market for tetrafluoroethane, R134a</t>
        </is>
      </c>
      <c r="B5375">
        <v>1.0252373279210404e-05</v>
      </c>
      <c r="C5375" t="inlineStr">
        <is>
          <t>GLO</t>
        </is>
      </c>
      <c r="D5375" t="inlineStr">
        <is>
          <t>kilogram</t>
        </is>
      </c>
      <c r="F5375" t="inlineStr">
        <is>
          <t>technosphere</t>
        </is>
      </c>
      <c r="G5375" t="inlineStr">
        <is>
          <t>tetrafluoroethane, R134a</t>
        </is>
      </c>
      <c r="I5375">
        <v>0</v>
      </c>
    </row>
    <row r="5376">
      <c r="A5376" t="inlineStr">
        <is>
          <t>1,1,1,2-Tetrafluoroethane</t>
        </is>
      </c>
      <c r="B5376">
        <v>5.914830655244352e-06</v>
      </c>
      <c r="D5376" t="inlineStr">
        <is>
          <t>kilogram</t>
        </is>
      </c>
      <c r="E5376" t="inlineStr">
        <is>
          <t>air</t>
        </is>
      </c>
      <c r="F5376" t="inlineStr">
        <is>
          <t>biosphere</t>
        </is>
      </c>
      <c r="I5376">
        <v>0</v>
      </c>
    </row>
    <row r="5377">
      <c r="A5377" t="inlineStr">
        <is>
          <t>market for charger, electric passenger car</t>
        </is>
      </c>
      <c r="B5377">
        <v>4.701004714750376e-05</v>
      </c>
      <c r="C5377" t="inlineStr">
        <is>
          <t>GLO</t>
        </is>
      </c>
      <c r="D5377" t="inlineStr">
        <is>
          <t>kilogram</t>
        </is>
      </c>
      <c r="F5377" t="inlineStr">
        <is>
          <t>technosphere</t>
        </is>
      </c>
      <c r="G5377" t="inlineStr">
        <is>
          <t>charger, electric passenger car</t>
        </is>
      </c>
      <c r="H5377" t="inlineStr">
        <is>
          <t> Energy-use allocation: 5.960869789123535 * 4.999999873689376e-06 / 0.6339995384216309 MJ per kilometer.</t>
        </is>
      </c>
      <c r="I5377">
        <v>0</v>
      </c>
    </row>
    <row r="5378">
      <c r="A5378" t="inlineStr">
        <is>
          <t>market for converter, for electric passenger car</t>
        </is>
      </c>
      <c r="B5378">
        <v>3.525753348035379e-05</v>
      </c>
      <c r="C5378" t="inlineStr">
        <is>
          <t>GLO</t>
        </is>
      </c>
      <c r="D5378" t="inlineStr">
        <is>
          <t>kilogram</t>
        </is>
      </c>
      <c r="F5378" t="inlineStr">
        <is>
          <t>technosphere</t>
        </is>
      </c>
      <c r="G5378" t="inlineStr">
        <is>
          <t>converter, for electric passenger car</t>
        </is>
      </c>
      <c r="H5378" t="inlineStr">
        <is>
          <t> Energy-use allocation: 4.470652103424072 * 4.999999873689376e-06 / 0.6339995384216309 MJ per kilometer.</t>
        </is>
      </c>
      <c r="I5378">
        <v>0</v>
      </c>
    </row>
    <row r="5379">
      <c r="A5379" t="inlineStr">
        <is>
          <t>market for electric motor, electric passenger car</t>
        </is>
      </c>
      <c r="B5379">
        <v>0.0007090970037776945</v>
      </c>
      <c r="C5379" t="inlineStr">
        <is>
          <t>GLO</t>
        </is>
      </c>
      <c r="D5379" t="inlineStr">
        <is>
          <t>kilogram</t>
        </is>
      </c>
      <c r="F5379" t="inlineStr">
        <is>
          <t>technosphere</t>
        </is>
      </c>
      <c r="G5379" t="inlineStr">
        <is>
          <t>electric motor, electric passenger car</t>
        </is>
      </c>
      <c r="H5379" t="inlineStr">
        <is>
          <t> Energy-use allocation: 89.91343688964844 * 4.999999873689376e-06 / 0.6339995384216309 MJ per kilometer.</t>
        </is>
      </c>
      <c r="I5379">
        <v>0</v>
      </c>
    </row>
    <row r="5380">
      <c r="A5380" t="inlineStr">
        <is>
          <t>market for mechanical powertrain, electric passenger car</t>
        </is>
      </c>
      <c r="B5380">
        <v>0.0006624361926564395</v>
      </c>
      <c r="C5380" t="inlineStr">
        <is>
          <t>GLO</t>
        </is>
      </c>
      <c r="D5380" t="inlineStr">
        <is>
          <t>kilogram</t>
        </is>
      </c>
      <c r="F5380" t="inlineStr">
        <is>
          <t>technosphere</t>
        </is>
      </c>
      <c r="G5380" t="inlineStr">
        <is>
          <t>mechanical powertrain, electric passenger car</t>
        </is>
      </c>
      <c r="H5380" t="inlineStr">
        <is>
          <t> Energy-use allocation: 89.87989807128906 * 4.999999873689376e-06 / 0.6339995384216309 MJ per kilometer.</t>
        </is>
      </c>
      <c r="I5380">
        <v>0</v>
      </c>
    </row>
    <row r="5381">
      <c r="A5381" t="inlineStr">
        <is>
          <t>market for inverter, for electric passenger car</t>
        </is>
      </c>
      <c r="B5381">
        <v>7.051506696070758e-05</v>
      </c>
      <c r="C5381" t="inlineStr">
        <is>
          <t>GLO</t>
        </is>
      </c>
      <c r="D5381" t="inlineStr">
        <is>
          <t>kilogram</t>
        </is>
      </c>
      <c r="F5381" t="inlineStr">
        <is>
          <t>technosphere</t>
        </is>
      </c>
      <c r="G5381" t="inlineStr">
        <is>
          <t>inverter, for electric passenger car</t>
        </is>
      </c>
      <c r="H5381" t="inlineStr">
        <is>
          <t> Energy-use allocation: 8.941304206848145 * 4.999999873689376e-06 / 0.6339995384216309 MJ per kilometer.</t>
        </is>
      </c>
      <c r="I5381">
        <v>0</v>
      </c>
    </row>
    <row r="5382">
      <c r="A5382" t="inlineStr">
        <is>
          <t>market for power distribution unit, for electric passenger car</t>
        </is>
      </c>
      <c r="B5382">
        <v>3.134002955139514e-05</v>
      </c>
      <c r="C5382" t="inlineStr">
        <is>
          <t>GLO</t>
        </is>
      </c>
      <c r="D5382" t="inlineStr">
        <is>
          <t>kilogram</t>
        </is>
      </c>
      <c r="F5382" t="inlineStr">
        <is>
          <t>technosphere</t>
        </is>
      </c>
      <c r="G5382" t="inlineStr">
        <is>
          <t>power distribution unit, for electric passenger car</t>
        </is>
      </c>
      <c r="H5382" t="inlineStr">
        <is>
          <t> Energy-use allocation: 3.973912954330444 * 4.999999873689376e-06 / 0.6339995384216309 MJ per kilometer.</t>
        </is>
      </c>
      <c r="I5382">
        <v>0</v>
      </c>
    </row>
    <row r="5383">
      <c r="A5383" t="inlineStr">
        <is>
          <t>market for used powertrain from electric passenger car, manual dismantling</t>
        </is>
      </c>
      <c r="B5383">
        <v>-0.0008932196940795731</v>
      </c>
      <c r="C5383" t="inlineStr">
        <is>
          <t>GLO</t>
        </is>
      </c>
      <c r="D5383" t="inlineStr">
        <is>
          <t>kilogram</t>
        </is>
      </c>
      <c r="F5383" t="inlineStr">
        <is>
          <t>technosphere</t>
        </is>
      </c>
      <c r="G5383" t="inlineStr">
        <is>
          <t>used powertrain from electric passenger car, manual dismantling</t>
        </is>
      </c>
      <c r="H5383" t="inlineStr">
        <is>
          <t> Energy-use allocation: -113.2601776123047 * 4.999999873689376e-06 / 0.6339995384216309 MJ per kilometer.</t>
        </is>
      </c>
      <c r="I5383">
        <v>0</v>
      </c>
    </row>
    <row r="5384">
      <c r="A5384" t="inlineStr">
        <is>
          <t>market for battery capacity (MIX scenario)</t>
        </is>
      </c>
      <c r="B5384">
        <v>0.0005299688026423864</v>
      </c>
      <c r="C5384" t="inlineStr">
        <is>
          <t>GLO</t>
        </is>
      </c>
      <c r="D5384" t="inlineStr">
        <is>
          <t>kilowatt hour</t>
        </is>
      </c>
      <c r="F5384" t="inlineStr">
        <is>
          <t>technosphere</t>
        </is>
      </c>
      <c r="G5384" t="inlineStr">
        <is>
          <t>electricity storage capacity</t>
        </is>
      </c>
      <c r="H5384" t="inlineStr">
        <is>
          <t>67.1999969482 kWh nominal * (1 + 0 lifetime replacements). Capacity market includes battery manufacture AND end of life; original kg pack and disposal removed. Energy-use allocation: 67.19999694824219 * 4.999999873689376e-06 / 0.6339995384216309 MJ per kilometer.</t>
        </is>
      </c>
      <c r="I5384">
        <v>0</v>
      </c>
    </row>
    <row r="5385"/>
    <row r="5386">
      <c r="A5386" t="inlineStr">
        <is>
          <t>Activity</t>
        </is>
      </c>
      <c r="B5386" t="inlineStr">
        <is>
          <t>hydrogen, used in a fuel cell in a passenger car</t>
        </is>
      </c>
    </row>
    <row r="5387">
      <c r="A5387" t="inlineStr">
        <is>
          <t>location</t>
        </is>
      </c>
      <c r="B5387" t="inlineStr">
        <is>
          <t>RER</t>
        </is>
      </c>
    </row>
    <row r="5388">
      <c r="A5388" t="inlineStr">
        <is>
          <t>production amount</t>
        </is>
      </c>
      <c r="B5388">
        <v>1</v>
      </c>
    </row>
    <row r="5389">
      <c r="A5389" t="inlineStr">
        <is>
          <t>reference product</t>
        </is>
      </c>
      <c r="B5389" t="inlineStr">
        <is>
          <t>heat</t>
        </is>
      </c>
    </row>
    <row r="5390">
      <c r="A5390" t="inlineStr">
        <is>
          <t>type</t>
        </is>
      </c>
      <c r="B5390" t="inlineStr">
        <is>
          <t>process</t>
        </is>
      </c>
    </row>
    <row r="5391">
      <c r="A5391" t="inlineStr">
        <is>
          <t>comment</t>
        </is>
      </c>
      <c r="B5391" t="inlineStr">
        <is>
          <t>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t>
        </is>
      </c>
    </row>
    <row r="5392">
      <c r="A5392" t="inlineStr">
        <is>
          <t>unit</t>
        </is>
      </c>
      <c r="B5392" t="inlineStr">
        <is>
          <t>megajoule</t>
        </is>
      </c>
    </row>
    <row r="5393">
      <c r="A5393" t="inlineStr">
        <is>
          <t>Power, mean</t>
        </is>
      </c>
      <c r="B5393">
        <v>139</v>
      </c>
    </row>
    <row r="5394">
      <c r="A5394" t="inlineStr">
        <is>
          <t>Power, min</t>
        </is>
      </c>
      <c r="B5394">
        <v>58</v>
      </c>
    </row>
    <row r="5395">
      <c r="A5395" t="inlineStr">
        <is>
          <t>Power, max</t>
        </is>
      </c>
      <c r="B5395">
        <v>176</v>
      </c>
    </row>
    <row r="5396">
      <c r="A5396" t="inlineStr">
        <is>
          <t>Lifetime, mean</t>
        </is>
      </c>
      <c r="B5396">
        <v>200000</v>
      </c>
    </row>
    <row r="5397">
      <c r="A5397" t="inlineStr">
        <is>
          <t>Lifetime, min</t>
        </is>
      </c>
      <c r="B5397">
        <v>160000</v>
      </c>
    </row>
    <row r="5398">
      <c r="A5398" t="inlineStr">
        <is>
          <t>Lifetime, max</t>
        </is>
      </c>
      <c r="B5398">
        <v>250000</v>
      </c>
    </row>
    <row r="5399">
      <c r="A5399" t="inlineStr">
        <is>
          <t>Energy use, mean</t>
        </is>
      </c>
      <c r="B5399">
        <v>1180</v>
      </c>
    </row>
    <row r="5400">
      <c r="A5400" t="inlineStr">
        <is>
          <t>Energy use, min</t>
        </is>
      </c>
      <c r="B5400">
        <v>900</v>
      </c>
    </row>
    <row r="5401">
      <c r="A5401" t="inlineStr">
        <is>
          <t>Energy use, max</t>
        </is>
      </c>
      <c r="B5401">
        <v>1660</v>
      </c>
    </row>
    <row r="5402">
      <c r="A5402" t="inlineStr">
        <is>
          <t>Electric motor, mean</t>
        </is>
      </c>
      <c r="B5402">
        <v>88</v>
      </c>
    </row>
    <row r="5403">
      <c r="A5403" t="inlineStr">
        <is>
          <t>Electric motor, min</t>
        </is>
      </c>
      <c r="B5403">
        <v>48</v>
      </c>
    </row>
    <row r="5404">
      <c r="A5404" t="inlineStr">
        <is>
          <t>Electric motor, max</t>
        </is>
      </c>
      <c r="B5404">
        <v>107</v>
      </c>
    </row>
    <row r="5405">
      <c r="A5405" t="inlineStr">
        <is>
          <t>Combustion engine, mean</t>
        </is>
      </c>
      <c r="B5405">
        <v>0</v>
      </c>
    </row>
    <row r="5406">
      <c r="A5406" t="inlineStr">
        <is>
          <t>Combustion engine, min</t>
        </is>
      </c>
      <c r="B5406">
        <v>0</v>
      </c>
    </row>
    <row r="5407">
      <c r="A5407" t="inlineStr">
        <is>
          <t>Combustion engine, max</t>
        </is>
      </c>
      <c r="B5407">
        <v>0</v>
      </c>
    </row>
    <row r="5408">
      <c r="A5408" t="inlineStr">
        <is>
          <t>Fuel tank, mean</t>
        </is>
      </c>
      <c r="B5408">
        <v>102</v>
      </c>
    </row>
    <row r="5409">
      <c r="A5409" t="inlineStr">
        <is>
          <t>Fuel tank, min</t>
        </is>
      </c>
      <c r="B5409">
        <v>78</v>
      </c>
    </row>
    <row r="5410">
      <c r="A5410" t="inlineStr">
        <is>
          <t>Fuel tank, max</t>
        </is>
      </c>
      <c r="B5410">
        <v>117</v>
      </c>
    </row>
    <row r="5411">
      <c r="A5411" t="inlineStr">
        <is>
          <t>Battery capacity, mean</t>
        </is>
      </c>
      <c r="B5411">
        <v>3</v>
      </c>
    </row>
    <row r="5412">
      <c r="A5412" t="inlineStr">
        <is>
          <t>Battery capacity, min</t>
        </is>
      </c>
      <c r="B5412">
        <v>1</v>
      </c>
    </row>
    <row r="5413">
      <c r="A5413" t="inlineStr">
        <is>
          <t>Battery capacity, max</t>
        </is>
      </c>
      <c r="B5413">
        <v>4</v>
      </c>
    </row>
    <row r="5414">
      <c r="A5414" t="inlineStr">
        <is>
          <t>Battery replacement, mean</t>
        </is>
      </c>
      <c r="B5414">
        <v>0</v>
      </c>
    </row>
    <row r="5415">
      <c r="A5415" t="inlineStr">
        <is>
          <t>Battery replacement, min</t>
        </is>
      </c>
      <c r="B5415">
        <v>0</v>
      </c>
    </row>
    <row r="5416">
      <c r="A5416" t="inlineStr">
        <is>
          <t>Battery replacement, max</t>
        </is>
      </c>
      <c r="B5416">
        <v>0</v>
      </c>
    </row>
    <row r="5417">
      <c r="A5417" t="inlineStr">
        <is>
          <t>Fuel cell system, mean</t>
        </is>
      </c>
      <c r="B5417">
        <v>119</v>
      </c>
    </row>
    <row r="5418">
      <c r="A5418" t="inlineStr">
        <is>
          <t>Fuel cell system, min</t>
        </is>
      </c>
      <c r="B5418">
        <v>49</v>
      </c>
    </row>
    <row r="5419">
      <c r="A5419" t="inlineStr">
        <is>
          <t>Fuel cell system, max</t>
        </is>
      </c>
      <c r="B5419">
        <v>151</v>
      </c>
    </row>
    <row r="5420">
      <c r="A5420" t="inlineStr">
        <is>
          <t>Fuel cell stack replacement, mean</t>
        </is>
      </c>
      <c r="B5420">
        <v>0</v>
      </c>
    </row>
    <row r="5421">
      <c r="A5421" t="inlineStr">
        <is>
          <t>Fuel cell replacement, min</t>
        </is>
      </c>
      <c r="B5421">
        <v>0</v>
      </c>
    </row>
    <row r="5422">
      <c r="A5422" t="inlineStr">
        <is>
          <t>Fuel cell replacement, max</t>
        </is>
      </c>
      <c r="B5422">
        <v>0</v>
      </c>
    </row>
    <row r="5423">
      <c r="A5423" t="inlineStr">
        <is>
          <t>Onboard charger mass</t>
        </is>
      </c>
      <c r="B5423">
        <v>0</v>
      </c>
    </row>
    <row r="5424">
      <c r="A5424" t="inlineStr">
        <is>
          <t>Controller mass</t>
        </is>
      </c>
      <c r="B5424">
        <v>3</v>
      </c>
    </row>
    <row r="5425">
      <c r="A5425" t="inlineStr">
        <is>
          <t>Converter mass</t>
        </is>
      </c>
      <c r="B5425">
        <v>4</v>
      </c>
    </row>
    <row r="5426">
      <c r="A5426" t="inlineStr">
        <is>
          <t>Electrical powertrain mass</t>
        </is>
      </c>
      <c r="B5426">
        <v>0</v>
      </c>
    </row>
    <row r="5427">
      <c r="A5427" t="inlineStr">
        <is>
          <t>Inverter mass</t>
        </is>
      </c>
      <c r="B5427">
        <v>8</v>
      </c>
    </row>
    <row r="5428">
      <c r="A5428" t="inlineStr">
        <is>
          <t>NOx</t>
        </is>
      </c>
      <c r="B5428">
        <v>0</v>
      </c>
    </row>
    <row r="5429">
      <c r="A5429" t="inlineStr">
        <is>
          <t>PM 2.5</t>
        </is>
      </c>
      <c r="B5429">
        <v>0</v>
      </c>
    </row>
    <row r="5430">
      <c r="A5430" t="inlineStr">
        <is>
          <t>energy use source</t>
        </is>
      </c>
      <c r="B5430"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1 kWe, proton exchange membrane (PEM), carculator passenger car 2020", "fuel cell Balance of Plant, 1 kWe, proton exchange membrane (PEM)", "GLO", "unit"], "amount per vehicle": 28.43844795227051, "vehicle per source service": 4.999999873689376e-06, "replacement correction factor": 1.0, "amount per MJ": 0.00013256366446464648}, {"supplier": ["fuel cell stack production, 1 kWe, proton exchange membrane (PEM), carculator passenger car 2020", "fuel cell stack, 1 kWe, proton exchange membrane (PEM)", "GLO", "unit"], "amount per vehicle": 139.2566528320312, "vehicle per source service": 4.999999873689376e-06, "replacement correction factor": 1.0, "amount per MJ": 0.0006491343068889693}, {"supplier": ["fuel tank, compressed hydrogen gas, 700bar, with HDPE liner, carculator passenger car 2020", "hydrogen tank", "RER", "kilogram"], "amount per vehicle": 97.82608795166016, "vehicle per source service": 4.999999873689376e-06, "replacement correction factor": 1.0, "amount per MJ": 0.0004560088764646349}, {"supplier": ["market for converter, for electric passenger car", "converter, for electric passenger car", "GLO", "kilogram"], "amount per vehicle": 4.470652103424072, "vehicle per source service": 4.999999873689376e-06, "replacement correction factor": 1.0, "amount per MJ": 2.0839605113863403e-05}, {"supplier": ["market for electric motor, electric passenger car", "electric motor, electric passenger car", "GLO", "kilogram"], "amount per vehicle": 92.03699493408203, "vehicle per source service": 4.999999873689376e-06, "replacement correction factor": 1.0, "amount per MJ": 0.0004290234592004841}, {"supplier": ["market for mechanical powertrain, electric passenger car", "mechanical powertrain, electric passenger car", "GLO", "kilogram"], "amount per vehicle": 85.55861602783203, "vehicle per source service": 4.999999873689376e-06, "coefficient limitation":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"replacement correction factor": 1.0, "amount per MJ": 0.0003988249881360883},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battery capacity (MIX scenario)", "electricity storage capacity", "GLO", "kilowatt hour"], "amount per vehicle": 1.597572207450867, "vehicle per source service": 4.999999873689376e-06, "coefficient limitation": "Native nominal-kWh MIX market is a manufacturing proxy; it does not reproduce the heavier high-power physical battery pack mass.",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5.992432250976563, "vehicle per source service": 4.999999873689376e-06, "replacement correction factor": 1.0, "boundary reason": "Provisional common auxiliary battery retained in full vehicle; excluded from energy-specific equipment."}], "alternative fuel recipe retained": false, "electric mechanical powertrain correction":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t>
        </is>
      </c>
    </row>
    <row r="5431">
      <c r="A5431" t="inlineStr">
        <is>
          <t>Exchanges</t>
        </is>
      </c>
    </row>
    <row r="5432">
      <c r="A5432" t="inlineStr">
        <is>
          <t>name</t>
        </is>
      </c>
      <c r="B5432" t="inlineStr">
        <is>
          <t>amount</t>
        </is>
      </c>
      <c r="C5432" t="inlineStr">
        <is>
          <t>location</t>
        </is>
      </c>
      <c r="D5432" t="inlineStr">
        <is>
          <t>unit</t>
        </is>
      </c>
      <c r="E5432" t="inlineStr">
        <is>
          <t>categories</t>
        </is>
      </c>
      <c r="F5432" t="inlineStr">
        <is>
          <t>type</t>
        </is>
      </c>
      <c r="G5432" t="inlineStr">
        <is>
          <t>reference product</t>
        </is>
      </c>
      <c r="H5432" t="inlineStr">
        <is>
          <t>comment</t>
        </is>
      </c>
      <c r="I5432" t="inlineStr">
        <is>
          <t>uncertainty type</t>
        </is>
      </c>
    </row>
    <row r="5433">
      <c r="A5433" t="inlineStr">
        <is>
          <t>hydrogen, used in a fuel cell in a passenger car</t>
        </is>
      </c>
      <c r="B5433">
        <v>1.0</v>
      </c>
      <c r="C5433" t="inlineStr">
        <is>
          <t>RER</t>
        </is>
      </c>
      <c r="D5433" t="inlineStr">
        <is>
          <t>megajoule</t>
        </is>
      </c>
      <c r="F5433" t="inlineStr">
        <is>
          <t>production</t>
        </is>
      </c>
      <c r="G5433" t="inlineStr">
        <is>
          <t>heat</t>
        </is>
      </c>
      <c r="I5433">
        <v>0</v>
      </c>
    </row>
    <row r="5434">
      <c r="A5434" t="inlineStr">
        <is>
          <t>market for hydrogen, gaseous, low pressure</t>
        </is>
      </c>
      <c r="B5434">
        <v>0.008333333333333333</v>
      </c>
      <c r="C5434" t="inlineStr">
        <is>
          <t>RER</t>
        </is>
      </c>
      <c r="D5434" t="inlineStr">
        <is>
          <t>kilogram</t>
        </is>
      </c>
      <c r="F5434" t="inlineStr">
        <is>
          <t>technosphere</t>
        </is>
      </c>
      <c r="G5434" t="inlineStr">
        <is>
          <t>hydrogen, gaseous, low pressure</t>
        </is>
      </c>
      <c r="H5434" t="inlineStr">
        <is>
          <t>Default carculator fuel energy preserved (1.07263356625 MJ/vkm); premise reference LHV 120.0 MJ/kg. Regional scenario blend belongs to premise.</t>
        </is>
      </c>
      <c r="I5434">
        <v>0</v>
      </c>
    </row>
    <row r="5435">
      <c r="A5435" t="inlineStr">
        <is>
          <t>treatment of brake wear emissions, passenger car</t>
        </is>
      </c>
      <c r="B5435">
        <v>-7.811243251597881e-06</v>
      </c>
      <c r="C5435" t="inlineStr">
        <is>
          <t>RER</t>
        </is>
      </c>
      <c r="D5435" t="inlineStr">
        <is>
          <t>kilogram</t>
        </is>
      </c>
      <c r="F5435" t="inlineStr">
        <is>
          <t>technosphere</t>
        </is>
      </c>
      <c r="G5435" t="inlineStr">
        <is>
          <t>brake wear emissions, passenger car</t>
        </is>
      </c>
      <c r="I5435">
        <v>0</v>
      </c>
    </row>
    <row r="5436">
      <c r="A5436" t="inlineStr">
        <is>
          <t>treatment of road wear emissions, passenger car</t>
        </is>
      </c>
      <c r="B5436">
        <v>-1.7354722075946138e-05</v>
      </c>
      <c r="C5436" t="inlineStr">
        <is>
          <t>RER</t>
        </is>
      </c>
      <c r="D5436" t="inlineStr">
        <is>
          <t>kilogram</t>
        </is>
      </c>
      <c r="F5436" t="inlineStr">
        <is>
          <t>technosphere</t>
        </is>
      </c>
      <c r="G5436" t="inlineStr">
        <is>
          <t>road wear emissions, passenger car</t>
        </is>
      </c>
      <c r="I5436">
        <v>0</v>
      </c>
    </row>
    <row r="5437">
      <c r="A5437" t="inlineStr">
        <is>
          <t>treatment of tyre wear emissions, passenger car</t>
        </is>
      </c>
      <c r="B5437">
        <v>-1.9644274084031096e-05</v>
      </c>
      <c r="C5437" t="inlineStr">
        <is>
          <t>RER</t>
        </is>
      </c>
      <c r="D5437" t="inlineStr">
        <is>
          <t>kilogram</t>
        </is>
      </c>
      <c r="F5437" t="inlineStr">
        <is>
          <t>technosphere</t>
        </is>
      </c>
      <c r="G5437" t="inlineStr">
        <is>
          <t>tyre wear emissions, passenger car</t>
        </is>
      </c>
      <c r="I5437">
        <v>0</v>
      </c>
    </row>
    <row r="5438">
      <c r="A5438" t="inlineStr">
        <is>
          <t>market for tetrafluoroethane, R134a</t>
        </is>
      </c>
      <c r="B5438">
        <v>6.05985131483241e-06</v>
      </c>
      <c r="C5438" t="inlineStr">
        <is>
          <t>GLO</t>
        </is>
      </c>
      <c r="D5438" t="inlineStr">
        <is>
          <t>kilogram</t>
        </is>
      </c>
      <c r="F5438" t="inlineStr">
        <is>
          <t>technosphere</t>
        </is>
      </c>
      <c r="G5438" t="inlineStr">
        <is>
          <t>tetrafluoroethane, R134a</t>
        </is>
      </c>
      <c r="I5438">
        <v>0</v>
      </c>
    </row>
    <row r="5439">
      <c r="A5439" t="inlineStr">
        <is>
          <t>1,1,1,2-Tetrafluoroethane</t>
        </is>
      </c>
      <c r="B5439">
        <v>3.4960680173316915e-06</v>
      </c>
      <c r="D5439" t="inlineStr">
        <is>
          <t>kilogram</t>
        </is>
      </c>
      <c r="E5439" t="inlineStr">
        <is>
          <t>air</t>
        </is>
      </c>
      <c r="F5439" t="inlineStr">
        <is>
          <t>biosphere</t>
        </is>
      </c>
      <c r="I5439">
        <v>0</v>
      </c>
    </row>
    <row r="5440">
      <c r="A5440" t="inlineStr">
        <is>
          <t>market group for electricity, low voltage</t>
        </is>
      </c>
      <c r="B5440">
        <v>0.020421827056420445</v>
      </c>
      <c r="C5440" t="inlineStr">
        <is>
          <t>RER</t>
        </is>
      </c>
      <c r="D5440" t="inlineStr">
        <is>
          <t>kilowatt hour</t>
        </is>
      </c>
      <c r="F5440" t="inlineStr">
        <is>
          <t>technosphere</t>
        </is>
      </c>
      <c r="G5440" t="inlineStr">
        <is>
          <t>electricity, low voltage</t>
        </is>
      </c>
      <c r="H5440" t="inlineStr">
        <is>
          <t>Hydrogen tank compression, 30 to 700 bar: 2.45061924677 kWh/kg H2, using the model's default compressor assumptions and Premise's documented delivery pressure.</t>
        </is>
      </c>
      <c r="I5440">
        <v>0</v>
      </c>
    </row>
    <row r="5441">
      <c r="A5441" t="inlineStr">
        <is>
          <t xml:space="preserve">fuel cell Balance of Plant production, 1 kWe, proton exchange membrane (PEM)</t>
        </is>
      </c>
      <c r="B5441">
        <v>0.00013256366446464648</v>
      </c>
      <c r="C5441" t="inlineStr">
        <is>
          <t>GLO</t>
        </is>
      </c>
      <c r="D5441" t="inlineStr">
        <is>
          <t>unit</t>
        </is>
      </c>
      <c r="F5441" t="inlineStr">
        <is>
          <t>technosphere</t>
        </is>
      </c>
      <c r="G5441" t="inlineStr">
        <is>
          <t xml:space="preserve">fuel cell Balance of Plant, 1 kWe, proton exchange membrane (PEM)</t>
        </is>
      </c>
      <c r="H5441" t="inlineStr">
        <is>
          <t xml:space="preserve"> Energy-use allocation: 28.43844795227051 * 4.999999873689376e-06 / 1.0726335662454156 MJ per kilometer.
Shared component reuse (2026-10-16): original model supplier 'fuel cell Balance of Plant production, 1 kWe, proton exchange membrane (PEM), carculator passenger car 2020' uses the existing canonical recipe in lci-fuel_cell.xlsx; its quantities and uncertainty are retained.</t>
        </is>
      </c>
      <c r="I5441">
        <v>0</v>
      </c>
    </row>
    <row r="5442">
      <c r="A5442" t="inlineStr">
        <is>
          <t xml:space="preserve">fuel cell stack production, 1 kWe, proton exchange membrane (PEM)</t>
        </is>
      </c>
      <c r="B5442">
        <v>0.0006491343068889693</v>
      </c>
      <c r="C5442" t="inlineStr">
        <is>
          <t>GLO</t>
        </is>
      </c>
      <c r="D5442" t="inlineStr">
        <is>
          <t>unit</t>
        </is>
      </c>
      <c r="F5442" t="inlineStr">
        <is>
          <t>technosphere</t>
        </is>
      </c>
      <c r="G5442" t="inlineStr">
        <is>
          <t xml:space="preserve">fuel cell stack, 1 kWe, proton exchange membrane (PEM)</t>
        </is>
      </c>
      <c r="H5442" t="inlineStr">
        <is>
          <t xml:space="preserve"> Energy-use allocation: 139.2566528320312 * 4.999999873689376e-06 / 1.0726335662454156 MJ per kilometer.
Shared component reuse (2026-10-16): original model supplier 'fuel cell stack production, 1 kWe, proton exchange membrane (PEM), carculator passenger car 2020' uses the existing canonical recipe in lci-fuel_cell.xlsx; its quantities and uncertainty are retained.</t>
        </is>
      </c>
      <c r="I5442">
        <v>0</v>
      </c>
    </row>
    <row r="5443">
      <c r="A5443" t="inlineStr">
        <is>
          <t xml:space="preserve">fuel tank, compressed hydrogen gas, 700bar, with HDPE liner</t>
        </is>
      </c>
      <c r="B5443">
        <v>0.0004560088764646349</v>
      </c>
      <c r="C5443" t="inlineStr">
        <is>
          <t>RER</t>
        </is>
      </c>
      <c r="D5443" t="inlineStr">
        <is>
          <t>kilogram</t>
        </is>
      </c>
      <c r="F5443" t="inlineStr">
        <is>
          <t>technosphere</t>
        </is>
      </c>
      <c r="G5443" t="inlineStr">
        <is>
          <t xml:space="preserve">hydrogen tank</t>
        </is>
      </c>
      <c r="H5443" t="inlineStr">
        <is>
          <t xml:space="preserve"> Energy-use allocation: 97.82608795166016 * 4.999999873689376e-06 / 1.0726335662454156 MJ per kilometer.
Shared component reuse (2026-10-16): original model supplier 'fuel tank, compressed hydrogen gas, 700bar, with HDPE liner, carculator passenger car 2020' uses the existing canonical recipe in lci-trucks.xlsx; its quantities and uncertainty are retained.</t>
        </is>
      </c>
      <c r="I5443">
        <v>0</v>
      </c>
    </row>
    <row r="5444">
      <c r="A5444" t="inlineStr">
        <is>
          <t>market for converter, for electric passenger car</t>
        </is>
      </c>
      <c r="B5444">
        <v>2.0839605113863403e-05</v>
      </c>
      <c r="C5444" t="inlineStr">
        <is>
          <t>GLO</t>
        </is>
      </c>
      <c r="D5444" t="inlineStr">
        <is>
          <t>kilogram</t>
        </is>
      </c>
      <c r="F5444" t="inlineStr">
        <is>
          <t>technosphere</t>
        </is>
      </c>
      <c r="G5444" t="inlineStr">
        <is>
          <t>converter, for electric passenger car</t>
        </is>
      </c>
      <c r="H5444" t="inlineStr">
        <is>
          <t> Energy-use allocation: 4.470652103424072 * 4.999999873689376e-06 / 1.0726335662454156 MJ per kilometer.</t>
        </is>
      </c>
      <c r="I5444">
        <v>0</v>
      </c>
    </row>
    <row r="5445">
      <c r="A5445" t="inlineStr">
        <is>
          <t>market for electric motor, electric passenger car</t>
        </is>
      </c>
      <c r="B5445">
        <v>0.0004290234592004841</v>
      </c>
      <c r="C5445" t="inlineStr">
        <is>
          <t>GLO</t>
        </is>
      </c>
      <c r="D5445" t="inlineStr">
        <is>
          <t>kilogram</t>
        </is>
      </c>
      <c r="F5445" t="inlineStr">
        <is>
          <t>technosphere</t>
        </is>
      </c>
      <c r="G5445" t="inlineStr">
        <is>
          <t>electric motor, electric passenger car</t>
        </is>
      </c>
      <c r="H5445" t="inlineStr">
        <is>
          <t> Energy-use allocation: 92.03699493408203 * 4.999999873689376e-06 / 1.0726335662454156 MJ per kilometer.</t>
        </is>
      </c>
      <c r="I5445">
        <v>0</v>
      </c>
    </row>
    <row r="5446">
      <c r="A5446" t="inlineStr">
        <is>
          <t>market for mechanical powertrain, electric passenger car</t>
        </is>
      </c>
      <c r="B5446">
        <v>0.0003988249881360883</v>
      </c>
      <c r="C5446" t="inlineStr">
        <is>
          <t>GLO</t>
        </is>
      </c>
      <c r="D5446" t="inlineStr">
        <is>
          <t>kilogram</t>
        </is>
      </c>
      <c r="F5446" t="inlineStr">
        <is>
          <t>technosphere</t>
        </is>
      </c>
      <c r="G5446" t="inlineStr">
        <is>
          <t>mechanical powertrain, electric passenger car</t>
        </is>
      </c>
      <c r="H5446" t="inlineStr">
        <is>
          <t> Energy-use allocation: 91.5510482788086 * 4.999999873689376e-06 / 1.0726335662454156 MJ per kilometer.</t>
        </is>
      </c>
      <c r="I5446">
        <v>0</v>
      </c>
    </row>
    <row r="5447">
      <c r="A5447" t="inlineStr">
        <is>
          <t>market for inverter, for electric passenger car</t>
        </is>
      </c>
      <c r="B5447">
        <v>4.1679210227726807e-05</v>
      </c>
      <c r="C5447" t="inlineStr">
        <is>
          <t>GLO</t>
        </is>
      </c>
      <c r="D5447" t="inlineStr">
        <is>
          <t>kilogram</t>
        </is>
      </c>
      <c r="F5447" t="inlineStr">
        <is>
          <t>technosphere</t>
        </is>
      </c>
      <c r="G5447" t="inlineStr">
        <is>
          <t>inverter, for electric passenger car</t>
        </is>
      </c>
      <c r="H5447" t="inlineStr">
        <is>
          <t> Energy-use allocation: 8.941304206848145 * 4.999999873689376e-06 / 1.0726335662454156 MJ per kilometer.</t>
        </is>
      </c>
      <c r="I5447">
        <v>0</v>
      </c>
    </row>
    <row r="5448">
      <c r="A5448" t="inlineStr">
        <is>
          <t>market for power distribution unit, for electric passenger car</t>
        </is>
      </c>
      <c r="B5448">
        <v>1.852409331105968e-05</v>
      </c>
      <c r="C5448" t="inlineStr">
        <is>
          <t>GLO</t>
        </is>
      </c>
      <c r="D5448" t="inlineStr">
        <is>
          <t>kilogram</t>
        </is>
      </c>
      <c r="F5448" t="inlineStr">
        <is>
          <t>technosphere</t>
        </is>
      </c>
      <c r="G5448" t="inlineStr">
        <is>
          <t>power distribution unit, for electric passenger car</t>
        </is>
      </c>
      <c r="H5448" t="inlineStr">
        <is>
          <t> Energy-use allocation: 3.973912954330444 * 4.999999873689376e-06 / 1.0726335662454156 MJ per kilometer.</t>
        </is>
      </c>
      <c r="I5448">
        <v>0</v>
      </c>
    </row>
    <row r="5449">
      <c r="A5449" t="inlineStr">
        <is>
          <t>market for used powertrain from electric passenger car, manual dismantling</t>
        </is>
      </c>
      <c r="B5449">
        <v>-0.0016750567184222265</v>
      </c>
      <c r="C5449" t="inlineStr">
        <is>
          <t>GLO</t>
        </is>
      </c>
      <c r="D5449" t="inlineStr">
        <is>
          <t>kilogram</t>
        </is>
      </c>
      <c r="F5449" t="inlineStr">
        <is>
          <t>technosphere</t>
        </is>
      </c>
      <c r="G5449" t="inlineStr">
        <is>
          <t>used powertrain from electric passenger car, manual dismantling</t>
        </is>
      </c>
      <c r="H5449" t="inlineStr">
        <is>
          <t> Energy-use allocation: -359.3444213867188 * 4.999999873689376e-06 / 1.0726335662454156 MJ per kilometer.</t>
        </is>
      </c>
      <c r="I5449">
        <v>0</v>
      </c>
    </row>
    <row r="5450">
      <c r="A5450" t="inlineStr">
        <is>
          <t>market for waste plastic, industrial electronics</t>
        </is>
      </c>
      <c r="B5450">
        <v>-0.0004560088764646349</v>
      </c>
      <c r="C5450" t="inlineStr">
        <is>
          <t>CH</t>
        </is>
      </c>
      <c r="D5450" t="inlineStr">
        <is>
          <t>kilogram</t>
        </is>
      </c>
      <c r="F5450" t="inlineStr">
        <is>
          <t>technosphere</t>
        </is>
      </c>
      <c r="G5450" t="inlineStr">
        <is>
          <t>waste plastic, industrial electronics</t>
        </is>
      </c>
      <c r="H5450" t="inlineStr">
        <is>
          <t> Energy-use allocation: -97.82608795166016 * 4.999999873689376e-06 / 1.0726335662454156 MJ per kilometer.</t>
        </is>
      </c>
      <c r="I5450">
        <v>0</v>
      </c>
    </row>
    <row r="5451">
      <c r="A5451" t="inlineStr">
        <is>
          <t>market for battery capacity (MIX scenario)</t>
        </is>
      </c>
      <c r="B5451">
        <v>7.446961466462621e-06</v>
      </c>
      <c r="C5451" t="inlineStr">
        <is>
          <t>GLO</t>
        </is>
      </c>
      <c r="D5451" t="inlineStr">
        <is>
          <t>kilowatt hour</t>
        </is>
      </c>
      <c r="F5451" t="inlineStr">
        <is>
          <t>technosphere</t>
        </is>
      </c>
      <c r="G5451" t="inlineStr">
        <is>
          <t>electricity storage capacity</t>
        </is>
      </c>
      <c r="H5451" t="inlineStr">
        <is>
          <t>1.59757220745 kWh nominal * (1 + 0 lifetime replacements). Capacity market includes battery manufacture AND end of life; original kg pack and disposal removed. Energy-use allocation: 1.597572207450867 * 4.999999873689376e-06 / 1.0726335662454156 MJ per kilometer.</t>
        </is>
      </c>
      <c r="I5451">
        <v>0</v>
      </c>
    </row>
    <row r="5452"/>
    <row r="5453">
      <c r="A5453" t="inlineStr">
        <is>
          <t>Activity</t>
        </is>
      </c>
      <c r="B5453" t="inlineStr">
        <is>
          <t>compressed gas, burned in passenger car</t>
        </is>
      </c>
    </row>
    <row r="5454">
      <c r="A5454" t="inlineStr">
        <is>
          <t>location</t>
        </is>
      </c>
      <c r="B5454" t="inlineStr">
        <is>
          <t>RER</t>
        </is>
      </c>
    </row>
    <row r="5455">
      <c r="A5455" t="inlineStr">
        <is>
          <t>production amount</t>
        </is>
      </c>
      <c r="B5455">
        <v>1</v>
      </c>
    </row>
    <row r="5456">
      <c r="A5456" t="inlineStr">
        <is>
          <t>reference product</t>
        </is>
      </c>
      <c r="B5456" t="inlineStr">
        <is>
          <t>heat</t>
        </is>
      </c>
    </row>
    <row r="5457">
      <c r="A5457" t="inlineStr">
        <is>
          <t>type</t>
        </is>
      </c>
      <c r="B5457" t="inlineStr">
        <is>
          <t>process</t>
        </is>
      </c>
    </row>
    <row r="5458">
      <c r="A5458" t="inlineStr">
        <is>
          <t>unit</t>
        </is>
      </c>
      <c r="B5458" t="inlineStr">
        <is>
          <t>megajoule</t>
        </is>
      </c>
    </row>
    <row r="5459">
      <c r="A5459" t="inlineStr">
        <is>
          <t>Power, mean</t>
        </is>
      </c>
      <c r="B5459">
        <v>126</v>
      </c>
    </row>
    <row r="5460">
      <c r="A5460" t="inlineStr">
        <is>
          <t>Power, min</t>
        </is>
      </c>
      <c r="B5460">
        <v>55</v>
      </c>
    </row>
    <row r="5461">
      <c r="A5461" t="inlineStr">
        <is>
          <t>Power, max</t>
        </is>
      </c>
      <c r="B5461">
        <v>160</v>
      </c>
    </row>
    <row r="5462">
      <c r="A5462" t="inlineStr">
        <is>
          <t>Lifetime, mean</t>
        </is>
      </c>
      <c r="B5462">
        <v>200000</v>
      </c>
    </row>
    <row r="5463">
      <c r="A5463" t="inlineStr">
        <is>
          <t>Lifetime, min</t>
        </is>
      </c>
      <c r="B5463">
        <v>160000</v>
      </c>
    </row>
    <row r="5464">
      <c r="A5464" t="inlineStr">
        <is>
          <t>Lifetime, max</t>
        </is>
      </c>
      <c r="B5464">
        <v>250000</v>
      </c>
    </row>
    <row r="5465">
      <c r="A5465" t="inlineStr">
        <is>
          <t>Energy use, mean</t>
        </is>
      </c>
      <c r="B5465">
        <v>2540</v>
      </c>
    </row>
    <row r="5466">
      <c r="A5466" t="inlineStr">
        <is>
          <t>Energy use, min</t>
        </is>
      </c>
      <c r="B5466">
        <v>1660</v>
      </c>
    </row>
    <row r="5467">
      <c r="A5467" t="inlineStr">
        <is>
          <t>Energy use, max</t>
        </is>
      </c>
      <c r="B5467">
        <v>3020</v>
      </c>
    </row>
    <row r="5468">
      <c r="A5468" t="inlineStr">
        <is>
          <t>Electric motor, mean</t>
        </is>
      </c>
      <c r="B5468">
        <v>0</v>
      </c>
    </row>
    <row r="5469">
      <c r="A5469" t="inlineStr">
        <is>
          <t>Electric motor, min</t>
        </is>
      </c>
      <c r="B5469">
        <v>0</v>
      </c>
    </row>
    <row r="5470">
      <c r="A5470" t="inlineStr">
        <is>
          <t>Electric motor, max</t>
        </is>
      </c>
      <c r="B5470">
        <v>0</v>
      </c>
    </row>
    <row r="5471">
      <c r="A5471" t="inlineStr">
        <is>
          <t>Combustion engine, mean</t>
        </is>
      </c>
      <c r="B5471">
        <v>145</v>
      </c>
    </row>
    <row r="5472">
      <c r="A5472" t="inlineStr">
        <is>
          <t>Combustion engine, min</t>
        </is>
      </c>
      <c r="B5472">
        <v>96</v>
      </c>
    </row>
    <row r="5473">
      <c r="A5473" t="inlineStr">
        <is>
          <t>Combustion engine, max</t>
        </is>
      </c>
      <c r="B5473">
        <v>169</v>
      </c>
    </row>
    <row r="5474">
      <c r="A5474" t="inlineStr">
        <is>
          <t>Fuel tank, mean</t>
        </is>
      </c>
      <c r="B5474">
        <v>75</v>
      </c>
    </row>
    <row r="5475">
      <c r="A5475" t="inlineStr">
        <is>
          <t>Fuel tank, min</t>
        </is>
      </c>
      <c r="B5475">
        <v>57</v>
      </c>
    </row>
    <row r="5476">
      <c r="A5476" t="inlineStr">
        <is>
          <t>Fuel tank, max</t>
        </is>
      </c>
      <c r="B5476">
        <v>89</v>
      </c>
    </row>
    <row r="5477">
      <c r="A5477" t="inlineStr">
        <is>
          <t>Battery capacity, mean</t>
        </is>
      </c>
      <c r="B5477">
        <v>0</v>
      </c>
    </row>
    <row r="5478">
      <c r="A5478" t="inlineStr">
        <is>
          <t>Battery capacity, min</t>
        </is>
      </c>
      <c r="B5478">
        <v>0</v>
      </c>
    </row>
    <row r="5479">
      <c r="A5479" t="inlineStr">
        <is>
          <t>Battery capacity, max</t>
        </is>
      </c>
      <c r="B5479">
        <v>0</v>
      </c>
    </row>
    <row r="5480">
      <c r="A5480" t="inlineStr">
        <is>
          <t>Battery replacement, mean</t>
        </is>
      </c>
      <c r="B5480">
        <v>0</v>
      </c>
    </row>
    <row r="5481">
      <c r="A5481" t="inlineStr">
        <is>
          <t>Battery replacement, min</t>
        </is>
      </c>
      <c r="B5481">
        <v>0</v>
      </c>
    </row>
    <row r="5482">
      <c r="A5482" t="inlineStr">
        <is>
          <t>Battery replacement, max</t>
        </is>
      </c>
      <c r="B5482">
        <v>0</v>
      </c>
    </row>
    <row r="5483">
      <c r="A5483" t="inlineStr">
        <is>
          <t>Fuel cell system, mean</t>
        </is>
      </c>
      <c r="B5483">
        <v>0</v>
      </c>
    </row>
    <row r="5484">
      <c r="A5484" t="inlineStr">
        <is>
          <t>Fuel cell system, min</t>
        </is>
      </c>
      <c r="B5484">
        <v>0</v>
      </c>
    </row>
    <row r="5485">
      <c r="A5485" t="inlineStr">
        <is>
          <t>Fuel cell system, max</t>
        </is>
      </c>
      <c r="B5485">
        <v>0</v>
      </c>
    </row>
    <row r="5486">
      <c r="A5486" t="inlineStr">
        <is>
          <t>Fuel cell stack replacement, mean</t>
        </is>
      </c>
      <c r="B5486">
        <v>0</v>
      </c>
    </row>
    <row r="5487">
      <c r="A5487" t="inlineStr">
        <is>
          <t>Fuel cell replacement, min</t>
        </is>
      </c>
      <c r="B5487">
        <v>0</v>
      </c>
    </row>
    <row r="5488">
      <c r="A5488" t="inlineStr">
        <is>
          <t>Fuel cell replacement, max</t>
        </is>
      </c>
      <c r="B5488">
        <v>0</v>
      </c>
    </row>
    <row r="5489">
      <c r="A5489" t="inlineStr">
        <is>
          <t>Onboard charger mass</t>
        </is>
      </c>
      <c r="B5489">
        <v>0</v>
      </c>
    </row>
    <row r="5490">
      <c r="A5490" t="inlineStr">
        <is>
          <t>Controller mass</t>
        </is>
      </c>
      <c r="B5490">
        <v>0</v>
      </c>
    </row>
    <row r="5491">
      <c r="A5491" t="inlineStr">
        <is>
          <t>Converter mass</t>
        </is>
      </c>
      <c r="B5491">
        <v>0</v>
      </c>
    </row>
    <row r="5492">
      <c r="A5492" t="inlineStr">
        <is>
          <t>Electrical powertrain mass</t>
        </is>
      </c>
      <c r="B5492">
        <v>0</v>
      </c>
    </row>
    <row r="5493">
      <c r="A5493" t="inlineStr">
        <is>
          <t>Inverter mass</t>
        </is>
      </c>
      <c r="B5493">
        <v>0</v>
      </c>
    </row>
    <row r="5494">
      <c r="A5494" t="inlineStr">
        <is>
          <t>NOx</t>
        </is>
      </c>
      <c r="B5494">
        <v>0.006443871</v>
      </c>
    </row>
    <row r="5495">
      <c r="A5495" t="inlineStr">
        <is>
          <t>PM 2.5</t>
        </is>
      </c>
      <c r="B5495">
        <v>0.000968063</v>
      </c>
    </row>
    <row r="5496">
      <c r="A5496" t="inlineStr">
        <is>
          <t>energy use source</t>
        </is>
      </c>
      <c r="B5496"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5497">
      <c r="A5497" t="inlineStr">
        <is>
          <t>comment</t>
        </is>
      </c>
      <c r="B5497"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498">
      <c r="A5498" t="inlineStr">
        <is>
          <t>Exchanges</t>
        </is>
      </c>
    </row>
    <row r="5499">
      <c r="A5499" t="inlineStr">
        <is>
          <t>name</t>
        </is>
      </c>
      <c r="B5499" t="inlineStr">
        <is>
          <t>amount</t>
        </is>
      </c>
      <c r="C5499" t="inlineStr">
        <is>
          <t>location</t>
        </is>
      </c>
      <c r="D5499" t="inlineStr">
        <is>
          <t>unit</t>
        </is>
      </c>
      <c r="E5499" t="inlineStr">
        <is>
          <t>categories</t>
        </is>
      </c>
      <c r="F5499" t="inlineStr">
        <is>
          <t>type</t>
        </is>
      </c>
      <c r="G5499" t="inlineStr">
        <is>
          <t>reference product</t>
        </is>
      </c>
      <c r="H5499" t="inlineStr">
        <is>
          <t>comment</t>
        </is>
      </c>
      <c r="I5499" t="inlineStr">
        <is>
          <t>uncertainty type</t>
        </is>
      </c>
    </row>
    <row r="5500">
      <c r="A5500" t="inlineStr">
        <is>
          <t>compressed gas, burned in passenger car</t>
        </is>
      </c>
      <c r="B5500">
        <v>1.0</v>
      </c>
      <c r="C5500" t="inlineStr">
        <is>
          <t>RER</t>
        </is>
      </c>
      <c r="D5500" t="inlineStr">
        <is>
          <t>megajoule</t>
        </is>
      </c>
      <c r="F5500" t="inlineStr">
        <is>
          <t>production</t>
        </is>
      </c>
      <c r="G5500" t="inlineStr">
        <is>
          <t>heat</t>
        </is>
      </c>
      <c r="I5500">
        <v>0</v>
      </c>
    </row>
    <row r="5501">
      <c r="A5501" t="inlineStr">
        <is>
          <t>market for natural gas, medium pressure, vehicle grade</t>
        </is>
      </c>
      <c r="B5501">
        <v>0.02150537634408602</v>
      </c>
      <c r="C5501" t="inlineStr">
        <is>
          <t>GLO</t>
        </is>
      </c>
      <c r="D5501" t="inlineStr">
        <is>
          <t>kilogram</t>
        </is>
      </c>
      <c r="F5501" t="inlineStr">
        <is>
          <t>technosphere</t>
        </is>
      </c>
      <c r="G5501" t="inlineStr">
        <is>
          <t>natural gas, medium pressure, vehicle grade</t>
        </is>
      </c>
      <c r="H5501" t="inlineStr">
        <is>
          <t>Default carculator fuel energy preserved (2.16163290851 MJ/vkm); premise reference LHV 46.5 MJ/kg. Regional scenario blend belongs to premise.</t>
        </is>
      </c>
      <c r="I5501">
        <v>0</v>
      </c>
    </row>
    <row r="5502">
      <c r="A5502" t="inlineStr">
        <is>
          <t>treatment of brake wear emissions, passenger car</t>
        </is>
      </c>
      <c r="B5502">
        <v>-6.778061331794415e-06</v>
      </c>
      <c r="C5502" t="inlineStr">
        <is>
          <t>RER</t>
        </is>
      </c>
      <c r="D5502" t="inlineStr">
        <is>
          <t>kilogram</t>
        </is>
      </c>
      <c r="F5502" t="inlineStr">
        <is>
          <t>technosphere</t>
        </is>
      </c>
      <c r="G5502" t="inlineStr">
        <is>
          <t>brake wear emissions, passenger car</t>
        </is>
      </c>
      <c r="I5502">
        <v>0</v>
      </c>
    </row>
    <row r="5503">
      <c r="A5503" t="inlineStr">
        <is>
          <t>treatment of road wear emissions, passenger car</t>
        </is>
      </c>
      <c r="B5503">
        <v>-7.779768914966537e-06</v>
      </c>
      <c r="C5503" t="inlineStr">
        <is>
          <t>RER</t>
        </is>
      </c>
      <c r="D5503" t="inlineStr">
        <is>
          <t>kilogram</t>
        </is>
      </c>
      <c r="F5503" t="inlineStr">
        <is>
          <t>technosphere</t>
        </is>
      </c>
      <c r="G5503" t="inlineStr">
        <is>
          <t>road wear emissions, passenger car</t>
        </is>
      </c>
      <c r="I5503">
        <v>0</v>
      </c>
    </row>
    <row r="5504">
      <c r="A5504" t="inlineStr">
        <is>
          <t>treatment of tyre wear emissions, passenger car</t>
        </is>
      </c>
      <c r="B5504">
        <v>-9.017947831786646e-06</v>
      </c>
      <c r="C5504" t="inlineStr">
        <is>
          <t>RER</t>
        </is>
      </c>
      <c r="D5504" t="inlineStr">
        <is>
          <t>kilogram</t>
        </is>
      </c>
      <c r="F5504" t="inlineStr">
        <is>
          <t>technosphere</t>
        </is>
      </c>
      <c r="G5504" t="inlineStr">
        <is>
          <t>tyre wear emissions, passenger car</t>
        </is>
      </c>
      <c r="I5504">
        <v>0</v>
      </c>
    </row>
    <row r="5505">
      <c r="A5505" t="inlineStr">
        <is>
          <t>market for tetrafluoroethane, R134a</t>
        </is>
      </c>
      <c r="B5505">
        <v>3.0069860156014323e-06</v>
      </c>
      <c r="C5505" t="inlineStr">
        <is>
          <t>GLO</t>
        </is>
      </c>
      <c r="D5505" t="inlineStr">
        <is>
          <t>kilogram</t>
        </is>
      </c>
      <c r="F5505" t="inlineStr">
        <is>
          <t>technosphere</t>
        </is>
      </c>
      <c r="G5505" t="inlineStr">
        <is>
          <t>tetrafluoroethane, R134a</t>
        </is>
      </c>
      <c r="I5505">
        <v>0</v>
      </c>
    </row>
    <row r="5506">
      <c r="A5506" t="inlineStr">
        <is>
          <t>NMVOC, non-methane volatile organic compounds</t>
        </is>
      </c>
      <c r="B5506">
        <v>3.716326596666934e-06</v>
      </c>
      <c r="D5506" t="inlineStr">
        <is>
          <t>kilogram</t>
        </is>
      </c>
      <c r="E5506" t="inlineStr">
        <is>
          <t>air::non-urban air or from high stacks</t>
        </is>
      </c>
      <c r="F5506" t="inlineStr">
        <is>
          <t>biosphere</t>
        </is>
      </c>
      <c r="I5506">
        <v>0</v>
      </c>
    </row>
    <row r="5507">
      <c r="A5507" t="inlineStr">
        <is>
          <t>Nitrogen oxides</t>
        </is>
      </c>
      <c r="B5507">
        <v>3.973486347763085e-06</v>
      </c>
      <c r="D5507" t="inlineStr">
        <is>
          <t>kilogram</t>
        </is>
      </c>
      <c r="E5507" t="inlineStr">
        <is>
          <t>air::non-urban air or from high stacks</t>
        </is>
      </c>
      <c r="F5507" t="inlineStr">
        <is>
          <t>biosphere</t>
        </is>
      </c>
      <c r="I5507">
        <v>0</v>
      </c>
    </row>
    <row r="5508">
      <c r="A5508" t="inlineStr">
        <is>
          <t>Benzene</t>
        </is>
      </c>
      <c r="B5508">
        <v>2.997037832439638e-08</v>
      </c>
      <c r="D5508" t="inlineStr">
        <is>
          <t>kilogram</t>
        </is>
      </c>
      <c r="E5508" t="inlineStr">
        <is>
          <t>air::non-urban air or from high stacks</t>
        </is>
      </c>
      <c r="F5508" t="inlineStr">
        <is>
          <t>biosphere</t>
        </is>
      </c>
      <c r="I5508">
        <v>0</v>
      </c>
    </row>
    <row r="5509">
      <c r="A5509" t="inlineStr">
        <is>
          <t>Methane, fossil</t>
        </is>
      </c>
      <c r="B5509">
        <v>1.3562634312581863e-06</v>
      </c>
      <c r="D5509" t="inlineStr">
        <is>
          <t>kilogram</t>
        </is>
      </c>
      <c r="E5509" t="inlineStr">
        <is>
          <t>air::urban air close to ground</t>
        </is>
      </c>
      <c r="F5509" t="inlineStr">
        <is>
          <t>biosphere</t>
        </is>
      </c>
      <c r="I5509">
        <v>0</v>
      </c>
    </row>
    <row r="5510">
      <c r="A5510" t="inlineStr">
        <is>
          <t>NMVOC, non-methane volatile organic compounds</t>
        </is>
      </c>
      <c r="B5510">
        <v>3.6528790310344626e-05</v>
      </c>
      <c r="D5510" t="inlineStr">
        <is>
          <t>kilogram</t>
        </is>
      </c>
      <c r="E5510" t="inlineStr">
        <is>
          <t>air::urban air close to ground</t>
        </is>
      </c>
      <c r="F5510" t="inlineStr">
        <is>
          <t>biosphere</t>
        </is>
      </c>
      <c r="I5510">
        <v>0</v>
      </c>
    </row>
    <row r="5511">
      <c r="A5511" t="inlineStr">
        <is>
          <t>Nitrogen oxides</t>
        </is>
      </c>
      <c r="B5511">
        <v>1.0599559274731076e-05</v>
      </c>
      <c r="D5511" t="inlineStr">
        <is>
          <t>kilogram</t>
        </is>
      </c>
      <c r="E5511" t="inlineStr">
        <is>
          <t>air::urban air close to ground</t>
        </is>
      </c>
      <c r="F5511" t="inlineStr">
        <is>
          <t>biosphere</t>
        </is>
      </c>
      <c r="I5511">
        <v>0</v>
      </c>
    </row>
    <row r="5512">
      <c r="A5512" t="inlineStr">
        <is>
          <t>Carbon monoxide, fossil</t>
        </is>
      </c>
      <c r="B5512">
        <v>0.0001491440623544035</v>
      </c>
      <c r="D5512" t="inlineStr">
        <is>
          <t>kilogram</t>
        </is>
      </c>
      <c r="E5512" t="inlineStr">
        <is>
          <t>air::urban air close to ground</t>
        </is>
      </c>
      <c r="F5512" t="inlineStr">
        <is>
          <t>biosphere</t>
        </is>
      </c>
      <c r="I5512">
        <v>0</v>
      </c>
    </row>
    <row r="5513">
      <c r="A5513" t="inlineStr">
        <is>
          <t>1,1,1,2-Tetrafluoroethane</t>
        </is>
      </c>
      <c r="B5513">
        <v>1.7347996001117329e-06</v>
      </c>
      <c r="D5513" t="inlineStr">
        <is>
          <t>kilogram</t>
        </is>
      </c>
      <c r="E5513" t="inlineStr">
        <is>
          <t>air</t>
        </is>
      </c>
      <c r="F5513" t="inlineStr">
        <is>
          <t>biosphere</t>
        </is>
      </c>
      <c r="I5513">
        <v>0</v>
      </c>
    </row>
    <row r="5514">
      <c r="A5514" t="inlineStr">
        <is>
          <t>Benzene</t>
        </is>
      </c>
      <c r="B5514">
        <v>1.7940791045168867e-06</v>
      </c>
      <c r="D5514" t="inlineStr">
        <is>
          <t>kilogram</t>
        </is>
      </c>
      <c r="E5514" t="inlineStr">
        <is>
          <t>air::urban air close to ground</t>
        </is>
      </c>
      <c r="F5514" t="inlineStr">
        <is>
          <t>biosphere</t>
        </is>
      </c>
      <c r="I5514">
        <v>0</v>
      </c>
    </row>
    <row r="5515">
      <c r="A5515" t="inlineStr">
        <is>
          <t xml:space="preserve">fuel tank assembly, compressed natural gas, 200 bar</t>
        </is>
      </c>
      <c r="B5515">
        <v>0.00017353583134432305</v>
      </c>
      <c r="C5515" t="inlineStr">
        <is>
          <t>RER</t>
        </is>
      </c>
      <c r="D5515" t="inlineStr">
        <is>
          <t>kilogram</t>
        </is>
      </c>
      <c r="F5515" t="inlineStr">
        <is>
          <t>technosphere</t>
        </is>
      </c>
      <c r="G5515" t="inlineStr">
        <is>
          <t xml:space="preserve">fuel tank, compressed natural gas, 200 bar</t>
        </is>
      </c>
      <c r="H5515" t="inlineStr">
        <is>
          <t xml:space="preserve"> Energy-use allocation: 75.02415466308594 * 4.999999873689376e-06 / 2.1616329085074186 MJ per kilometer.
Shared component reuse (2026-10-16): original model supplier 'fuel tank assembly, compressed natural gas, 200 bar, carculator passenger car 2020' uses the existing canonical recipe in lci-trucks.xlsx; its quantities and uncertainty are retained.</t>
        </is>
      </c>
      <c r="I5515">
        <v>0</v>
      </c>
    </row>
    <row r="5516">
      <c r="A5516" t="inlineStr">
        <is>
          <t>market for internal combustion engine, passenger car</t>
        </is>
      </c>
      <c r="B5516">
        <v>0.0006204787197014541</v>
      </c>
      <c r="C5516" t="inlineStr">
        <is>
          <t>GLO</t>
        </is>
      </c>
      <c r="D5516" t="inlineStr">
        <is>
          <t>kilogram</t>
        </is>
      </c>
      <c r="F5516" t="inlineStr">
        <is>
          <t>technosphere</t>
        </is>
      </c>
      <c r="G5516" t="inlineStr">
        <is>
          <t>internal combustion engine, passenger car</t>
        </is>
      </c>
      <c r="H5516" t="inlineStr">
        <is>
          <t> Energy-use allocation: 268.2494506835938 * 4.999999873689376e-06 / 2.1616329085074186 MJ per kilometer.</t>
        </is>
      </c>
      <c r="I5516">
        <v>0</v>
      </c>
    </row>
    <row r="5517">
      <c r="A5517" t="inlineStr">
        <is>
          <t>market for waste plastic, industrial electronics</t>
        </is>
      </c>
      <c r="B5517">
        <v>-0.00017353583134432305</v>
      </c>
      <c r="C5517" t="inlineStr">
        <is>
          <t>CH</t>
        </is>
      </c>
      <c r="D5517" t="inlineStr">
        <is>
          <t>kilogram</t>
        </is>
      </c>
      <c r="F5517" t="inlineStr">
        <is>
          <t>technosphere</t>
        </is>
      </c>
      <c r="G5517" t="inlineStr">
        <is>
          <t>waste plastic, industrial electronics</t>
        </is>
      </c>
      <c r="H5517" t="inlineStr">
        <is>
          <t> Energy-use allocation: -75.02415466308594 * 4.999999873689376e-06 / 2.1616329085074186 MJ per kilometer.</t>
        </is>
      </c>
      <c r="I5517">
        <v>0</v>
      </c>
    </row>
    <row r="5518">
      <c r="A5518" t="inlineStr">
        <is>
          <t>Carbon dioxide, fossil</t>
        </is>
      </c>
      <c r="B5518">
        <v>0.05999999999999999</v>
      </c>
      <c r="D5518" t="inlineStr">
        <is>
          <t>kilogram</t>
        </is>
      </c>
      <c r="E5518" t="inlineStr">
        <is>
          <t>air</t>
        </is>
      </c>
      <c r="F5518" t="inlineStr">
        <is>
          <t>biosphere</t>
        </is>
      </c>
      <c r="H5518" t="inlineStr">
        <is>
          <t>Reference fuel full-oxidation CO2; premise reclassifies fossil/biogenic emissions with its regional blend. Other carbon pollutants remain model defaults (not an elemental closure).</t>
        </is>
      </c>
      <c r="I5518">
        <v>0</v>
      </c>
    </row>
    <row r="5519"/>
    <row r="5520">
      <c r="A5520" t="inlineStr">
        <is>
          <t>Activity</t>
        </is>
      </c>
      <c r="B5520" t="inlineStr">
        <is>
          <t>compressed gas, synthetic, burned in passenger car</t>
        </is>
      </c>
    </row>
    <row r="5521">
      <c r="A5521" t="inlineStr">
        <is>
          <t>location</t>
        </is>
      </c>
      <c r="B5521" t="inlineStr">
        <is>
          <t>RER</t>
        </is>
      </c>
    </row>
    <row r="5522">
      <c r="A5522" t="inlineStr">
        <is>
          <t>production amount</t>
        </is>
      </c>
      <c r="B5522">
        <v>1</v>
      </c>
    </row>
    <row r="5523">
      <c r="A5523" t="inlineStr">
        <is>
          <t>reference product</t>
        </is>
      </c>
      <c r="B5523" t="inlineStr">
        <is>
          <t>heat</t>
        </is>
      </c>
    </row>
    <row r="5524">
      <c r="A5524" t="inlineStr">
        <is>
          <t>type</t>
        </is>
      </c>
      <c r="B5524" t="inlineStr">
        <is>
          <t>process</t>
        </is>
      </c>
    </row>
    <row r="5525">
      <c r="A5525" t="inlineStr">
        <is>
          <t>unit</t>
        </is>
      </c>
      <c r="B5525" t="inlineStr">
        <is>
          <t>megajoule</t>
        </is>
      </c>
    </row>
    <row r="5526">
      <c r="A5526" t="inlineStr">
        <is>
          <t>Power, mean</t>
        </is>
      </c>
      <c r="B5526">
        <v>126</v>
      </c>
    </row>
    <row r="5527">
      <c r="A5527" t="inlineStr">
        <is>
          <t>Power, min</t>
        </is>
      </c>
      <c r="B5527">
        <v>55</v>
      </c>
    </row>
    <row r="5528">
      <c r="A5528" t="inlineStr">
        <is>
          <t>Power, max</t>
        </is>
      </c>
      <c r="B5528">
        <v>160</v>
      </c>
    </row>
    <row r="5529">
      <c r="A5529" t="inlineStr">
        <is>
          <t>Lifetime, mean</t>
        </is>
      </c>
      <c r="B5529">
        <v>200000</v>
      </c>
    </row>
    <row r="5530">
      <c r="A5530" t="inlineStr">
        <is>
          <t>Lifetime, min</t>
        </is>
      </c>
      <c r="B5530">
        <v>160000</v>
      </c>
    </row>
    <row r="5531">
      <c r="A5531" t="inlineStr">
        <is>
          <t>Lifetime, max</t>
        </is>
      </c>
      <c r="B5531">
        <v>250000</v>
      </c>
    </row>
    <row r="5532">
      <c r="A5532" t="inlineStr">
        <is>
          <t>Energy use, mean</t>
        </is>
      </c>
      <c r="B5532">
        <v>2540</v>
      </c>
    </row>
    <row r="5533">
      <c r="A5533" t="inlineStr">
        <is>
          <t>Energy use, min</t>
        </is>
      </c>
      <c r="B5533">
        <v>1660</v>
      </c>
    </row>
    <row r="5534">
      <c r="A5534" t="inlineStr">
        <is>
          <t>Energy use, max</t>
        </is>
      </c>
      <c r="B5534">
        <v>3020</v>
      </c>
    </row>
    <row r="5535">
      <c r="A5535" t="inlineStr">
        <is>
          <t>Electric motor, mean</t>
        </is>
      </c>
      <c r="B5535">
        <v>0</v>
      </c>
    </row>
    <row r="5536">
      <c r="A5536" t="inlineStr">
        <is>
          <t>Electric motor, min</t>
        </is>
      </c>
      <c r="B5536">
        <v>0</v>
      </c>
    </row>
    <row r="5537">
      <c r="A5537" t="inlineStr">
        <is>
          <t>Electric motor, max</t>
        </is>
      </c>
      <c r="B5537">
        <v>0</v>
      </c>
    </row>
    <row r="5538">
      <c r="A5538" t="inlineStr">
        <is>
          <t>Combustion engine, mean</t>
        </is>
      </c>
      <c r="B5538">
        <v>145</v>
      </c>
    </row>
    <row r="5539">
      <c r="A5539" t="inlineStr">
        <is>
          <t>Combustion engine, min</t>
        </is>
      </c>
      <c r="B5539">
        <v>96</v>
      </c>
    </row>
    <row r="5540">
      <c r="A5540" t="inlineStr">
        <is>
          <t>Combustion engine, max</t>
        </is>
      </c>
      <c r="B5540">
        <v>169</v>
      </c>
    </row>
    <row r="5541">
      <c r="A5541" t="inlineStr">
        <is>
          <t>Fuel tank, mean</t>
        </is>
      </c>
      <c r="B5541">
        <v>75</v>
      </c>
    </row>
    <row r="5542">
      <c r="A5542" t="inlineStr">
        <is>
          <t>Fuel tank, min</t>
        </is>
      </c>
      <c r="B5542">
        <v>57</v>
      </c>
    </row>
    <row r="5543">
      <c r="A5543" t="inlineStr">
        <is>
          <t>Fuel tank, max</t>
        </is>
      </c>
      <c r="B5543">
        <v>89</v>
      </c>
    </row>
    <row r="5544">
      <c r="A5544" t="inlineStr">
        <is>
          <t>Battery capacity, mean</t>
        </is>
      </c>
      <c r="B5544">
        <v>0</v>
      </c>
    </row>
    <row r="5545">
      <c r="A5545" t="inlineStr">
        <is>
          <t>Battery capacity, min</t>
        </is>
      </c>
      <c r="B5545">
        <v>0</v>
      </c>
    </row>
    <row r="5546">
      <c r="A5546" t="inlineStr">
        <is>
          <t>Battery capacity, max</t>
        </is>
      </c>
      <c r="B5546">
        <v>0</v>
      </c>
    </row>
    <row r="5547">
      <c r="A5547" t="inlineStr">
        <is>
          <t>Battery replacement, mean</t>
        </is>
      </c>
      <c r="B5547">
        <v>0</v>
      </c>
    </row>
    <row r="5548">
      <c r="A5548" t="inlineStr">
        <is>
          <t>Battery replacement, min</t>
        </is>
      </c>
      <c r="B5548">
        <v>0</v>
      </c>
    </row>
    <row r="5549">
      <c r="A5549" t="inlineStr">
        <is>
          <t>Battery replacement, max</t>
        </is>
      </c>
      <c r="B5549">
        <v>0</v>
      </c>
    </row>
    <row r="5550">
      <c r="A5550" t="inlineStr">
        <is>
          <t>Fuel cell system, mean</t>
        </is>
      </c>
      <c r="B5550">
        <v>0</v>
      </c>
    </row>
    <row r="5551">
      <c r="A5551" t="inlineStr">
        <is>
          <t>Fuel cell system, min</t>
        </is>
      </c>
      <c r="B5551">
        <v>0</v>
      </c>
    </row>
    <row r="5552">
      <c r="A5552" t="inlineStr">
        <is>
          <t>Fuel cell system, max</t>
        </is>
      </c>
      <c r="B5552">
        <v>0</v>
      </c>
    </row>
    <row r="5553">
      <c r="A5553" t="inlineStr">
        <is>
          <t>Fuel cell stack replacement, mean</t>
        </is>
      </c>
      <c r="B5553">
        <v>0</v>
      </c>
    </row>
    <row r="5554">
      <c r="A5554" t="inlineStr">
        <is>
          <t>Fuel cell replacement, min</t>
        </is>
      </c>
      <c r="B5554">
        <v>0</v>
      </c>
    </row>
    <row r="5555">
      <c r="A5555" t="inlineStr">
        <is>
          <t>Fuel cell replacement, max</t>
        </is>
      </c>
      <c r="B5555">
        <v>0</v>
      </c>
    </row>
    <row r="5556">
      <c r="A5556" t="inlineStr">
        <is>
          <t>Onboard charger mass</t>
        </is>
      </c>
      <c r="B5556">
        <v>0</v>
      </c>
    </row>
    <row r="5557">
      <c r="A5557" t="inlineStr">
        <is>
          <t>Controller mass</t>
        </is>
      </c>
      <c r="B5557">
        <v>0</v>
      </c>
    </row>
    <row r="5558">
      <c r="A5558" t="inlineStr">
        <is>
          <t>Converter mass</t>
        </is>
      </c>
      <c r="B5558">
        <v>0</v>
      </c>
    </row>
    <row r="5559">
      <c r="A5559" t="inlineStr">
        <is>
          <t>Electrical powertrain mass</t>
        </is>
      </c>
      <c r="B5559">
        <v>0</v>
      </c>
    </row>
    <row r="5560">
      <c r="A5560" t="inlineStr">
        <is>
          <t>Inverter mass</t>
        </is>
      </c>
      <c r="B5560">
        <v>0</v>
      </c>
    </row>
    <row r="5561">
      <c r="A5561" t="inlineStr">
        <is>
          <t>NOx</t>
        </is>
      </c>
      <c r="B5561">
        <v>0.006443871</v>
      </c>
    </row>
    <row r="5562">
      <c r="A5562" t="inlineStr">
        <is>
          <t>PM 2.5</t>
        </is>
      </c>
      <c r="B5562">
        <v>0.000968063</v>
      </c>
    </row>
    <row r="5563">
      <c r="A5563" t="inlineStr">
        <is>
          <t>energy use source</t>
        </is>
      </c>
      <c r="B5563"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564">
      <c r="A5564" t="inlineStr">
        <is>
          <t>comment</t>
        </is>
      </c>
      <c r="B5564"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565">
      <c r="A5565" t="inlineStr">
        <is>
          <t>Exchanges</t>
        </is>
      </c>
    </row>
    <row r="5566">
      <c r="A5566" t="inlineStr">
        <is>
          <t>name</t>
        </is>
      </c>
      <c r="B5566" t="inlineStr">
        <is>
          <t>amount</t>
        </is>
      </c>
      <c r="C5566" t="inlineStr">
        <is>
          <t>location</t>
        </is>
      </c>
      <c r="D5566" t="inlineStr">
        <is>
          <t>unit</t>
        </is>
      </c>
      <c r="E5566" t="inlineStr">
        <is>
          <t>categories</t>
        </is>
      </c>
      <c r="F5566" t="inlineStr">
        <is>
          <t>type</t>
        </is>
      </c>
      <c r="G5566" t="inlineStr">
        <is>
          <t>reference product</t>
        </is>
      </c>
      <c r="H5566" t="inlineStr">
        <is>
          <t>comment</t>
        </is>
      </c>
      <c r="I5566" t="inlineStr">
        <is>
          <t>uncertainty type</t>
        </is>
      </c>
    </row>
    <row r="5567">
      <c r="A5567" t="inlineStr">
        <is>
          <t>compressed gas, synthetic, burned in passenger car</t>
        </is>
      </c>
      <c r="B5567">
        <v>1.0</v>
      </c>
      <c r="C5567" t="inlineStr">
        <is>
          <t>RER</t>
        </is>
      </c>
      <c r="D5567" t="inlineStr">
        <is>
          <t>megajoule</t>
        </is>
      </c>
      <c r="F5567" t="inlineStr">
        <is>
          <t>production</t>
        </is>
      </c>
      <c r="G5567" t="inlineStr">
        <is>
          <t>heat</t>
        </is>
      </c>
      <c r="I5567">
        <v>0</v>
      </c>
    </row>
    <row r="5568">
      <c r="A5568" t="inlineStr">
        <is>
          <t>methane, from electrochemical methanation, with carbon from atmosphere, using heat pump heat</t>
        </is>
      </c>
      <c r="B5568">
        <v>0.021052631578947368</v>
      </c>
      <c r="C5568" t="inlineStr">
        <is>
          <t>RER</t>
        </is>
      </c>
      <c r="D5568" t="inlineStr">
        <is>
          <t>kilogram</t>
        </is>
      </c>
      <c r="F5568" t="inlineStr">
        <is>
          <t>technosphere</t>
        </is>
      </c>
      <c r="G5568" t="inlineStr">
        <is>
          <t>methane, from electrochemical methanation</t>
        </is>
      </c>
      <c r="I5568">
        <v>0</v>
      </c>
    </row>
    <row r="5569">
      <c r="A5569" t="inlineStr">
        <is>
          <t>treatment of brake wear emissions, passenger car</t>
        </is>
      </c>
      <c r="B5569">
        <v>-6.778061331794415e-06</v>
      </c>
      <c r="C5569" t="inlineStr">
        <is>
          <t>RER</t>
        </is>
      </c>
      <c r="D5569" t="inlineStr">
        <is>
          <t>kilogram</t>
        </is>
      </c>
      <c r="F5569" t="inlineStr">
        <is>
          <t>technosphere</t>
        </is>
      </c>
      <c r="G5569" t="inlineStr">
        <is>
          <t>brake wear emissions, passenger car</t>
        </is>
      </c>
      <c r="I5569">
        <v>0</v>
      </c>
    </row>
    <row r="5570">
      <c r="A5570" t="inlineStr">
        <is>
          <t>treatment of road wear emissions, passenger car</t>
        </is>
      </c>
      <c r="B5570">
        <v>-7.779768914966537e-06</v>
      </c>
      <c r="C5570" t="inlineStr">
        <is>
          <t>RER</t>
        </is>
      </c>
      <c r="D5570" t="inlineStr">
        <is>
          <t>kilogram</t>
        </is>
      </c>
      <c r="F5570" t="inlineStr">
        <is>
          <t>technosphere</t>
        </is>
      </c>
      <c r="G5570" t="inlineStr">
        <is>
          <t>road wear emissions, passenger car</t>
        </is>
      </c>
      <c r="I5570">
        <v>0</v>
      </c>
    </row>
    <row r="5571">
      <c r="A5571" t="inlineStr">
        <is>
          <t>treatment of tyre wear emissions, passenger car</t>
        </is>
      </c>
      <c r="B5571">
        <v>-9.017947831786646e-06</v>
      </c>
      <c r="C5571" t="inlineStr">
        <is>
          <t>RER</t>
        </is>
      </c>
      <c r="D5571" t="inlineStr">
        <is>
          <t>kilogram</t>
        </is>
      </c>
      <c r="F5571" t="inlineStr">
        <is>
          <t>technosphere</t>
        </is>
      </c>
      <c r="G5571" t="inlineStr">
        <is>
          <t>tyre wear emissions, passenger car</t>
        </is>
      </c>
      <c r="I5571">
        <v>0</v>
      </c>
    </row>
    <row r="5572">
      <c r="A5572" t="inlineStr">
        <is>
          <t>market for tetrafluoroethane, R134a</t>
        </is>
      </c>
      <c r="B5572">
        <v>3.0069860156014323e-06</v>
      </c>
      <c r="C5572" t="inlineStr">
        <is>
          <t>GLO</t>
        </is>
      </c>
      <c r="D5572" t="inlineStr">
        <is>
          <t>kilogram</t>
        </is>
      </c>
      <c r="F5572" t="inlineStr">
        <is>
          <t>technosphere</t>
        </is>
      </c>
      <c r="G5572" t="inlineStr">
        <is>
          <t>tetrafluoroethane, R134a</t>
        </is>
      </c>
      <c r="I5572">
        <v>0</v>
      </c>
    </row>
    <row r="5573">
      <c r="A5573" t="inlineStr">
        <is>
          <t>NMVOC, non-methane volatile organic compounds</t>
        </is>
      </c>
      <c r="B5573">
        <v>3.716326596666934e-06</v>
      </c>
      <c r="D5573" t="inlineStr">
        <is>
          <t>kilogram</t>
        </is>
      </c>
      <c r="E5573" t="inlineStr">
        <is>
          <t>air::non-urban air or from high stacks</t>
        </is>
      </c>
      <c r="F5573" t="inlineStr">
        <is>
          <t>biosphere</t>
        </is>
      </c>
      <c r="I5573">
        <v>0</v>
      </c>
    </row>
    <row r="5574">
      <c r="A5574" t="inlineStr">
        <is>
          <t>Nitrogen oxides</t>
        </is>
      </c>
      <c r="B5574">
        <v>3.973486347763085e-06</v>
      </c>
      <c r="D5574" t="inlineStr">
        <is>
          <t>kilogram</t>
        </is>
      </c>
      <c r="E5574" t="inlineStr">
        <is>
          <t>air::non-urban air or from high stacks</t>
        </is>
      </c>
      <c r="F5574" t="inlineStr">
        <is>
          <t>biosphere</t>
        </is>
      </c>
      <c r="I5574">
        <v>0</v>
      </c>
    </row>
    <row r="5575">
      <c r="A5575" t="inlineStr">
        <is>
          <t>Benzene</t>
        </is>
      </c>
      <c r="B5575">
        <v>2.997037832439638e-08</v>
      </c>
      <c r="D5575" t="inlineStr">
        <is>
          <t>kilogram</t>
        </is>
      </c>
      <c r="E5575" t="inlineStr">
        <is>
          <t>air::non-urban air or from high stacks</t>
        </is>
      </c>
      <c r="F5575" t="inlineStr">
        <is>
          <t>biosphere</t>
        </is>
      </c>
      <c r="I5575">
        <v>0</v>
      </c>
    </row>
    <row r="5576">
      <c r="A5576" t="inlineStr">
        <is>
          <t>Methane, fossil</t>
        </is>
      </c>
      <c r="B5576">
        <v>1.3562634312581863e-06</v>
      </c>
      <c r="D5576" t="inlineStr">
        <is>
          <t>kilogram</t>
        </is>
      </c>
      <c r="E5576" t="inlineStr">
        <is>
          <t>air::urban air close to ground</t>
        </is>
      </c>
      <c r="F5576" t="inlineStr">
        <is>
          <t>biosphere</t>
        </is>
      </c>
      <c r="I5576">
        <v>0</v>
      </c>
    </row>
    <row r="5577">
      <c r="A5577" t="inlineStr">
        <is>
          <t>NMVOC, non-methane volatile organic compounds</t>
        </is>
      </c>
      <c r="B5577">
        <v>3.6528790310344626e-05</v>
      </c>
      <c r="D5577" t="inlineStr">
        <is>
          <t>kilogram</t>
        </is>
      </c>
      <c r="E5577" t="inlineStr">
        <is>
          <t>air::urban air close to ground</t>
        </is>
      </c>
      <c r="F5577" t="inlineStr">
        <is>
          <t>biosphere</t>
        </is>
      </c>
      <c r="I5577">
        <v>0</v>
      </c>
    </row>
    <row r="5578">
      <c r="A5578" t="inlineStr">
        <is>
          <t>Nitrogen oxides</t>
        </is>
      </c>
      <c r="B5578">
        <v>1.0599559274731076e-05</v>
      </c>
      <c r="D5578" t="inlineStr">
        <is>
          <t>kilogram</t>
        </is>
      </c>
      <c r="E5578" t="inlineStr">
        <is>
          <t>air::urban air close to ground</t>
        </is>
      </c>
      <c r="F5578" t="inlineStr">
        <is>
          <t>biosphere</t>
        </is>
      </c>
      <c r="I5578">
        <v>0</v>
      </c>
    </row>
    <row r="5579">
      <c r="A5579" t="inlineStr">
        <is>
          <t>Carbon monoxide, fossil</t>
        </is>
      </c>
      <c r="B5579">
        <v>0.0001491440623544035</v>
      </c>
      <c r="D5579" t="inlineStr">
        <is>
          <t>kilogram</t>
        </is>
      </c>
      <c r="E5579" t="inlineStr">
        <is>
          <t>air::urban air close to ground</t>
        </is>
      </c>
      <c r="F5579" t="inlineStr">
        <is>
          <t>biosphere</t>
        </is>
      </c>
      <c r="I5579">
        <v>0</v>
      </c>
    </row>
    <row r="5580">
      <c r="A5580" t="inlineStr">
        <is>
          <t>1,1,1,2-Tetrafluoroethane</t>
        </is>
      </c>
      <c r="B5580">
        <v>1.7347996001117329e-06</v>
      </c>
      <c r="D5580" t="inlineStr">
        <is>
          <t>kilogram</t>
        </is>
      </c>
      <c r="E5580" t="inlineStr">
        <is>
          <t>air</t>
        </is>
      </c>
      <c r="F5580" t="inlineStr">
        <is>
          <t>biosphere</t>
        </is>
      </c>
      <c r="I5580">
        <v>0</v>
      </c>
    </row>
    <row r="5581">
      <c r="A5581" t="inlineStr">
        <is>
          <t>Benzene</t>
        </is>
      </c>
      <c r="B5581">
        <v>1.7940791045168867e-06</v>
      </c>
      <c r="D5581" t="inlineStr">
        <is>
          <t>kilogram</t>
        </is>
      </c>
      <c r="E5581" t="inlineStr">
        <is>
          <t>air::urban air close to ground</t>
        </is>
      </c>
      <c r="F5581" t="inlineStr">
        <is>
          <t>biosphere</t>
        </is>
      </c>
      <c r="I5581">
        <v>0</v>
      </c>
    </row>
    <row r="5582">
      <c r="A5582" t="inlineStr">
        <is>
          <t xml:space="preserve">fuel tank assembly, compressed natural gas, 200 bar</t>
        </is>
      </c>
      <c r="B5582">
        <v>0.00017353583134432305</v>
      </c>
      <c r="C5582" t="inlineStr">
        <is>
          <t>RER</t>
        </is>
      </c>
      <c r="D5582" t="inlineStr">
        <is>
          <t>kilogram</t>
        </is>
      </c>
      <c r="F5582" t="inlineStr">
        <is>
          <t>technosphere</t>
        </is>
      </c>
      <c r="G5582" t="inlineStr">
        <is>
          <t xml:space="preserve">fuel tank, compressed natural gas, 200 bar</t>
        </is>
      </c>
      <c r="H5582" t="inlineStr">
        <is>
          <t xml:space="preserve"> Energy-use allocation: 75.02415466308594 * 4.999999873689376e-06 / 2.1616329085074186 MJ per kilometer.
Shared component reuse (2026-10-16): original model supplier 'fuel tank assembly, compressed natural gas, 200 bar, carculator passenger car 2020' uses the existing canonical recipe in lci-trucks.xlsx; its quantities and uncertainty are retained.</t>
        </is>
      </c>
      <c r="I5582">
        <v>0</v>
      </c>
    </row>
    <row r="5583">
      <c r="A5583" t="inlineStr">
        <is>
          <t>market for internal combustion engine, passenger car</t>
        </is>
      </c>
      <c r="B5583">
        <v>0.0006204787197014541</v>
      </c>
      <c r="C5583" t="inlineStr">
        <is>
          <t>GLO</t>
        </is>
      </c>
      <c r="D5583" t="inlineStr">
        <is>
          <t>kilogram</t>
        </is>
      </c>
      <c r="F5583" t="inlineStr">
        <is>
          <t>technosphere</t>
        </is>
      </c>
      <c r="G5583" t="inlineStr">
        <is>
          <t>internal combustion engine, passenger car</t>
        </is>
      </c>
      <c r="H5583" t="inlineStr">
        <is>
          <t> Energy-use allocation: 268.2494506835938 * 4.999999873689376e-06 / 2.1616329085074186 MJ per kilometer.</t>
        </is>
      </c>
      <c r="I5583">
        <v>0</v>
      </c>
    </row>
    <row r="5584">
      <c r="A5584" t="inlineStr">
        <is>
          <t>market for waste plastic, industrial electronics</t>
        </is>
      </c>
      <c r="B5584">
        <v>-0.00017353583134432305</v>
      </c>
      <c r="C5584" t="inlineStr">
        <is>
          <t>CH</t>
        </is>
      </c>
      <c r="D5584" t="inlineStr">
        <is>
          <t>kilogram</t>
        </is>
      </c>
      <c r="F5584" t="inlineStr">
        <is>
          <t>technosphere</t>
        </is>
      </c>
      <c r="G5584" t="inlineStr">
        <is>
          <t>waste plastic, industrial electronics</t>
        </is>
      </c>
      <c r="H5584" t="inlineStr">
        <is>
          <t> Energy-use allocation: -75.02415466308594 * 4.999999873689376e-06 / 2.1616329085074186 MJ per kilometer.</t>
        </is>
      </c>
      <c r="I5584">
        <v>0</v>
      </c>
    </row>
    <row r="5585">
      <c r="A5585" t="inlineStr">
        <is>
          <t>Carbon dioxide, non-fossil</t>
        </is>
      </c>
      <c r="B5585">
        <v>0.06</v>
      </c>
      <c r="D5585" t="inlineStr">
        <is>
          <t>kilogram</t>
        </is>
      </c>
      <c r="E5585" t="inlineStr">
        <is>
          <t>air::urban air close to ground</t>
        </is>
      </c>
      <c r="F5585" t="inlineStr">
        <is>
          <t>biosphere</t>
        </is>
      </c>
      <c r="I5585">
        <v>0</v>
      </c>
    </row>
    <row r="5586"/>
    <row r="5587">
      <c r="A5587" t="inlineStr">
        <is>
          <t>Activity</t>
        </is>
      </c>
      <c r="B5587" t="inlineStr">
        <is>
          <t>biomethane, burned in passenger car</t>
        </is>
      </c>
    </row>
    <row r="5588">
      <c r="A5588" t="inlineStr">
        <is>
          <t>location</t>
        </is>
      </c>
      <c r="B5588" t="inlineStr">
        <is>
          <t>RER</t>
        </is>
      </c>
    </row>
    <row r="5589">
      <c r="A5589" t="inlineStr">
        <is>
          <t>production amount</t>
        </is>
      </c>
      <c r="B5589">
        <v>1</v>
      </c>
    </row>
    <row r="5590">
      <c r="A5590" t="inlineStr">
        <is>
          <t>reference product</t>
        </is>
      </c>
      <c r="B5590" t="inlineStr">
        <is>
          <t>heat</t>
        </is>
      </c>
    </row>
    <row r="5591">
      <c r="A5591" t="inlineStr">
        <is>
          <t>type</t>
        </is>
      </c>
      <c r="B5591" t="inlineStr">
        <is>
          <t>process</t>
        </is>
      </c>
    </row>
    <row r="5592">
      <c r="A5592" t="inlineStr">
        <is>
          <t>unit</t>
        </is>
      </c>
      <c r="B5592" t="inlineStr">
        <is>
          <t>megajoule</t>
        </is>
      </c>
    </row>
    <row r="5593">
      <c r="A5593" t="inlineStr">
        <is>
          <t>Power, mean</t>
        </is>
      </c>
      <c r="B5593">
        <v>126</v>
      </c>
    </row>
    <row r="5594">
      <c r="A5594" t="inlineStr">
        <is>
          <t>Power, min</t>
        </is>
      </c>
      <c r="B5594">
        <v>55</v>
      </c>
    </row>
    <row r="5595">
      <c r="A5595" t="inlineStr">
        <is>
          <t>Power, max</t>
        </is>
      </c>
      <c r="B5595">
        <v>160</v>
      </c>
    </row>
    <row r="5596">
      <c r="A5596" t="inlineStr">
        <is>
          <t>Lifetime, mean</t>
        </is>
      </c>
      <c r="B5596">
        <v>200000</v>
      </c>
    </row>
    <row r="5597">
      <c r="A5597" t="inlineStr">
        <is>
          <t>Lifetime, min</t>
        </is>
      </c>
      <c r="B5597">
        <v>160000</v>
      </c>
    </row>
    <row r="5598">
      <c r="A5598" t="inlineStr">
        <is>
          <t>Lifetime, max</t>
        </is>
      </c>
      <c r="B5598">
        <v>250000</v>
      </c>
    </row>
    <row r="5599">
      <c r="A5599" t="inlineStr">
        <is>
          <t>Energy use, mean</t>
        </is>
      </c>
      <c r="B5599">
        <v>2540</v>
      </c>
    </row>
    <row r="5600">
      <c r="A5600" t="inlineStr">
        <is>
          <t>Energy use, min</t>
        </is>
      </c>
      <c r="B5600">
        <v>1660</v>
      </c>
    </row>
    <row r="5601">
      <c r="A5601" t="inlineStr">
        <is>
          <t>Energy use, max</t>
        </is>
      </c>
      <c r="B5601">
        <v>3020</v>
      </c>
    </row>
    <row r="5602">
      <c r="A5602" t="inlineStr">
        <is>
          <t>Electric motor, mean</t>
        </is>
      </c>
      <c r="B5602">
        <v>0</v>
      </c>
    </row>
    <row r="5603">
      <c r="A5603" t="inlineStr">
        <is>
          <t>Electric motor, min</t>
        </is>
      </c>
      <c r="B5603">
        <v>0</v>
      </c>
    </row>
    <row r="5604">
      <c r="A5604" t="inlineStr">
        <is>
          <t>Electric motor, max</t>
        </is>
      </c>
      <c r="B5604">
        <v>0</v>
      </c>
    </row>
    <row r="5605">
      <c r="A5605" t="inlineStr">
        <is>
          <t>Combustion engine, mean</t>
        </is>
      </c>
      <c r="B5605">
        <v>145</v>
      </c>
    </row>
    <row r="5606">
      <c r="A5606" t="inlineStr">
        <is>
          <t>Combustion engine, min</t>
        </is>
      </c>
      <c r="B5606">
        <v>96</v>
      </c>
    </row>
    <row r="5607">
      <c r="A5607" t="inlineStr">
        <is>
          <t>Combustion engine, max</t>
        </is>
      </c>
      <c r="B5607">
        <v>169</v>
      </c>
    </row>
    <row r="5608">
      <c r="A5608" t="inlineStr">
        <is>
          <t>Fuel tank, mean</t>
        </is>
      </c>
      <c r="B5608">
        <v>75</v>
      </c>
    </row>
    <row r="5609">
      <c r="A5609" t="inlineStr">
        <is>
          <t>Fuel tank, min</t>
        </is>
      </c>
      <c r="B5609">
        <v>57</v>
      </c>
    </row>
    <row r="5610">
      <c r="A5610" t="inlineStr">
        <is>
          <t>Fuel tank, max</t>
        </is>
      </c>
      <c r="B5610">
        <v>89</v>
      </c>
    </row>
    <row r="5611">
      <c r="A5611" t="inlineStr">
        <is>
          <t>Battery capacity, mean</t>
        </is>
      </c>
      <c r="B5611">
        <v>0</v>
      </c>
    </row>
    <row r="5612">
      <c r="A5612" t="inlineStr">
        <is>
          <t>Battery capacity, min</t>
        </is>
      </c>
      <c r="B5612">
        <v>0</v>
      </c>
    </row>
    <row r="5613">
      <c r="A5613" t="inlineStr">
        <is>
          <t>Battery capacity, max</t>
        </is>
      </c>
      <c r="B5613">
        <v>0</v>
      </c>
    </row>
    <row r="5614">
      <c r="A5614" t="inlineStr">
        <is>
          <t>Battery replacement, mean</t>
        </is>
      </c>
      <c r="B5614">
        <v>0</v>
      </c>
    </row>
    <row r="5615">
      <c r="A5615" t="inlineStr">
        <is>
          <t>Battery replacement, min</t>
        </is>
      </c>
      <c r="B5615">
        <v>0</v>
      </c>
    </row>
    <row r="5616">
      <c r="A5616" t="inlineStr">
        <is>
          <t>Battery replacement, max</t>
        </is>
      </c>
      <c r="B5616">
        <v>0</v>
      </c>
    </row>
    <row r="5617">
      <c r="A5617" t="inlineStr">
        <is>
          <t>Fuel cell system, mean</t>
        </is>
      </c>
      <c r="B5617">
        <v>0</v>
      </c>
    </row>
    <row r="5618">
      <c r="A5618" t="inlineStr">
        <is>
          <t>Fuel cell system, min</t>
        </is>
      </c>
      <c r="B5618">
        <v>0</v>
      </c>
    </row>
    <row r="5619">
      <c r="A5619" t="inlineStr">
        <is>
          <t>Fuel cell system, max</t>
        </is>
      </c>
      <c r="B5619">
        <v>0</v>
      </c>
    </row>
    <row r="5620">
      <c r="A5620" t="inlineStr">
        <is>
          <t>Fuel cell stack replacement, mean</t>
        </is>
      </c>
      <c r="B5620">
        <v>0</v>
      </c>
    </row>
    <row r="5621">
      <c r="A5621" t="inlineStr">
        <is>
          <t>Fuel cell replacement, min</t>
        </is>
      </c>
      <c r="B5621">
        <v>0</v>
      </c>
    </row>
    <row r="5622">
      <c r="A5622" t="inlineStr">
        <is>
          <t>Fuel cell replacement, max</t>
        </is>
      </c>
      <c r="B5622">
        <v>0</v>
      </c>
    </row>
    <row r="5623">
      <c r="A5623" t="inlineStr">
        <is>
          <t>Onboard charger mass</t>
        </is>
      </c>
      <c r="B5623">
        <v>0</v>
      </c>
    </row>
    <row r="5624">
      <c r="A5624" t="inlineStr">
        <is>
          <t>Controller mass</t>
        </is>
      </c>
      <c r="B5624">
        <v>0</v>
      </c>
    </row>
    <row r="5625">
      <c r="A5625" t="inlineStr">
        <is>
          <t>Converter mass</t>
        </is>
      </c>
      <c r="B5625">
        <v>0</v>
      </c>
    </row>
    <row r="5626">
      <c r="A5626" t="inlineStr">
        <is>
          <t>Electrical powertrain mass</t>
        </is>
      </c>
      <c r="B5626">
        <v>0</v>
      </c>
    </row>
    <row r="5627">
      <c r="A5627" t="inlineStr">
        <is>
          <t>Inverter mass</t>
        </is>
      </c>
      <c r="B5627">
        <v>0</v>
      </c>
    </row>
    <row r="5628">
      <c r="A5628" t="inlineStr">
        <is>
          <t>NOx</t>
        </is>
      </c>
      <c r="B5628">
        <v>0.006443871</v>
      </c>
    </row>
    <row r="5629">
      <c r="A5629" t="inlineStr">
        <is>
          <t>PM 2.5</t>
        </is>
      </c>
      <c r="B5629">
        <v>0.000968063</v>
      </c>
    </row>
    <row r="5630">
      <c r="A5630" t="inlineStr">
        <is>
          <t>energy use source</t>
        </is>
      </c>
      <c r="B5630"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631">
      <c r="A5631" t="inlineStr">
        <is>
          <t>comment</t>
        </is>
      </c>
      <c r="B5631"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632">
      <c r="A5632" t="inlineStr">
        <is>
          <t>Exchanges</t>
        </is>
      </c>
    </row>
    <row r="5633">
      <c r="A5633" t="inlineStr">
        <is>
          <t>name</t>
        </is>
      </c>
      <c r="B5633" t="inlineStr">
        <is>
          <t>amount</t>
        </is>
      </c>
      <c r="C5633" t="inlineStr">
        <is>
          <t>location</t>
        </is>
      </c>
      <c r="D5633" t="inlineStr">
        <is>
          <t>unit</t>
        </is>
      </c>
      <c r="E5633" t="inlineStr">
        <is>
          <t>categories</t>
        </is>
      </c>
      <c r="F5633" t="inlineStr">
        <is>
          <t>type</t>
        </is>
      </c>
      <c r="G5633" t="inlineStr">
        <is>
          <t>reference product</t>
        </is>
      </c>
      <c r="H5633" t="inlineStr">
        <is>
          <t>comment</t>
        </is>
      </c>
      <c r="I5633" t="inlineStr">
        <is>
          <t>uncertainty type</t>
        </is>
      </c>
    </row>
    <row r="5634">
      <c r="A5634" t="inlineStr">
        <is>
          <t>biomethane, burned in passenger car</t>
        </is>
      </c>
      <c r="B5634">
        <v>1.0</v>
      </c>
      <c r="C5634" t="inlineStr">
        <is>
          <t>RER</t>
        </is>
      </c>
      <c r="D5634" t="inlineStr">
        <is>
          <t>megajoule</t>
        </is>
      </c>
      <c r="F5634" t="inlineStr">
        <is>
          <t>production</t>
        </is>
      </c>
      <c r="G5634" t="inlineStr">
        <is>
          <t>heat</t>
        </is>
      </c>
      <c r="I5634">
        <v>0</v>
      </c>
    </row>
    <row r="5635">
      <c r="A5635" t="inlineStr">
        <is>
          <t>biomethane, gaseous, 5 bar, from sewage sludge fermentation, at fuelling station</t>
        </is>
      </c>
      <c r="B5635">
        <v>0.021052631578947368</v>
      </c>
      <c r="C5635" t="inlineStr">
        <is>
          <t>RER</t>
        </is>
      </c>
      <c r="D5635" t="inlineStr">
        <is>
          <t>kilogram</t>
        </is>
      </c>
      <c r="F5635" t="inlineStr">
        <is>
          <t>technosphere</t>
        </is>
      </c>
      <c r="G5635" t="inlineStr">
        <is>
          <t>biomethane, high pressure</t>
        </is>
      </c>
      <c r="I5635">
        <v>0</v>
      </c>
    </row>
    <row r="5636">
      <c r="A5636" t="inlineStr">
        <is>
          <t>treatment of brake wear emissions, passenger car</t>
        </is>
      </c>
      <c r="B5636">
        <v>-6.778061331794415e-06</v>
      </c>
      <c r="C5636" t="inlineStr">
        <is>
          <t>RER</t>
        </is>
      </c>
      <c r="D5636" t="inlineStr">
        <is>
          <t>kilogram</t>
        </is>
      </c>
      <c r="F5636" t="inlineStr">
        <is>
          <t>technosphere</t>
        </is>
      </c>
      <c r="G5636" t="inlineStr">
        <is>
          <t>brake wear emissions, passenger car</t>
        </is>
      </c>
      <c r="I5636">
        <v>0</v>
      </c>
    </row>
    <row r="5637">
      <c r="A5637" t="inlineStr">
        <is>
          <t>treatment of road wear emissions, passenger car</t>
        </is>
      </c>
      <c r="B5637">
        <v>-7.779768914966537e-06</v>
      </c>
      <c r="C5637" t="inlineStr">
        <is>
          <t>RER</t>
        </is>
      </c>
      <c r="D5637" t="inlineStr">
        <is>
          <t>kilogram</t>
        </is>
      </c>
      <c r="F5637" t="inlineStr">
        <is>
          <t>technosphere</t>
        </is>
      </c>
      <c r="G5637" t="inlineStr">
        <is>
          <t>road wear emissions, passenger car</t>
        </is>
      </c>
      <c r="I5637">
        <v>0</v>
      </c>
    </row>
    <row r="5638">
      <c r="A5638" t="inlineStr">
        <is>
          <t>treatment of tyre wear emissions, passenger car</t>
        </is>
      </c>
      <c r="B5638">
        <v>-9.017947831786646e-06</v>
      </c>
      <c r="C5638" t="inlineStr">
        <is>
          <t>RER</t>
        </is>
      </c>
      <c r="D5638" t="inlineStr">
        <is>
          <t>kilogram</t>
        </is>
      </c>
      <c r="F5638" t="inlineStr">
        <is>
          <t>technosphere</t>
        </is>
      </c>
      <c r="G5638" t="inlineStr">
        <is>
          <t>tyre wear emissions, passenger car</t>
        </is>
      </c>
      <c r="I5638">
        <v>0</v>
      </c>
    </row>
    <row r="5639">
      <c r="A5639" t="inlineStr">
        <is>
          <t>market for tetrafluoroethane, R134a</t>
        </is>
      </c>
      <c r="B5639">
        <v>3.0069860156014323e-06</v>
      </c>
      <c r="C5639" t="inlineStr">
        <is>
          <t>GLO</t>
        </is>
      </c>
      <c r="D5639" t="inlineStr">
        <is>
          <t>kilogram</t>
        </is>
      </c>
      <c r="F5639" t="inlineStr">
        <is>
          <t>technosphere</t>
        </is>
      </c>
      <c r="G5639" t="inlineStr">
        <is>
          <t>tetrafluoroethane, R134a</t>
        </is>
      </c>
      <c r="I5639">
        <v>0</v>
      </c>
    </row>
    <row r="5640">
      <c r="A5640" t="inlineStr">
        <is>
          <t>NMVOC, non-methane volatile organic compounds</t>
        </is>
      </c>
      <c r="B5640">
        <v>3.716326596666934e-06</v>
      </c>
      <c r="D5640" t="inlineStr">
        <is>
          <t>kilogram</t>
        </is>
      </c>
      <c r="E5640" t="inlineStr">
        <is>
          <t>air::non-urban air or from high stacks</t>
        </is>
      </c>
      <c r="F5640" t="inlineStr">
        <is>
          <t>biosphere</t>
        </is>
      </c>
      <c r="I5640">
        <v>0</v>
      </c>
    </row>
    <row r="5641">
      <c r="A5641" t="inlineStr">
        <is>
          <t>Nitrogen oxides</t>
        </is>
      </c>
      <c r="B5641">
        <v>3.973486347763085e-06</v>
      </c>
      <c r="D5641" t="inlineStr">
        <is>
          <t>kilogram</t>
        </is>
      </c>
      <c r="E5641" t="inlineStr">
        <is>
          <t>air::non-urban air or from high stacks</t>
        </is>
      </c>
      <c r="F5641" t="inlineStr">
        <is>
          <t>biosphere</t>
        </is>
      </c>
      <c r="I5641">
        <v>0</v>
      </c>
    </row>
    <row r="5642">
      <c r="A5642" t="inlineStr">
        <is>
          <t>Benzene</t>
        </is>
      </c>
      <c r="B5642">
        <v>2.997037832439638e-08</v>
      </c>
      <c r="D5642" t="inlineStr">
        <is>
          <t>kilogram</t>
        </is>
      </c>
      <c r="E5642" t="inlineStr">
        <is>
          <t>air::non-urban air or from high stacks</t>
        </is>
      </c>
      <c r="F5642" t="inlineStr">
        <is>
          <t>biosphere</t>
        </is>
      </c>
      <c r="I5642">
        <v>0</v>
      </c>
    </row>
    <row r="5643">
      <c r="A5643" t="inlineStr">
        <is>
          <t>Methane, fossil</t>
        </is>
      </c>
      <c r="B5643">
        <v>1.3562634312581863e-06</v>
      </c>
      <c r="D5643" t="inlineStr">
        <is>
          <t>kilogram</t>
        </is>
      </c>
      <c r="E5643" t="inlineStr">
        <is>
          <t>air::urban air close to ground</t>
        </is>
      </c>
      <c r="F5643" t="inlineStr">
        <is>
          <t>biosphere</t>
        </is>
      </c>
      <c r="I5643">
        <v>0</v>
      </c>
    </row>
    <row r="5644">
      <c r="A5644" t="inlineStr">
        <is>
          <t>NMVOC, non-methane volatile organic compounds</t>
        </is>
      </c>
      <c r="B5644">
        <v>3.6528790310344626e-05</v>
      </c>
      <c r="D5644" t="inlineStr">
        <is>
          <t>kilogram</t>
        </is>
      </c>
      <c r="E5644" t="inlineStr">
        <is>
          <t>air::urban air close to ground</t>
        </is>
      </c>
      <c r="F5644" t="inlineStr">
        <is>
          <t>biosphere</t>
        </is>
      </c>
      <c r="I5644">
        <v>0</v>
      </c>
    </row>
    <row r="5645">
      <c r="A5645" t="inlineStr">
        <is>
          <t>Nitrogen oxides</t>
        </is>
      </c>
      <c r="B5645">
        <v>1.0599559274731076e-05</v>
      </c>
      <c r="D5645" t="inlineStr">
        <is>
          <t>kilogram</t>
        </is>
      </c>
      <c r="E5645" t="inlineStr">
        <is>
          <t>air::urban air close to ground</t>
        </is>
      </c>
      <c r="F5645" t="inlineStr">
        <is>
          <t>biosphere</t>
        </is>
      </c>
      <c r="I5645">
        <v>0</v>
      </c>
    </row>
    <row r="5646">
      <c r="A5646" t="inlineStr">
        <is>
          <t>Carbon monoxide, fossil</t>
        </is>
      </c>
      <c r="B5646">
        <v>0.0001491440623544035</v>
      </c>
      <c r="D5646" t="inlineStr">
        <is>
          <t>kilogram</t>
        </is>
      </c>
      <c r="E5646" t="inlineStr">
        <is>
          <t>air::urban air close to ground</t>
        </is>
      </c>
      <c r="F5646" t="inlineStr">
        <is>
          <t>biosphere</t>
        </is>
      </c>
      <c r="I5646">
        <v>0</v>
      </c>
    </row>
    <row r="5647">
      <c r="A5647" t="inlineStr">
        <is>
          <t>1,1,1,2-Tetrafluoroethane</t>
        </is>
      </c>
      <c r="B5647">
        <v>1.7347996001117329e-06</v>
      </c>
      <c r="D5647" t="inlineStr">
        <is>
          <t>kilogram</t>
        </is>
      </c>
      <c r="E5647" t="inlineStr">
        <is>
          <t>air</t>
        </is>
      </c>
      <c r="F5647" t="inlineStr">
        <is>
          <t>biosphere</t>
        </is>
      </c>
      <c r="I5647">
        <v>0</v>
      </c>
    </row>
    <row r="5648">
      <c r="A5648" t="inlineStr">
        <is>
          <t>Benzene</t>
        </is>
      </c>
      <c r="B5648">
        <v>1.7940791045168867e-06</v>
      </c>
      <c r="D5648" t="inlineStr">
        <is>
          <t>kilogram</t>
        </is>
      </c>
      <c r="E5648" t="inlineStr">
        <is>
          <t>air::urban air close to ground</t>
        </is>
      </c>
      <c r="F5648" t="inlineStr">
        <is>
          <t>biosphere</t>
        </is>
      </c>
      <c r="I5648">
        <v>0</v>
      </c>
    </row>
    <row r="5649">
      <c r="A5649" t="inlineStr">
        <is>
          <t xml:space="preserve">fuel tank assembly, compressed natural gas, 200 bar</t>
        </is>
      </c>
      <c r="B5649">
        <v>0.00017353583134432305</v>
      </c>
      <c r="C5649" t="inlineStr">
        <is>
          <t>RER</t>
        </is>
      </c>
      <c r="D5649" t="inlineStr">
        <is>
          <t>kilogram</t>
        </is>
      </c>
      <c r="F5649" t="inlineStr">
        <is>
          <t>technosphere</t>
        </is>
      </c>
      <c r="G5649" t="inlineStr">
        <is>
          <t xml:space="preserve">fuel tank, compressed natural gas, 200 bar</t>
        </is>
      </c>
      <c r="H5649" t="inlineStr">
        <is>
          <t xml:space="preserve"> Energy-use allocation: 75.02415466308594 * 4.999999873689376e-06 / 2.1616329085074186 MJ per kilometer.
Shared component reuse (2026-10-16): original model supplier 'fuel tank assembly, compressed natural gas, 200 bar, carculator passenger car 2020' uses the existing canonical recipe in lci-trucks.xlsx; its quantities and uncertainty are retained.</t>
        </is>
      </c>
      <c r="I5649">
        <v>0</v>
      </c>
    </row>
    <row r="5650">
      <c r="A5650" t="inlineStr">
        <is>
          <t>market for internal combustion engine, passenger car</t>
        </is>
      </c>
      <c r="B5650">
        <v>0.0006204787197014541</v>
      </c>
      <c r="C5650" t="inlineStr">
        <is>
          <t>GLO</t>
        </is>
      </c>
      <c r="D5650" t="inlineStr">
        <is>
          <t>kilogram</t>
        </is>
      </c>
      <c r="F5650" t="inlineStr">
        <is>
          <t>technosphere</t>
        </is>
      </c>
      <c r="G5650" t="inlineStr">
        <is>
          <t>internal combustion engine, passenger car</t>
        </is>
      </c>
      <c r="H5650" t="inlineStr">
        <is>
          <t> Energy-use allocation: 268.2494506835938 * 4.999999873689376e-06 / 2.1616329085074186 MJ per kilometer.</t>
        </is>
      </c>
      <c r="I5650">
        <v>0</v>
      </c>
    </row>
    <row r="5651">
      <c r="A5651" t="inlineStr">
        <is>
          <t>market for waste plastic, industrial electronics</t>
        </is>
      </c>
      <c r="B5651">
        <v>-0.00017353583134432305</v>
      </c>
      <c r="C5651" t="inlineStr">
        <is>
          <t>CH</t>
        </is>
      </c>
      <c r="D5651" t="inlineStr">
        <is>
          <t>kilogram</t>
        </is>
      </c>
      <c r="F5651" t="inlineStr">
        <is>
          <t>technosphere</t>
        </is>
      </c>
      <c r="G5651" t="inlineStr">
        <is>
          <t>waste plastic, industrial electronics</t>
        </is>
      </c>
      <c r="H5651" t="inlineStr">
        <is>
          <t> Energy-use allocation: -75.02415466308594 * 4.999999873689376e-06 / 2.1616329085074186 MJ per kilometer.</t>
        </is>
      </c>
      <c r="I5651">
        <v>0</v>
      </c>
    </row>
    <row r="5652">
      <c r="A5652" t="inlineStr">
        <is>
          <t>Carbon dioxide, non-fossil</t>
        </is>
      </c>
      <c r="B5652">
        <v>0.06</v>
      </c>
      <c r="D5652" t="inlineStr">
        <is>
          <t>kilogram</t>
        </is>
      </c>
      <c r="E5652" t="inlineStr">
        <is>
          <t>air::urban air close to ground</t>
        </is>
      </c>
      <c r="F5652" t="inlineStr">
        <is>
          <t>biosphere</t>
        </is>
      </c>
      <c r="I5652">
        <v>0</v>
      </c>
    </row>
    <row r="5653"/>
    <row r="5654" spans="1:12" ns3:dyDescent="0.2">
      <c r="A5654" s="17" t="s">
        <v>2</v>
      </c>
      <c r="B5654" s="17" t="s">
        <v>281</v>
      </c>
    </row>
    <row r="5655" spans="1:12" customFormat="1" ht="16" ns3:dyDescent="0.2">
      <c r="A5655" s="2" t="s">
        <v>3</v>
      </c>
      <c r="B5655" s="2" t="s">
        <v>18</v>
      </c>
      <c r="C5655" s="2"/>
      <c r="D5655" s="2"/>
      <c r="E5655" s="2"/>
      <c r="F5655" s="2"/>
      <c r="G5655" s="2"/>
      <c r="H5655" s="2"/>
      <c r="I5655" s="2"/>
      <c r="J5655" s="2"/>
      <c r="K5655" s="2"/>
      <c r="L5655" s="2"/>
    </row>
    <row r="5656" spans="1:12" customFormat="1" ht="16" ns3:dyDescent="0.2">
      <c r="A5656" s="2" t="s">
        <v>4</v>
      </c>
      <c r="B5656" s="2">
        <v>1</v>
      </c>
      <c r="C5656" s="2"/>
      <c r="D5656" s="2"/>
      <c r="E5656" s="2"/>
      <c r="F5656" s="2"/>
      <c r="G5656" s="2"/>
      <c r="H5656" s="2"/>
      <c r="I5656" s="2"/>
      <c r="J5656" s="2"/>
      <c r="K5656" s="2"/>
      <c r="L5656" s="2"/>
    </row>
    <row r="5657" spans="1:12" customFormat="1" ht="16" ns3:dyDescent="0.2">
      <c r="A5657" s="2" t="s">
        <v>5</v>
      </c>
      <c r="B5657" s="2" t="s">
        <v>1</v>
      </c>
      <c r="C5657" s="2"/>
      <c r="D5657" s="2"/>
      <c r="E5657" s="2"/>
      <c r="F5657" s="2"/>
      <c r="G5657" s="2"/>
      <c r="H5657" s="2"/>
      <c r="I5657" s="2"/>
      <c r="J5657" s="2"/>
    </row>
    <row r="5658" spans="1:12" customFormat="1" ht="16" ns3:dyDescent="0.2">
      <c r="A5658" s="2" t="s">
        <v>6</v>
      </c>
      <c r="B5658" s="2" t="s">
        <v>7</v>
      </c>
      <c r="C5658" s="2"/>
      <c r="D5658" s="2"/>
      <c r="E5658" s="2"/>
      <c r="F5658" s="2"/>
      <c r="G5658" s="2"/>
      <c r="H5658" s="2"/>
      <c r="I5658" s="2"/>
      <c r="J5658" s="2"/>
      <c r="K5658" s="2"/>
      <c r="L5658" s="2"/>
    </row>
    <row r="5659" spans="1:12" customFormat="1" ht="16" ns3:dyDescent="0.2">
      <c r="A5659" s="2" t="s">
        <v>8</v>
      </c>
      <c r="B5659" s="2" t="s">
        <v>17</v>
      </c>
      <c r="C5659" s="2"/>
      <c r="D5659" s="2"/>
      <c r="E5659" s="2"/>
      <c r="F5659" s="2"/>
      <c r="G5659" s="2"/>
      <c r="H5659" s="2"/>
      <c r="I5659" s="2"/>
      <c r="J5659" s="2"/>
      <c r="K5659" s="2"/>
      <c r="L5659" s="2"/>
    </row>
    <row r="5660" spans="1:12" customFormat="1" ht="16" ns3:dyDescent="0.2">
      <c r="A5660" s="1" t="s">
        <v>10</v>
      </c>
      <c r="B5660" s="2"/>
      <c r="C5660" s="2"/>
      <c r="D5660" s="2"/>
      <c r="E5660" s="2"/>
      <c r="F5660" s="2"/>
      <c r="G5660" s="2"/>
      <c r="H5660" s="2"/>
      <c r="I5660" s="2"/>
      <c r="J5660" s="2"/>
      <c r="K5660" s="2"/>
      <c r="L5660" s="2"/>
    </row>
    <row r="5661" spans="1:12" ns3:dyDescent="0.2">
      <c r="A5661" s="17" t="s">
        <v>11</v>
      </c>
      <c r="B5661" s="17" t="s">
        <v>12</v>
      </c>
      <c r="C5661" s="17" t="s">
        <v>3</v>
      </c>
      <c r="D5661" s="17" t="s">
        <v>13</v>
      </c>
      <c r="E5661" s="17" t="s">
        <v>8</v>
      </c>
      <c r="F5661" s="17" t="s">
        <v>6</v>
      </c>
      <c r="G5661" s="17" t="s">
        <v>5</v>
      </c>
    </row>
    <row r="5662" spans="1:12" customFormat="1" ht="16" ns3:dyDescent="0.2">
      <c r="A5662" s="2" t="str">
        <f>B5654</f>
        <v>diesel, synthetic, burned in diesel-electric generating set, 10MW</v>
      </c>
      <c r="B5662" s="2">
        <v>1</v>
      </c>
      <c r="C5662" s="2" t="str">
        <f>B5655</f>
        <v>RER</v>
      </c>
      <c r="D5662" s="2"/>
      <c r="E5662" s="2" t="str">
        <f>B5659</f>
        <v>megajoule</v>
      </c>
      <c r="F5662" s="2" t="s">
        <v>19</v>
      </c>
      <c r="G5662" s="2" t="s">
        <v>1</v>
      </c>
      <c r="H5662" s="2"/>
      <c r="I5662" s="2"/>
      <c r="J5662" s="2"/>
      <c r="K5662" s="2"/>
      <c r="L5662" s="2"/>
    </row>
    <row r="5663" spans="1:12" customFormat="1" ht="16" ns3:dyDescent="0.2">
      <c r="A5663" t="s">
        <v>501</v>
      </c>
      <c r="B5663">
        <v>2.3400000000000001E-2</v>
      </c>
      <c r="C5663" t="s">
        <v>18</v>
      </c>
      <c r="E5663" t="s">
        <v>9</v>
      </c>
      <c r="F5663" t="s">
        <v>23</v>
      </c>
      <c r="G5663" t="s">
        <v>273</v>
      </c>
      <c r="H5663" s="2"/>
      <c r="I5663" s="2"/>
      <c r="J5663" s="2"/>
      <c r="K5663" s="2"/>
    </row>
    <row r="5664" spans="1:12" customFormat="1" ht="16" ns3:dyDescent="0.2">
      <c r="A5664" t="s">
        <v>283</v>
      </c>
      <c r="B5664" s="3">
        <v>1.8500000000000001E-10</v>
      </c>
      <c r="C5664" t="s">
        <v>114</v>
      </c>
      <c r="E5664" t="s">
        <v>8</v>
      </c>
      <c r="F5664" t="s">
        <v>23</v>
      </c>
      <c r="G5664" t="s">
        <v>282</v>
      </c>
      <c r="H5664" s="2"/>
      <c r="I5664" s="2"/>
      <c r="J5664" s="2"/>
      <c r="K5664" s="2"/>
    </row>
    <row r="5665" spans="1:12" customFormat="1" ht="16" ns3:dyDescent="0.2">
      <c r="A5665" t="s">
        <v>285</v>
      </c>
      <c r="B5665" s="3">
        <v>6.7000000000000002E-5</v>
      </c>
      <c r="C5665" t="s">
        <v>127</v>
      </c>
      <c r="E5665" t="s">
        <v>9</v>
      </c>
      <c r="F5665" t="s">
        <v>23</v>
      </c>
      <c r="G5665" t="s">
        <v>284</v>
      </c>
      <c r="H5665" s="2"/>
      <c r="I5665" s="2"/>
      <c r="J5665" s="2"/>
      <c r="K5665" s="2"/>
    </row>
    <row r="5666" spans="1:12" customFormat="1" ht="16" ns3:dyDescent="0.2">
      <c r="A5666" t="s">
        <v>287</v>
      </c>
      <c r="B5666" s="3">
        <v>-6.7000000000000002E-5</v>
      </c>
      <c r="C5666" t="s">
        <v>22</v>
      </c>
      <c r="E5666" t="s">
        <v>9</v>
      </c>
      <c r="F5666" t="s">
        <v>23</v>
      </c>
      <c r="G5666" t="s">
        <v>286</v>
      </c>
      <c r="H5666" s="2"/>
      <c r="I5666" s="2"/>
      <c r="J5666" s="2"/>
      <c r="K5666" s="2"/>
    </row>
    <row r="5667" spans="1:12" customFormat="1" ht="16" ns3:dyDescent="0.2">
      <c r="A5667" t="s">
        <v>50</v>
      </c>
      <c r="B5667" s="3">
        <v>2E-8</v>
      </c>
      <c r="D5667" t="s">
        <v>100</v>
      </c>
      <c r="E5667" t="s">
        <v>9</v>
      </c>
      <c r="F5667" t="s">
        <v>15</v>
      </c>
      <c r="H5667" s="2"/>
      <c r="I5667" s="2"/>
      <c r="J5667" s="2"/>
      <c r="K5667" s="2"/>
    </row>
    <row r="5668" spans="1:11" customFormat="1" ht="16" ns3:dyDescent="0.2">
      <c r="A5668" t="s">
        <v>288</v>
      </c>
      <c r="B5668" s="3">
        <v>1E-10</v>
      </c>
      <c r="D5668" t="s">
        <v>100</v>
      </c>
      <c r="E5668" t="s">
        <v>9</v>
      </c>
      <c r="F5668" t="s">
        <v>15</v>
      </c>
      <c r="H5668" s="2"/>
      <c r="I5668" s="2"/>
      <c r="J5668" s="2"/>
      <c r="K5668" s="2"/>
    </row>
    <row r="5669" spans="1:11" customFormat="1" ht="16" ns3:dyDescent="0.2">
      <c r="A5669" t="s">
        <v>52</v>
      </c>
      <c r="B5669" s="3">
        <v>2.3400000000000002E-10</v>
      </c>
      <c r="D5669" t="s">
        <v>100</v>
      </c>
      <c r="E5669" t="s">
        <v>9</v>
      </c>
      <c r="F5669" t="s">
        <v>15</v>
      </c>
      <c r="H5669" s="2"/>
      <c r="I5669" s="2"/>
      <c r="J5669" s="2"/>
      <c r="K5669" s="2"/>
    </row>
    <row r="5670" spans="1:11" customFormat="1" ht="16" ns3:dyDescent="0.2">
      <c r="A5670" t="s">
        <v>123</v>
      </c>
      <c r="B5670">
        <v>6.8000000000000005E-4</v>
      </c>
      <c r="D5670" t="s">
        <v>100</v>
      </c>
      <c r="E5670" t="s">
        <v>9</v>
      </c>
      <c r="F5670" t="s">
        <v>15</v>
      </c>
      <c r="H5670" s="2"/>
      <c r="I5670" s="2"/>
      <c r="J5670" s="2"/>
      <c r="K5670" s="2"/>
    </row>
    <row r="5671" spans="1:11" customFormat="1" ht="16" ns3:dyDescent="0.2">
      <c r="A5671" t="s">
        <v>55</v>
      </c>
      <c r="B5671" s="3">
        <v>1.1700000000000001E-9</v>
      </c>
      <c r="D5671" t="s">
        <v>100</v>
      </c>
      <c r="E5671" t="s">
        <v>9</v>
      </c>
      <c r="F5671" t="s">
        <v>15</v>
      </c>
      <c r="H5671" s="2"/>
      <c r="I5671" s="2"/>
      <c r="J5671" s="2"/>
      <c r="K5671" s="2"/>
    </row>
    <row r="5672" spans="1:11" customFormat="1" ht="16" ns3:dyDescent="0.2">
      <c r="A5672" t="s">
        <v>56</v>
      </c>
      <c r="B5672" s="3">
        <v>2.3400000000000001E-12</v>
      </c>
      <c r="D5672" t="s">
        <v>100</v>
      </c>
      <c r="E5672" t="s">
        <v>9</v>
      </c>
      <c r="F5672" t="s">
        <v>15</v>
      </c>
      <c r="H5672" s="2"/>
      <c r="I5672" s="2"/>
      <c r="J5672" s="2"/>
      <c r="K5672" s="2"/>
    </row>
    <row r="5673" spans="1:11" customFormat="1" ht="16" ns3:dyDescent="0.2">
      <c r="A5673" t="s">
        <v>57</v>
      </c>
      <c r="B5673" s="3">
        <v>3.9699999999999998E-8</v>
      </c>
      <c r="D5673" t="s">
        <v>100</v>
      </c>
      <c r="E5673" t="s">
        <v>9</v>
      </c>
      <c r="F5673" t="s">
        <v>15</v>
      </c>
      <c r="H5673" s="2"/>
      <c r="I5673" s="2"/>
      <c r="J5673" s="2"/>
      <c r="K5673" s="2"/>
    </row>
    <row r="5674" spans="1:11" customFormat="1" ht="16" ns3:dyDescent="0.2">
      <c r="A5674" t="s">
        <v>58</v>
      </c>
      <c r="B5674" s="3">
        <v>6.0000000000000002E-6</v>
      </c>
      <c r="D5674" t="s">
        <v>100</v>
      </c>
      <c r="E5674" t="s">
        <v>9</v>
      </c>
      <c r="F5674" t="s">
        <v>15</v>
      </c>
      <c r="H5674" s="2"/>
      <c r="I5674" s="2"/>
      <c r="J5674" s="2"/>
      <c r="K5674" s="2"/>
    </row>
    <row r="5675" spans="1:11" customFormat="1" ht="16" ns3:dyDescent="0.2">
      <c r="A5675" t="s">
        <v>64</v>
      </c>
      <c r="B5675" s="3">
        <v>4.6700000000000004E-10</v>
      </c>
      <c r="D5675" t="s">
        <v>100</v>
      </c>
      <c r="E5675" t="s">
        <v>9</v>
      </c>
      <c r="F5675" t="s">
        <v>15</v>
      </c>
      <c r="H5675" s="2"/>
      <c r="I5675" s="2"/>
      <c r="J5675" s="2"/>
      <c r="K5675" s="2"/>
    </row>
    <row r="5676" spans="1:11" customFormat="1" ht="16" ns3:dyDescent="0.2">
      <c r="A5676" t="s">
        <v>177</v>
      </c>
      <c r="B5676" s="3">
        <v>1.6550862912263E-7</v>
      </c>
      <c r="D5676" t="s">
        <v>100</v>
      </c>
      <c r="E5676" t="s">
        <v>9</v>
      </c>
      <c r="F5676" t="s">
        <v>15</v>
      </c>
      <c r="H5676" s="2"/>
      <c r="I5676" s="2"/>
      <c r="J5676" s="2"/>
      <c r="K5676" s="2"/>
    </row>
    <row r="5677" spans="1:11" customFormat="1" ht="16" ns3:dyDescent="0.2">
      <c r="A5677" t="s">
        <v>67</v>
      </c>
      <c r="B5677" s="3">
        <v>9.2399999999999996E-5</v>
      </c>
      <c r="D5677" t="s">
        <v>100</v>
      </c>
      <c r="E5677" t="s">
        <v>9</v>
      </c>
      <c r="F5677" t="s">
        <v>15</v>
      </c>
      <c r="H5677" s="2"/>
      <c r="I5677" s="2"/>
      <c r="J5677" s="2"/>
      <c r="K5677" s="2"/>
    </row>
    <row r="5678" spans="1:11" customFormat="1" ht="16" ns3:dyDescent="0.2">
      <c r="A5678" t="s">
        <v>68</v>
      </c>
      <c r="B5678" s="3">
        <v>1.6399999999999999E-9</v>
      </c>
      <c r="D5678" t="s">
        <v>100</v>
      </c>
      <c r="E5678" t="s">
        <v>9</v>
      </c>
      <c r="F5678" t="s">
        <v>15</v>
      </c>
      <c r="H5678" s="2"/>
      <c r="I5678" s="2"/>
      <c r="J5678" s="2"/>
      <c r="K5678" s="2"/>
    </row>
    <row r="5679" spans="1:11" customFormat="1" ht="16" ns3:dyDescent="0.2">
      <c r="A5679" t="s">
        <v>69</v>
      </c>
      <c r="B5679">
        <v>1.21684812166632E-3</v>
      </c>
      <c r="D5679" t="s">
        <v>100</v>
      </c>
      <c r="E5679" t="s">
        <v>9</v>
      </c>
      <c r="F5679" t="s">
        <v>15</v>
      </c>
      <c r="H5679" s="2"/>
      <c r="I5679" s="2"/>
      <c r="J5679" s="2"/>
      <c r="K5679" s="2"/>
    </row>
    <row r="5680" spans="1:11" customFormat="1" ht="16" ns3:dyDescent="0.2">
      <c r="A5680" t="s">
        <v>71</v>
      </c>
      <c r="B5680">
        <v>1.7000000000000001E-4</v>
      </c>
      <c r="D5680" t="s">
        <v>100</v>
      </c>
      <c r="E5680" t="s">
        <v>9</v>
      </c>
      <c r="F5680" t="s">
        <v>15</v>
      </c>
      <c r="H5680" s="2"/>
      <c r="I5680" s="2"/>
      <c r="J5680" s="2"/>
      <c r="K5680" s="2"/>
    </row>
    <row r="5681" spans="1:11" customFormat="1" ht="16" ns3:dyDescent="0.2">
      <c r="A5681" t="s">
        <v>75</v>
      </c>
      <c r="B5681" s="3">
        <v>2.3400000000000002E-10</v>
      </c>
      <c r="D5681" t="s">
        <v>100</v>
      </c>
      <c r="E5681" t="s">
        <v>9</v>
      </c>
      <c r="F5681" t="s">
        <v>15</v>
      </c>
      <c r="H5681" s="2"/>
      <c r="I5681" s="2"/>
      <c r="J5681" s="2"/>
      <c r="K5681" s="2"/>
    </row>
    <row r="5682" spans="1:11" customFormat="1" ht="16" ns3:dyDescent="0.2">
      <c r="A5682" t="s">
        <v>77</v>
      </c>
      <c r="B5682" s="3">
        <v>6.0099999999999997E-5</v>
      </c>
      <c r="D5682" t="s">
        <v>100</v>
      </c>
      <c r="E5682" t="s">
        <v>9</v>
      </c>
      <c r="F5682" t="s">
        <v>15</v>
      </c>
      <c r="H5682" s="2"/>
      <c r="I5682" s="2"/>
      <c r="J5682" s="2"/>
      <c r="K5682" s="2"/>
    </row>
    <row r="5683" spans="1:11" customFormat="1" ht="16" ns3:dyDescent="0.2">
      <c r="A5683" t="s">
        <v>79</v>
      </c>
      <c r="B5683" s="3">
        <v>2.3400000000000001E-8</v>
      </c>
      <c r="D5683" t="s">
        <v>100</v>
      </c>
      <c r="E5683" t="s">
        <v>9</v>
      </c>
      <c r="F5683" t="s">
        <v>15</v>
      </c>
      <c r="H5683" s="2"/>
      <c r="I5683" s="2"/>
      <c r="J5683" s="2"/>
      <c r="K5683" s="2"/>
    </row>
    <row r="5684" spans="1:11" customFormat="1" ht="16" ns3:dyDescent="0.2">
      <c r="A5684" t="s">
        <v>122</v>
      </c>
      <c r="B5684">
        <f>B5663*3.15</f>
        <v>7.3709999999999998E-2</v>
      </c>
      <c r="D5684" t="s">
        <v>116</v>
      </c>
      <c r="E5684" t="s">
        <v>9</v>
      </c>
      <c r="F5684" t="s">
        <v>15</v>
      </c>
      <c r="H5684" s="2"/>
      <c r="I5684" s="2"/>
      <c r="J5684" s="2"/>
      <c r="K5684" s="2"/>
    </row>
  </sheetData>
  <autoFilter ref="A1:O4689" ns2:uid="{9F0C42E2-D17A-554B-A2D9-4F73B84316EE}"/>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FB03B-1230-F545-B93B-66AF7BA7897D}">
  <dimension ref="A1:AM71"/>
  <sheetViews>
    <sheetView topLeftCell="AF21" workbookViewId="0">
      <selection activeCell="AL43" sqref="AL43"/>
    </sheetView>
  </sheetViews>
  <sheetFormatPr baseColWidth="10" defaultRowHeight="16" x14ac:dyDescent="0.2"/>
  <cols>
    <col min="1" max="1" width="53.33203125" bestFit="1" customWidth="1"/>
    <col min="2" max="2" width="12" customWidth="1"/>
    <col min="3" max="3" width="10.5" customWidth="1"/>
    <col min="4" max="4" width="10.83203125" customWidth="1"/>
    <col min="5" max="7" width="17.33203125" customWidth="1"/>
    <col min="8" max="8" width="15.6640625" customWidth="1"/>
    <col min="9" max="9" width="14.1640625" customWidth="1"/>
    <col min="10" max="10" width="14.5" customWidth="1"/>
    <col min="11" max="11" width="18.5" customWidth="1"/>
    <col min="12" max="12" width="17" customWidth="1"/>
    <col min="13" max="13" width="17.33203125" customWidth="1"/>
    <col min="14" max="14" width="22.83203125" customWidth="1"/>
    <col min="15" max="15" width="21.1640625" customWidth="1"/>
    <col min="16" max="16" width="21.6640625" customWidth="1"/>
    <col min="17" max="17" width="14.33203125" customWidth="1"/>
    <col min="18" max="18" width="12.83203125" customWidth="1"/>
    <col min="19" max="19" width="13.1640625" customWidth="1"/>
    <col min="20" max="20" width="20.1640625" customWidth="1"/>
    <col min="21" max="21" width="18.6640625" customWidth="1"/>
    <col min="22" max="22" width="19" customWidth="1"/>
    <col min="23" max="23" width="24" customWidth="1"/>
    <col min="24" max="24" width="22.5" customWidth="1"/>
    <col min="25" max="25" width="22.83203125" customWidth="1"/>
    <col min="26" max="26" width="20.1640625" customWidth="1"/>
    <col min="27" max="27" width="18.6640625" customWidth="1"/>
    <col min="28" max="28" width="19" customWidth="1"/>
    <col min="29" max="29" width="29.6640625" customWidth="1"/>
    <col min="30" max="30" width="23.33203125" customWidth="1"/>
    <col min="31" max="31" width="23.6640625" customWidth="1"/>
    <col min="32" max="32" width="19.83203125" customWidth="1"/>
    <col min="33" max="33" width="13.83203125" customWidth="1"/>
    <col min="34" max="34" width="13.6640625" customWidth="1"/>
    <col min="35" max="35" width="23.33203125" customWidth="1"/>
    <col min="36" max="36" width="12.33203125" customWidth="1"/>
    <col min="37" max="37" width="11.1640625" customWidth="1"/>
    <col min="38" max="38" width="12.1640625" bestFit="1" customWidth="1"/>
    <col min="39" max="39" width="8.6640625" customWidth="1"/>
  </cols>
  <sheetData>
    <row r="1" spans="1:39" x14ac:dyDescent="0.2">
      <c r="A1" t="s">
        <v>306</v>
      </c>
    </row>
    <row r="3" spans="1:39" x14ac:dyDescent="0.2">
      <c r="A3" s="1" t="s">
        <v>307</v>
      </c>
      <c r="AM3" s="1"/>
    </row>
    <row r="4" spans="1:39" x14ac:dyDescent="0.2">
      <c r="B4" t="s">
        <v>349</v>
      </c>
      <c r="C4" t="s">
        <v>350</v>
      </c>
      <c r="D4" t="s">
        <v>351</v>
      </c>
      <c r="E4" t="s">
        <v>313</v>
      </c>
      <c r="F4" t="s">
        <v>314</v>
      </c>
      <c r="G4" t="s">
        <v>315</v>
      </c>
      <c r="H4" t="s">
        <v>316</v>
      </c>
      <c r="I4" t="s">
        <v>317</v>
      </c>
      <c r="J4" t="s">
        <v>318</v>
      </c>
      <c r="K4" t="s">
        <v>334</v>
      </c>
      <c r="L4" t="s">
        <v>335</v>
      </c>
      <c r="M4" t="s">
        <v>336</v>
      </c>
      <c r="N4" t="s">
        <v>337</v>
      </c>
      <c r="O4" t="s">
        <v>338</v>
      </c>
      <c r="P4" t="s">
        <v>339</v>
      </c>
      <c r="Q4" t="s">
        <v>330</v>
      </c>
      <c r="R4" t="s">
        <v>331</v>
      </c>
      <c r="S4" t="s">
        <v>332</v>
      </c>
      <c r="T4" t="s">
        <v>319</v>
      </c>
      <c r="U4" t="s">
        <v>320</v>
      </c>
      <c r="V4" t="s">
        <v>321</v>
      </c>
      <c r="W4" t="s">
        <v>327</v>
      </c>
      <c r="X4" t="s">
        <v>328</v>
      </c>
      <c r="Y4" t="s">
        <v>329</v>
      </c>
      <c r="Z4" t="s">
        <v>343</v>
      </c>
      <c r="AA4" t="s">
        <v>344</v>
      </c>
      <c r="AB4" t="s">
        <v>345</v>
      </c>
      <c r="AC4" t="s">
        <v>346</v>
      </c>
      <c r="AD4" t="s">
        <v>347</v>
      </c>
      <c r="AE4" t="s">
        <v>348</v>
      </c>
      <c r="AF4" t="s">
        <v>362</v>
      </c>
      <c r="AG4" t="s">
        <v>363</v>
      </c>
      <c r="AH4" t="s">
        <v>364</v>
      </c>
      <c r="AI4" t="s">
        <v>365</v>
      </c>
      <c r="AJ4" t="s">
        <v>366</v>
      </c>
      <c r="AK4" t="s">
        <v>341</v>
      </c>
      <c r="AL4" t="s">
        <v>340</v>
      </c>
      <c r="AM4" t="s">
        <v>352</v>
      </c>
    </row>
    <row r="5" spans="1:39" x14ac:dyDescent="0.2">
      <c r="B5" t="s">
        <v>309</v>
      </c>
      <c r="C5" t="s">
        <v>309</v>
      </c>
      <c r="D5" t="s">
        <v>309</v>
      </c>
      <c r="E5" t="s">
        <v>310</v>
      </c>
      <c r="F5" t="s">
        <v>310</v>
      </c>
      <c r="G5" t="s">
        <v>310</v>
      </c>
      <c r="H5" t="s">
        <v>311</v>
      </c>
      <c r="I5" t="s">
        <v>311</v>
      </c>
      <c r="J5" t="s">
        <v>311</v>
      </c>
      <c r="K5" t="s">
        <v>333</v>
      </c>
      <c r="L5" t="s">
        <v>333</v>
      </c>
      <c r="M5" t="s">
        <v>333</v>
      </c>
      <c r="N5" t="s">
        <v>333</v>
      </c>
      <c r="O5" t="s">
        <v>333</v>
      </c>
      <c r="P5" t="s">
        <v>333</v>
      </c>
      <c r="Q5" t="s">
        <v>333</v>
      </c>
      <c r="R5" t="s">
        <v>333</v>
      </c>
      <c r="S5" t="s">
        <v>333</v>
      </c>
      <c r="T5" t="s">
        <v>312</v>
      </c>
      <c r="U5" t="s">
        <v>312</v>
      </c>
      <c r="V5" t="s">
        <v>312</v>
      </c>
      <c r="W5" t="s">
        <v>8</v>
      </c>
      <c r="X5" t="s">
        <v>8</v>
      </c>
      <c r="Y5" t="s">
        <v>8</v>
      </c>
      <c r="Z5" t="s">
        <v>309</v>
      </c>
      <c r="AA5" t="s">
        <v>309</v>
      </c>
      <c r="AB5" t="s">
        <v>309</v>
      </c>
      <c r="AC5" t="s">
        <v>8</v>
      </c>
      <c r="AD5" t="s">
        <v>8</v>
      </c>
      <c r="AE5" t="s">
        <v>8</v>
      </c>
      <c r="AF5" t="s">
        <v>333</v>
      </c>
      <c r="AG5" t="s">
        <v>333</v>
      </c>
      <c r="AH5" t="s">
        <v>333</v>
      </c>
      <c r="AI5" t="s">
        <v>333</v>
      </c>
      <c r="AJ5" t="s">
        <v>333</v>
      </c>
      <c r="AK5" t="s">
        <v>342</v>
      </c>
      <c r="AL5" t="s">
        <v>342</v>
      </c>
    </row>
    <row r="6" spans="1:39" x14ac:dyDescent="0.2">
      <c r="A6" s="1" t="s">
        <v>322</v>
      </c>
      <c r="AM6" s="1"/>
    </row>
    <row r="7" spans="1:39" x14ac:dyDescent="0.2">
      <c r="A7" s="2" t="s">
        <v>229</v>
      </c>
      <c r="B7">
        <v>20</v>
      </c>
      <c r="C7">
        <v>9</v>
      </c>
      <c r="D7">
        <v>92</v>
      </c>
      <c r="E7" s="23">
        <v>100000</v>
      </c>
      <c r="F7" s="23">
        <v>50000</v>
      </c>
      <c r="G7" s="23">
        <v>200000</v>
      </c>
      <c r="H7" s="23">
        <v>1300</v>
      </c>
      <c r="I7" s="23">
        <v>800</v>
      </c>
      <c r="J7" s="23">
        <v>1530</v>
      </c>
      <c r="N7">
        <v>14</v>
      </c>
      <c r="O7">
        <v>6</v>
      </c>
      <c r="P7">
        <v>65</v>
      </c>
      <c r="Q7">
        <v>10</v>
      </c>
      <c r="R7">
        <v>6</v>
      </c>
      <c r="S7">
        <v>12</v>
      </c>
      <c r="AK7">
        <v>7.5811450000000001E-3</v>
      </c>
      <c r="AL7">
        <v>5.65099E-4</v>
      </c>
      <c r="AM7" s="2" t="s">
        <v>353</v>
      </c>
    </row>
    <row r="8" spans="1:39" x14ac:dyDescent="0.2">
      <c r="A8" s="2" t="s">
        <v>258</v>
      </c>
      <c r="B8">
        <v>20</v>
      </c>
      <c r="C8">
        <v>9</v>
      </c>
      <c r="D8">
        <v>92</v>
      </c>
      <c r="E8" s="23">
        <v>100000</v>
      </c>
      <c r="F8" s="23">
        <v>50000</v>
      </c>
      <c r="G8" s="23">
        <v>200000</v>
      </c>
      <c r="H8" s="23">
        <v>1300</v>
      </c>
      <c r="I8" s="23">
        <v>800</v>
      </c>
      <c r="J8" s="23">
        <v>1530</v>
      </c>
      <c r="N8">
        <v>14</v>
      </c>
      <c r="O8">
        <v>6</v>
      </c>
      <c r="P8">
        <v>65</v>
      </c>
      <c r="Q8">
        <v>10</v>
      </c>
      <c r="R8">
        <v>6</v>
      </c>
      <c r="S8">
        <v>12</v>
      </c>
      <c r="AK8">
        <v>7.5811450000000001E-3</v>
      </c>
      <c r="AL8">
        <v>5.65099E-4</v>
      </c>
      <c r="AM8" s="2" t="s">
        <v>353</v>
      </c>
    </row>
    <row r="9" spans="1:39" x14ac:dyDescent="0.2">
      <c r="A9" s="2" t="s">
        <v>277</v>
      </c>
      <c r="B9">
        <v>20</v>
      </c>
      <c r="C9">
        <v>9</v>
      </c>
      <c r="D9">
        <v>92</v>
      </c>
      <c r="E9" s="23">
        <v>100000</v>
      </c>
      <c r="F9" s="23">
        <v>50000</v>
      </c>
      <c r="G9" s="23">
        <v>200000</v>
      </c>
      <c r="H9" s="23">
        <v>1300</v>
      </c>
      <c r="I9" s="23">
        <v>800</v>
      </c>
      <c r="J9" s="23">
        <v>1530</v>
      </c>
      <c r="N9">
        <v>14</v>
      </c>
      <c r="O9">
        <v>6</v>
      </c>
      <c r="P9">
        <v>65</v>
      </c>
      <c r="Q9">
        <v>10</v>
      </c>
      <c r="R9">
        <v>6</v>
      </c>
      <c r="S9">
        <v>12</v>
      </c>
      <c r="AK9">
        <v>7.5811450000000001E-3</v>
      </c>
      <c r="AL9">
        <v>5.65099E-4</v>
      </c>
      <c r="AM9" s="2" t="s">
        <v>353</v>
      </c>
    </row>
    <row r="10" spans="1:39" x14ac:dyDescent="0.2">
      <c r="A10" s="2" t="s">
        <v>225</v>
      </c>
      <c r="B10">
        <v>13</v>
      </c>
      <c r="C10">
        <v>5</v>
      </c>
      <c r="D10">
        <v>45</v>
      </c>
      <c r="E10" s="23">
        <v>100000</v>
      </c>
      <c r="F10" s="23">
        <v>50000</v>
      </c>
      <c r="G10" s="23">
        <v>200000</v>
      </c>
      <c r="H10" s="23">
        <v>284</v>
      </c>
      <c r="I10" s="23">
        <v>156</v>
      </c>
      <c r="J10" s="23">
        <v>356</v>
      </c>
      <c r="K10">
        <v>6.4</v>
      </c>
      <c r="L10">
        <v>2.2999999999999998</v>
      </c>
      <c r="M10">
        <v>22</v>
      </c>
      <c r="T10">
        <v>6.7</v>
      </c>
      <c r="U10">
        <v>2.5</v>
      </c>
      <c r="V10">
        <v>14</v>
      </c>
      <c r="AF10">
        <v>2.4</v>
      </c>
      <c r="AG10">
        <v>1.3</v>
      </c>
      <c r="AH10">
        <v>1.125</v>
      </c>
      <c r="AI10">
        <v>5.2</v>
      </c>
      <c r="AJ10">
        <v>2.25</v>
      </c>
      <c r="AM10" s="2" t="s">
        <v>353</v>
      </c>
    </row>
    <row r="11" spans="1:39" x14ac:dyDescent="0.2">
      <c r="A11" s="2" t="s">
        <v>297</v>
      </c>
      <c r="B11">
        <v>13</v>
      </c>
      <c r="C11">
        <v>5</v>
      </c>
      <c r="D11">
        <v>45</v>
      </c>
      <c r="E11" s="23">
        <v>100000</v>
      </c>
      <c r="F11" s="23">
        <v>50000</v>
      </c>
      <c r="G11" s="23">
        <v>200000</v>
      </c>
      <c r="H11" s="23">
        <v>284</v>
      </c>
      <c r="I11" s="23">
        <v>156</v>
      </c>
      <c r="J11" s="23">
        <v>356</v>
      </c>
      <c r="K11">
        <v>6.4</v>
      </c>
      <c r="L11">
        <v>2.2999999999999998</v>
      </c>
      <c r="M11">
        <v>22</v>
      </c>
      <c r="T11">
        <v>2</v>
      </c>
      <c r="U11">
        <v>1</v>
      </c>
      <c r="V11">
        <v>5</v>
      </c>
      <c r="Z11">
        <f>B11</f>
        <v>13</v>
      </c>
      <c r="AA11">
        <f>C11</f>
        <v>5</v>
      </c>
      <c r="AB11">
        <f>D11</f>
        <v>45</v>
      </c>
      <c r="AG11">
        <v>1.3</v>
      </c>
      <c r="AH11">
        <v>1.125</v>
      </c>
      <c r="AI11">
        <v>5.2</v>
      </c>
      <c r="AJ11">
        <v>2.25</v>
      </c>
      <c r="AM11" s="2" t="s">
        <v>353</v>
      </c>
    </row>
    <row r="12" spans="1:39" x14ac:dyDescent="0.2">
      <c r="A12" s="17" t="s">
        <v>308</v>
      </c>
      <c r="E12" s="23"/>
      <c r="F12" s="23"/>
      <c r="G12" s="23"/>
      <c r="AM12" s="17"/>
    </row>
    <row r="13" spans="1:39" x14ac:dyDescent="0.2">
      <c r="A13" s="2" t="s">
        <v>87</v>
      </c>
      <c r="B13">
        <v>126</v>
      </c>
      <c r="C13">
        <v>54</v>
      </c>
      <c r="D13">
        <v>158</v>
      </c>
      <c r="E13" s="23">
        <v>200000</v>
      </c>
      <c r="F13" s="23">
        <v>160000</v>
      </c>
      <c r="G13" s="23">
        <v>250000</v>
      </c>
      <c r="H13" s="23">
        <v>2250</v>
      </c>
      <c r="I13" s="23">
        <v>1500</v>
      </c>
      <c r="J13" s="23">
        <v>2900</v>
      </c>
      <c r="N13">
        <v>169</v>
      </c>
      <c r="O13">
        <v>111</v>
      </c>
      <c r="P13">
        <v>194</v>
      </c>
      <c r="Q13">
        <v>48</v>
      </c>
      <c r="R13">
        <v>30</v>
      </c>
      <c r="S13">
        <v>48</v>
      </c>
      <c r="AK13" s="46">
        <v>0.2</v>
      </c>
      <c r="AL13" s="46">
        <f>(0.0012+0.0023)/2</f>
        <v>1.7499999999999998E-3</v>
      </c>
      <c r="AM13" s="34" t="s">
        <v>500</v>
      </c>
    </row>
    <row r="14" spans="1:39" x14ac:dyDescent="0.2">
      <c r="A14" s="2" t="s">
        <v>121</v>
      </c>
      <c r="B14">
        <v>126</v>
      </c>
      <c r="C14">
        <v>54</v>
      </c>
      <c r="D14">
        <v>158</v>
      </c>
      <c r="E14" s="23">
        <v>200000</v>
      </c>
      <c r="F14" s="23">
        <v>160000</v>
      </c>
      <c r="G14" s="23">
        <v>250000</v>
      </c>
      <c r="H14" s="23">
        <v>2250</v>
      </c>
      <c r="I14" s="23">
        <v>1500</v>
      </c>
      <c r="J14" s="23">
        <v>2900</v>
      </c>
      <c r="N14">
        <v>169</v>
      </c>
      <c r="O14">
        <v>111</v>
      </c>
      <c r="P14">
        <v>194</v>
      </c>
      <c r="Q14">
        <v>48</v>
      </c>
      <c r="R14">
        <v>30</v>
      </c>
      <c r="S14">
        <v>48</v>
      </c>
      <c r="AK14" s="46">
        <v>0.2</v>
      </c>
      <c r="AL14" s="46">
        <f>(0.0012+0.0023)/2</f>
        <v>1.7499999999999998E-3</v>
      </c>
      <c r="AM14" s="34" t="s">
        <v>500</v>
      </c>
    </row>
    <row r="15" spans="1:39" x14ac:dyDescent="0.2">
      <c r="A15" s="2" t="s">
        <v>275</v>
      </c>
      <c r="B15">
        <v>126</v>
      </c>
      <c r="C15">
        <v>54</v>
      </c>
      <c r="D15">
        <v>158</v>
      </c>
      <c r="E15" s="23">
        <v>200000</v>
      </c>
      <c r="F15" s="23">
        <v>160000</v>
      </c>
      <c r="G15" s="23">
        <v>250000</v>
      </c>
      <c r="H15" s="23">
        <v>2250</v>
      </c>
      <c r="I15" s="23">
        <v>1500</v>
      </c>
      <c r="J15" s="23">
        <v>2900</v>
      </c>
      <c r="N15">
        <v>169</v>
      </c>
      <c r="O15">
        <v>111</v>
      </c>
      <c r="P15">
        <v>194</v>
      </c>
      <c r="Q15">
        <v>48</v>
      </c>
      <c r="R15">
        <v>30</v>
      </c>
      <c r="S15">
        <v>48</v>
      </c>
      <c r="AK15" s="46">
        <v>0.2</v>
      </c>
      <c r="AL15" s="46">
        <f>(0.0012+0.0023)/2</f>
        <v>1.7499999999999998E-3</v>
      </c>
      <c r="AM15" s="34" t="s">
        <v>500</v>
      </c>
    </row>
    <row r="16" spans="1:39" x14ac:dyDescent="0.2">
      <c r="A16" s="2" t="s">
        <v>88</v>
      </c>
      <c r="B16">
        <v>126</v>
      </c>
      <c r="C16">
        <v>54</v>
      </c>
      <c r="D16">
        <v>158</v>
      </c>
      <c r="E16" s="23">
        <v>200000</v>
      </c>
      <c r="F16" s="23">
        <v>160000</v>
      </c>
      <c r="G16" s="23">
        <v>250000</v>
      </c>
      <c r="H16" s="23">
        <v>2330</v>
      </c>
      <c r="I16" s="23">
        <v>1530</v>
      </c>
      <c r="J16" s="23">
        <v>3000</v>
      </c>
      <c r="N16">
        <v>146</v>
      </c>
      <c r="O16">
        <v>96</v>
      </c>
      <c r="P16">
        <v>168</v>
      </c>
      <c r="Q16">
        <v>48</v>
      </c>
      <c r="R16">
        <v>30</v>
      </c>
      <c r="S16">
        <v>48</v>
      </c>
      <c r="AK16" s="46">
        <v>0.03</v>
      </c>
      <c r="AL16" s="46">
        <v>1.4309899999999999E-4</v>
      </c>
      <c r="AM16" s="34" t="s">
        <v>499</v>
      </c>
    </row>
    <row r="17" spans="1:39" x14ac:dyDescent="0.2">
      <c r="A17" s="2" t="s">
        <v>139</v>
      </c>
      <c r="B17">
        <v>141</v>
      </c>
      <c r="C17">
        <v>57</v>
      </c>
      <c r="D17">
        <v>166</v>
      </c>
      <c r="E17" s="23">
        <v>200000</v>
      </c>
      <c r="F17" s="23">
        <v>160000</v>
      </c>
      <c r="G17" s="23">
        <v>250000</v>
      </c>
      <c r="H17" s="23">
        <v>610</v>
      </c>
      <c r="I17" s="23">
        <v>530</v>
      </c>
      <c r="J17" s="23">
        <v>900</v>
      </c>
      <c r="K17" s="23">
        <v>90</v>
      </c>
      <c r="L17" s="23">
        <v>47</v>
      </c>
      <c r="M17" s="23">
        <v>102</v>
      </c>
      <c r="T17">
        <v>67</v>
      </c>
      <c r="U17">
        <v>48</v>
      </c>
      <c r="V17">
        <v>110</v>
      </c>
      <c r="AF17">
        <v>5</v>
      </c>
      <c r="AG17">
        <v>3</v>
      </c>
      <c r="AH17">
        <v>4</v>
      </c>
      <c r="AJ17">
        <v>8</v>
      </c>
      <c r="AM17" s="2" t="s">
        <v>369</v>
      </c>
    </row>
    <row r="18" spans="1:39" x14ac:dyDescent="0.2">
      <c r="A18" s="2" t="s">
        <v>299</v>
      </c>
      <c r="B18">
        <v>139</v>
      </c>
      <c r="C18">
        <v>58</v>
      </c>
      <c r="D18">
        <v>176</v>
      </c>
      <c r="E18" s="23">
        <v>200000</v>
      </c>
      <c r="F18" s="23">
        <v>160000</v>
      </c>
      <c r="G18" s="23">
        <v>250000</v>
      </c>
      <c r="H18" s="23">
        <v>1180</v>
      </c>
      <c r="I18" s="23">
        <v>900</v>
      </c>
      <c r="J18" s="23">
        <v>1660</v>
      </c>
      <c r="K18" s="23">
        <v>88</v>
      </c>
      <c r="L18" s="23">
        <v>48</v>
      </c>
      <c r="M18" s="23">
        <v>107</v>
      </c>
      <c r="Q18">
        <v>102</v>
      </c>
      <c r="R18">
        <v>78</v>
      </c>
      <c r="S18">
        <v>117</v>
      </c>
      <c r="T18">
        <v>3</v>
      </c>
      <c r="U18">
        <v>1</v>
      </c>
      <c r="V18">
        <v>4</v>
      </c>
      <c r="Z18">
        <v>119</v>
      </c>
      <c r="AA18">
        <v>49</v>
      </c>
      <c r="AB18">
        <v>151</v>
      </c>
      <c r="AG18">
        <v>3</v>
      </c>
      <c r="AH18">
        <v>4</v>
      </c>
      <c r="AJ18">
        <v>8</v>
      </c>
      <c r="AM18" s="2" t="s">
        <v>369</v>
      </c>
    </row>
    <row r="19" spans="1:39" x14ac:dyDescent="0.2">
      <c r="A19" s="2" t="s">
        <v>91</v>
      </c>
      <c r="B19">
        <v>126</v>
      </c>
      <c r="C19">
        <v>55</v>
      </c>
      <c r="D19">
        <v>160</v>
      </c>
      <c r="E19" s="23">
        <v>200000</v>
      </c>
      <c r="F19" s="23">
        <v>160000</v>
      </c>
      <c r="G19" s="23">
        <v>250000</v>
      </c>
      <c r="H19" s="23">
        <v>2540</v>
      </c>
      <c r="I19" s="23">
        <v>1660</v>
      </c>
      <c r="J19" s="23">
        <v>3020</v>
      </c>
      <c r="N19">
        <v>145</v>
      </c>
      <c r="O19">
        <v>96</v>
      </c>
      <c r="P19">
        <v>169</v>
      </c>
      <c r="Q19">
        <v>75</v>
      </c>
      <c r="R19">
        <v>57</v>
      </c>
      <c r="S19">
        <v>89</v>
      </c>
      <c r="AK19">
        <v>6.4438710000000003E-3</v>
      </c>
      <c r="AL19">
        <v>9.6806300000000002E-4</v>
      </c>
      <c r="AM19" s="2" t="s">
        <v>369</v>
      </c>
    </row>
    <row r="20" spans="1:39" x14ac:dyDescent="0.2">
      <c r="A20" s="2" t="s">
        <v>268</v>
      </c>
      <c r="B20">
        <v>126</v>
      </c>
      <c r="C20">
        <v>55</v>
      </c>
      <c r="D20">
        <v>160</v>
      </c>
      <c r="E20" s="23">
        <v>200000</v>
      </c>
      <c r="F20" s="23">
        <v>160000</v>
      </c>
      <c r="G20" s="23">
        <v>250000</v>
      </c>
      <c r="H20" s="23">
        <v>2540</v>
      </c>
      <c r="I20" s="23">
        <v>1660</v>
      </c>
      <c r="J20" s="23">
        <v>3020</v>
      </c>
      <c r="N20">
        <v>145</v>
      </c>
      <c r="O20">
        <v>96</v>
      </c>
      <c r="P20">
        <v>169</v>
      </c>
      <c r="Q20">
        <v>75</v>
      </c>
      <c r="R20">
        <v>57</v>
      </c>
      <c r="S20">
        <v>89</v>
      </c>
      <c r="AK20">
        <v>6.4438710000000003E-3</v>
      </c>
      <c r="AL20">
        <v>9.6806300000000002E-4</v>
      </c>
      <c r="AM20" s="2" t="s">
        <v>369</v>
      </c>
    </row>
    <row r="21" spans="1:39" x14ac:dyDescent="0.2">
      <c r="A21" s="2" t="s">
        <v>257</v>
      </c>
      <c r="B21">
        <v>126</v>
      </c>
      <c r="C21">
        <v>55</v>
      </c>
      <c r="D21">
        <v>160</v>
      </c>
      <c r="E21" s="23">
        <v>200000</v>
      </c>
      <c r="F21" s="23">
        <v>160000</v>
      </c>
      <c r="G21" s="23">
        <v>250000</v>
      </c>
      <c r="H21" s="23">
        <v>2540</v>
      </c>
      <c r="I21" s="23">
        <v>1660</v>
      </c>
      <c r="J21" s="23">
        <v>3020</v>
      </c>
      <c r="N21">
        <v>145</v>
      </c>
      <c r="O21">
        <v>96</v>
      </c>
      <c r="P21">
        <v>169</v>
      </c>
      <c r="Q21">
        <v>75</v>
      </c>
      <c r="R21">
        <v>57</v>
      </c>
      <c r="S21">
        <v>89</v>
      </c>
      <c r="AK21">
        <v>6.4438710000000003E-3</v>
      </c>
      <c r="AL21">
        <v>9.6806300000000002E-4</v>
      </c>
      <c r="AM21" s="2" t="s">
        <v>369</v>
      </c>
    </row>
    <row r="22" spans="1:39" x14ac:dyDescent="0.2">
      <c r="A22" s="17" t="s">
        <v>323</v>
      </c>
      <c r="E22" s="23"/>
      <c r="F22" s="23"/>
      <c r="G22" s="23"/>
      <c r="AM22" s="17"/>
    </row>
    <row r="23" spans="1:39" x14ac:dyDescent="0.2">
      <c r="A23" s="2" t="s">
        <v>196</v>
      </c>
      <c r="B23">
        <v>245</v>
      </c>
      <c r="C23">
        <v>125</v>
      </c>
      <c r="D23">
        <v>323</v>
      </c>
      <c r="E23" s="23">
        <v>700000</v>
      </c>
      <c r="F23" s="23">
        <v>500000</v>
      </c>
      <c r="G23" s="23">
        <v>1000000</v>
      </c>
      <c r="H23" s="23">
        <v>9500</v>
      </c>
      <c r="I23" s="23">
        <v>6000</v>
      </c>
      <c r="J23" s="23">
        <v>12200</v>
      </c>
      <c r="N23">
        <v>733</v>
      </c>
      <c r="O23">
        <v>400</v>
      </c>
      <c r="P23">
        <v>955</v>
      </c>
      <c r="Q23">
        <v>48</v>
      </c>
      <c r="R23">
        <v>38</v>
      </c>
      <c r="S23">
        <v>53</v>
      </c>
      <c r="AK23">
        <v>0.15823489199999999</v>
      </c>
      <c r="AL23">
        <v>2.13184E-4</v>
      </c>
      <c r="AM23" s="2" t="s">
        <v>370</v>
      </c>
    </row>
    <row r="24" spans="1:39" x14ac:dyDescent="0.2">
      <c r="A24" s="2" t="s">
        <v>256</v>
      </c>
      <c r="B24">
        <v>245</v>
      </c>
      <c r="C24">
        <v>125</v>
      </c>
      <c r="D24">
        <v>323</v>
      </c>
      <c r="E24" s="23">
        <v>700000</v>
      </c>
      <c r="F24" s="23">
        <v>500000</v>
      </c>
      <c r="G24" s="23">
        <v>1000000</v>
      </c>
      <c r="H24" s="23">
        <v>9500</v>
      </c>
      <c r="I24" s="23">
        <v>6000</v>
      </c>
      <c r="J24" s="23">
        <v>12200</v>
      </c>
      <c r="N24">
        <v>733</v>
      </c>
      <c r="O24">
        <v>400</v>
      </c>
      <c r="P24">
        <v>955</v>
      </c>
      <c r="Q24">
        <v>48</v>
      </c>
      <c r="R24">
        <v>38</v>
      </c>
      <c r="S24">
        <v>53</v>
      </c>
      <c r="AK24">
        <v>0.15823489199999999</v>
      </c>
      <c r="AL24">
        <v>2.13184E-4</v>
      </c>
      <c r="AM24" s="2" t="s">
        <v>370</v>
      </c>
    </row>
    <row r="25" spans="1:39" x14ac:dyDescent="0.2">
      <c r="A25" s="2" t="s">
        <v>276</v>
      </c>
      <c r="B25">
        <v>245</v>
      </c>
      <c r="C25">
        <v>125</v>
      </c>
      <c r="D25">
        <v>323</v>
      </c>
      <c r="E25" s="23">
        <v>700000</v>
      </c>
      <c r="F25" s="23">
        <v>500000</v>
      </c>
      <c r="G25" s="23">
        <v>1000000</v>
      </c>
      <c r="H25" s="23">
        <v>9500</v>
      </c>
      <c r="I25" s="23">
        <v>6000</v>
      </c>
      <c r="J25" s="23">
        <v>12200</v>
      </c>
      <c r="N25">
        <v>733</v>
      </c>
      <c r="O25">
        <v>400</v>
      </c>
      <c r="P25">
        <v>955</v>
      </c>
      <c r="Q25">
        <v>48</v>
      </c>
      <c r="R25">
        <v>38</v>
      </c>
      <c r="S25">
        <v>53</v>
      </c>
      <c r="AK25">
        <v>0.15823489199999999</v>
      </c>
      <c r="AL25">
        <v>2.13184E-4</v>
      </c>
      <c r="AM25" s="2" t="s">
        <v>370</v>
      </c>
    </row>
    <row r="26" spans="1:39" x14ac:dyDescent="0.2">
      <c r="A26" s="2" t="s">
        <v>202</v>
      </c>
      <c r="B26">
        <v>242</v>
      </c>
      <c r="C26">
        <v>128</v>
      </c>
      <c r="D26">
        <v>328</v>
      </c>
      <c r="E26" s="23">
        <v>700000</v>
      </c>
      <c r="F26" s="23">
        <v>500000</v>
      </c>
      <c r="G26" s="23">
        <v>1000000</v>
      </c>
      <c r="H26" s="23">
        <v>8650</v>
      </c>
      <c r="I26" s="23">
        <v>5600</v>
      </c>
      <c r="J26" s="23">
        <v>11410</v>
      </c>
      <c r="N26">
        <v>872</v>
      </c>
      <c r="O26">
        <v>540</v>
      </c>
      <c r="P26">
        <v>1120</v>
      </c>
      <c r="Q26">
        <v>142</v>
      </c>
      <c r="R26">
        <v>77</v>
      </c>
      <c r="S26">
        <v>154</v>
      </c>
      <c r="AK26">
        <v>3.0144677000000002E-2</v>
      </c>
      <c r="AL26">
        <v>5.5636150000000001E-3</v>
      </c>
      <c r="AM26" s="2" t="s">
        <v>370</v>
      </c>
    </row>
    <row r="27" spans="1:39" x14ac:dyDescent="0.2">
      <c r="A27" s="2" t="s">
        <v>269</v>
      </c>
      <c r="B27">
        <v>242</v>
      </c>
      <c r="C27">
        <v>128</v>
      </c>
      <c r="D27">
        <v>328</v>
      </c>
      <c r="E27" s="23">
        <v>700000</v>
      </c>
      <c r="F27" s="23">
        <v>500000</v>
      </c>
      <c r="G27" s="23">
        <v>1000000</v>
      </c>
      <c r="H27" s="23">
        <v>8650</v>
      </c>
      <c r="I27" s="23">
        <v>5600</v>
      </c>
      <c r="J27" s="23">
        <v>11410</v>
      </c>
      <c r="N27">
        <v>872</v>
      </c>
      <c r="O27">
        <v>540</v>
      </c>
      <c r="P27">
        <v>1120</v>
      </c>
      <c r="Q27">
        <v>142</v>
      </c>
      <c r="R27">
        <v>77</v>
      </c>
      <c r="S27">
        <v>154</v>
      </c>
      <c r="AK27">
        <v>3.0144677000000002E-2</v>
      </c>
      <c r="AL27">
        <v>5.5636150000000001E-3</v>
      </c>
      <c r="AM27" s="2" t="s">
        <v>370</v>
      </c>
    </row>
    <row r="28" spans="1:39" x14ac:dyDescent="0.2">
      <c r="A28" s="2" t="s">
        <v>253</v>
      </c>
      <c r="B28">
        <v>242</v>
      </c>
      <c r="C28">
        <v>128</v>
      </c>
      <c r="D28">
        <v>328</v>
      </c>
      <c r="E28" s="23">
        <v>700000</v>
      </c>
      <c r="F28" s="23">
        <v>500000</v>
      </c>
      <c r="G28" s="23">
        <v>1000000</v>
      </c>
      <c r="H28" s="23">
        <v>8650</v>
      </c>
      <c r="I28" s="23">
        <v>5600</v>
      </c>
      <c r="J28" s="23">
        <v>11410</v>
      </c>
      <c r="N28">
        <v>872</v>
      </c>
      <c r="O28">
        <v>540</v>
      </c>
      <c r="P28">
        <v>1120</v>
      </c>
      <c r="Q28">
        <v>142</v>
      </c>
      <c r="R28">
        <v>77</v>
      </c>
      <c r="S28">
        <v>154</v>
      </c>
      <c r="AK28">
        <v>3.0144677000000002E-2</v>
      </c>
      <c r="AL28">
        <v>5.5636150000000001E-3</v>
      </c>
      <c r="AM28" s="2" t="s">
        <v>370</v>
      </c>
    </row>
    <row r="29" spans="1:39" x14ac:dyDescent="0.2">
      <c r="A29" s="2" t="s">
        <v>208</v>
      </c>
      <c r="B29">
        <v>196</v>
      </c>
      <c r="C29">
        <v>125</v>
      </c>
      <c r="D29">
        <v>272</v>
      </c>
      <c r="E29" s="23">
        <v>700000</v>
      </c>
      <c r="F29" s="23">
        <v>500000</v>
      </c>
      <c r="G29" s="23">
        <v>1000000</v>
      </c>
      <c r="H29" s="23">
        <v>3720</v>
      </c>
      <c r="I29" s="23">
        <v>2370</v>
      </c>
      <c r="J29" s="23">
        <v>4680</v>
      </c>
      <c r="K29" s="23">
        <v>125</v>
      </c>
      <c r="L29" s="23">
        <v>64</v>
      </c>
      <c r="M29" s="23">
        <v>205</v>
      </c>
      <c r="T29">
        <v>420</v>
      </c>
      <c r="U29">
        <v>156</v>
      </c>
      <c r="V29">
        <v>815</v>
      </c>
      <c r="W29">
        <v>1</v>
      </c>
      <c r="X29">
        <v>0</v>
      </c>
      <c r="Y29">
        <v>3</v>
      </c>
      <c r="AF29">
        <v>36</v>
      </c>
      <c r="AG29">
        <v>36</v>
      </c>
      <c r="AH29">
        <v>25</v>
      </c>
      <c r="AI29">
        <v>215</v>
      </c>
      <c r="AJ29">
        <v>15</v>
      </c>
      <c r="AM29" s="2" t="s">
        <v>370</v>
      </c>
    </row>
    <row r="30" spans="1:39" x14ac:dyDescent="0.2">
      <c r="A30" s="2" t="s">
        <v>296</v>
      </c>
      <c r="B30">
        <v>185</v>
      </c>
      <c r="C30">
        <v>117</v>
      </c>
      <c r="D30">
        <v>228</v>
      </c>
      <c r="E30" s="23">
        <v>700000</v>
      </c>
      <c r="F30" s="23">
        <v>500000</v>
      </c>
      <c r="G30" s="23">
        <v>1000000</v>
      </c>
      <c r="H30" s="23">
        <v>4580</v>
      </c>
      <c r="I30" s="23">
        <v>2930</v>
      </c>
      <c r="J30" s="23">
        <v>5170</v>
      </c>
      <c r="K30" s="23">
        <v>107</v>
      </c>
      <c r="L30" s="23">
        <v>61</v>
      </c>
      <c r="M30" s="23">
        <v>146</v>
      </c>
      <c r="Q30">
        <v>242</v>
      </c>
      <c r="R30">
        <v>181</v>
      </c>
      <c r="S30">
        <v>362</v>
      </c>
      <c r="T30">
        <v>49</v>
      </c>
      <c r="U30">
        <v>35</v>
      </c>
      <c r="V30">
        <v>65</v>
      </c>
      <c r="Z30">
        <v>53</v>
      </c>
      <c r="AA30">
        <v>33</v>
      </c>
      <c r="AB30">
        <v>66</v>
      </c>
      <c r="AC30">
        <v>1</v>
      </c>
      <c r="AD30">
        <v>0</v>
      </c>
      <c r="AE30">
        <v>1</v>
      </c>
      <c r="AG30">
        <v>36</v>
      </c>
      <c r="AH30">
        <v>25</v>
      </c>
      <c r="AI30">
        <v>216</v>
      </c>
      <c r="AJ30">
        <v>14</v>
      </c>
      <c r="AM30" s="2" t="s">
        <v>370</v>
      </c>
    </row>
    <row r="31" spans="1:39" x14ac:dyDescent="0.2">
      <c r="A31" s="2" t="s">
        <v>219</v>
      </c>
      <c r="B31">
        <v>261</v>
      </c>
      <c r="C31">
        <v>114</v>
      </c>
      <c r="D31">
        <v>513</v>
      </c>
      <c r="E31" s="23">
        <v>700000</v>
      </c>
      <c r="F31" s="23">
        <v>500000</v>
      </c>
      <c r="G31" s="23">
        <v>1000000</v>
      </c>
      <c r="H31" s="23">
        <v>1715</v>
      </c>
      <c r="I31" s="23">
        <v>1500</v>
      </c>
      <c r="J31" s="23">
        <v>4450</v>
      </c>
      <c r="K31" s="23">
        <v>247</v>
      </c>
      <c r="L31" s="23">
        <v>60</v>
      </c>
      <c r="M31" s="23">
        <v>600</v>
      </c>
      <c r="T31">
        <v>15</v>
      </c>
      <c r="U31">
        <v>10</v>
      </c>
      <c r="V31">
        <v>30</v>
      </c>
      <c r="W31">
        <v>1</v>
      </c>
      <c r="X31">
        <v>0</v>
      </c>
      <c r="Y31">
        <v>2</v>
      </c>
      <c r="AF31">
        <v>36</v>
      </c>
      <c r="AG31">
        <v>36</v>
      </c>
      <c r="AH31">
        <v>25</v>
      </c>
      <c r="AI31">
        <v>216</v>
      </c>
      <c r="AJ31">
        <v>18</v>
      </c>
      <c r="AM31" s="2" t="s">
        <v>370</v>
      </c>
    </row>
    <row r="32" spans="1:39" x14ac:dyDescent="0.2">
      <c r="A32" s="2" t="s">
        <v>222</v>
      </c>
      <c r="E32" s="23"/>
      <c r="F32" s="23"/>
      <c r="G32" s="23"/>
      <c r="AM32" s="2"/>
    </row>
    <row r="33" spans="1:39" x14ac:dyDescent="0.2">
      <c r="A33" s="2" t="s">
        <v>251</v>
      </c>
      <c r="E33" s="23"/>
      <c r="F33" s="23"/>
      <c r="G33" s="23"/>
      <c r="AM33" s="2"/>
    </row>
    <row r="34" spans="1:39" x14ac:dyDescent="0.2">
      <c r="A34" s="2" t="s">
        <v>135</v>
      </c>
      <c r="E34" s="23"/>
      <c r="F34" s="23"/>
      <c r="G34" s="23"/>
      <c r="AM34" s="2"/>
    </row>
    <row r="35" spans="1:39" x14ac:dyDescent="0.2">
      <c r="A35" s="2" t="s">
        <v>274</v>
      </c>
      <c r="E35" s="23"/>
      <c r="F35" s="23"/>
      <c r="G35" s="23"/>
      <c r="AM35" s="2"/>
    </row>
    <row r="36" spans="1:39" x14ac:dyDescent="0.2">
      <c r="A36" s="2" t="s">
        <v>174</v>
      </c>
      <c r="E36" s="23"/>
      <c r="F36" s="23"/>
      <c r="G36" s="23"/>
      <c r="AM36" s="2"/>
    </row>
    <row r="37" spans="1:39" x14ac:dyDescent="0.2">
      <c r="A37" s="2" t="s">
        <v>376</v>
      </c>
      <c r="E37" s="23"/>
      <c r="F37" s="23"/>
      <c r="G37" s="23"/>
      <c r="AM37" s="2"/>
    </row>
    <row r="38" spans="1:39" x14ac:dyDescent="0.2">
      <c r="A38" s="17" t="s">
        <v>324</v>
      </c>
      <c r="E38" s="23"/>
      <c r="F38" s="23"/>
      <c r="G38" s="23"/>
      <c r="AM38" s="17"/>
    </row>
    <row r="39" spans="1:39" x14ac:dyDescent="0.2">
      <c r="A39" s="2" t="s">
        <v>134</v>
      </c>
      <c r="B39">
        <v>300</v>
      </c>
      <c r="C39">
        <v>135</v>
      </c>
      <c r="D39">
        <v>480</v>
      </c>
      <c r="E39" s="23">
        <v>1000000</v>
      </c>
      <c r="F39" s="23">
        <v>500000</v>
      </c>
      <c r="G39" s="23">
        <v>1200000</v>
      </c>
      <c r="H39" s="23">
        <v>7500</v>
      </c>
      <c r="I39" s="23">
        <v>3570</v>
      </c>
      <c r="J39" s="23">
        <v>10165</v>
      </c>
      <c r="N39">
        <v>880</v>
      </c>
      <c r="O39">
        <v>470</v>
      </c>
      <c r="P39">
        <v>1000</v>
      </c>
      <c r="Q39">
        <v>44</v>
      </c>
      <c r="R39">
        <v>33</v>
      </c>
      <c r="S39">
        <v>51</v>
      </c>
      <c r="AK39">
        <v>0.15823489199999999</v>
      </c>
      <c r="AL39">
        <v>6.5588099999999998E-4</v>
      </c>
      <c r="AM39" s="2" t="s">
        <v>377</v>
      </c>
    </row>
    <row r="40" spans="1:39" x14ac:dyDescent="0.2">
      <c r="A40" s="2" t="s">
        <v>89</v>
      </c>
      <c r="B40">
        <v>300</v>
      </c>
      <c r="C40">
        <v>135</v>
      </c>
      <c r="D40">
        <v>480</v>
      </c>
      <c r="E40" s="23">
        <v>1000000</v>
      </c>
      <c r="F40" s="23">
        <v>500000</v>
      </c>
      <c r="G40" s="23">
        <v>1200000</v>
      </c>
      <c r="H40" s="23">
        <v>7500</v>
      </c>
      <c r="I40" s="23">
        <v>3570</v>
      </c>
      <c r="J40" s="23">
        <v>10165</v>
      </c>
      <c r="N40">
        <v>880</v>
      </c>
      <c r="O40">
        <v>470</v>
      </c>
      <c r="P40">
        <v>1000</v>
      </c>
      <c r="Q40">
        <v>44</v>
      </c>
      <c r="R40">
        <v>33</v>
      </c>
      <c r="S40">
        <v>51</v>
      </c>
      <c r="AK40">
        <v>0.15823489199999999</v>
      </c>
      <c r="AL40">
        <v>6.5588099999999998E-4</v>
      </c>
      <c r="AM40" s="2" t="s">
        <v>377</v>
      </c>
    </row>
    <row r="41" spans="1:39" x14ac:dyDescent="0.2">
      <c r="A41" s="2" t="s">
        <v>124</v>
      </c>
      <c r="B41">
        <v>300</v>
      </c>
      <c r="C41">
        <v>135</v>
      </c>
      <c r="D41">
        <v>480</v>
      </c>
      <c r="E41" s="23">
        <v>1000000</v>
      </c>
      <c r="F41" s="23">
        <v>500000</v>
      </c>
      <c r="G41" s="23">
        <v>1200000</v>
      </c>
      <c r="H41" s="23">
        <v>7500</v>
      </c>
      <c r="I41" s="23">
        <v>3570</v>
      </c>
      <c r="J41" s="23">
        <v>10165</v>
      </c>
      <c r="N41">
        <v>880</v>
      </c>
      <c r="O41">
        <v>470</v>
      </c>
      <c r="P41">
        <v>1000</v>
      </c>
      <c r="Q41">
        <v>44</v>
      </c>
      <c r="R41">
        <v>33</v>
      </c>
      <c r="S41">
        <v>51</v>
      </c>
      <c r="AK41">
        <v>0.15823489199999999</v>
      </c>
      <c r="AL41">
        <v>6.5588099999999998E-4</v>
      </c>
      <c r="AM41" s="2" t="s">
        <v>377</v>
      </c>
    </row>
    <row r="42" spans="1:39" x14ac:dyDescent="0.2">
      <c r="A42" s="2" t="s">
        <v>131</v>
      </c>
      <c r="B42">
        <v>300</v>
      </c>
      <c r="C42">
        <v>135</v>
      </c>
      <c r="D42">
        <v>480</v>
      </c>
      <c r="E42" s="23">
        <v>1000000</v>
      </c>
      <c r="F42" s="23">
        <v>500000</v>
      </c>
      <c r="G42" s="23">
        <v>1200000</v>
      </c>
      <c r="H42" s="23">
        <v>7500</v>
      </c>
      <c r="I42" s="23">
        <v>3570</v>
      </c>
      <c r="J42" s="23">
        <v>10165</v>
      </c>
      <c r="N42">
        <v>880</v>
      </c>
      <c r="O42">
        <v>470</v>
      </c>
      <c r="P42">
        <v>1000</v>
      </c>
      <c r="Q42">
        <v>44</v>
      </c>
      <c r="R42">
        <v>33</v>
      </c>
      <c r="S42">
        <v>51</v>
      </c>
      <c r="AK42">
        <v>0.15823489199999999</v>
      </c>
      <c r="AL42">
        <v>6.5588099999999998E-4</v>
      </c>
      <c r="AM42" s="2" t="s">
        <v>377</v>
      </c>
    </row>
    <row r="43" spans="1:39" x14ac:dyDescent="0.2">
      <c r="A43" s="2" t="s">
        <v>272</v>
      </c>
      <c r="B43">
        <v>300</v>
      </c>
      <c r="C43">
        <v>135</v>
      </c>
      <c r="D43">
        <v>480</v>
      </c>
      <c r="E43" s="23">
        <v>1000000</v>
      </c>
      <c r="F43" s="23">
        <v>500000</v>
      </c>
      <c r="G43" s="23">
        <v>1200000</v>
      </c>
      <c r="H43" s="23">
        <v>7500</v>
      </c>
      <c r="I43" s="23">
        <v>3570</v>
      </c>
      <c r="J43" s="23">
        <v>10165</v>
      </c>
      <c r="N43">
        <v>880</v>
      </c>
      <c r="O43">
        <v>470</v>
      </c>
      <c r="P43">
        <v>1000</v>
      </c>
      <c r="Q43">
        <v>44</v>
      </c>
      <c r="R43">
        <v>33</v>
      </c>
      <c r="S43">
        <v>51</v>
      </c>
      <c r="AK43">
        <v>0.15823489199999999</v>
      </c>
      <c r="AL43">
        <v>6.5588099999999998E-4</v>
      </c>
      <c r="AM43" s="2" t="s">
        <v>377</v>
      </c>
    </row>
    <row r="44" spans="1:39" x14ac:dyDescent="0.2">
      <c r="A44" s="2" t="s">
        <v>302</v>
      </c>
      <c r="B44">
        <v>323</v>
      </c>
      <c r="C44">
        <v>130</v>
      </c>
      <c r="D44">
        <v>460</v>
      </c>
      <c r="E44" s="23">
        <v>1000000</v>
      </c>
      <c r="F44" s="23">
        <v>500000</v>
      </c>
      <c r="G44" s="23">
        <v>1200000</v>
      </c>
      <c r="H44" s="23">
        <v>3440</v>
      </c>
      <c r="I44" s="23">
        <v>1730</v>
      </c>
      <c r="J44" s="23">
        <v>4720</v>
      </c>
      <c r="K44" s="23">
        <v>360</v>
      </c>
      <c r="L44" s="23">
        <v>66</v>
      </c>
      <c r="M44" s="23">
        <v>350</v>
      </c>
      <c r="T44">
        <v>480</v>
      </c>
      <c r="U44">
        <v>240</v>
      </c>
      <c r="V44">
        <v>655</v>
      </c>
      <c r="AH44">
        <v>25</v>
      </c>
      <c r="AI44">
        <v>166</v>
      </c>
      <c r="AJ44">
        <v>15</v>
      </c>
      <c r="AM44" s="2" t="s">
        <v>377</v>
      </c>
    </row>
    <row r="45" spans="1:39" x14ac:dyDescent="0.2">
      <c r="A45" s="2" t="s">
        <v>298</v>
      </c>
      <c r="B45">
        <v>220</v>
      </c>
      <c r="C45">
        <v>100</v>
      </c>
      <c r="D45">
        <v>290</v>
      </c>
      <c r="E45" s="23">
        <v>1000000</v>
      </c>
      <c r="F45" s="23">
        <v>500000</v>
      </c>
      <c r="G45" s="23">
        <v>1200000</v>
      </c>
      <c r="H45" s="23">
        <v>4930</v>
      </c>
      <c r="I45" s="23">
        <v>2360</v>
      </c>
      <c r="J45" s="23">
        <v>6500</v>
      </c>
      <c r="K45" s="23">
        <v>150</v>
      </c>
      <c r="L45" s="23">
        <v>50</v>
      </c>
      <c r="M45" s="23">
        <v>240</v>
      </c>
      <c r="Q45">
        <v>326</v>
      </c>
      <c r="R45">
        <v>180</v>
      </c>
      <c r="S45">
        <v>360</v>
      </c>
      <c r="T45">
        <v>52</v>
      </c>
      <c r="U45">
        <v>35</v>
      </c>
      <c r="V45">
        <v>63</v>
      </c>
      <c r="Z45">
        <v>60</v>
      </c>
      <c r="AA45">
        <v>20</v>
      </c>
      <c r="AB45">
        <v>85</v>
      </c>
      <c r="AH45">
        <v>25</v>
      </c>
      <c r="AI45">
        <v>166</v>
      </c>
      <c r="AJ45">
        <v>15</v>
      </c>
      <c r="AM45" s="2" t="s">
        <v>377</v>
      </c>
    </row>
    <row r="46" spans="1:39" x14ac:dyDescent="0.2">
      <c r="A46" s="2" t="s">
        <v>271</v>
      </c>
      <c r="B46">
        <v>308</v>
      </c>
      <c r="C46">
        <v>155</v>
      </c>
      <c r="D46">
        <v>485</v>
      </c>
      <c r="E46" s="23">
        <v>1000000</v>
      </c>
      <c r="F46" s="23">
        <v>500000</v>
      </c>
      <c r="G46" s="23">
        <v>1200000</v>
      </c>
      <c r="H46" s="23">
        <v>7530</v>
      </c>
      <c r="I46" s="23">
        <v>3600</v>
      </c>
      <c r="J46" s="23">
        <v>10315</v>
      </c>
      <c r="N46">
        <v>1040</v>
      </c>
      <c r="O46">
        <v>610</v>
      </c>
      <c r="P46">
        <v>1230</v>
      </c>
      <c r="Q46">
        <v>123</v>
      </c>
      <c r="R46">
        <v>77</v>
      </c>
      <c r="S46">
        <v>155</v>
      </c>
      <c r="AK46">
        <v>3.0144679000000001E-2</v>
      </c>
      <c r="AL46">
        <v>4.0642500000000003E-4</v>
      </c>
      <c r="AM46" s="2" t="s">
        <v>377</v>
      </c>
    </row>
    <row r="47" spans="1:39" x14ac:dyDescent="0.2">
      <c r="A47" s="2" t="s">
        <v>249</v>
      </c>
      <c r="B47">
        <v>308</v>
      </c>
      <c r="C47">
        <v>155</v>
      </c>
      <c r="D47">
        <v>485</v>
      </c>
      <c r="E47" s="23">
        <v>1000000</v>
      </c>
      <c r="F47" s="23">
        <v>500000</v>
      </c>
      <c r="G47" s="23">
        <v>1200000</v>
      </c>
      <c r="H47" s="23">
        <v>7530</v>
      </c>
      <c r="I47" s="23">
        <v>3600</v>
      </c>
      <c r="J47" s="23">
        <v>10315</v>
      </c>
      <c r="N47">
        <v>1040</v>
      </c>
      <c r="O47">
        <v>610</v>
      </c>
      <c r="P47">
        <v>1230</v>
      </c>
      <c r="Q47">
        <v>123</v>
      </c>
      <c r="R47">
        <v>77</v>
      </c>
      <c r="S47">
        <v>155</v>
      </c>
      <c r="AK47">
        <v>3.0144679000000001E-2</v>
      </c>
      <c r="AL47">
        <v>4.0642500000000003E-4</v>
      </c>
      <c r="AM47" s="2" t="s">
        <v>377</v>
      </c>
    </row>
    <row r="48" spans="1:39" x14ac:dyDescent="0.2">
      <c r="A48" s="2" t="s">
        <v>270</v>
      </c>
      <c r="B48">
        <v>308</v>
      </c>
      <c r="C48">
        <v>155</v>
      </c>
      <c r="D48">
        <v>485</v>
      </c>
      <c r="E48" s="23">
        <v>1000000</v>
      </c>
      <c r="F48" s="23">
        <v>500000</v>
      </c>
      <c r="G48" s="23">
        <v>1200000</v>
      </c>
      <c r="H48" s="23">
        <v>7530</v>
      </c>
      <c r="I48" s="23">
        <v>3600</v>
      </c>
      <c r="J48" s="23">
        <v>10315</v>
      </c>
      <c r="N48">
        <v>1040</v>
      </c>
      <c r="O48">
        <v>610</v>
      </c>
      <c r="P48">
        <v>1230</v>
      </c>
      <c r="Q48">
        <v>123</v>
      </c>
      <c r="R48">
        <v>77</v>
      </c>
      <c r="S48">
        <v>155</v>
      </c>
      <c r="AK48">
        <v>3.0144679000000001E-2</v>
      </c>
      <c r="AL48">
        <v>4.0642500000000003E-4</v>
      </c>
      <c r="AM48" s="2" t="s">
        <v>377</v>
      </c>
    </row>
    <row r="49" spans="1:39" x14ac:dyDescent="0.2">
      <c r="A49" s="17" t="s">
        <v>325</v>
      </c>
      <c r="E49" s="23"/>
      <c r="F49" s="23"/>
      <c r="G49" s="23"/>
      <c r="AM49" s="17"/>
    </row>
    <row r="50" spans="1:39" x14ac:dyDescent="0.2">
      <c r="A50" s="2" t="s">
        <v>95</v>
      </c>
      <c r="E50" s="23">
        <v>90000000</v>
      </c>
      <c r="F50" s="23">
        <v>50000000</v>
      </c>
      <c r="G50" s="23">
        <v>115000000</v>
      </c>
      <c r="H50" s="23">
        <f>3.2*36000</f>
        <v>115200</v>
      </c>
      <c r="I50" s="23">
        <f>2.7*36000</f>
        <v>97200</v>
      </c>
      <c r="J50" s="23">
        <f>13.9*36000</f>
        <v>500400</v>
      </c>
      <c r="AM50" s="2" t="s">
        <v>378</v>
      </c>
    </row>
    <row r="51" spans="1:39" x14ac:dyDescent="0.2">
      <c r="A51" s="2" t="s">
        <v>301</v>
      </c>
      <c r="E51" s="23">
        <v>90000000</v>
      </c>
      <c r="F51" s="23">
        <v>50000000</v>
      </c>
      <c r="G51" s="23">
        <v>115000000</v>
      </c>
      <c r="H51" s="23">
        <f>3.2*36000</f>
        <v>115200</v>
      </c>
      <c r="I51" s="23">
        <f>2.7*36000</f>
        <v>97200</v>
      </c>
      <c r="J51" s="23">
        <f>13.9*36000</f>
        <v>500400</v>
      </c>
      <c r="AM51" s="2" t="s">
        <v>378</v>
      </c>
    </row>
    <row r="52" spans="1:39" x14ac:dyDescent="0.2">
      <c r="A52" s="2" t="s">
        <v>279</v>
      </c>
      <c r="E52" s="23">
        <v>90000000</v>
      </c>
      <c r="F52" s="23">
        <v>50000000</v>
      </c>
      <c r="G52" s="23">
        <v>115000000</v>
      </c>
      <c r="H52" s="23">
        <f>3.2*36000</f>
        <v>115200</v>
      </c>
      <c r="I52" s="23">
        <f>2.7*36000</f>
        <v>97200</v>
      </c>
      <c r="J52" s="23">
        <f>13.9*36000</f>
        <v>500400</v>
      </c>
      <c r="AM52" s="2" t="s">
        <v>378</v>
      </c>
    </row>
    <row r="53" spans="1:39" x14ac:dyDescent="0.2">
      <c r="A53" s="2" t="s">
        <v>375</v>
      </c>
      <c r="E53" s="23">
        <v>90000000</v>
      </c>
      <c r="F53" s="23">
        <v>50000000</v>
      </c>
      <c r="G53" s="23">
        <v>115000000</v>
      </c>
      <c r="H53" s="23">
        <f>H50/3</f>
        <v>38400</v>
      </c>
      <c r="I53" s="23">
        <f>I50/3</f>
        <v>32400</v>
      </c>
      <c r="J53" s="23">
        <f>J50/3</f>
        <v>166800</v>
      </c>
      <c r="T53">
        <v>10000</v>
      </c>
      <c r="U53">
        <v>8000</v>
      </c>
      <c r="V53">
        <v>12500</v>
      </c>
      <c r="W53">
        <v>10</v>
      </c>
      <c r="X53">
        <v>5</v>
      </c>
      <c r="Y53">
        <v>30</v>
      </c>
      <c r="AM53" s="2" t="s">
        <v>381</v>
      </c>
    </row>
    <row r="54" spans="1:39" x14ac:dyDescent="0.2">
      <c r="A54" s="2" t="s">
        <v>379</v>
      </c>
      <c r="E54" s="23">
        <v>90000000</v>
      </c>
      <c r="F54" s="23">
        <v>50000000</v>
      </c>
      <c r="G54" s="23">
        <v>115000000</v>
      </c>
      <c r="H54" s="23">
        <v>120000</v>
      </c>
      <c r="I54" s="23">
        <v>101000</v>
      </c>
      <c r="J54" s="23">
        <v>165000</v>
      </c>
      <c r="Q54">
        <v>1700</v>
      </c>
      <c r="R54">
        <v>1000</v>
      </c>
      <c r="S54">
        <v>3000</v>
      </c>
      <c r="AM54" s="2" t="s">
        <v>380</v>
      </c>
    </row>
    <row r="55" spans="1:39" x14ac:dyDescent="0.2">
      <c r="A55" s="17" t="s">
        <v>326</v>
      </c>
      <c r="E55" s="23"/>
      <c r="F55" s="23"/>
      <c r="G55" s="23"/>
      <c r="AM55" s="17"/>
    </row>
    <row r="56" spans="1:39" x14ac:dyDescent="0.2">
      <c r="A56" s="2" t="s">
        <v>101</v>
      </c>
      <c r="E56" s="23"/>
      <c r="F56" s="23"/>
      <c r="G56" s="23"/>
      <c r="AM56" s="2"/>
    </row>
    <row r="57" spans="1:39" x14ac:dyDescent="0.2">
      <c r="A57" s="2" t="s">
        <v>128</v>
      </c>
      <c r="E57" s="23"/>
      <c r="F57" s="23"/>
      <c r="G57" s="23"/>
      <c r="AM57" s="2"/>
    </row>
    <row r="58" spans="1:39" x14ac:dyDescent="0.2">
      <c r="A58" s="2" t="s">
        <v>390</v>
      </c>
      <c r="B58">
        <v>3200</v>
      </c>
      <c r="C58">
        <v>2500</v>
      </c>
      <c r="D58">
        <v>5000</v>
      </c>
      <c r="E58" s="23">
        <v>4200000</v>
      </c>
      <c r="F58" s="23">
        <v>3000000</v>
      </c>
      <c r="G58" s="23">
        <v>10000000</v>
      </c>
      <c r="H58" s="23">
        <f>225*43000/2</f>
        <v>4837500</v>
      </c>
      <c r="I58" s="23">
        <f>170*43000/2</f>
        <v>3655000</v>
      </c>
      <c r="J58" s="23">
        <f>340*43000/2</f>
        <v>7310000</v>
      </c>
      <c r="Q58" s="36">
        <f>(T59*3.6/120)</f>
        <v>201000</v>
      </c>
      <c r="R58" s="36">
        <f>(U59*3.6/120)</f>
        <v>105000</v>
      </c>
      <c r="S58" s="36">
        <f>(V59*3.6/120)</f>
        <v>300000</v>
      </c>
      <c r="T58" s="36">
        <f>T59*0.1</f>
        <v>670000</v>
      </c>
      <c r="U58" s="36">
        <f>U59*0.1</f>
        <v>350000</v>
      </c>
      <c r="V58" s="36">
        <f>V59*0.1</f>
        <v>1000000</v>
      </c>
      <c r="Z58">
        <f>B58*0.5</f>
        <v>1600</v>
      </c>
      <c r="AA58">
        <f t="shared" ref="AA58:AB58" si="0">C58*0.5</f>
        <v>1250</v>
      </c>
      <c r="AB58">
        <f t="shared" si="0"/>
        <v>2500</v>
      </c>
      <c r="AM58" t="s">
        <v>392</v>
      </c>
    </row>
    <row r="59" spans="1:39" x14ac:dyDescent="0.2">
      <c r="A59" s="2" t="s">
        <v>374</v>
      </c>
      <c r="B59">
        <v>3200</v>
      </c>
      <c r="C59">
        <v>2500</v>
      </c>
      <c r="D59">
        <v>5000</v>
      </c>
      <c r="E59" s="23">
        <v>4200000</v>
      </c>
      <c r="F59" s="23">
        <v>3000000</v>
      </c>
      <c r="G59" s="23">
        <v>10000000</v>
      </c>
      <c r="H59" s="23">
        <f>225*43000/2</f>
        <v>4837500</v>
      </c>
      <c r="I59" s="23">
        <f>170*43000/2</f>
        <v>3655000</v>
      </c>
      <c r="J59" s="23">
        <f>340*43000/2</f>
        <v>7310000</v>
      </c>
      <c r="T59" s="23">
        <v>6700000</v>
      </c>
      <c r="U59" s="23">
        <v>3500000</v>
      </c>
      <c r="V59" s="23">
        <v>10000000</v>
      </c>
      <c r="AM59" s="34" t="s">
        <v>391</v>
      </c>
    </row>
    <row r="62" spans="1:39" x14ac:dyDescent="0.2">
      <c r="H62" s="3"/>
    </row>
    <row r="63" spans="1:39" x14ac:dyDescent="0.2">
      <c r="H63" s="3"/>
    </row>
    <row r="64" spans="1:39" x14ac:dyDescent="0.2">
      <c r="E64" s="23"/>
      <c r="H64" s="3"/>
    </row>
    <row r="66" spans="8:10" x14ac:dyDescent="0.2">
      <c r="H66" s="3"/>
    </row>
    <row r="69" spans="8:10" x14ac:dyDescent="0.2">
      <c r="H69" s="3"/>
    </row>
    <row r="70" spans="8:10" x14ac:dyDescent="0.2">
      <c r="H70" s="13"/>
      <c r="J70" s="23"/>
    </row>
    <row r="71" spans="8:10" x14ac:dyDescent="0.2">
      <c r="J71" s="35"/>
    </row>
  </sheetData>
  <hyperlinks>
    <hyperlink ref="AM59" r:id="rId1" xr:uid="{7BAC75A8-9D3C-834C-8FF7-41D819D23684}"/>
    <hyperlink ref="AM13" r:id="rId2" display="https://www.bafu.admin.ch/dam/en/sd-web/lggkMIGXeKNu/real-driving-emissions-from-diesel-passenger-cars-measured-by-remote-sensing-and-as-compared-with-pems-and-chassis-dynamometer-measurements-conox-task-2-report.pdf" xr:uid="{088125BF-1B03-824A-87EF-84529D30AECE}"/>
    <hyperlink ref="AM16" r:id="rId3" display="https://www.bafu.admin.ch/dam/en/sd-web/lggkMIGXeKNu/real-driving-emissions-from-diesel-passenger-cars-measured-by-remote-sensing-and-as-compared-with-pems-and-chassis-dynamometer-measurements-conox-task-2-report.pdf" xr:uid="{6E4AE041-DD37-AE46-A0E2-F31863A2DC30}"/>
    <hyperlink ref="AM14" r:id="rId4" display="https://www.bafu.admin.ch/dam/en/sd-web/lggkMIGXeKNu/real-driving-emissions-from-diesel-passenger-cars-measured-by-remote-sensing-and-as-compared-with-pems-and-chassis-dynamometer-measurements-conox-task-2-report.pdf" xr:uid="{03CCA42D-F64D-C74E-828A-ADFD5E2D9C52}"/>
    <hyperlink ref="AM15" r:id="rId5" display="https://www.bafu.admin.ch/dam/en/sd-web/lggkMIGXeKNu/real-driving-emissions-from-diesel-passenger-cars-measured-by-remote-sensing-and-as-compared-with-pems-and-chassis-dynamometer-measurements-conox-task-2-report.pdf" xr:uid="{AC777227-203D-2242-92B4-8174BFCA58F2}"/>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Inventories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2023-11-02T11:15:41Z</dcterms:created>
  <dcterms:modified xsi:type="dcterms:W3CDTF">2026-05-11T18:14:20Z</dcterms:modified>
</cp:coreProperties>
</file>