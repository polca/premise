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filterPrivacy="1"/>
  <xr:revisionPtr revIDLastSave="0" documentId="13_ncr:1_{59BA4066-325E-3C46-A2F7-CE0061120767}" xr6:coauthVersionLast="47" xr6:coauthVersionMax="47" xr10:uidLastSave="{00000000-0000-0000-0000-000000000000}"/>
  <bookViews>
    <workbookView xWindow="0" yWindow="500" windowWidth="29040" windowHeight="15840" xr2:uid="{00000000-000D-0000-FFFF-FFFF00000000}"/>
  </bookViews>
  <sheets>
    <sheet name="PV_GaAs" sheetId="3" r:id="rId1"/>
  </sheets>
  <definedNames>
    <definedName name="_xlnm._FilterDatabase" localSheetId="0" hidden="1">PV_GaAs!$A$1:$I$444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40" i="3" l="1"/>
  <c r="L440" i="3"/>
  <c r="D426" i="3"/>
  <c r="D422" i="3" l="1"/>
  <c r="D425" i="3"/>
  <c r="D424" i="3"/>
  <c r="D440" i="3"/>
  <c r="K440" i="3" l="1"/>
  <c r="D423" i="3"/>
  <c r="D443" i="3"/>
  <c r="E421" i="3"/>
  <c r="A421" i="3"/>
  <c r="B421" i="3"/>
  <c r="D421" i="3"/>
  <c r="D439" i="3"/>
  <c r="B439" i="3"/>
  <c r="A439" i="3"/>
  <c r="B96" i="3"/>
  <c r="B148" i="3"/>
  <c r="D442" i="3" l="1"/>
  <c r="D441" i="3"/>
  <c r="D406" i="3"/>
  <c r="B406" i="3"/>
  <c r="A406" i="3"/>
  <c r="D389" i="3"/>
  <c r="B389" i="3"/>
  <c r="A389" i="3"/>
  <c r="D371" i="3"/>
  <c r="B371" i="3"/>
  <c r="A371" i="3"/>
  <c r="A353" i="3"/>
  <c r="D353" i="3"/>
  <c r="B353" i="3"/>
  <c r="F117" i="3"/>
  <c r="A117" i="3"/>
  <c r="B117" i="3"/>
  <c r="E117" i="3"/>
  <c r="A134" i="3"/>
  <c r="B134" i="3"/>
  <c r="E134" i="3"/>
  <c r="A148" i="3"/>
  <c r="E148" i="3"/>
  <c r="A164" i="3"/>
  <c r="B164" i="3"/>
  <c r="E164" i="3"/>
  <c r="A183" i="3"/>
  <c r="B183" i="3"/>
  <c r="D183" i="3"/>
  <c r="E183" i="3"/>
  <c r="A202" i="3"/>
  <c r="B202" i="3"/>
  <c r="D202" i="3"/>
  <c r="E202" i="3"/>
  <c r="A217" i="3"/>
  <c r="B217" i="3"/>
  <c r="D217" i="3"/>
  <c r="E217" i="3"/>
  <c r="A232" i="3"/>
  <c r="B232" i="3"/>
  <c r="D232" i="3"/>
  <c r="E232" i="3"/>
  <c r="A251" i="3"/>
  <c r="B251" i="3"/>
  <c r="E251" i="3"/>
  <c r="A265" i="3"/>
  <c r="B265" i="3"/>
  <c r="D265" i="3"/>
  <c r="E265" i="3"/>
  <c r="A284" i="3"/>
  <c r="B284" i="3"/>
  <c r="D284" i="3"/>
  <c r="E284" i="3"/>
  <c r="A301" i="3"/>
  <c r="B301" i="3"/>
  <c r="D301" i="3"/>
  <c r="E301" i="3"/>
  <c r="A318" i="3"/>
  <c r="B318" i="3"/>
  <c r="D318" i="3"/>
  <c r="E318" i="3"/>
  <c r="A333" i="3"/>
  <c r="B333" i="3"/>
  <c r="D333" i="3"/>
  <c r="E333" i="3"/>
  <c r="A96" i="3"/>
  <c r="B74" i="3"/>
  <c r="A74" i="3"/>
  <c r="B57" i="3"/>
  <c r="A57" i="3"/>
  <c r="B36" i="3" l="1"/>
  <c r="A36" i="3"/>
  <c r="F15" i="3" l="1"/>
  <c r="E15" i="3"/>
  <c r="B15" i="3"/>
  <c r="A15" i="3"/>
</calcChain>
</file>

<file path=xl/sharedStrings.xml><?xml version="1.0" encoding="utf-8"?>
<sst xmlns="http://schemas.openxmlformats.org/spreadsheetml/2006/main" count="1628" uniqueCount="286">
  <si>
    <t>Activity</t>
  </si>
  <si>
    <t>location</t>
  </si>
  <si>
    <t>reference product</t>
  </si>
  <si>
    <t>type</t>
  </si>
  <si>
    <t>unit</t>
  </si>
  <si>
    <t>kilogram</t>
  </si>
  <si>
    <t>Exchanges</t>
  </si>
  <si>
    <t>name</t>
  </si>
  <si>
    <t>amount</t>
  </si>
  <si>
    <t>categories</t>
  </si>
  <si>
    <t>production</t>
  </si>
  <si>
    <t>biosphere</t>
  </si>
  <si>
    <t>cubic meter</t>
  </si>
  <si>
    <t>database</t>
  </si>
  <si>
    <t>code</t>
  </si>
  <si>
    <t>kilowatt hour</t>
  </si>
  <si>
    <t>technosphere</t>
  </si>
  <si>
    <t>GaAs wafer with resist patterned</t>
  </si>
  <si>
    <t>gaas_1</t>
  </si>
  <si>
    <t>square meter</t>
  </si>
  <si>
    <t xml:space="preserve">GaAs wafer </t>
  </si>
  <si>
    <t>ecoinvent</t>
  </si>
  <si>
    <t>electroplating</t>
  </si>
  <si>
    <t>GaAs wafer with resist and gold particles</t>
  </si>
  <si>
    <t>gaas_2</t>
  </si>
  <si>
    <t xml:space="preserve">gold </t>
  </si>
  <si>
    <t>Wet etching</t>
  </si>
  <si>
    <t>GaAs wafer with gold particles</t>
  </si>
  <si>
    <t>gaas_3</t>
  </si>
  <si>
    <t>gaas_4</t>
  </si>
  <si>
    <t>hydrogen sulfide</t>
  </si>
  <si>
    <t>arsine</t>
  </si>
  <si>
    <t>GaAs wafer with nanowires</t>
  </si>
  <si>
    <t>GaAs wafer - re-polished for reuse</t>
  </si>
  <si>
    <t>gaas_5</t>
  </si>
  <si>
    <t>CMP slurry</t>
  </si>
  <si>
    <t>polycrystalline GaAs boule</t>
  </si>
  <si>
    <t>single-crystal GaAs boule</t>
  </si>
  <si>
    <t>diamond saw</t>
  </si>
  <si>
    <t>single-crystal GaAs ingot</t>
  </si>
  <si>
    <t>synthetic diamond</t>
  </si>
  <si>
    <t>sawing slurry</t>
  </si>
  <si>
    <t>raw GaAs wafer</t>
  </si>
  <si>
    <t>hydrogen fluoride</t>
  </si>
  <si>
    <t>etched GaAs wafer</t>
  </si>
  <si>
    <t>pre-polished GaAs wafer</t>
  </si>
  <si>
    <t>double-polished GaAs wafer</t>
  </si>
  <si>
    <t>potassium hydroxide</t>
  </si>
  <si>
    <t>GaAs wafer</t>
  </si>
  <si>
    <t>transfer_1</t>
  </si>
  <si>
    <t>transfer_2</t>
  </si>
  <si>
    <t>transfer_3</t>
  </si>
  <si>
    <t>transfer_4</t>
  </si>
  <si>
    <t>transfer_5</t>
  </si>
  <si>
    <t xml:space="preserve">7N Gallium </t>
  </si>
  <si>
    <t>gaas_6</t>
  </si>
  <si>
    <t>gaas_7</t>
  </si>
  <si>
    <t>gaas_8</t>
  </si>
  <si>
    <t>gaas_9</t>
  </si>
  <si>
    <t>gaas_10</t>
  </si>
  <si>
    <t>gaas_11</t>
  </si>
  <si>
    <t>gaas_12</t>
  </si>
  <si>
    <t>gaas_13</t>
  </si>
  <si>
    <t>gaas_14</t>
  </si>
  <si>
    <t>methyl aluminum sesquichloride</t>
  </si>
  <si>
    <t>sodium</t>
  </si>
  <si>
    <t>gallium chloride</t>
  </si>
  <si>
    <t>trimethyl aluminum 99% pure</t>
  </si>
  <si>
    <t>trimethyl_1</t>
  </si>
  <si>
    <t>trimethyl_2</t>
  </si>
  <si>
    <t xml:space="preserve">kilogram </t>
  </si>
  <si>
    <t>trimethyl_3</t>
  </si>
  <si>
    <t>trimethyl_4</t>
  </si>
  <si>
    <t>RER</t>
  </si>
  <si>
    <t>isopropanol production</t>
  </si>
  <si>
    <t>isopropanol</t>
  </si>
  <si>
    <t xml:space="preserve">potassium carbonate </t>
  </si>
  <si>
    <t>GLO</t>
  </si>
  <si>
    <t>potassium carbonate production, from potassium hydroxide</t>
  </si>
  <si>
    <t>water, deionised</t>
  </si>
  <si>
    <t>market for water, deionised</t>
  </si>
  <si>
    <t>Europe without Switzerland</t>
  </si>
  <si>
    <t>electricity, medium voltage</t>
  </si>
  <si>
    <t>market group for electricity, medium voltage</t>
  </si>
  <si>
    <t>market for acetone, liquid</t>
  </si>
  <si>
    <t>air</t>
  </si>
  <si>
    <t xml:space="preserve">changed "liquid acetone production" to "market for acetone" </t>
  </si>
  <si>
    <t xml:space="preserve">changed "Water production deionised, from tap water, at user" to "market for water, deionised" </t>
  </si>
  <si>
    <t xml:space="preserve">VOC, volatile organic compounds </t>
  </si>
  <si>
    <t>treatment of hazardous waste, hazardous waste incineration</t>
  </si>
  <si>
    <t>hazardous waste, for incineration</t>
  </si>
  <si>
    <t>changed "liquid waste" to "hazardous waste, for incineration"</t>
  </si>
  <si>
    <t xml:space="preserve">air </t>
  </si>
  <si>
    <t xml:space="preserve">water </t>
  </si>
  <si>
    <t>changed "organic resist" to "chemical, organic"</t>
  </si>
  <si>
    <t>chemical, organic</t>
  </si>
  <si>
    <t>RoW</t>
  </si>
  <si>
    <t>gold-silver mine operation with refinery</t>
  </si>
  <si>
    <t>hydrochloric acid production, from the reaction of hydrogen with chlorine</t>
  </si>
  <si>
    <t>Cyanide</t>
  </si>
  <si>
    <t>changed "remover (potassium hydroxide)" to "potassium hydroxide"</t>
  </si>
  <si>
    <t>potassium hydroxide production</t>
  </si>
  <si>
    <t>biosphere3</t>
  </si>
  <si>
    <t>hydrogen sulfide production</t>
  </si>
  <si>
    <t>chemical production, organic</t>
  </si>
  <si>
    <t>hydrochloric acid, without water, in 30% solution state</t>
  </si>
  <si>
    <t>changed "hydrogen chloride" to "hydrochloric acid, without water, in 30% solution state"</t>
  </si>
  <si>
    <t>arsine production</t>
  </si>
  <si>
    <t xml:space="preserve">changed "diethyl zinc" to "chemical, organic" </t>
  </si>
  <si>
    <t>changed "waste" to "hazardous waste, for incineration"</t>
  </si>
  <si>
    <t>hydrogen fluoride production</t>
  </si>
  <si>
    <t xml:space="preserve">changed "GLO" to "RER" </t>
  </si>
  <si>
    <t>changed "polishing pad: polyurethane rigid foam" to "polyurethane rigid foam"</t>
  </si>
  <si>
    <t>polyurethane production, rigid foam</t>
  </si>
  <si>
    <t>polyethylene terephthalate production, granulate, amorphous</t>
  </si>
  <si>
    <t>polyethylene terephthalate, granulate, amorphous</t>
  </si>
  <si>
    <t>changed "PET handle: polyethylene terephthalate, granulate, amorphous" to "polyethylene terephthalate, granulate, amorphous"</t>
  </si>
  <si>
    <t>electricity, low voltage</t>
  </si>
  <si>
    <t>changed "Electricity (polishing)" to "electricity, low voltage"</t>
  </si>
  <si>
    <t>UCTE</t>
  </si>
  <si>
    <t>market group for electricity, low voltage</t>
  </si>
  <si>
    <t>changed "pBN crucible (boron carbide)" to "boron carbide"</t>
  </si>
  <si>
    <t>boron carbide</t>
  </si>
  <si>
    <t>boron carbide production</t>
  </si>
  <si>
    <t>changed "electricity" to "electricity, low voltage"</t>
  </si>
  <si>
    <t>changed "pBN crucible (hazardous waste underground deposit)" to "hazardous waste, for underground deposit"</t>
  </si>
  <si>
    <t>hazardous waste, for underground deposit</t>
  </si>
  <si>
    <t>treatment of hazardous waste, underground deposit</t>
  </si>
  <si>
    <t>changed "gallium 6N (semiconductor grade)" to "gallium production, semiconductor-grade"</t>
  </si>
  <si>
    <t>gallium production, semiconductor-grade</t>
  </si>
  <si>
    <t>gallium, semiconductor-grade</t>
  </si>
  <si>
    <t>changed "Electricity" to "electricity, low voltage"</t>
  </si>
  <si>
    <t xml:space="preserve">changed "Arsine production [GLO] – 96.1% As in AsH3, results: 1.53 kg AsH3" to  "arsine production" and "arsenic metallic 2N" to "arsine" </t>
  </si>
  <si>
    <t xml:space="preserve">changed "hydrogen" to "hydrogen, liquid" </t>
  </si>
  <si>
    <t>argon production, liquid</t>
  </si>
  <si>
    <t>argon, liquid</t>
  </si>
  <si>
    <t xml:space="preserve">changed "argon" to "argon, liquid" </t>
  </si>
  <si>
    <t>changed "boron oxide (boric oxide)" to boric oxide"</t>
  </si>
  <si>
    <t>boric oxide</t>
  </si>
  <si>
    <t>boric oxide production</t>
  </si>
  <si>
    <t xml:space="preserve">changed "pBN crucible" to "boron carbide" </t>
  </si>
  <si>
    <t xml:space="preserve">changed "pBN crucible (hazardous waste underground deposit)" to "hazardous waste, for underground deposit" </t>
  </si>
  <si>
    <t xml:space="preserve">changed "boron oxide (hazardous waste underground deposit)" to "hazardous waste, for underground deposit" </t>
  </si>
  <si>
    <t xml:space="preserve">changed "7N arsenic (hazardous waste underground deposit)" to "hazardous waste, for underground deposit" </t>
  </si>
  <si>
    <t>wire drawing, steel</t>
  </si>
  <si>
    <t>changed "steel wire (cropping)" to "wire drawing, steel"</t>
  </si>
  <si>
    <t>changed "electricity (x-ray)" to "electricity, low voltage"</t>
  </si>
  <si>
    <t>changed "electricity (cropping)" to "electricity, low voltage"</t>
  </si>
  <si>
    <t>changed "electricity (notch)" to "electricity, low voltage"</t>
  </si>
  <si>
    <t xml:space="preserve">changed "arsenic (hazardous waste underground deposit)" to "hazardous waste, for underground deposit" </t>
  </si>
  <si>
    <t xml:space="preserve">changed "steel" to "steel, unalloyed" </t>
  </si>
  <si>
    <t>steel production, converter, unalloyed</t>
  </si>
  <si>
    <t xml:space="preserve">changed "hydrogen" to "hydrogen, liquid" and "RoW" to "RER" </t>
  </si>
  <si>
    <t>changed "steel wire (wafering)" to "wire drawing, steel"</t>
  </si>
  <si>
    <t>changed "Electricity (wire saw)" to "electricity, low voltage"</t>
  </si>
  <si>
    <t>changed "Electricity (edge saw)" to "electricity, low voltage"</t>
  </si>
  <si>
    <t>silica sand production</t>
  </si>
  <si>
    <t xml:space="preserve">changed "silica sand particles" to "silica sand" </t>
  </si>
  <si>
    <t>silica sand</t>
  </si>
  <si>
    <t>changed "polyethylene glycol (tri-ethylene glycol)" to "diethylene glycol"</t>
  </si>
  <si>
    <t>diethylene glycol</t>
  </si>
  <si>
    <t>changed "electricity (polishing)" to "electricity, low voltage"</t>
  </si>
  <si>
    <t>water production, ultrapure</t>
  </si>
  <si>
    <t>water, ultrapure</t>
  </si>
  <si>
    <t>changed "electricity (QC - flatness)" to "electricity, low voltage"</t>
  </si>
  <si>
    <t>changed "electricity (QC - surface)" to "electricity, low voltage"</t>
  </si>
  <si>
    <t>changed "polishing pad (polyurethane rigid foam)" to "polyurethane, rigid foam"</t>
  </si>
  <si>
    <t>polyurethane, rigid foam</t>
  </si>
  <si>
    <t>changed "electricity (ultrasonic cleaning)" to "electricity, low voltage"</t>
  </si>
  <si>
    <t>changed "electricity (rinse tank)" to "electricity, low voltage"</t>
  </si>
  <si>
    <t>hydrogen peroxide production, product in 50% solution state</t>
  </si>
  <si>
    <t>changed "hydrogen peroxide" to "hydrogen peroxide, without water, in 50% solution state"</t>
  </si>
  <si>
    <t>hydrogen peroxide, without water, in 50% solution state</t>
  </si>
  <si>
    <t>changed "GLO" to "RoW"</t>
  </si>
  <si>
    <t>changed "plastic cassette (polyethylene terephthalate, granulate , bottle grade)" to "polyethylene terephthalate, granulate, bottle grade"</t>
  </si>
  <si>
    <t>polyethylene terephthalate, granulate, bottle grade</t>
  </si>
  <si>
    <t>polyethylene terephthalate production, granulate, bottle grade</t>
  </si>
  <si>
    <t>chaged "foil bag (aluminum primary ingot)" to "aluminium, primary, ingot"</t>
  </si>
  <si>
    <t>aluminium, primary, ingot</t>
  </si>
  <si>
    <t>IAI Area, EU27 &amp; EFTA</t>
  </si>
  <si>
    <t>aluminium production, primary, ingot</t>
  </si>
  <si>
    <t>changed "PET bag (packaging film, low density polyethylene)" to "packaging film, low density polyethylene"</t>
  </si>
  <si>
    <t>packaging film, low density polyethylene</t>
  </si>
  <si>
    <t>packaging film production, low density polyethylene</t>
  </si>
  <si>
    <t>changed "Hazardous waste" to "hazardous waste, for incineration"</t>
  </si>
  <si>
    <t>aluminium chloride production</t>
  </si>
  <si>
    <t>changed "Aluminium 4N" to "aluminium, primary, liquid"</t>
  </si>
  <si>
    <t>aluminium, primary, liquid</t>
  </si>
  <si>
    <t xml:space="preserve">aluminium production, primary, liquid, prebake </t>
  </si>
  <si>
    <t>methylchloride production</t>
  </si>
  <si>
    <t>WEU</t>
  </si>
  <si>
    <t>methylchloride</t>
  </si>
  <si>
    <t>inert waste, for final disposal</t>
  </si>
  <si>
    <t>changed "inert waste" to "inert waste, for final disposal"</t>
  </si>
  <si>
    <t>market for inert waste, for final disposal</t>
  </si>
  <si>
    <t>chlorine, liquid</t>
  </si>
  <si>
    <t xml:space="preserve">changed "GLO" to "RoW" and "chlorine" to "chlorine, liquid" </t>
  </si>
  <si>
    <t>chlorine production, liquid</t>
  </si>
  <si>
    <t>sodium chloride, powder</t>
  </si>
  <si>
    <t>changed "sodium chloride" to "sodium chloride, powder"</t>
  </si>
  <si>
    <t>sodium chloride production, powder</t>
  </si>
  <si>
    <t>nitrogen, liquid</t>
  </si>
  <si>
    <t>Water</t>
  </si>
  <si>
    <t>changed "waste water" to "water"</t>
  </si>
  <si>
    <t>market for natural gas, high pressure</t>
  </si>
  <si>
    <t>changed "Natural gas production" to "market for natural gas, high pressure" and "methane (natural gas)" to "natural gas, high pressure"</t>
  </si>
  <si>
    <t>natural gas, high pressure</t>
  </si>
  <si>
    <t>Methane, bromo-, Halon 1001</t>
  </si>
  <si>
    <t>Chlorine</t>
  </si>
  <si>
    <t>acetone, liquid</t>
  </si>
  <si>
    <t>7N Arsenic</t>
  </si>
  <si>
    <t>7N Gallium</t>
  </si>
  <si>
    <t>steel, unalloyed</t>
  </si>
  <si>
    <t>changed "diamond saw (edge saw)" to "diamond saw"</t>
  </si>
  <si>
    <t>aluminium chloride</t>
  </si>
  <si>
    <t>changed "methane (emissions)" to "Methane, bromo-, Halon 1001"</t>
  </si>
  <si>
    <t xml:space="preserve">We consider the transfer route, because for direct and transfer route, all impacts are in a similar order of magnitude and are only slightly worse for the transfer route. Only ozone depletion potential is way higher for the direct growth route (due to the use of CHF3). We chose the transfer route, because bringing the direct growth inventories into our model may cause an unfair representation of the ozone depletion category. (In Pallas2020, Table4 impacts of the two routes are compared) </t>
  </si>
  <si>
    <t>use_phase</t>
  </si>
  <si>
    <t>PV_GaAs</t>
  </si>
  <si>
    <t>coating, drying, optical lithography</t>
  </si>
  <si>
    <t>photovoltaic installation, GaAs</t>
  </si>
  <si>
    <t>installation</t>
  </si>
  <si>
    <t>inverter, 2.5kW</t>
  </si>
  <si>
    <t>market for inverter, 2.5kW</t>
  </si>
  <si>
    <t>photovoltaics, electric installation for 3kWp module, at building</t>
  </si>
  <si>
    <t>market for photovoltaics, electric installation for 3kWp module, at building</t>
  </si>
  <si>
    <t>Scaled from 3 kWp to 0.28 kWp</t>
  </si>
  <si>
    <t>Modelled taking as a reference: photovoltaic slanted-roof installation, 3kWp, single-Si, panel, mounted, on roof</t>
  </si>
  <si>
    <t>photovoltaic mounting system, for slanted-roof installation</t>
  </si>
  <si>
    <t>market for photovoltaic mounting system, for slanted-roof installation</t>
  </si>
  <si>
    <t>Energy, solar, converted</t>
  </si>
  <si>
    <t>natural resource::in air</t>
  </si>
  <si>
    <t>megajoule</t>
  </si>
  <si>
    <t>Scaled from: photovoltaic slanted-roof installation, 3kWp, single-Si, panel, mounted, on roof</t>
  </si>
  <si>
    <t>tap water</t>
  </si>
  <si>
    <t>market for tap water</t>
  </si>
  <si>
    <t>market for wastewater, average</t>
  </si>
  <si>
    <t>wastewater, average</t>
  </si>
  <si>
    <t>comment</t>
  </si>
  <si>
    <t>source</t>
  </si>
  <si>
    <t>Pallas, G., Vijver, M. G., Peijnenburg, W. J., &amp; Guinée, J. (2020). Ex ante life cycle assessment of GaAs/Si nanowire–based tandem solar cells: a benchmark for industrialization. The International Journal of Life Cycle Assessment, 25, 1767-1782. https://doi.org/10.1007/s11367-020-01791-z</t>
  </si>
  <si>
    <t>Ex-ante LCA. Pallas et al. (2020) Ex ante life cycle assessment of GaAs/Si nanowire–based tandem solar cells: a benchmark for industrialization. The International Journal of Life Cycle Assessment, 25, 1767-1782. https://doi.org/10.1007/s11367-020-01791-z</t>
  </si>
  <si>
    <t>wet etching</t>
  </si>
  <si>
    <t>epitaxial lift-off (ELO)</t>
  </si>
  <si>
    <t>trimethyl gallium 99% pure</t>
  </si>
  <si>
    <t>Ex-ante LCA. Original inventory from Smith et al. (2018). Imported following Pallas et al. (2020) Ex ante life cycle assessment of GaAs/Si nanowire–based tandem solar cells: a benchmark for industrialization. The International Journal of Life Cycle Assessment, 25, 1767-1782. https://doi.org/10.1007/s11367-020-01791-z</t>
  </si>
  <si>
    <t>polycrystalline GaAs boule production</t>
  </si>
  <si>
    <t>7N gallium production</t>
  </si>
  <si>
    <t>7N arsenic production</t>
  </si>
  <si>
    <t>single-crystal GaAs boule production</t>
  </si>
  <si>
    <t>GaAs ingot production - x-ray, cropping, grinding notch</t>
  </si>
  <si>
    <t>diamond saw production</t>
  </si>
  <si>
    <t>synthetic diamond production</t>
  </si>
  <si>
    <t>raw GaAs wafer production</t>
  </si>
  <si>
    <t>sawing slurry production</t>
  </si>
  <si>
    <t>etched GaAs wafer production - cleaning, etching</t>
  </si>
  <si>
    <t>pre-polished GaAs wafer production</t>
  </si>
  <si>
    <t>double-polished GaAs wafer production - chemical, mechanical polishing (CMP)</t>
  </si>
  <si>
    <t>CMP slurry production</t>
  </si>
  <si>
    <t>GaAs wafer production - cleaning, quality control, packing</t>
  </si>
  <si>
    <t>trimethyl aluminum 99% pure production</t>
  </si>
  <si>
    <t>methyl aluminum sesquichloride production</t>
  </si>
  <si>
    <t>trimethyl gallium 99% pure production</t>
  </si>
  <si>
    <t>gallium chloride production</t>
  </si>
  <si>
    <t>market for diethylene glycol</t>
  </si>
  <si>
    <t>Original inventory, "hydrogen cracking, APME", "hydrogen, liquid", has been deleted in EI3.10</t>
  </si>
  <si>
    <t>hydrogen, gaseous, low pressure</t>
  </si>
  <si>
    <t>market for xylene, mixed</t>
  </si>
  <si>
    <t>xylene, mixed</t>
  </si>
  <si>
    <t>market for nitrogen, liquid</t>
  </si>
  <si>
    <t>sodium production, sodium chloride electrolysis, molten salt cell</t>
  </si>
  <si>
    <t xml:space="preserve">electricity production, photovoltaic, 0.28kWp, GaAs </t>
  </si>
  <si>
    <t>photovoltaic installation, 0.28kWp, GaAs</t>
  </si>
  <si>
    <t>market for hydrogen, gaseous, low pressure</t>
  </si>
  <si>
    <t>uncertainty type</t>
  </si>
  <si>
    <t>loc</t>
  </si>
  <si>
    <t>minimum</t>
  </si>
  <si>
    <t>maximum</t>
  </si>
  <si>
    <t>metal organic vapor phase epitaxy (MOVPE), for GaAs photovoltaic panel</t>
  </si>
  <si>
    <t>100 times reused</t>
  </si>
  <si>
    <t>Min-max values represent a 20-40 years lifetime.</t>
  </si>
  <si>
    <t xml:space="preserve">This process produces two outputs, namely "GaAs wafer - re-polished for reuse" (main product) and "membrane with nanowires, 1m2" (by-product). </t>
  </si>
  <si>
    <t>market for photovoltaic cell, single-Si wafer</t>
  </si>
  <si>
    <t>photovoltaic cell, single-Si wafer</t>
  </si>
  <si>
    <t>GaAs</t>
  </si>
  <si>
    <t>Value in reference dataset: 21.429m2. They use panels of 156x156cm2 with a capacity of 224 Wp to reach 3kWp. We use 1 square meter, so scale everything to 1 square meter (but the inverter that is scaled according to the 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</si>
</sst>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6" x14ac:knownFonts="1">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11"/>
      <color rgb="FFFF0000"/>
      <name val="Calibri"/>
      <family val="2"/>
      <scheme val="minor"/>
    </font>
    <font>
      <sz val="11"/>
      <color rgb="FF000000"/>
      <name val="Calibri"/>
      <family val="2"/>
      <scheme val="minor"/>
    </font>
    <font>
      <sz val="11"/>
      <color theme="1"/>
      <name val="Aptos"/>
      <family val="2"/>
    </font>
    <font>
      <b/>
      <sz val="11"/>
      <color rgb="FF000000"/>
      <name val="Calibri"/>
      <family val="2"/>
    </font>
    <font>
      <sz val="11"/>
      <color rgb="FF000000"/>
      <name val="Calibri"/>
      <family val="2"/>
    </font>
    <font>
      <b/>
      <sz val="11"/>
      <color rgb="FF000000"/>
      <name val="Calibri"/>
      <family val="2"/>
      <scheme val="minor"/>
    </font>
    <font>
      <sz val="11"/>
      <color theme="1"/>
      <name val="Calibri"/>
      <family val="2"/>
    </font>
    <font>
      <sz val="11"/>
      <color theme="1"/>
      <name val="Calibri (Textkörper)"/>
    </font>
    <font>
      <sz val="11"/>
      <color rgb="FFFF0000"/>
      <name val="Calibri (Textkörper)"/>
    </font>
    <font>
      <sz val="11"/>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4" fillId="0" borderId="0"/>
    <xf numFmtId="43" fontId="2" fillId="0" borderId="0" applyFont="0" applyFill="0" applyBorder="0" applyAlignment="0" applyProtection="0"/>
  </cellStyleXfs>
  <cellXfs count="34">
    <xf numFmtId="0" fontId="0" fillId="0" borderId="0" xfId="0"/>
    <xf numFmtId="2" fontId="0" fillId="0" borderId="0" xfId="0" applyNumberFormat="1"/>
    <xf numFmtId="0" fontId="3" fillId="0" borderId="0" xfId="0" applyFont="1"/>
    <xf numFmtId="2" fontId="3" fillId="0" borderId="0" xfId="0" applyNumberFormat="1" applyFont="1"/>
    <xf numFmtId="0" fontId="1" fillId="0" borderId="0" xfId="0" applyFont="1"/>
    <xf numFmtId="2" fontId="6" fillId="0" borderId="0" xfId="0" applyNumberFormat="1" applyFont="1" applyAlignment="1">
      <alignment horizontal="right" vertical="center"/>
    </xf>
    <xf numFmtId="0" fontId="5" fillId="0" borderId="0" xfId="0" applyFont="1"/>
    <xf numFmtId="11" fontId="0" fillId="0" borderId="0" xfId="0" applyNumberFormat="1"/>
    <xf numFmtId="0" fontId="6" fillId="0" borderId="0" xfId="0" applyFont="1" applyAlignment="1">
      <alignment vertical="center"/>
    </xf>
    <xf numFmtId="0" fontId="9" fillId="0" borderId="0" xfId="0" applyFont="1" applyAlignment="1">
      <alignment vertical="center"/>
    </xf>
    <xf numFmtId="2" fontId="9" fillId="0" borderId="0" xfId="0" applyNumberFormat="1" applyFont="1" applyAlignment="1">
      <alignment horizontal="right" vertical="center"/>
    </xf>
    <xf numFmtId="0" fontId="8" fillId="0" borderId="0" xfId="0" applyFont="1" applyAlignment="1">
      <alignment vertical="center"/>
    </xf>
    <xf numFmtId="2" fontId="8" fillId="0" borderId="0" xfId="0" applyNumberFormat="1" applyFont="1" applyAlignment="1">
      <alignment vertical="center"/>
    </xf>
    <xf numFmtId="0" fontId="9" fillId="0" borderId="0" xfId="0" applyFont="1" applyAlignment="1">
      <alignment horizontal="right" vertical="center"/>
    </xf>
    <xf numFmtId="2" fontId="9" fillId="0" borderId="0" xfId="0" applyNumberFormat="1" applyFont="1" applyAlignment="1">
      <alignment vertical="center"/>
    </xf>
    <xf numFmtId="0" fontId="12" fillId="0" borderId="0" xfId="0" applyFont="1" applyAlignment="1">
      <alignment vertical="center"/>
    </xf>
    <xf numFmtId="0" fontId="12" fillId="0" borderId="0" xfId="0" applyFont="1"/>
    <xf numFmtId="0" fontId="11" fillId="0" borderId="0" xfId="0" applyFont="1" applyAlignment="1">
      <alignment vertical="center"/>
    </xf>
    <xf numFmtId="0" fontId="7" fillId="0" borderId="0" xfId="0" applyFont="1" applyAlignment="1">
      <alignment vertical="center"/>
    </xf>
    <xf numFmtId="0" fontId="6" fillId="0" borderId="0" xfId="0" applyFont="1"/>
    <xf numFmtId="0" fontId="10" fillId="0" borderId="0" xfId="0" applyFont="1" applyAlignment="1">
      <alignment vertical="center"/>
    </xf>
    <xf numFmtId="0" fontId="6" fillId="0" borderId="0" xfId="0" applyFont="1" applyAlignment="1">
      <alignment horizontal="right" vertical="center"/>
    </xf>
    <xf numFmtId="0" fontId="0" fillId="0" borderId="0" xfId="0" applyAlignment="1">
      <alignment vertical="center"/>
    </xf>
    <xf numFmtId="0" fontId="3" fillId="0" borderId="0" xfId="0" applyFont="1" applyAlignment="1">
      <alignment vertical="center"/>
    </xf>
    <xf numFmtId="0" fontId="0" fillId="0" borderId="0" xfId="0" applyAlignment="1">
      <alignment horizontal="right" vertical="center"/>
    </xf>
    <xf numFmtId="0" fontId="13" fillId="0" borderId="0" xfId="0" applyFont="1"/>
    <xf numFmtId="2" fontId="6" fillId="0" borderId="0" xfId="0" applyNumberFormat="1" applyFont="1" applyAlignment="1">
      <alignment vertical="center"/>
    </xf>
    <xf numFmtId="11" fontId="5" fillId="0" borderId="0" xfId="0" applyNumberFormat="1" applyFont="1" applyAlignment="1">
      <alignment horizontal="right" vertical="center"/>
    </xf>
    <xf numFmtId="0" fontId="14" fillId="0" borderId="0" xfId="0" applyFont="1"/>
    <xf numFmtId="11" fontId="14" fillId="0" borderId="0" xfId="0" applyNumberFormat="1" applyFont="1"/>
    <xf numFmtId="0" fontId="14" fillId="0" borderId="0" xfId="0" applyFont="1" applyAlignment="1">
      <alignment vertical="center"/>
    </xf>
    <xf numFmtId="11" fontId="14" fillId="0" borderId="0" xfId="0" applyNumberFormat="1" applyFont="1" applyAlignment="1">
      <alignment horizontal="right" vertical="center"/>
    </xf>
    <xf numFmtId="0" fontId="15" fillId="0" borderId="0" xfId="0" applyFont="1" applyAlignment="1">
      <alignment vertical="center"/>
    </xf>
    <xf numFmtId="2" fontId="0" fillId="0" borderId="0" xfId="0" applyNumberFormat="1" applyAlignment="1">
      <alignment horizontal="right" vertical="center"/>
    </xf>
  </cellXfs>
  <cellStyles count="3">
    <cellStyle name="Comma 2" xfId="2" xr:uid="{00000000-0005-0000-0000-000000000000}"/>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7"/>
  <sheetViews>
    <sheetView tabSelected="1" topLeftCell="B424" zoomScale="108" zoomScaleNormal="94" workbookViewId="0">
      <selection activeCell="I443" sqref="I443"/>
    </sheetView>
  </sheetViews>
  <sheetFormatPr baseColWidth="10" defaultColWidth="8.83203125" defaultRowHeight="15" x14ac:dyDescent="0.2"/>
  <cols>
    <col min="1" max="1" width="71.6640625" customWidth="1"/>
    <col min="2" max="2" width="51.83203125" customWidth="1"/>
    <col min="3" max="3" width="8.1640625" bestFit="1" customWidth="1"/>
    <col min="4" max="4" width="11.1640625" style="1" bestFit="1" customWidth="1"/>
    <col min="5" max="5" width="12.83203125" bestFit="1" customWidth="1"/>
    <col min="6" max="6" width="15.6640625" customWidth="1"/>
    <col min="7" max="7" width="15.83203125" customWidth="1"/>
    <col min="8" max="8" width="18.83203125" customWidth="1"/>
    <col min="9" max="9" width="44.5" bestFit="1" customWidth="1"/>
    <col min="12" max="13" width="11.83203125" bestFit="1" customWidth="1"/>
  </cols>
  <sheetData>
    <row r="1" spans="1:9" x14ac:dyDescent="0.2">
      <c r="A1" t="s">
        <v>13</v>
      </c>
      <c r="B1" t="s">
        <v>218</v>
      </c>
    </row>
    <row r="5" spans="1:9" x14ac:dyDescent="0.2">
      <c r="A5" s="2" t="s">
        <v>0</v>
      </c>
      <c r="B5" s="2" t="s">
        <v>219</v>
      </c>
    </row>
    <row r="6" spans="1:9" x14ac:dyDescent="0.2">
      <c r="A6" t="s">
        <v>238</v>
      </c>
      <c r="B6" t="inlineStr">
        <is>
          <t>APPROVED GaAs SUBSTRATE REUSE BOUNDARY, issue76,2026-10-18. Pallas et al.2020 DOI10.1007/s11367-020-01791-z, public SI S1,S4,S6: https://media.springernature.com/full/springer-static/esm/art%3A10.1007%2Fs11367-020-01791-z/MediaObjects/11367_2020_1791_MOESM1_ESM.docx . Paper sections2.7-2.10 distinguish baseline100 uses of a625um substrate from recurring lithography, gold patterning, wet etching, MOVPE growth and lift-off/CMP. The installation formerly bought0.01m2 of the entire ELO chain: fresh gold, precursors, solvents, growth and lift-off were all divided by100. New attribution helper supplies the manufacturing burden of0.01m2 complete original GaAs substrate per1m2 processed area, with no circulating technosphere loop or negative substitution credit. Its input includes the original wafer-production cleanup/quality/packaging chain and its source yields; issue75 already corrects the active boule recipe. Coating buys1m2 of this attributed substrate reference; all downstream process areas stay1m2, and the installation now buys1m2 ELO output per1m2 Si cell. Retain baseline CMP after every ELO: source optimization with one CMP per10ELO is a separate scenario, not silently adopted. Preserve source fresh gold169mg/m2; the paper90% gold recovery is another optimization scenario and is not imposed here. Keep source reagent quantities and electricity per processed area, no100x substrate-manufacture penalty. Original100-use baseline is prospective, not proven commercial durability; sensitivity10,100,500 uses applies to substrate manufacture only. Initial/final re-polishing count differs by at mostone over100cycles; baseline uses per-cycle source processing, not an invented recovered-wafer product or full annual substrate replacement. Fragility/attrition and route-specific recovery are gaps. Operating electricity output/lifetime,0.28kWp identity, Si cell input and BOS remain unchanged. No runtime/YAML/native edits or primary-secondary-share changes.
PREVIOUS NOTES (retained as history; the correction above takes precedence):
Ex-ante LCA. Pallas et al. (2020) Ex ante life cycle assessment of GaAs/Si nanowire–based tandem solar cells: a benchmark for industrialization. The International Journal of Life Cycle Assessment, 25, 1767-1782. https://doi.org/10.1007/s11367-020-01791-z</t>
        </is>
      </c>
    </row>
    <row r="7" spans="1:9" x14ac:dyDescent="0.2">
      <c r="A7" t="s">
        <v>2</v>
      </c>
      <c r="B7" t="s">
        <v>17</v>
      </c>
    </row>
    <row r="8" spans="1:9" x14ac:dyDescent="0.2">
      <c r="A8" t="s">
        <v>14</v>
      </c>
      <c r="B8" t="s">
        <v>49</v>
      </c>
    </row>
    <row r="9" spans="1:9" x14ac:dyDescent="0.2">
      <c r="A9" t="s">
        <v>1</v>
      </c>
      <c r="B9" t="s">
        <v>77</v>
      </c>
    </row>
    <row r="10" spans="1:9" x14ac:dyDescent="0.2">
      <c r="A10" t="s">
        <v>8</v>
      </c>
      <c r="B10">
        <v>1</v>
      </c>
    </row>
    <row r="11" spans="1:9" x14ac:dyDescent="0.2">
      <c r="A11" t="s">
        <v>4</v>
      </c>
      <c r="B11" t="s">
        <v>19</v>
      </c>
    </row>
    <row r="12" spans="1:9" x14ac:dyDescent="0.2">
      <c r="A12" t="s">
        <v>239</v>
      </c>
      <c r="B12" t="s">
        <v>240</v>
      </c>
    </row>
    <row r="13" spans="1:9" x14ac:dyDescent="0.2">
      <c r="A13" s="2" t="s">
        <v>6</v>
      </c>
    </row>
    <row r="14" spans="1:9" x14ac:dyDescent="0.2">
      <c r="A14" s="2" t="s">
        <v>7</v>
      </c>
      <c r="B14" s="2" t="s">
        <v>2</v>
      </c>
      <c r="C14" s="2" t="s">
        <v>1</v>
      </c>
      <c r="D14" s="3" t="s">
        <v>8</v>
      </c>
      <c r="E14" s="2" t="s">
        <v>4</v>
      </c>
      <c r="F14" s="2" t="s">
        <v>13</v>
      </c>
      <c r="G14" s="2" t="s">
        <v>3</v>
      </c>
      <c r="H14" s="2" t="s">
        <v>9</v>
      </c>
      <c r="I14" s="2" t="s">
        <v>238</v>
      </c>
    </row>
    <row r="15" spans="1:9" x14ac:dyDescent="0.2">
      <c r="A15" t="str">
        <f>B5</f>
        <v>coating, drying, optical lithography</v>
      </c>
      <c r="B15" t="str">
        <f>B7</f>
        <v>GaAs wafer with resist patterned</v>
      </c>
      <c r="C15" t="s">
        <v>77</v>
      </c>
      <c r="D15" s="1">
        <v>1</v>
      </c>
      <c r="E15" t="str">
        <f>B11</f>
        <v>square meter</v>
      </c>
      <c r="F15" t="str">
        <f>B1</f>
        <v>PV_GaAs</v>
      </c>
      <c r="G15" t="s">
        <v>10</v>
      </c>
      <c r="I15" t="s">
        <v>216</v>
      </c>
    </row>
    <row r="16" spans="1:9" ht="16" x14ac:dyDescent="0.2">
      <c r="A16" s="4" t="inlineStr">
        <is>
          <t>GaAs substrate manufacture, 100-use attribution reference</t>
        </is>
      </c>
      <c r="B16" t="inlineStr">
        <is>
          <t>GaAs substrate manufacture, 100-use attribution reference</t>
        </is>
      </c>
      <c r="C16" t="inlineStr">
        <is>
          <t>GLO</t>
        </is>
      </c>
      <c r="D16" s="1">
        <v>1</v>
      </c>
      <c r="E16" t="s">
        <v>19</v>
      </c>
      <c r="F16" t="s">
        <v>218</v>
      </c>
      <c r="G16" t="s">
        <v>16</v>
      </c>
    </row>
    <row r="17" spans="1:9" x14ac:dyDescent="0.2">
      <c r="A17" t="s">
        <v>84</v>
      </c>
      <c r="B17" t="s">
        <v>209</v>
      </c>
      <c r="C17" t="s">
        <v>73</v>
      </c>
      <c r="D17" s="5">
        <v>0.06</v>
      </c>
      <c r="E17" t="s">
        <v>5</v>
      </c>
      <c r="F17" t="s">
        <v>21</v>
      </c>
      <c r="G17" t="s">
        <v>16</v>
      </c>
      <c r="I17" t="s">
        <v>86</v>
      </c>
    </row>
    <row r="18" spans="1:9" x14ac:dyDescent="0.2">
      <c r="A18" t="s">
        <v>74</v>
      </c>
      <c r="B18" t="s">
        <v>75</v>
      </c>
      <c r="C18" t="s">
        <v>73</v>
      </c>
      <c r="D18" s="5">
        <v>0.06</v>
      </c>
      <c r="E18" t="s">
        <v>5</v>
      </c>
      <c r="F18" t="s">
        <v>21</v>
      </c>
      <c r="G18" t="s">
        <v>16</v>
      </c>
    </row>
    <row r="19" spans="1:9" x14ac:dyDescent="0.2">
      <c r="A19" t="s">
        <v>104</v>
      </c>
      <c r="B19" t="s">
        <v>95</v>
      </c>
      <c r="C19" t="s">
        <v>77</v>
      </c>
      <c r="D19" s="5">
        <v>5.5999999999999995E-4</v>
      </c>
      <c r="E19" t="s">
        <v>5</v>
      </c>
      <c r="F19" t="s">
        <v>21</v>
      </c>
      <c r="G19" t="s">
        <v>16</v>
      </c>
      <c r="I19" t="s">
        <v>94</v>
      </c>
    </row>
    <row r="20" spans="1:9" x14ac:dyDescent="0.2">
      <c r="A20" t="s">
        <v>78</v>
      </c>
      <c r="B20" t="s">
        <v>76</v>
      </c>
      <c r="C20" t="s">
        <v>77</v>
      </c>
      <c r="D20" s="5">
        <v>0.13</v>
      </c>
      <c r="E20" t="s">
        <v>5</v>
      </c>
      <c r="F20" t="s">
        <v>21</v>
      </c>
      <c r="G20" t="s">
        <v>16</v>
      </c>
    </row>
    <row r="21" spans="1:9" x14ac:dyDescent="0.2">
      <c r="A21" t="s">
        <v>80</v>
      </c>
      <c r="B21" t="s">
        <v>79</v>
      </c>
      <c r="C21" t="s">
        <v>81</v>
      </c>
      <c r="D21" s="1">
        <v>16</v>
      </c>
      <c r="E21" t="s">
        <v>5</v>
      </c>
      <c r="F21" t="s">
        <v>21</v>
      </c>
      <c r="G21" t="s">
        <v>16</v>
      </c>
      <c r="I21" t="s">
        <v>87</v>
      </c>
    </row>
    <row r="22" spans="1:9" x14ac:dyDescent="0.2">
      <c r="A22" t="s">
        <v>83</v>
      </c>
      <c r="B22" t="s">
        <v>82</v>
      </c>
      <c r="C22" t="s">
        <v>73</v>
      </c>
      <c r="D22" s="5">
        <v>13</v>
      </c>
      <c r="E22" t="s">
        <v>15</v>
      </c>
      <c r="F22" t="s">
        <v>21</v>
      </c>
      <c r="G22" t="s">
        <v>16</v>
      </c>
    </row>
    <row r="23" spans="1:9" x14ac:dyDescent="0.2">
      <c r="A23" t="s">
        <v>88</v>
      </c>
      <c r="C23" s="6"/>
      <c r="D23" s="1">
        <v>0.23</v>
      </c>
      <c r="E23" t="s">
        <v>5</v>
      </c>
      <c r="F23" t="s">
        <v>102</v>
      </c>
      <c r="G23" t="s">
        <v>11</v>
      </c>
      <c r="H23" t="s">
        <v>85</v>
      </c>
    </row>
    <row r="24" spans="1:9" x14ac:dyDescent="0.2">
      <c r="A24" t="s">
        <v>89</v>
      </c>
      <c r="B24" t="s">
        <v>90</v>
      </c>
      <c r="C24" t="s">
        <v>81</v>
      </c>
      <c r="D24" s="1">
        <v>-0.25</v>
      </c>
      <c r="E24" t="s">
        <v>5</v>
      </c>
      <c r="F24" t="s">
        <v>21</v>
      </c>
      <c r="G24" t="s">
        <v>16</v>
      </c>
      <c r="I24" t="s">
        <v>91</v>
      </c>
    </row>
    <row r="26" spans="1:9" x14ac:dyDescent="0.2">
      <c r="A26" s="2" t="s">
        <v>0</v>
      </c>
      <c r="B26" s="2" t="s">
        <v>22</v>
      </c>
    </row>
    <row r="27" spans="1:9" x14ac:dyDescent="0.2">
      <c r="A27" t="s">
        <v>238</v>
      </c>
      <c r="B27" t="s">
        <v>241</v>
      </c>
    </row>
    <row r="28" spans="1:9" x14ac:dyDescent="0.2">
      <c r="A28" t="s">
        <v>2</v>
      </c>
      <c r="B28" t="s">
        <v>23</v>
      </c>
    </row>
    <row r="29" spans="1:9" x14ac:dyDescent="0.2">
      <c r="A29" t="s">
        <v>14</v>
      </c>
      <c r="B29" t="s">
        <v>50</v>
      </c>
    </row>
    <row r="30" spans="1:9" x14ac:dyDescent="0.2">
      <c r="A30" t="s">
        <v>1</v>
      </c>
      <c r="B30" t="s">
        <v>77</v>
      </c>
    </row>
    <row r="31" spans="1:9" x14ac:dyDescent="0.2">
      <c r="A31" t="s">
        <v>8</v>
      </c>
      <c r="B31">
        <v>1</v>
      </c>
    </row>
    <row r="32" spans="1:9" x14ac:dyDescent="0.2">
      <c r="A32" t="s">
        <v>4</v>
      </c>
      <c r="B32" t="s">
        <v>19</v>
      </c>
    </row>
    <row r="33" spans="1:9" x14ac:dyDescent="0.2">
      <c r="A33" t="s">
        <v>239</v>
      </c>
      <c r="B33" t="s">
        <v>240</v>
      </c>
    </row>
    <row r="34" spans="1:9" x14ac:dyDescent="0.2">
      <c r="A34" s="2" t="s">
        <v>6</v>
      </c>
    </row>
    <row r="35" spans="1:9" x14ac:dyDescent="0.2">
      <c r="A35" s="2" t="s">
        <v>7</v>
      </c>
      <c r="B35" s="2" t="s">
        <v>2</v>
      </c>
      <c r="C35" s="2" t="s">
        <v>1</v>
      </c>
      <c r="D35" s="3" t="s">
        <v>8</v>
      </c>
      <c r="E35" s="2" t="s">
        <v>4</v>
      </c>
      <c r="F35" s="2" t="s">
        <v>13</v>
      </c>
      <c r="G35" s="2" t="s">
        <v>3</v>
      </c>
      <c r="H35" s="2" t="s">
        <v>9</v>
      </c>
      <c r="I35" s="2" t="s">
        <v>238</v>
      </c>
    </row>
    <row r="36" spans="1:9" x14ac:dyDescent="0.2">
      <c r="A36" t="str">
        <f>B26</f>
        <v>electroplating</v>
      </c>
      <c r="B36" t="str">
        <f>B28</f>
        <v>GaAs wafer with resist and gold particles</v>
      </c>
      <c r="C36" t="s">
        <v>77</v>
      </c>
      <c r="D36" s="1">
        <v>1</v>
      </c>
      <c r="E36" t="s">
        <v>19</v>
      </c>
      <c r="F36" t="s">
        <v>218</v>
      </c>
      <c r="G36" t="s">
        <v>10</v>
      </c>
    </row>
    <row r="37" spans="1:9" x14ac:dyDescent="0.2">
      <c r="A37" t="s">
        <v>219</v>
      </c>
      <c r="B37" t="s">
        <v>17</v>
      </c>
      <c r="C37" t="s">
        <v>77</v>
      </c>
      <c r="D37" s="1">
        <v>1</v>
      </c>
      <c r="E37" t="s">
        <v>19</v>
      </c>
      <c r="F37" t="s">
        <v>218</v>
      </c>
      <c r="G37" t="s">
        <v>16</v>
      </c>
    </row>
    <row r="38" spans="1:9" x14ac:dyDescent="0.2">
      <c r="A38" t="s">
        <v>97</v>
      </c>
      <c r="B38" t="s">
        <v>25</v>
      </c>
      <c r="C38" t="s">
        <v>96</v>
      </c>
      <c r="D38" s="1">
        <v>1.6899999999999999E-4</v>
      </c>
      <c r="E38" t="s">
        <v>5</v>
      </c>
      <c r="F38" t="s">
        <v>21</v>
      </c>
      <c r="G38" t="s">
        <v>16</v>
      </c>
    </row>
    <row r="39" spans="1:9" x14ac:dyDescent="0.2">
      <c r="A39" t="s">
        <v>98</v>
      </c>
      <c r="B39" t="s">
        <v>105</v>
      </c>
      <c r="C39" t="s">
        <v>73</v>
      </c>
      <c r="D39" s="1">
        <v>2.1999999999999999E-2</v>
      </c>
      <c r="E39" t="s">
        <v>5</v>
      </c>
      <c r="F39" t="s">
        <v>21</v>
      </c>
      <c r="G39" t="s">
        <v>16</v>
      </c>
    </row>
    <row r="40" spans="1:9" x14ac:dyDescent="0.2">
      <c r="A40" t="s">
        <v>80</v>
      </c>
      <c r="B40" t="s">
        <v>79</v>
      </c>
      <c r="C40" t="s">
        <v>81</v>
      </c>
      <c r="D40" s="1">
        <v>16</v>
      </c>
      <c r="E40" t="s">
        <v>5</v>
      </c>
      <c r="F40" t="s">
        <v>21</v>
      </c>
      <c r="G40" t="s">
        <v>16</v>
      </c>
      <c r="I40" t="s">
        <v>87</v>
      </c>
    </row>
    <row r="41" spans="1:9" x14ac:dyDescent="0.2">
      <c r="A41" t="s">
        <v>83</v>
      </c>
      <c r="B41" t="s">
        <v>82</v>
      </c>
      <c r="C41" t="s">
        <v>73</v>
      </c>
      <c r="D41" s="1">
        <v>0.7</v>
      </c>
      <c r="E41" t="s">
        <v>15</v>
      </c>
      <c r="F41" t="s">
        <v>21</v>
      </c>
      <c r="G41" t="s">
        <v>16</v>
      </c>
    </row>
    <row r="42" spans="1:9" x14ac:dyDescent="0.2">
      <c r="A42" t="s">
        <v>99</v>
      </c>
      <c r="C42" s="6"/>
      <c r="D42" s="1">
        <v>5.5999999999999999E-5</v>
      </c>
      <c r="E42" t="s">
        <v>5</v>
      </c>
      <c r="F42" t="s">
        <v>102</v>
      </c>
      <c r="G42" t="s">
        <v>11</v>
      </c>
      <c r="H42" t="s">
        <v>92</v>
      </c>
    </row>
    <row r="43" spans="1:9" x14ac:dyDescent="0.2">
      <c r="A43" t="s">
        <v>99</v>
      </c>
      <c r="C43" s="6"/>
      <c r="D43" s="1">
        <v>2.1999999999999999E-5</v>
      </c>
      <c r="E43" t="s">
        <v>5</v>
      </c>
      <c r="F43" t="s">
        <v>102</v>
      </c>
      <c r="G43" t="s">
        <v>11</v>
      </c>
      <c r="H43" t="s">
        <v>93</v>
      </c>
    </row>
    <row r="44" spans="1:9" x14ac:dyDescent="0.2">
      <c r="A44" t="s">
        <v>202</v>
      </c>
      <c r="D44" s="1">
        <v>1.6E-2</v>
      </c>
      <c r="E44" t="s">
        <v>12</v>
      </c>
      <c r="F44" t="s">
        <v>102</v>
      </c>
      <c r="G44" t="s">
        <v>11</v>
      </c>
      <c r="H44" t="s">
        <v>93</v>
      </c>
      <c r="I44" t="s">
        <v>203</v>
      </c>
    </row>
    <row r="45" spans="1:9" x14ac:dyDescent="0.2">
      <c r="A45" t="s">
        <v>89</v>
      </c>
      <c r="B45" t="s">
        <v>90</v>
      </c>
      <c r="C45" t="s">
        <v>81</v>
      </c>
      <c r="D45" s="1">
        <v>-1.6700000000000001E-6</v>
      </c>
      <c r="E45" t="s">
        <v>5</v>
      </c>
      <c r="F45" t="s">
        <v>21</v>
      </c>
      <c r="G45" t="s">
        <v>16</v>
      </c>
      <c r="I45" t="s">
        <v>91</v>
      </c>
    </row>
    <row r="47" spans="1:9" x14ac:dyDescent="0.2">
      <c r="A47" s="2" t="s">
        <v>0</v>
      </c>
      <c r="B47" s="2" t="s">
        <v>242</v>
      </c>
    </row>
    <row r="48" spans="1:9" x14ac:dyDescent="0.2">
      <c r="A48" t="s">
        <v>238</v>
      </c>
      <c r="B48" t="s">
        <v>241</v>
      </c>
    </row>
    <row r="49" spans="1:9" x14ac:dyDescent="0.2">
      <c r="A49" t="s">
        <v>2</v>
      </c>
      <c r="B49" t="s">
        <v>27</v>
      </c>
    </row>
    <row r="50" spans="1:9" x14ac:dyDescent="0.2">
      <c r="A50" t="s">
        <v>14</v>
      </c>
      <c r="B50" t="s">
        <v>51</v>
      </c>
    </row>
    <row r="51" spans="1:9" x14ac:dyDescent="0.2">
      <c r="A51" t="s">
        <v>1</v>
      </c>
      <c r="B51" t="s">
        <v>77</v>
      </c>
    </row>
    <row r="52" spans="1:9" x14ac:dyDescent="0.2">
      <c r="A52" t="s">
        <v>8</v>
      </c>
      <c r="B52">
        <v>1</v>
      </c>
    </row>
    <row r="53" spans="1:9" x14ac:dyDescent="0.2">
      <c r="A53" t="s">
        <v>4</v>
      </c>
      <c r="B53" t="s">
        <v>19</v>
      </c>
    </row>
    <row r="54" spans="1:9" x14ac:dyDescent="0.2">
      <c r="A54" t="s">
        <v>239</v>
      </c>
      <c r="B54" t="s">
        <v>240</v>
      </c>
    </row>
    <row r="55" spans="1:9" x14ac:dyDescent="0.2">
      <c r="A55" s="2" t="s">
        <v>6</v>
      </c>
    </row>
    <row r="56" spans="1:9" x14ac:dyDescent="0.2">
      <c r="A56" s="2" t="s">
        <v>7</v>
      </c>
      <c r="B56" s="2" t="s">
        <v>2</v>
      </c>
      <c r="C56" s="2" t="s">
        <v>1</v>
      </c>
      <c r="D56" s="3" t="s">
        <v>8</v>
      </c>
      <c r="E56" s="2" t="s">
        <v>4</v>
      </c>
      <c r="F56" s="2" t="s">
        <v>13</v>
      </c>
      <c r="G56" s="2" t="s">
        <v>3</v>
      </c>
      <c r="H56" s="2" t="s">
        <v>9</v>
      </c>
      <c r="I56" s="2" t="s">
        <v>238</v>
      </c>
    </row>
    <row r="57" spans="1:9" x14ac:dyDescent="0.2">
      <c r="A57" t="str">
        <f>B47</f>
        <v>wet etching</v>
      </c>
      <c r="B57" t="str">
        <f>B49</f>
        <v>GaAs wafer with gold particles</v>
      </c>
      <c r="C57" t="s">
        <v>77</v>
      </c>
      <c r="D57" s="1">
        <v>1</v>
      </c>
      <c r="E57" t="s">
        <v>19</v>
      </c>
      <c r="F57" t="s">
        <v>218</v>
      </c>
      <c r="G57" t="s">
        <v>10</v>
      </c>
    </row>
    <row r="58" spans="1:9" x14ac:dyDescent="0.2">
      <c r="A58" t="s">
        <v>22</v>
      </c>
      <c r="B58" t="s">
        <v>23</v>
      </c>
      <c r="C58" t="s">
        <v>77</v>
      </c>
      <c r="D58" s="1">
        <v>1</v>
      </c>
      <c r="E58" t="s">
        <v>19</v>
      </c>
      <c r="F58" t="s">
        <v>218</v>
      </c>
      <c r="G58" t="s">
        <v>16</v>
      </c>
    </row>
    <row r="59" spans="1:9" x14ac:dyDescent="0.2">
      <c r="A59" t="s">
        <v>101</v>
      </c>
      <c r="B59" t="s">
        <v>47</v>
      </c>
      <c r="C59" t="s">
        <v>73</v>
      </c>
      <c r="D59" s="7">
        <v>0.36</v>
      </c>
      <c r="E59" t="s">
        <v>5</v>
      </c>
      <c r="F59" t="s">
        <v>21</v>
      </c>
      <c r="G59" t="s">
        <v>16</v>
      </c>
      <c r="I59" t="s">
        <v>100</v>
      </c>
    </row>
    <row r="60" spans="1:9" x14ac:dyDescent="0.2">
      <c r="A60" t="s">
        <v>80</v>
      </c>
      <c r="B60" t="s">
        <v>79</v>
      </c>
      <c r="C60" t="s">
        <v>81</v>
      </c>
      <c r="D60" s="7">
        <v>8</v>
      </c>
      <c r="E60" t="s">
        <v>5</v>
      </c>
      <c r="F60" t="s">
        <v>21</v>
      </c>
      <c r="G60" t="s">
        <v>16</v>
      </c>
      <c r="I60" t="s">
        <v>87</v>
      </c>
    </row>
    <row r="61" spans="1:9" x14ac:dyDescent="0.2">
      <c r="A61" t="s">
        <v>83</v>
      </c>
      <c r="B61" t="s">
        <v>82</v>
      </c>
      <c r="C61" t="s">
        <v>73</v>
      </c>
      <c r="D61" s="7">
        <v>0.64700000000000002</v>
      </c>
      <c r="E61" t="s">
        <v>15</v>
      </c>
      <c r="F61" t="s">
        <v>21</v>
      </c>
      <c r="G61" t="s">
        <v>16</v>
      </c>
    </row>
    <row r="62" spans="1:9" x14ac:dyDescent="0.2">
      <c r="A62" t="s">
        <v>89</v>
      </c>
      <c r="B62" t="s">
        <v>90</v>
      </c>
      <c r="C62" t="s">
        <v>81</v>
      </c>
      <c r="D62" s="7">
        <v>-0.36</v>
      </c>
      <c r="E62" t="s">
        <v>5</v>
      </c>
      <c r="F62" t="s">
        <v>21</v>
      </c>
      <c r="G62" t="s">
        <v>16</v>
      </c>
      <c r="I62" t="s">
        <v>91</v>
      </c>
    </row>
    <row r="64" spans="1:9" x14ac:dyDescent="0.2">
      <c r="A64" s="2" t="s">
        <v>0</v>
      </c>
      <c r="B64" s="2" t="s">
        <v>278</v>
      </c>
    </row>
    <row r="65" spans="1:9" x14ac:dyDescent="0.2">
      <c r="A65" t="s">
        <v>238</v>
      </c>
      <c r="B65" t="inlineStr">
        <is>
          <t>APPROVED GaAs NANOWIRE PRECURSOR BUDGET, issue 115, 2026-10-19. Pallas et al. (2020), DOI 10.1007/s11367-020-01791-z, supporting information S3, S4 and S6. https://media.springernature.com/full/springer-static/esm/art%3A10.1007%2Fs11367-020-01791-z/MediaObjects/11367_2020_1791_MOESM1_ESM.docx Compound density 5.32 g/cm3: https://www.iue.tuwien.ac.at/phd/quay/node26.html , Table 3.2.
Retain source geometry: 1 m2 substrate, nanowires occupying 10% of projected area, 1.5 micrometre height (180 nm diameter cancels when coverage is already specified). Volume is 1.5000000000000002e-07 m3 and retained GaAs is 0.0007980000000000001 kg. Treat GaAs as a stoichiometric compound with equal numbers of Ga and As atoms, not equal elemental volumes or equal elemental masses. Use compound density instead of separate elemental Ga/As densities. Retained Ga = 0.0003846597517176498 kg; As = 0.00041334024828235035 kg.
Retain the source deposition utilizations 50% Ga and 15% As. Use TMGa molecular Ga fraction 0.6071951092068136 and AsH3 As fraction 0.9612037088176696. Thus buy 0.0012670054349421078 kg TMGa and 0.002866823785569036 kg AsH3 per m2 instead of 0.00148 and 0.00298 kg. TMGa production yield affects its upstream gross feed, not the Ga fraction of the finished molecule; do not apply that yield again here. The source's 50/15% utilizations and nanowire coverage remain ex-ante assumptions, not measured industrial performance; sensitivity is needed.
Unretained elemental Ga = 0.0003846597517176498 kg and As = 0.0023422614069333186 kg. Preserve the existing aggregate hazardous-waste and carrier-gas inventories because source-specific off-gas capture/speciation and solid/liquid split are not recovered; these balances do not justify inventing a recovered-metal credit or elemental air emissions. Dopants, hydrogen carrier, etching, energy, substrate reuse and module lifetime are unchanged. No native/runtime edits.
PREVIOUS NOTES (retained as history; the correction above takes precedence):
APPROVED DIETHYLZINC IDENTITY AND Zn FEED, issue83,2026-10-18. Pallas2020 SI S4 identifies diethylzinc8.5e-6kg/m2 MOVPE. CN100408584C Example1:600gZn,250mLEtI,250mLEtBr,10gCuI; reported trialyieldabout85%,not a measured semiconductorplant inventory. https://patents.google.com/patent/CN100408584C/en . Replace onlyMOVPEgenericorganicchemical8.5mg/m2 by the same mass of an explicitZn(C2H5)2 reference; retainedZn fraction=0.529375566783262. Do not add elementalZn on top of a complete DEZ supplier. Use the patentdirectZn/ethylhalide route as a namedengineeringvariant,not a claim of the actualPallas chemicalvendor. Convert250mL eachEtBr/EtI with explicitlyassumed20C densities1.46/1.94kg/L;sourcebatch0.365kgEtBr+0.485kgEtI+0.600kgZn+0.010kgCuI. IsolatednewDEZ=0.3390440898698082kg perbatch at85% of halide-limitedtheoreticalyield; patent doesnot report that exactkgoutput or allresiduefates.30gDEZinitiator is treatedasclosedcirculatingseed,not counted bothasnewoutput andnewfreshinput;initialseedstock/startup-loss allocation is a gap.95%versus85%yield sensitivity mustnot silentlychangeoldper-m2dosage. Use1kWh/kg productmanufacture as explicitheating,distillation/coolingallowance,plus0.05kgN2/kgproduct and0.01kgH2/kgproduct purge references;actualpurityupgrade,powderactivation,purgeflow,leaks andutilities remainunmeasured. NativeZnmarket is a bulkrefinedsupplyproxy,not certified6Npowder;semiconductor-gradepurification gap remains. No assumedclosedloopZn-saltorCuIrecovery; matchall grossZn/ethylhalide/CuImass notretainedin1kg producttoexistingmixedhazardouswasteprovider with no metalcredit. MixedresiduecontainsZn/halides/Cu andunreactedmaterial;separateelementfates areunresolved. Buildmissingethylhalides via balancedEtOH+HX-&gt;EtX+H2O precursorreferences,withHX fromH2+halogen andCuIfromCu+I;these are explicit100%stoichiometric precursorconversionreferences,not measuredindustrialyields. Their1kWh/kgHX/CuI and0.5kWh/kgEtX processingallowances andwastewaterwateroutflow are engineeringproxies. Testprecursoryields90-100%;do not claim industrialrecipe closure because elementalbalances close. UsepetrochemicalethanolRER,realBr/I/Cu/H2feeds,not genericorganicchemical as missingZn substitute. Preserve sourceoperatingnanowirearea afterissue76 andallotherMOVPEinputs. Highpuritymetal,saltrecycling,pyrophoricreagent losses andactualcarrier-solvent grade requirefuturedata. No native,runtime,YAML or primary-secondaryshare edits.
PREVIOUS NOTES (retained as history; the correction above takes precedence):
Ex-ante LCA. Pallas et al. (2020) Ex ante life cycle assessment of GaAs/Si nanowire–based tandem solar cells: a benchmark for industrialization. The International Journal of Life Cycle Assessment, 25, 1767-1782. https://doi.org/10.1007/s11367-020-01791-z</t>
        </is>
      </c>
    </row>
    <row r="66" spans="1:9" x14ac:dyDescent="0.2">
      <c r="A66" t="s">
        <v>2</v>
      </c>
      <c r="B66" t="s">
        <v>32</v>
      </c>
    </row>
    <row r="67" spans="1:9" x14ac:dyDescent="0.2">
      <c r="A67" t="s">
        <v>14</v>
      </c>
      <c r="B67" t="s">
        <v>52</v>
      </c>
    </row>
    <row r="68" spans="1:9" x14ac:dyDescent="0.2">
      <c r="A68" t="s">
        <v>1</v>
      </c>
      <c r="B68" t="s">
        <v>77</v>
      </c>
    </row>
    <row r="69" spans="1:9" x14ac:dyDescent="0.2">
      <c r="A69" t="s">
        <v>8</v>
      </c>
      <c r="B69">
        <v>1</v>
      </c>
    </row>
    <row r="70" spans="1:9" x14ac:dyDescent="0.2">
      <c r="A70" t="s">
        <v>4</v>
      </c>
      <c r="B70" t="s">
        <v>19</v>
      </c>
    </row>
    <row r="71" spans="1:9" x14ac:dyDescent="0.2">
      <c r="A71" t="s">
        <v>239</v>
      </c>
      <c r="B71" t="s">
        <v>240</v>
      </c>
    </row>
    <row r="72" spans="1:9" x14ac:dyDescent="0.2">
      <c r="A72" s="2" t="s">
        <v>6</v>
      </c>
    </row>
    <row r="73" spans="1:9" x14ac:dyDescent="0.2">
      <c r="A73" s="2" t="s">
        <v>7</v>
      </c>
      <c r="B73" s="2" t="s">
        <v>2</v>
      </c>
      <c r="C73" s="2" t="s">
        <v>1</v>
      </c>
      <c r="D73" s="3" t="s">
        <v>8</v>
      </c>
      <c r="E73" s="2" t="s">
        <v>4</v>
      </c>
      <c r="F73" s="2" t="s">
        <v>13</v>
      </c>
      <c r="G73" s="2" t="s">
        <v>3</v>
      </c>
      <c r="H73" s="2" t="s">
        <v>9</v>
      </c>
      <c r="I73" s="2" t="s">
        <v>238</v>
      </c>
    </row>
    <row r="74" spans="1:9" x14ac:dyDescent="0.2">
      <c r="A74" t="str">
        <f>B64</f>
        <v>metal organic vapor phase epitaxy (MOVPE), for GaAs photovoltaic panel</v>
      </c>
      <c r="B74" t="str">
        <f>B66</f>
        <v>GaAs wafer with nanowires</v>
      </c>
      <c r="C74" t="s">
        <v>77</v>
      </c>
      <c r="D74" s="1">
        <v>1</v>
      </c>
      <c r="E74" t="s">
        <v>19</v>
      </c>
      <c r="F74" t="s">
        <v>218</v>
      </c>
      <c r="G74" t="s">
        <v>10</v>
      </c>
      <c r="I74" t="inlineStr">
        <is>
          <t>APPROVED GaAs NANOWIRE PRECURSOR BUDGET, issue 115, 2026-10-19. Pallas et al. (2020), DOI 10.1007/s11367-020-01791-z, supporting information S3, S4 and S6. https://media.springernature.com/full/springer-static/esm/art%3A10.1007%2Fs11367-020-01791-z/MediaObjects/11367_2020_1791_MOESM1_ESM.docx Compound density 5.32 g/cm3: https://www.iue.tuwien.ac.at/phd/quay/node26.html , Table 3.2.
Retain source geometry: 1 m2 substrate, nanowires occupying 10% of projected area, 1.5 micrometre height (180 nm diameter cancels when coverage is already specified). Volume is 1.5000000000000002e-07 m3 and retained GaAs is 0.0007980000000000001 kg. Treat GaAs as a stoichiometric compound with equal numbers of Ga and As atoms, not equal elemental volumes or equal elemental masses. Use compound density instead of separate elemental Ga/As densities. Retained Ga = 0.0003846597517176498 kg; As = 0.00041334024828235035 kg.
Retain the source deposition utilizations 50% Ga and 15% As. Use TMGa molecular Ga fraction 0.6071951092068136 and AsH3 As fraction 0.9612037088176696. Thus buy 0.0012670054349421078 kg TMGa and 0.002866823785569036 kg AsH3 per m2 instead of 0.00148 and 0.00298 kg. TMGa production yield affects its upstream gross feed, not the Ga fraction of the finished molecule; do not apply that yield again here. The source's 50/15% utilizations and nanowire coverage remain ex-ante assumptions, not measured industrial performance; sensitivity is needed.
Unretained elemental Ga = 0.0003846597517176498 kg and As = 0.0023422614069333186 kg. Preserve the existing aggregate hazardous-waste and carrier-gas inventories because source-specific off-gas capture/speciation and solid/liquid split are not recovered; these balances do not justify inventing a recovered-metal credit or elemental air emissions. Dopants, hydrogen carrier, etching, energy, substrate reuse and module lifetime are unchanged. No native/runtime edits.</t>
        </is>
      </c>
    </row>
    <row r="75" spans="1:9" x14ac:dyDescent="0.2">
      <c r="A75" t="s">
        <v>26</v>
      </c>
      <c r="B75" t="s">
        <v>27</v>
      </c>
      <c r="C75" t="s">
        <v>77</v>
      </c>
      <c r="D75" s="1">
        <v>1</v>
      </c>
      <c r="E75" t="s">
        <v>19</v>
      </c>
      <c r="F75" t="s">
        <v>218</v>
      </c>
      <c r="G75" t="s">
        <v>16</v>
      </c>
    </row>
    <row r="76" spans="1:9" x14ac:dyDescent="0.2">
      <c r="A76" t="s">
        <v>273</v>
      </c>
      <c r="B76" t="s">
        <v>266</v>
      </c>
      <c r="C76" t="s">
        <v>73</v>
      </c>
      <c r="D76" s="7">
        <v>2.1</v>
      </c>
      <c r="E76" t="s">
        <v>5</v>
      </c>
      <c r="F76" t="s">
        <v>21</v>
      </c>
      <c r="G76" t="s">
        <v>16</v>
      </c>
      <c r="I76" t="s">
        <v>265</v>
      </c>
    </row>
    <row r="77" spans="1:9" x14ac:dyDescent="0.2">
      <c r="A77" t="s">
        <v>103</v>
      </c>
      <c r="B77" t="s">
        <v>30</v>
      </c>
      <c r="C77" t="s">
        <v>73</v>
      </c>
      <c r="D77" s="7">
        <v>8.4999999999999999E-6</v>
      </c>
      <c r="E77" t="s">
        <v>5</v>
      </c>
      <c r="F77" t="s">
        <v>21</v>
      </c>
      <c r="G77" t="s">
        <v>16</v>
      </c>
    </row>
    <row r="78" spans="1:9" x14ac:dyDescent="0.2">
      <c r="A78" t="s">
        <v>98</v>
      </c>
      <c r="B78" t="s">
        <v>105</v>
      </c>
      <c r="C78" t="s">
        <v>73</v>
      </c>
      <c r="D78" s="7">
        <v>8.4999999999999999E-6</v>
      </c>
      <c r="E78" t="s">
        <v>5</v>
      </c>
      <c r="F78" t="s">
        <v>21</v>
      </c>
      <c r="G78" t="s">
        <v>16</v>
      </c>
      <c r="I78" t="s">
        <v>106</v>
      </c>
    </row>
    <row r="79" spans="1:9" x14ac:dyDescent="0.2">
      <c r="A79" s="8" t="s">
        <v>262</v>
      </c>
      <c r="B79" s="8" t="s">
        <v>244</v>
      </c>
      <c r="C79" t="s">
        <v>77</v>
      </c>
      <c r="D79" s="7">
        <v>0.0012670054349421078</v>
      </c>
      <c r="E79" t="s">
        <v>5</v>
      </c>
      <c r="F79" t="s">
        <v>218</v>
      </c>
      <c r="G79" t="s">
        <v>16</v>
      </c>
      <c r="I79" t="inlineStr">
        <is>
          <t>APPROVED GaAs NANOWIRE PRECURSOR BUDGET, issue 115, 2026-10-19. Pallas et al. (2020), DOI 10.1007/s11367-020-01791-z, supporting information S3, S4 and S6. https://media.springernature.com/full/springer-static/esm/art%3A10.1007%2Fs11367-020-01791-z/MediaObjects/11367_2020_1791_MOESM1_ESM.docx Compound density 5.32 g/cm3: https://www.iue.tuwien.ac.at/phd/quay/node26.html , Table 3.2.
Retain source geometry: 1 m2 substrate, nanowires occupying 10% of projected area, 1.5 micrometre height (180 nm diameter cancels when coverage is already specified). Volume is 1.5000000000000002e-07 m3 and retained GaAs is 0.0007980000000000001 kg. Treat GaAs as a stoichiometric compound with equal numbers of Ga and As atoms, not equal elemental volumes or equal elemental masses. Use compound density instead of separate elemental Ga/As densities. Retained Ga = 0.0003846597517176498 kg; As = 0.00041334024828235035 kg.
Retain the source deposition utilizations 50% Ga and 15% As. Use TMGa molecular Ga fraction 0.6071951092068136 and AsH3 As fraction 0.9612037088176696. Thus buy 0.0012670054349421078 kg TMGa and 0.002866823785569036 kg AsH3 per m2 instead of 0.00148 and 0.00298 kg. TMGa production yield affects its upstream gross feed, not the Ga fraction of the finished molecule; do not apply that yield again here. The source's 50/15% utilizations and nanowire coverage remain ex-ante assumptions, not measured industrial performance; sensitivity is needed.
Unretained elemental Ga = 0.0003846597517176498 kg and As = 0.0023422614069333186 kg. Preserve the existing aggregate hazardous-waste and carrier-gas inventories because source-specific off-gas capture/speciation and solid/liquid split are not recovered; these balances do not justify inventing a recovered-metal credit or elemental air emissions. Dopants, hydrogen carrier, etching, energy, substrate reuse and module lifetime are unchanged. No native/runtime edits.</t>
        </is>
      </c>
    </row>
    <row r="80" spans="1:9" x14ac:dyDescent="0.2">
      <c r="A80" t="s">
        <v>107</v>
      </c>
      <c r="B80" t="s">
        <v>31</v>
      </c>
      <c r="C80" t="s">
        <v>77</v>
      </c>
      <c r="D80" s="7">
        <v>0.002866823785569036</v>
      </c>
      <c r="E80" t="s">
        <v>5</v>
      </c>
      <c r="F80" t="s">
        <v>21</v>
      </c>
      <c r="G80" t="s">
        <v>16</v>
      </c>
      <c r="I80" t="inlineStr">
        <is>
          <t>APPROVED GaAs NANOWIRE PRECURSOR BUDGET, issue 115, 2026-10-19. Pallas et al. (2020), DOI 10.1007/s11367-020-01791-z, supporting information S3, S4 and S6. https://media.springernature.com/full/springer-static/esm/art%3A10.1007%2Fs11367-020-01791-z/MediaObjects/11367_2020_1791_MOESM1_ESM.docx Compound density 5.32 g/cm3: https://www.iue.tuwien.ac.at/phd/quay/node26.html , Table 3.2.
Retain source geometry: 1 m2 substrate, nanowires occupying 10% of projected area, 1.5 micrometre height (180 nm diameter cancels when coverage is already specified). Volume is 1.5000000000000002e-07 m3 and retained GaAs is 0.0007980000000000001 kg. Treat GaAs as a stoichiometric compound with equal numbers of Ga and As atoms, not equal elemental volumes or equal elemental masses. Use compound density instead of separate elemental Ga/As densities. Retained Ga = 0.0003846597517176498 kg; As = 0.00041334024828235035 kg.
Retain the source deposition utilizations 50% Ga and 15% As. Use TMGa molecular Ga fraction 0.6071951092068136 and AsH3 As fraction 0.9612037088176696. Thus buy 0.0012670054349421078 kg TMGa and 0.002866823785569036 kg AsH3 per m2 instead of 0.00148 and 0.00298 kg. TMGa production yield affects its upstream gross feed, not the Ga fraction of the finished molecule; do not apply that yield again here. The source's 50/15% utilizations and nanowire coverage remain ex-ante assumptions, not measured industrial performance; sensitivity is needed.
Unretained elemental Ga = 0.0003846597517176498 kg and As = 0.0023422614069333186 kg. Preserve the existing aggregate hazardous-waste and carrier-gas inventories because source-specific off-gas capture/speciation and solid/liquid split are not recovered; these balances do not justify inventing a recovered-metal credit or elemental air emissions. Dopants, hydrogen carrier, etching, energy, substrate reuse and module lifetime are unchanged. No native/runtime edits.</t>
        </is>
      </c>
    </row>
    <row r="81" spans="1:9" x14ac:dyDescent="0.2">
      <c r="A81" t="inlineStr">
        <is>
          <t>diethylzinc, organozinc synthesis engineering reference</t>
        </is>
      </c>
      <c r="B81" t="inlineStr">
        <is>
          <t>diethylzinc, organozinc synthesis engineering reference</t>
        </is>
      </c>
      <c r="C81" t="inlineStr">
        <is>
          <t>GLO</t>
        </is>
      </c>
      <c r="D81" s="7">
        <v>8.4999999999999999E-6</v>
      </c>
      <c r="E81" t="s">
        <v>5</v>
      </c>
      <c r="F81" t="s">
        <v>21</v>
      </c>
      <c r="G81" t="s">
        <v>16</v>
      </c>
      <c r="I81" t="inlineStr">
        <is>
          <t>APPROVED DIETHYLZINC IDENTITY AND Zn FEED, issue83,2026-10-18. Pallas2020 SI S4 identifies diethylzinc8.5e-6kg/m2 MOVPE. CN100408584C Example1:600gZn,250mLEtI,250mLEtBr,10gCuI; reported trialyieldabout85%,not a measured semiconductorplant inventory. https://patents.google.com/patent/CN100408584C/en . Replace onlyMOVPEgenericorganicchemical8.5mg/m2 by the same mass of an explicitZn(C2H5)2 reference; retainedZn fraction=0.529375566783262. Do not add elementalZn on top of a complete DEZ supplier. Use the patentdirectZn/ethylhalide route as a namedengineeringvariant,not a claim of the actualPallas chemicalvendor. Convert250mL eachEtBr/EtI with explicitlyassumed20C densities1.46/1.94kg/L;sourcebatch0.365kgEtBr+0.485kgEtI+0.600kgZn+0.010kgCuI. IsolatednewDEZ=0.3390440898698082kg perbatch at85% of halide-limitedtheoreticalyield; patent doesnot report that exactkgoutput or allresiduefates.30gDEZinitiator is treatedasclosedcirculatingseed,not counted bothasnewoutput andnewfreshinput;initialseedstock/startup-loss allocation is a gap.95%versus85%yield sensitivity mustnot silentlychangeoldper-m2dosage. Use1kWh/kg productmanufacture as explicitheating,distillation/coolingallowance,plus0.05kgN2/kgproduct and0.01kgH2/kgproduct purge references;actualpurityupgrade,powderactivation,purgeflow,leaks andutilities remainunmeasured. NativeZnmarket is a bulkrefinedsupplyproxy,not certified6Npowder;semiconductor-gradepurification gap remains. No assumedclosedloopZn-saltorCuIrecovery; matchall grossZn/ethylhalide/CuImass notretainedin1kg producttoexistingmixedhazardouswasteprovider with no metalcredit. MixedresiduecontainsZn/halides/Cu andunreactedmaterial;separateelementfates areunresolved. Buildmissingethylhalides via balancedEtOH+HX-&gt;EtX+H2O precursorreferences,withHX fromH2+halogen andCuIfromCu+I;these are explicit100%stoichiometric precursorconversionreferences,not measuredindustrialyields. Their1kWh/kgHX/CuI and0.5kWh/kgEtX processingallowances andwastewaterwateroutflow are engineeringproxies. Testprecursoryields90-100%;do not claim industrialrecipe closure because elementalbalances close. UsepetrochemicalethanolRER,realBr/I/Cu/H2feeds,not genericorganicchemical as missingZn substitute. Preserve sourceoperatingnanowirearea afterissue76 andallotherMOVPEinputs. Highpuritymetal,saltrecycling,pyrophoricreagent losses andactualcarrier-solvent grade requirefuturedata. No native,runtime,YAML or primary-secondaryshare edits.</t>
        </is>
      </c>
    </row>
    <row r="82" spans="1:9" x14ac:dyDescent="0.2">
      <c r="A82" t="s">
        <v>83</v>
      </c>
      <c r="B82" t="s">
        <v>82</v>
      </c>
      <c r="C82" t="s">
        <v>73</v>
      </c>
      <c r="D82" s="7">
        <v>0.68</v>
      </c>
      <c r="E82" t="s">
        <v>15</v>
      </c>
      <c r="F82" t="s">
        <v>21</v>
      </c>
      <c r="G82" t="s">
        <v>16</v>
      </c>
    </row>
    <row r="83" spans="1:9" x14ac:dyDescent="0.2">
      <c r="A83" t="s">
        <v>89</v>
      </c>
      <c r="B83" t="s">
        <v>90</v>
      </c>
      <c r="C83" t="s">
        <v>81</v>
      </c>
      <c r="D83" s="7">
        <v>-3.3E-3</v>
      </c>
      <c r="E83" t="s">
        <v>5</v>
      </c>
      <c r="F83" t="s">
        <v>21</v>
      </c>
      <c r="G83" t="s">
        <v>16</v>
      </c>
      <c r="I83" t="s">
        <v>109</v>
      </c>
    </row>
    <row r="84" spans="1:9" x14ac:dyDescent="0.2">
      <c r="C84" s="28"/>
      <c r="D84" s="7"/>
      <c r="E84" s="28"/>
      <c r="F84" s="28"/>
      <c r="G84" s="28"/>
    </row>
    <row r="85" spans="1:9" x14ac:dyDescent="0.2">
      <c r="C85" s="28"/>
      <c r="D85" s="7"/>
      <c r="E85" s="28"/>
      <c r="F85" s="28"/>
      <c r="G85" s="28"/>
      <c r="I85" s="28"/>
    </row>
    <row r="86" spans="1:9" x14ac:dyDescent="0.2">
      <c r="A86" s="2" t="s">
        <v>0</v>
      </c>
      <c r="B86" s="2" t="s">
        <v>243</v>
      </c>
    </row>
    <row r="87" spans="1:9" x14ac:dyDescent="0.2">
      <c r="A87" t="s">
        <v>238</v>
      </c>
      <c r="B87" t="inlineStr">
        <is>
          <t>APPROVED GaAs SUBSTRATE REUSE BOUNDARY, issue76,2026-10-18. Pallas et al.2020 DOI10.1007/s11367-020-01791-z, public SI S1,S4,S6: https://media.springernature.com/full/springer-static/esm/art%3A10.1007%2Fs11367-020-01791-z/MediaObjects/11367_2020_1791_MOESM1_ESM.docx . Paper sections2.7-2.10 distinguish baseline100 uses of a625um substrate from recurring lithography, gold patterning, wet etching, MOVPE growth and lift-off/CMP. The installation formerly bought0.01m2 of the entire ELO chain: fresh gold, precursors, solvents, growth and lift-off were all divided by100. New attribution helper supplies the manufacturing burden of0.01m2 complete original GaAs substrate per1m2 processed area, with no circulating technosphere loop or negative substitution credit. Its input includes the original wafer-production cleanup/quality/packaging chain and its source yields; issue75 already corrects the active boule recipe. Coating buys1m2 of this attributed substrate reference; all downstream process areas stay1m2, and the installation now buys1m2 ELO output per1m2 Si cell. Retain baseline CMP after every ELO: source optimization with one CMP per10ELO is a separate scenario, not silently adopted. Preserve source fresh gold169mg/m2; the paper90% gold recovery is another optimization scenario and is not imposed here. Keep source reagent quantities and electricity per processed area, no100x substrate-manufacture penalty. Original100-use baseline is prospective, not proven commercial durability; sensitivity10,100,500 uses applies to substrate manufacture only. Initial/final re-polishing count differs by at mostone over100cycles; baseline uses per-cycle source processing, not an invented recovered-wafer product or full annual substrate replacement. Fragility/attrition and route-specific recovery are gaps. Operating electricity output/lifetime,0.28kWp identity, Si cell input and BOS remain unchanged. No runtime/YAML/native edits or primary-secondary-share changes.
PREVIOUS NOTES (retained as history; the correction above takes precedence):
Ex-ante LCA. Pallas et al. (2020) Ex ante life cycle assessment of GaAs/Si nanowire–based tandem solar cells: a benchmark for industrialization. The International Journal of Life Cycle Assessment, 25, 1767-1782. https://doi.org/10.1007/s11367-020-01791-z</t>
        </is>
      </c>
    </row>
    <row r="88" spans="1:9" x14ac:dyDescent="0.2">
      <c r="A88" t="s">
        <v>2</v>
      </c>
      <c r="B88" t="s">
        <v>33</v>
      </c>
    </row>
    <row r="89" spans="1:9" x14ac:dyDescent="0.2">
      <c r="A89" t="s">
        <v>14</v>
      </c>
      <c r="B89" t="s">
        <v>53</v>
      </c>
    </row>
    <row r="90" spans="1:9" x14ac:dyDescent="0.2">
      <c r="A90" t="s">
        <v>1</v>
      </c>
      <c r="B90" t="s">
        <v>77</v>
      </c>
    </row>
    <row r="91" spans="1:9" x14ac:dyDescent="0.2">
      <c r="A91" t="s">
        <v>8</v>
      </c>
      <c r="B91">
        <v>1</v>
      </c>
    </row>
    <row r="92" spans="1:9" x14ac:dyDescent="0.2">
      <c r="A92" t="s">
        <v>4</v>
      </c>
      <c r="B92" t="s">
        <v>19</v>
      </c>
    </row>
    <row r="93" spans="1:9" x14ac:dyDescent="0.2">
      <c r="A93" t="s">
        <v>239</v>
      </c>
      <c r="B93" t="s">
        <v>240</v>
      </c>
    </row>
    <row r="94" spans="1:9" x14ac:dyDescent="0.2">
      <c r="A94" s="2" t="s">
        <v>6</v>
      </c>
    </row>
    <row r="95" spans="1:9" x14ac:dyDescent="0.2">
      <c r="A95" s="2" t="s">
        <v>7</v>
      </c>
      <c r="B95" s="2" t="s">
        <v>2</v>
      </c>
      <c r="C95" s="2" t="s">
        <v>1</v>
      </c>
      <c r="D95" s="3" t="s">
        <v>8</v>
      </c>
      <c r="E95" s="2" t="s">
        <v>4</v>
      </c>
      <c r="F95" s="2" t="s">
        <v>13</v>
      </c>
      <c r="G95" s="2" t="s">
        <v>3</v>
      </c>
      <c r="H95" s="2" t="s">
        <v>9</v>
      </c>
      <c r="I95" s="2" t="s">
        <v>238</v>
      </c>
    </row>
    <row r="96" spans="1:9" x14ac:dyDescent="0.2">
      <c r="A96" t="str">
        <f>B86</f>
        <v>epitaxial lift-off (ELO)</v>
      </c>
      <c r="B96" t="str">
        <f>B88</f>
        <v>GaAs wafer - re-polished for reuse</v>
      </c>
      <c r="C96" t="s">
        <v>77</v>
      </c>
      <c r="D96" s="1">
        <v>1</v>
      </c>
      <c r="E96" t="s">
        <v>19</v>
      </c>
      <c r="F96" t="s">
        <v>218</v>
      </c>
      <c r="G96" t="s">
        <v>10</v>
      </c>
      <c r="I96" s="6" t="s">
        <v>281</v>
      </c>
    </row>
    <row r="97" spans="1:9" x14ac:dyDescent="0.2">
      <c r="A97" t="s">
        <v>278</v>
      </c>
      <c r="B97" t="s">
        <v>32</v>
      </c>
      <c r="C97" t="s">
        <v>77</v>
      </c>
      <c r="D97" s="1">
        <v>1</v>
      </c>
      <c r="E97" t="s">
        <v>19</v>
      </c>
      <c r="F97" t="s">
        <v>218</v>
      </c>
      <c r="G97" t="s">
        <v>16</v>
      </c>
      <c r="I97" s="6"/>
    </row>
    <row r="98" spans="1:9" x14ac:dyDescent="0.2">
      <c r="A98" t="s">
        <v>110</v>
      </c>
      <c r="B98" t="s">
        <v>43</v>
      </c>
      <c r="C98" t="s">
        <v>73</v>
      </c>
      <c r="D98" s="7">
        <v>1.02</v>
      </c>
      <c r="E98" t="s">
        <v>5</v>
      </c>
      <c r="F98" t="s">
        <v>21</v>
      </c>
      <c r="G98" t="s">
        <v>16</v>
      </c>
      <c r="I98" t="s">
        <v>111</v>
      </c>
    </row>
    <row r="99" spans="1:9" x14ac:dyDescent="0.2">
      <c r="A99" t="s">
        <v>84</v>
      </c>
      <c r="B99" t="s">
        <v>209</v>
      </c>
      <c r="C99" t="s">
        <v>73</v>
      </c>
      <c r="D99" s="7">
        <v>0.69299999999999995</v>
      </c>
      <c r="E99" t="s">
        <v>5</v>
      </c>
      <c r="F99" t="s">
        <v>21</v>
      </c>
      <c r="G99" t="s">
        <v>16</v>
      </c>
      <c r="I99" t="s">
        <v>86</v>
      </c>
    </row>
    <row r="100" spans="1:9" x14ac:dyDescent="0.2">
      <c r="A100" t="s">
        <v>74</v>
      </c>
      <c r="B100" t="s">
        <v>75</v>
      </c>
      <c r="C100" t="s">
        <v>73</v>
      </c>
      <c r="D100" s="7">
        <v>0.69799999999999995</v>
      </c>
      <c r="E100" t="s">
        <v>5</v>
      </c>
      <c r="F100" t="s">
        <v>21</v>
      </c>
      <c r="G100" t="s">
        <v>16</v>
      </c>
    </row>
    <row r="101" spans="1:9" x14ac:dyDescent="0.2">
      <c r="A101" t="s">
        <v>113</v>
      </c>
      <c r="B101" t="s">
        <v>167</v>
      </c>
      <c r="C101" t="s">
        <v>73</v>
      </c>
      <c r="D101" s="7">
        <v>0.17199999999999999</v>
      </c>
      <c r="E101" t="s">
        <v>5</v>
      </c>
      <c r="F101" t="s">
        <v>21</v>
      </c>
      <c r="G101" t="s">
        <v>16</v>
      </c>
      <c r="I101" t="s">
        <v>112</v>
      </c>
    </row>
    <row r="102" spans="1:9" x14ac:dyDescent="0.2">
      <c r="A102" s="9" t="s">
        <v>258</v>
      </c>
      <c r="B102" t="s">
        <v>35</v>
      </c>
      <c r="C102" t="s">
        <v>77</v>
      </c>
      <c r="D102" s="7">
        <v>11.6</v>
      </c>
      <c r="E102" t="s">
        <v>5</v>
      </c>
      <c r="F102" t="s">
        <v>21</v>
      </c>
      <c r="G102" t="s">
        <v>16</v>
      </c>
    </row>
    <row r="103" spans="1:9" x14ac:dyDescent="0.2">
      <c r="A103" t="s">
        <v>114</v>
      </c>
      <c r="B103" t="s">
        <v>115</v>
      </c>
      <c r="C103" t="s">
        <v>73</v>
      </c>
      <c r="D103" s="7">
        <v>2.7599999999999999E-3</v>
      </c>
      <c r="E103" t="s">
        <v>5</v>
      </c>
      <c r="F103" t="s">
        <v>21</v>
      </c>
      <c r="G103" t="s">
        <v>16</v>
      </c>
      <c r="I103" t="s">
        <v>116</v>
      </c>
    </row>
    <row r="104" spans="1:9" x14ac:dyDescent="0.2">
      <c r="A104" t="s">
        <v>120</v>
      </c>
      <c r="B104" t="s">
        <v>117</v>
      </c>
      <c r="C104" t="s">
        <v>119</v>
      </c>
      <c r="D104" s="7">
        <v>9.8699999999999992</v>
      </c>
      <c r="E104" t="s">
        <v>15</v>
      </c>
      <c r="F104" t="s">
        <v>21</v>
      </c>
      <c r="G104" t="s">
        <v>16</v>
      </c>
      <c r="I104" t="s">
        <v>118</v>
      </c>
    </row>
    <row r="105" spans="1:9" x14ac:dyDescent="0.2">
      <c r="A105" t="s">
        <v>89</v>
      </c>
      <c r="B105" t="s">
        <v>90</v>
      </c>
      <c r="C105" t="s">
        <v>81</v>
      </c>
      <c r="D105" s="7">
        <v>-2.59</v>
      </c>
      <c r="E105" t="s">
        <v>5</v>
      </c>
      <c r="F105" t="s">
        <v>21</v>
      </c>
      <c r="G105" t="s">
        <v>16</v>
      </c>
      <c r="I105" t="s">
        <v>109</v>
      </c>
    </row>
    <row r="107" spans="1:9" x14ac:dyDescent="0.2">
      <c r="A107" s="2" t="s">
        <v>0</v>
      </c>
      <c r="B107" s="2" t="s">
        <v>246</v>
      </c>
    </row>
    <row r="108" spans="1:9" x14ac:dyDescent="0.2">
      <c r="A108" t="s">
        <v>238</v>
      </c>
      <c r="B108" t="inlineStr">
        <is>
          <t>APPROVED GaAs BOULE MATERIAL BALANCE, issue75,2026-10-18. Pallas et al.2020 DOI10.1007/s11367-020-01791-z, public SI S1,S4,S6: https://media.springernature.com/full/springer-static/esm/art%3A10.1007%2Fs11367-020-01791-z/MediaObjects/11367_2020_1791_MOESM1_ESM.docx . SI S6 outputs 1kg GaAs from0.236kg Ga and0.516kg As: only0.752kg feed, excluding the B4C process crucible. The problem is present in the published supplement, not simply an import typo. Attempts to recover Smith2018 original thesis https://repository.rit.edu/theses/9877/ returned HTTP403 for the full text; the original author batch calculation is not independently verified. Use a distinct balanced engineering reference, not a falsely claimed verbatim source correction. GaAs has one Ga and one As atom; atomic masses69.723 and74.921595 give retained fractions0.4820297640572052 and0.5179702359427949. Adopt95% overall boule-material retention as an explicit assumption, test90-100%; feed both7N elements at their retained fraction/0.95. Treat the corresponding1/0.95-1kg GaAs process loss with the existing hazardous underground-deposit proxy, not a recycling credit. Preserve source50kWh/kg process electricity,0.01kg B4C crucible and its paired0.01kg disposal. Existing upstream7N refining and downstream crystal-growth/wafer-sawing losses remain separate, not removed or charged twice. Route the active single-crystal producer to this new provider at its existing1.08kg/kg dose. Old provider identity remains available and is marked as a legacy unbalanced source recipe. Actual industrial yield, Ga/As-specific volatilization, recovery, purity and exhaust treatment are not established; underground disposal is a mixed-hazardous-waste fate proxy. No native database, runtime or YAML edits, and no primary-secondary-share claim.
PREVIOUS NOTES (retained as history; the correction above takes precedence):
Ex-ante LCA. Original inventory from Smith et al. (2018). Imported following Pallas et al. (2020) Ex ante life cycle assessment of GaAs/Si nanowire–based tandem solar cells: a benchmark for industrialization. The International Journal of Life Cycle Assessment, 25, 1767-1782. https://doi.org/10.1007/s11367-020-01791-z</t>
        </is>
      </c>
    </row>
    <row r="109" spans="1:9" x14ac:dyDescent="0.2">
      <c r="A109" t="s">
        <v>2</v>
      </c>
      <c r="B109" s="9" t="s">
        <v>36</v>
      </c>
    </row>
    <row r="110" spans="1:9" x14ac:dyDescent="0.2">
      <c r="A110" t="s">
        <v>14</v>
      </c>
      <c r="B110" t="s">
        <v>18</v>
      </c>
    </row>
    <row r="111" spans="1:9" x14ac:dyDescent="0.2">
      <c r="A111" t="s">
        <v>1</v>
      </c>
      <c r="B111" t="s">
        <v>77</v>
      </c>
    </row>
    <row r="112" spans="1:9" x14ac:dyDescent="0.2">
      <c r="A112" t="s">
        <v>8</v>
      </c>
      <c r="B112">
        <v>1</v>
      </c>
    </row>
    <row r="113" spans="1:9" x14ac:dyDescent="0.2">
      <c r="A113" t="s">
        <v>4</v>
      </c>
      <c r="B113" t="s">
        <v>5</v>
      </c>
    </row>
    <row r="114" spans="1:9" x14ac:dyDescent="0.2">
      <c r="A114" t="s">
        <v>239</v>
      </c>
      <c r="B114" t="s">
        <v>240</v>
      </c>
    </row>
    <row r="115" spans="1:9" x14ac:dyDescent="0.2">
      <c r="A115" s="2" t="s">
        <v>6</v>
      </c>
    </row>
    <row r="116" spans="1:9" x14ac:dyDescent="0.2">
      <c r="A116" s="2" t="s">
        <v>7</v>
      </c>
      <c r="B116" s="2" t="s">
        <v>2</v>
      </c>
      <c r="C116" s="2" t="s">
        <v>1</v>
      </c>
      <c r="D116" s="3" t="s">
        <v>8</v>
      </c>
      <c r="E116" s="2" t="s">
        <v>4</v>
      </c>
      <c r="F116" s="2" t="s">
        <v>13</v>
      </c>
      <c r="G116" s="2" t="s">
        <v>3</v>
      </c>
      <c r="H116" s="2" t="s">
        <v>9</v>
      </c>
      <c r="I116" s="2" t="s">
        <v>238</v>
      </c>
    </row>
    <row r="117" spans="1:9" x14ac:dyDescent="0.2">
      <c r="A117" t="str">
        <f>B107</f>
        <v>polycrystalline GaAs boule production</v>
      </c>
      <c r="B117" t="str">
        <f>B109</f>
        <v>polycrystalline GaAs boule</v>
      </c>
      <c r="C117" t="s">
        <v>77</v>
      </c>
      <c r="D117" s="1">
        <v>1</v>
      </c>
      <c r="E117" t="str">
        <f>B113</f>
        <v>kilogram</v>
      </c>
      <c r="F117" t="str">
        <f>B1</f>
        <v>PV_GaAs</v>
      </c>
      <c r="G117" t="s">
        <v>10</v>
      </c>
    </row>
    <row r="118" spans="1:9" x14ac:dyDescent="0.2">
      <c r="A118" t="s">
        <v>247</v>
      </c>
      <c r="B118" s="9" t="s">
        <v>211</v>
      </c>
      <c r="C118" t="s">
        <v>77</v>
      </c>
      <c r="D118" s="10">
        <v>0.23599999999999999</v>
      </c>
      <c r="E118" t="s">
        <v>5</v>
      </c>
      <c r="F118" t="s">
        <v>218</v>
      </c>
      <c r="G118" t="s">
        <v>16</v>
      </c>
      <c r="I118" s="9"/>
    </row>
    <row r="119" spans="1:9" x14ac:dyDescent="0.2">
      <c r="A119" t="s">
        <v>248</v>
      </c>
      <c r="B119" s="9" t="s">
        <v>210</v>
      </c>
      <c r="C119" t="s">
        <v>77</v>
      </c>
      <c r="D119" s="10">
        <v>0.51600000000000001</v>
      </c>
      <c r="E119" t="s">
        <v>5</v>
      </c>
      <c r="F119" t="s">
        <v>218</v>
      </c>
      <c r="G119" t="s">
        <v>16</v>
      </c>
      <c r="I119" s="9"/>
    </row>
    <row r="120" spans="1:9" x14ac:dyDescent="0.2">
      <c r="A120" s="9" t="s">
        <v>123</v>
      </c>
      <c r="B120" s="9" t="s">
        <v>122</v>
      </c>
      <c r="C120" t="s">
        <v>77</v>
      </c>
      <c r="D120" s="10">
        <v>0.01</v>
      </c>
      <c r="E120" t="s">
        <v>5</v>
      </c>
      <c r="F120" t="s">
        <v>21</v>
      </c>
      <c r="G120" t="s">
        <v>16</v>
      </c>
      <c r="I120" t="s">
        <v>121</v>
      </c>
    </row>
    <row r="121" spans="1:9" x14ac:dyDescent="0.2">
      <c r="A121" t="s">
        <v>120</v>
      </c>
      <c r="B121" t="s">
        <v>117</v>
      </c>
      <c r="C121" t="s">
        <v>119</v>
      </c>
      <c r="D121" s="10">
        <v>50</v>
      </c>
      <c r="E121" t="s">
        <v>15</v>
      </c>
      <c r="F121" t="s">
        <v>21</v>
      </c>
      <c r="G121" t="s">
        <v>16</v>
      </c>
      <c r="I121" t="s">
        <v>124</v>
      </c>
    </row>
    <row r="122" spans="1:9" x14ac:dyDescent="0.2">
      <c r="A122" s="9" t="s">
        <v>127</v>
      </c>
      <c r="B122" s="9" t="s">
        <v>126</v>
      </c>
      <c r="C122" t="s">
        <v>96</v>
      </c>
      <c r="D122" s="10">
        <v>-0.01</v>
      </c>
      <c r="E122" t="s">
        <v>5</v>
      </c>
      <c r="F122" t="s">
        <v>21</v>
      </c>
      <c r="G122" t="s">
        <v>16</v>
      </c>
      <c r="I122" t="s">
        <v>125</v>
      </c>
    </row>
    <row r="123" spans="1:9" x14ac:dyDescent="0.2">
      <c r="C123" s="6"/>
    </row>
    <row r="124" spans="1:9" x14ac:dyDescent="0.2">
      <c r="A124" s="2" t="s">
        <v>0</v>
      </c>
      <c r="B124" s="2" t="s">
        <v>247</v>
      </c>
    </row>
    <row r="125" spans="1:9" x14ac:dyDescent="0.2">
      <c r="A125" t="s">
        <v>238</v>
      </c>
      <c r="B125" t="s">
        <v>245</v>
      </c>
    </row>
    <row r="126" spans="1:9" x14ac:dyDescent="0.2">
      <c r="A126" t="s">
        <v>2</v>
      </c>
      <c r="B126" s="9" t="s">
        <v>54</v>
      </c>
    </row>
    <row r="127" spans="1:9" x14ac:dyDescent="0.2">
      <c r="A127" t="s">
        <v>14</v>
      </c>
      <c r="B127" t="s">
        <v>24</v>
      </c>
    </row>
    <row r="128" spans="1:9" x14ac:dyDescent="0.2">
      <c r="A128" t="s">
        <v>1</v>
      </c>
      <c r="B128" t="s">
        <v>77</v>
      </c>
    </row>
    <row r="129" spans="1:9" x14ac:dyDescent="0.2">
      <c r="A129" t="s">
        <v>8</v>
      </c>
      <c r="B129">
        <v>1</v>
      </c>
    </row>
    <row r="130" spans="1:9" x14ac:dyDescent="0.2">
      <c r="A130" t="s">
        <v>4</v>
      </c>
      <c r="B130" t="s">
        <v>5</v>
      </c>
    </row>
    <row r="131" spans="1:9" x14ac:dyDescent="0.2">
      <c r="A131" t="s">
        <v>239</v>
      </c>
      <c r="B131" t="s">
        <v>240</v>
      </c>
    </row>
    <row r="132" spans="1:9" x14ac:dyDescent="0.2">
      <c r="A132" s="2" t="s">
        <v>6</v>
      </c>
    </row>
    <row r="133" spans="1:9" x14ac:dyDescent="0.2">
      <c r="A133" s="2" t="s">
        <v>7</v>
      </c>
      <c r="B133" s="2" t="s">
        <v>2</v>
      </c>
      <c r="C133" s="2" t="s">
        <v>1</v>
      </c>
      <c r="D133" s="3" t="s">
        <v>8</v>
      </c>
      <c r="E133" s="2" t="s">
        <v>4</v>
      </c>
      <c r="F133" s="2" t="s">
        <v>13</v>
      </c>
      <c r="G133" s="2" t="s">
        <v>3</v>
      </c>
      <c r="H133" s="2" t="s">
        <v>9</v>
      </c>
      <c r="I133" s="2" t="s">
        <v>238</v>
      </c>
    </row>
    <row r="134" spans="1:9" x14ac:dyDescent="0.2">
      <c r="A134" t="str">
        <f>B124</f>
        <v>7N gallium production</v>
      </c>
      <c r="B134" t="str">
        <f>B126</f>
        <v xml:space="preserve">7N Gallium </v>
      </c>
      <c r="C134" t="s">
        <v>77</v>
      </c>
      <c r="D134" s="1">
        <v>1</v>
      </c>
      <c r="E134" t="str">
        <f>B130</f>
        <v>kilogram</v>
      </c>
      <c r="F134" t="s">
        <v>218</v>
      </c>
      <c r="G134" t="s">
        <v>10</v>
      </c>
    </row>
    <row r="135" spans="1:9" x14ac:dyDescent="0.2">
      <c r="A135" s="9" t="s">
        <v>129</v>
      </c>
      <c r="B135" t="s">
        <v>130</v>
      </c>
      <c r="C135" t="s">
        <v>77</v>
      </c>
      <c r="D135" s="10">
        <v>1.4285714</v>
      </c>
      <c r="E135" t="s">
        <v>5</v>
      </c>
      <c r="F135" t="s">
        <v>21</v>
      </c>
      <c r="G135" t="s">
        <v>16</v>
      </c>
      <c r="I135" s="9" t="s">
        <v>128</v>
      </c>
    </row>
    <row r="136" spans="1:9" x14ac:dyDescent="0.2">
      <c r="A136" t="s">
        <v>120</v>
      </c>
      <c r="B136" t="s">
        <v>117</v>
      </c>
      <c r="C136" t="s">
        <v>119</v>
      </c>
      <c r="D136" s="10">
        <v>5.7142856999999996</v>
      </c>
      <c r="E136" t="s">
        <v>15</v>
      </c>
      <c r="F136" t="s">
        <v>21</v>
      </c>
      <c r="G136" t="s">
        <v>16</v>
      </c>
      <c r="I136" t="s">
        <v>131</v>
      </c>
    </row>
    <row r="137" spans="1:9" x14ac:dyDescent="0.2">
      <c r="A137" s="9"/>
      <c r="B137" s="9"/>
      <c r="C137" s="6"/>
      <c r="D137" s="10"/>
    </row>
    <row r="138" spans="1:9" x14ac:dyDescent="0.2">
      <c r="A138" s="2" t="s">
        <v>0</v>
      </c>
      <c r="B138" s="2" t="s">
        <v>248</v>
      </c>
    </row>
    <row r="139" spans="1:9" x14ac:dyDescent="0.2">
      <c r="A139" t="s">
        <v>238</v>
      </c>
      <c r="B139" t="inlineStr">
        <is>
          <t>APPROVED ARSENIC-EQUIVALENT ARSINE FEED, issue111,2026-10-18. Pallas et al.2020, DOI10.1007/s11367-020-01791-z, SI S6. https://media.springernature.com/full/springer-static/esm/art%3A10.1007%2Fs11367-020-01791-z/MediaObjects/11367_2020_1791_MOESM1_ESM.docx . Source explicitly specifies1.4705882kg elemental2N arsenic and calls for about1.53kgAsH3 when using arsineproduction as proxy. Current workbook copied1.4705882kg without compoundconversion. Use atomicmasses As74.921595,H1.008:Asfraction=0.9612037088176696 andarsinefeed=1.5299443671611501kg per1kg7NAs. Preserve source elementalfeed and impliedpurificationretention1/1.4705882~68%;do not accidentallytreatcompoundreplacement as100%Asrecovery. Add explicit netAsH3-&gt;As+1.5H2 conversion:elementalAsreject=0.4705881999999999kg toexisting hazardousunderground-disposalproxy,hydrogenreleasedfromfeed=0.05935616716115022kg biosphereair. This is a chemicallydefined engineeringconversion/fate,not validatedindustrialarsine-based7Nrefining. Sourcepreferenceisoriginalmetallic2NAs purification;actualhighpurityfeedrouteandpurificationutilitiesrequireoriginalSmith2018 processdata. Keep8.1176471kWh andoriginalexternalH2.0941176kg,Ar.0470588kg as existingpurification/purge allowances;theirrecycle/ventfates areunresolved,notclaimedatomclosedfornonreactivepurge. Do not subtractgeneratedH2 fromexternalpurge orcredit hydrogenmarket without evidencedcapturequality. AddedAsreject isnotanextra retainedproduct orrecyclingcredit. No change7NAs1kgoutput,GaAs boulecomposition,downstreamyield,nanowireAsH3dose,lifetime/substratereuse orprimary/secondaryshares. SourceAsfraction.961rounds to1.53kg;exactmolarconversionusedratherthanrounded1.53. Existingworkbookonly,no runtime/native edits.
PREVIOUS NOTES (retained as history; the correction above takes precedence):
Ex-ante LCA. Original inventory from Smith et al. (2018). Imported following Pallas et al. (2020) Ex ante life cycle assessment of GaAs/Si nanowire–based tandem solar cells: a benchmark for industrialization. The International Journal of Life Cycle Assessment, 25, 1767-1782. https://doi.org/10.1007/s11367-020-01791-z</t>
        </is>
      </c>
    </row>
    <row r="140" spans="1:9" x14ac:dyDescent="0.2">
      <c r="A140" t="s">
        <v>2</v>
      </c>
      <c r="B140" s="9" t="s">
        <v>210</v>
      </c>
    </row>
    <row r="141" spans="1:9" x14ac:dyDescent="0.2">
      <c r="A141" t="s">
        <v>14</v>
      </c>
      <c r="B141" t="s">
        <v>28</v>
      </c>
    </row>
    <row r="142" spans="1:9" x14ac:dyDescent="0.2">
      <c r="A142" t="s">
        <v>1</v>
      </c>
      <c r="B142" t="s">
        <v>77</v>
      </c>
    </row>
    <row r="143" spans="1:9" x14ac:dyDescent="0.2">
      <c r="A143" t="s">
        <v>8</v>
      </c>
      <c r="B143">
        <v>1</v>
      </c>
    </row>
    <row r="144" spans="1:9" x14ac:dyDescent="0.2">
      <c r="A144" t="s">
        <v>4</v>
      </c>
      <c r="B144" t="s">
        <v>5</v>
      </c>
    </row>
    <row r="145" spans="1:9" x14ac:dyDescent="0.2">
      <c r="A145" t="s">
        <v>239</v>
      </c>
      <c r="B145" t="s">
        <v>240</v>
      </c>
    </row>
    <row r="146" spans="1:9" x14ac:dyDescent="0.2">
      <c r="A146" s="2" t="s">
        <v>6</v>
      </c>
    </row>
    <row r="147" spans="1:9" x14ac:dyDescent="0.2">
      <c r="A147" s="2" t="s">
        <v>7</v>
      </c>
      <c r="B147" s="2" t="s">
        <v>2</v>
      </c>
      <c r="C147" s="2" t="s">
        <v>1</v>
      </c>
      <c r="D147" s="3" t="s">
        <v>8</v>
      </c>
      <c r="E147" s="2" t="s">
        <v>4</v>
      </c>
      <c r="F147" s="2" t="s">
        <v>13</v>
      </c>
      <c r="G147" s="2" t="s">
        <v>3</v>
      </c>
      <c r="H147" s="2" t="s">
        <v>9</v>
      </c>
      <c r="I147" s="2" t="s">
        <v>238</v>
      </c>
    </row>
    <row r="148" spans="1:9" x14ac:dyDescent="0.2">
      <c r="A148" t="str">
        <f>B138</f>
        <v>7N arsenic production</v>
      </c>
      <c r="B148" t="str">
        <f>B140</f>
        <v>7N Arsenic</v>
      </c>
      <c r="C148" t="s">
        <v>77</v>
      </c>
      <c r="D148" s="1">
        <v>1</v>
      </c>
      <c r="E148" t="str">
        <f>B144</f>
        <v>kilogram</v>
      </c>
      <c r="F148" t="s">
        <v>218</v>
      </c>
      <c r="G148" t="s">
        <v>10</v>
      </c>
      <c r="I148" t="inlineStr">
        <is>
          <t>APPROVED ARSENIC-EQUIVALENT ARSINE FEED, issue111,2026-10-18. Pallas et al.2020, DOI10.1007/s11367-020-01791-z, SI S6. https://media.springernature.com/full/springer-static/esm/art%3A10.1007%2Fs11367-020-01791-z/MediaObjects/11367_2020_1791_MOESM1_ESM.docx . Source explicitly specifies1.4705882kg elemental2N arsenic and calls for about1.53kgAsH3 when using arsineproduction as proxy. Current workbook copied1.4705882kg without compoundconversion. Use atomicmasses As74.921595,H1.008:Asfraction=0.9612037088176696 andarsinefeed=1.5299443671611501kg per1kg7NAs. Preserve source elementalfeed and impliedpurificationretention1/1.4705882~68%;do not accidentallytreatcompoundreplacement as100%Asrecovery. Add explicit netAsH3-&gt;As+1.5H2 conversion:elementalAsreject=0.4705881999999999kg toexisting hazardousunderground-disposalproxy,hydrogenreleasedfromfeed=0.05935616716115022kg biosphereair. This is a chemicallydefined engineeringconversion/fate,not validatedindustrialarsine-based7Nrefining. Sourcepreferenceisoriginalmetallic2NAs purification;actualhighpurityfeedrouteandpurificationutilitiesrequireoriginalSmith2018 processdata. Keep8.1176471kWh andoriginalexternalH2.0941176kg,Ar.0470588kg as existingpurification/purge allowances;theirrecycle/ventfates areunresolved,notclaimedatomclosedfornonreactivepurge. Do not subtractgeneratedH2 fromexternalpurge orcredit hydrogenmarket without evidencedcapturequality. AddedAsreject isnotanextra retainedproduct orrecyclingcredit. No change7NAs1kgoutput,GaAs boulecomposition,downstreamyield,nanowireAsH3dose,lifetime/substratereuse orprimary/secondaryshares. SourceAsfraction.961rounds to1.53kg;exactmolarconversionusedratherthanrounded1.53. Existingworkbookonly,no runtime/native edits.</t>
        </is>
      </c>
    </row>
    <row r="149" spans="1:9" x14ac:dyDescent="0.2">
      <c r="A149" s="9" t="inlineStr">
        <is>
          <t>arsine-to-arsenic purification, source-yield engineering reference</t>
        </is>
      </c>
      <c r="B149" s="9" t="inlineStr">
        <is>
          <t>arsine-to-arsenic purification, source-yield engineering reference</t>
        </is>
      </c>
      <c r="C149" t="inlineStr">
        <is>
          <t>GLO</t>
        </is>
      </c>
      <c r="D149" s="10">
        <v>1</v>
      </c>
      <c r="E149" t="s">
        <v>5</v>
      </c>
      <c r="F149" t="s">
        <v>21</v>
      </c>
      <c r="G149" t="s">
        <v>16</v>
      </c>
      <c r="I149" s="9" t="inlineStr">
        <is>
          <t>APPROVED ARSENIC-EQUIVALENT ARSINE FEED, issue111,2026-10-18. Pallas et al.2020, DOI10.1007/s11367-020-01791-z, SI S6. https://media.springernature.com/full/springer-static/esm/art%3A10.1007%2Fs11367-020-01791-z/MediaObjects/11367_2020_1791_MOESM1_ESM.docx . Source explicitly specifies1.4705882kg elemental2N arsenic and calls for about1.53kgAsH3 when using arsineproduction as proxy. Current workbook copied1.4705882kg without compoundconversion. Use atomicmasses As74.921595,H1.008:Asfraction=0.9612037088176696 andarsinefeed=1.5299443671611501kg per1kg7NAs. Preserve source elementalfeed and impliedpurificationretention1/1.4705882~68%;do not accidentallytreatcompoundreplacement as100%Asrecovery. Add explicit netAsH3-&gt;As+1.5H2 conversion:elementalAsreject=0.4705881999999999kg toexisting hazardousunderground-disposalproxy,hydrogenreleasedfromfeed=0.05935616716115022kg biosphereair. This is a chemicallydefined engineeringconversion/fate,not validatedindustrialarsine-based7Nrefining. Sourcepreferenceisoriginalmetallic2NAs purification;actualhighpurityfeedrouteandpurificationutilitiesrequireoriginalSmith2018 processdata. Keep8.1176471kWh andoriginalexternalH2.0941176kg,Ar.0470588kg as existingpurification/purge allowances;theirrecycle/ventfates areunresolved,notclaimedatomclosedfornonreactivepurge. Do not subtractgeneratedH2 fromexternalpurge orcredit hydrogenmarket without evidencedcapturequality. AddedAsreject isnotanextra retainedproduct orrecyclingcredit. No change7NAs1kgoutput,GaAs boulecomposition,downstreamyield,nanowireAsH3dose,lifetime/substratereuse orprimary/secondaryshares. SourceAsfraction.961rounds to1.53kg;exactmolarconversionusedratherthanrounded1.53. Existingworkbookonly,no runtime/native edits.</t>
        </is>
      </c>
    </row>
    <row r="150" spans="1:9" x14ac:dyDescent="0.2">
      <c r="A150" t="s">
        <v>273</v>
      </c>
      <c r="B150" t="s">
        <v>266</v>
      </c>
      <c r="C150" t="s">
        <v>73</v>
      </c>
      <c r="D150" s="10">
        <v>9.4117599999999996E-2</v>
      </c>
      <c r="E150" t="s">
        <v>5</v>
      </c>
      <c r="F150" t="s">
        <v>21</v>
      </c>
      <c r="G150" t="s">
        <v>16</v>
      </c>
      <c r="I150" s="9" t="s">
        <v>133</v>
      </c>
    </row>
    <row r="151" spans="1:9" x14ac:dyDescent="0.2">
      <c r="A151" s="9" t="s">
        <v>134</v>
      </c>
      <c r="B151" s="9" t="s">
        <v>135</v>
      </c>
      <c r="C151" t="s">
        <v>73</v>
      </c>
      <c r="D151" s="10">
        <v>4.7058799999999998E-2</v>
      </c>
      <c r="E151" t="s">
        <v>5</v>
      </c>
      <c r="F151" t="s">
        <v>21</v>
      </c>
      <c r="G151" t="s">
        <v>16</v>
      </c>
      <c r="I151" t="s">
        <v>136</v>
      </c>
    </row>
    <row r="152" spans="1:9" x14ac:dyDescent="0.2">
      <c r="A152" t="s">
        <v>120</v>
      </c>
      <c r="B152" t="s">
        <v>117</v>
      </c>
      <c r="C152" t="s">
        <v>119</v>
      </c>
      <c r="D152" s="10">
        <v>8.1176470999999992</v>
      </c>
      <c r="E152" t="s">
        <v>15</v>
      </c>
      <c r="F152" t="s">
        <v>21</v>
      </c>
      <c r="G152" t="s">
        <v>16</v>
      </c>
      <c r="I152" t="s">
        <v>131</v>
      </c>
    </row>
    <row r="153">
      <c r="A153"/>
      <c r="B153"/>
      <c r="C153"/>
      <c r="D153"/>
      <c r="E153"/>
      <c r="G153"/>
      <c r="I153"/>
    </row>
    <row r="154" spans="1:9" x14ac:dyDescent="0.2">
      <c r="A154" s="2" t="s">
        <v>0</v>
      </c>
      <c r="B154" s="2" t="s">
        <v>249</v>
      </c>
    </row>
    <row r="155" spans="1:9" x14ac:dyDescent="0.2">
      <c r="A155" t="s">
        <v>238</v>
      </c>
      <c r="B155" t="inlineStr">
        <is>
          <t>APPROVED PYROLYTIC BORON NITRIDE CRUCIBLE SUPPLY, issue112,2026-10-18. 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 pBN=BN,notB4C:boronmassfraction=0.4355885078776645 ratherthan0.7826102694973847. ReplaceonlyactivebalancedpolycrystallineGaAsandsinglecrystalgrowthcrucibleinputs atsame.01kg/kg boule withfinishedpBNreference. Oldlegacyunbalancedbouleprovider remainsavailablebutunusedbyactivecrystalgrowth;doNOTdoublecorrectitsunrelatedGaAsfeed. Preserve.01kgcrucibleEOLineachgrowthstage;changingceramicsupplierdoesnotaddanothercrucibleEOL. Existinggenericundergroundhazardoustreatment isfateproxy,notnewrecoverycredit.
 CVDreference50%boronprecursordepositionutilization and95%finishedsolidretention,notindustrialmeasurements;NH3:BCl3molarratio4frompatentexample. Grossprecursorfeedper1grossBN:2BCl3+8NH3. OneBCl3 reactswithoneNH3 -&gt;BN+3HCl;otherBCl3 hydrolyzeswith3H2O -&gt;H3BO3+3HCl. SixremainingNH3 neutralizes6HCl -&gt;6NH4Cl;oneextraNH3 isneutralizedwith.5H2SO4 -&gt;.5(NH4)2SO4. Net2BCl3+8NH3+3H2O+.5H2SO4 -&gt;BN+H3BO3+6NH4Cl+.5(NH4)2SO4. Atomandmassbalanced;Bdeposited50%,finishedBN95%ofdepositedsolid. AllunretainedB/N/Clcapturedaswetbrineis100%collectionREFERENCE,notmeasuredabatementefficiency;actualfugitiveNH3/HClrequiresdata. Testboronutilization10-90%,retention90-100%,gasratio2-5 andcapture95-100%withrecalculatedchemistry/fates,notindependentquantitymultipliers.
 Select25kWfurnace*20h/2kgfinishedbatch=250kWh/kgpBN,explicitengineeringutilitynotpatentmeasuredpower. Test100-1000kWh/kg;finishedbatchmassanddepositionareaareassumed,notrecoveredcommercialplantdata. Retainnonconsumedgraphitemandrelas2kgtool/kgperbatch with100productiveuses=.02kgfreshtool/kgpBN andequalspenttoolmass;reuse10-500uses sensitivity. Mandrelgeometry/roughnessandpuritynotvalidated. Scrub100kgwashwater/kgpBNplusstoichiometrichydrolysiswater;assumebrinedensity1100kg/m3,test1000-1250. Capturedbrineboricacid,NH4Cl,andammoniumsulfatecompositionexplicitbelow. Genericindustrial-averageWWT isUNVALIDATEDforhighsalinity/boron/ammonia;itrepresentscollection/treatmentdemand,notprovenremovalefficiencyorcorrectliquidelementemissions. No fictitiousmetalsrecoveryorhalidesubstitutioncredits.
 BuildmissingBCl3viaB2O3+3C+3Cl2-&gt;2BCl3+3CO.100%stoichiometricconversionand1kWh+3MJ/kgBCl3areengineeringlower-boundprecursorsupplyreferences;semiconductorgradepurification,reagentexcess,phosgenepurificationandplantyieldunknown. COplacedasstoichiometricairoutputinthisreference;actualthermaloxidation/abatementmustbesensitivityreviewed,notclaimedmeasuredindustrialemissions. Boricoxideandgraphitesuppliersarefeed-gradeproxies. No silentlypurchasedbulkBNpowderandclaimCVDmanufacture. Existingworkbookonly;no runtime/native/primarysecondarychanges.
PREVIOUS NOTES (retained as history; the correction above takes precedence):
APPROVED GaAs BOULE MATERIAL BALANCE, issue75,2026-10-18. Pallas et al.2020 DOI10.1007/s11367-020-01791-z, public SI S1,S4,S6: https://media.springernature.com/full/springer-static/esm/art%3A10.1007%2Fs11367-020-01791-z/MediaObjects/11367_2020_1791_MOESM1_ESM.docx . SI S6 outputs 1kg GaAs from0.236kg Ga and0.516kg As: only0.752kg feed, excluding the B4C process crucible. The problem is present in the published supplement, not simply an import typo. Attempts to recover Smith2018 original thesis https://repository.rit.edu/theses/9877/ returned HTTP403 for the full text; the original author batch calculation is not independently verified. Use a distinct balanced engineering reference, not a falsely claimed verbatim source correction. GaAs has one Ga and one As atom; atomic masses69.723 and74.921595 give retained fractions0.4820297640572052 and0.5179702359427949. Adopt95% overall boule-material retention as an explicit assumption, test90-100%; feed both7N elements at their retained fraction/0.95. Treat the corresponding1/0.95-1kg GaAs process loss with the existing hazardous underground-deposit proxy, not a recycling credit. Preserve source50kWh/kg process electricity,0.01kg B4C crucible and its paired0.01kg disposal. Existing upstream7N refining and downstream crystal-growth/wafer-sawing losses remain separate, not removed or charged twice. Route the active single-crystal producer to this new provider at its existing1.08kg/kg dose. Old provider identity remains available and is marked as a legacy unbalanced source recipe. Actual industrial yield, Ga/As-specific volatilization, recovery, purity and exhaust treatment are not established; underground disposal is a mixed-hazardous-waste fate proxy. No native database, runtime or YAML edits, and no primary-secondary-share claim.
PREVIOUS NOTES (retained as history; the correction above takes precedence):
Ex-ante LCA. Original inventory from Smith et al. (2018). Imported following Pallas et al. (2020) Ex ante life cycle assessment of GaAs/Si nanowire–based tandem solar cells: a benchmark for industrialization. The International Journal of Life Cycle Assessment, 25, 1767-1782. https://doi.org/10.1007/s11367-020-01791-z</t>
        </is>
      </c>
    </row>
    <row r="156" spans="1:9" x14ac:dyDescent="0.2">
      <c r="A156" t="s">
        <v>2</v>
      </c>
      <c r="B156" s="9" t="s">
        <v>37</v>
      </c>
    </row>
    <row r="157" spans="1:9" x14ac:dyDescent="0.2">
      <c r="A157" t="s">
        <v>14</v>
      </c>
      <c r="B157" t="s">
        <v>29</v>
      </c>
    </row>
    <row r="158" spans="1:9" x14ac:dyDescent="0.2">
      <c r="A158" t="s">
        <v>1</v>
      </c>
      <c r="B158" t="s">
        <v>77</v>
      </c>
    </row>
    <row r="159" spans="1:9" x14ac:dyDescent="0.2">
      <c r="A159" t="s">
        <v>8</v>
      </c>
      <c r="B159">
        <v>1</v>
      </c>
    </row>
    <row r="160" spans="1:9" x14ac:dyDescent="0.2">
      <c r="A160" t="s">
        <v>4</v>
      </c>
      <c r="B160" t="s">
        <v>5</v>
      </c>
    </row>
    <row r="161" spans="1:9" x14ac:dyDescent="0.2">
      <c r="A161" t="s">
        <v>239</v>
      </c>
      <c r="B161" t="s">
        <v>240</v>
      </c>
    </row>
    <row r="162" spans="1:9" x14ac:dyDescent="0.2">
      <c r="A162" s="2" t="s">
        <v>6</v>
      </c>
    </row>
    <row r="163" spans="1:9" x14ac:dyDescent="0.2">
      <c r="A163" s="2" t="s">
        <v>7</v>
      </c>
      <c r="B163" s="2" t="s">
        <v>2</v>
      </c>
      <c r="C163" s="2" t="s">
        <v>1</v>
      </c>
      <c r="D163" s="3" t="s">
        <v>8</v>
      </c>
      <c r="E163" s="2" t="s">
        <v>4</v>
      </c>
      <c r="F163" s="2" t="s">
        <v>13</v>
      </c>
      <c r="G163" s="2" t="s">
        <v>3</v>
      </c>
      <c r="H163" s="2" t="s">
        <v>9</v>
      </c>
      <c r="I163" s="2" t="s">
        <v>238</v>
      </c>
    </row>
    <row r="164" spans="1:9" x14ac:dyDescent="0.2">
      <c r="A164" t="str">
        <f>B154</f>
        <v>single-crystal GaAs boule production</v>
      </c>
      <c r="B164" t="str">
        <f>B156</f>
        <v>single-crystal GaAs boule</v>
      </c>
      <c r="C164" t="s">
        <v>77</v>
      </c>
      <c r="D164" s="1">
        <v>1</v>
      </c>
      <c r="E164" t="str">
        <f>B160</f>
        <v>kilogram</v>
      </c>
      <c r="F164" t="s">
        <v>218</v>
      </c>
      <c r="G164" t="s">
        <v>10</v>
      </c>
      <c r="I164" t="inlineStr">
        <is>
          <t>APPROVED PYROLYTIC BORON NITRIDE CRUCIBLE SUPPLY, issue112,2026-10-18. 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 pBN=BN,notB4C:boronmassfraction=0.4355885078776645 ratherthan0.7826102694973847. ReplaceonlyactivebalancedpolycrystallineGaAsandsinglecrystalgrowthcrucibleinputs atsame.01kg/kg boule withfinishedpBNreference. Oldlegacyunbalancedbouleprovider remainsavailablebutunusedbyactivecrystalgrowth;doNOTdoublecorrectitsunrelatedGaAsfeed. Preserve.01kgcrucibleEOLineachgrowthstage;changingceramicsupplierdoesnotaddanothercrucibleEOL. Existinggenericundergroundhazardoustreatment isfateproxy,notnewrecoverycredit.
 CVDreference50%boronprecursordepositionutilization and95%finishedsolidretention,notindustrialmeasurements;NH3:BCl3molarratio4frompatentexample. Grossprecursorfeedper1grossBN:2BCl3+8NH3. OneBCl3 reactswithoneNH3 -&gt;BN+3HCl;otherBCl3 hydrolyzeswith3H2O -&gt;H3BO3+3HCl. SixremainingNH3 neutralizes6HCl -&gt;6NH4Cl;oneextraNH3 isneutralizedwith.5H2SO4 -&gt;.5(NH4)2SO4. Net2BCl3+8NH3+3H2O+.5H2SO4 -&gt;BN+H3BO3+6NH4Cl+.5(NH4)2SO4. Atomandmassbalanced;Bdeposited50%,finishedBN95%ofdepositedsolid. AllunretainedB/N/Clcapturedaswetbrineis100%collectionREFERENCE,notmeasuredabatementefficiency;actualfugitiveNH3/HClrequiresdata. Testboronutilization10-90%,retention90-100%,gasratio2-5 andcapture95-100%withrecalculatedchemistry/fates,notindependentquantitymultipliers.
 Select25kWfurnace*20h/2kgfinishedbatch=250kWh/kgpBN,explicitengineeringutilitynotpatentmeasuredpower. Test100-1000kWh/kg;finishedbatchmassanddepositionareaareassumed,notrecoveredcommercialplantdata. Retainnonconsumedgraphitemandrelas2kgtool/kgperbatch with100productiveuses=.02kgfreshtool/kgpBN andequalspenttoolmass;reuse10-500uses sensitivity. Mandrelgeometry/roughnessandpuritynotvalidated. Scrub100kgwashwater/kgpBNplusstoichiometrichydrolysiswater;assumebrinedensity1100kg/m3,test1000-1250. Capturedbrineboricacid,NH4Cl,andammoniumsulfatecompositionexplicitbelow. Genericindustrial-averageWWT isUNVALIDATEDforhighsalinity/boron/ammonia;itrepresentscollection/treatmentdemand,notprovenremovalefficiencyorcorrectliquidelementemissions. No fictitiousmetalsrecoveryorhalidesubstitutioncredits.
 BuildmissingBCl3viaB2O3+3C+3Cl2-&gt;2BCl3+3CO.100%stoichiometricconversionand1kWh+3MJ/kgBCl3areengineeringlower-boundprecursorsupplyreferences;semiconductorgradepurification,reagentexcess,phosgenepurificationandplantyieldunknown. COplacedasstoichiometricairoutputinthisreference;actualthermaloxidation/abatementmustbesensitivityreviewed,notclaimedmeasuredindustrialemissions. Boricoxideandgraphitesuppliersarefeed-gradeproxies. No silentlypurchasedbulkBNpowderandclaimCVDmanufacture. Existingworkbookonly;no runtime/native/primarysecondarychanges.</t>
        </is>
      </c>
    </row>
    <row r="165" spans="1:9" x14ac:dyDescent="0.2">
      <c r="A165" t="inlineStr">
        <is>
          <t>polycrystalline GaAs boule, balanced engineering reference</t>
        </is>
      </c>
      <c r="B165" s="9" t="inlineStr">
        <is>
          <t>polycrystalline GaAs boule, balanced engineering reference</t>
        </is>
      </c>
      <c r="C165" t="inlineStr">
        <is>
          <t>GLO</t>
        </is>
      </c>
      <c r="D165" s="10">
        <v>1.08</v>
      </c>
      <c r="E165" t="s">
        <v>5</v>
      </c>
      <c r="F165" t="s">
        <v>218</v>
      </c>
      <c r="G165" t="s">
        <v>16</v>
      </c>
      <c r="I165" s="9"/>
    </row>
    <row r="166" spans="1:9" x14ac:dyDescent="0.2">
      <c r="A166" s="9" t="s">
        <v>139</v>
      </c>
      <c r="B166" s="9" t="s">
        <v>138</v>
      </c>
      <c r="C166" t="s">
        <v>77</v>
      </c>
      <c r="D166" s="10">
        <v>5.0000000000000001E-3</v>
      </c>
      <c r="E166" t="s">
        <v>5</v>
      </c>
      <c r="F166" t="s">
        <v>21</v>
      </c>
      <c r="G166" t="s">
        <v>16</v>
      </c>
      <c r="I166" s="9" t="s">
        <v>137</v>
      </c>
    </row>
    <row r="167" spans="1:9" x14ac:dyDescent="0.2">
      <c r="A167" s="9" t="inlineStr">
        <is>
          <t>pyrolytic boron nitride crucible, CVD engineering reference</t>
        </is>
      </c>
      <c r="B167" s="9" t="inlineStr">
        <is>
          <t>pyrolytic boron nitride crucible, CVD engineering reference</t>
        </is>
      </c>
      <c r="C167" t="inlineStr">
        <is>
          <t>GLO</t>
        </is>
      </c>
      <c r="D167" s="10">
        <v>0.01</v>
      </c>
      <c r="E167" t="s">
        <v>5</v>
      </c>
      <c r="F167" t="s">
        <v>21</v>
      </c>
      <c r="G167" t="s">
        <v>16</v>
      </c>
      <c r="I167" t="inlineStr">
        <is>
          <t>APPROVED PYROLYTIC BORON NITRIDE CRUCIBLE SUPPLY, issue112,2026-10-18. 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 pBN=BN,notB4C:boronmassfraction=0.4355885078776645 ratherthan0.7826102694973847. ReplaceonlyactivebalancedpolycrystallineGaAsandsinglecrystalgrowthcrucibleinputs atsame.01kg/kg boule withfinishedpBNreference. Oldlegacyunbalancedbouleprovider remainsavailablebutunusedbyactivecrystalgrowth;doNOTdoublecorrectitsunrelatedGaAsfeed. Preserve.01kgcrucibleEOLineachgrowthstage;changingceramicsupplierdoesnotaddanothercrucibleEOL. Existinggenericundergroundhazardoustreatment isfateproxy,notnewrecoverycredit.
 CVDreference50%boronprecursordepositionutilization and95%finishedsolidretention,notindustrialmeasurements;NH3:BCl3molarratio4frompatentexample. Grossprecursorfeedper1grossBN:2BCl3+8NH3. OneBCl3 reactswithoneNH3 -&gt;BN+3HCl;otherBCl3 hydrolyzeswith3H2O -&gt;H3BO3+3HCl. SixremainingNH3 neutralizes6HCl -&gt;6NH4Cl;oneextraNH3 isneutralizedwith.5H2SO4 -&gt;.5(NH4)2SO4. Net2BCl3+8NH3+3H2O+.5H2SO4 -&gt;BN+H3BO3+6NH4Cl+.5(NH4)2SO4. Atomandmassbalanced;Bdeposited50%,finishedBN95%ofdepositedsolid. AllunretainedB/N/Clcapturedaswetbrineis100%collectionREFERENCE,notmeasuredabatementefficiency;actualfugitiveNH3/HClrequiresdata. Testboronutilization10-90%,retention90-100%,gasratio2-5 andcapture95-100%withrecalculatedchemistry/fates,notindependentquantitymultipliers.
 Select25kWfurnace*20h/2kgfinishedbatch=250kWh/kgpBN,explicitengineeringutilitynotpatentmeasuredpower. Test100-1000kWh/kg;finishedbatchmassanddepositionareaareassumed,notrecoveredcommercialplantdata. Retainnonconsumedgraphitemandrelas2kgtool/kgperbatch with100productiveuses=.02kgfreshtool/kgpBN andequalspenttoolmass;reuse10-500uses sensitivity. Mandrelgeometry/roughnessandpuritynotvalidated. Scrub100kgwashwater/kgpBNplusstoichiometrichydrolysiswater;assumebrinedensity1100kg/m3,test1000-1250. Capturedbrineboricacid,NH4Cl,andammoniumsulfatecompositionexplicitbelow. Genericindustrial-averageWWT isUNVALIDATEDforhighsalinity/boron/ammonia;itrepresentscollection/treatmentdemand,notprovenremovalefficiencyorcorrectliquidelementemissions. No fictitiousmetalsrecoveryorhalidesubstitutioncredits.
 BuildmissingBCl3viaB2O3+3C+3Cl2-&gt;2BCl3+3CO.100%stoichiometricconversionand1kWh+3MJ/kgBCl3areengineeringlower-boundprecursorsupplyreferences;semiconductorgradepurification,reagentexcess,phosgenepurificationandplantyieldunknown. COplacedasstoichiometricairoutputinthisreference;actualthermaloxidation/abatementmustbesensitivityreviewed,notclaimedmeasuredindustrialemissions. Boricoxideandgraphitesuppliersarefeed-gradeproxies. No silentlypurchasedbulkBNpowderandclaimCVDmanufacture. Existingworkbookonly;no runtime/native/primarysecondarychanges.</t>
        </is>
      </c>
    </row>
    <row r="168" spans="1:9" x14ac:dyDescent="0.2">
      <c r="A168" t="s">
        <v>120</v>
      </c>
      <c r="B168" t="s">
        <v>117</v>
      </c>
      <c r="C168" t="s">
        <v>119</v>
      </c>
      <c r="D168" s="10">
        <v>160</v>
      </c>
      <c r="E168" t="s">
        <v>15</v>
      </c>
      <c r="F168" t="s">
        <v>21</v>
      </c>
      <c r="G168" t="s">
        <v>16</v>
      </c>
      <c r="I168" t="s">
        <v>131</v>
      </c>
    </row>
    <row r="169" spans="1:9" x14ac:dyDescent="0.2">
      <c r="A169" s="9" t="s">
        <v>127</v>
      </c>
      <c r="B169" s="9" t="s">
        <v>126</v>
      </c>
      <c r="C169" t="s">
        <v>96</v>
      </c>
      <c r="D169" s="10">
        <v>-0.01</v>
      </c>
      <c r="E169" t="s">
        <v>5</v>
      </c>
      <c r="F169" t="s">
        <v>21</v>
      </c>
      <c r="G169" t="s">
        <v>16</v>
      </c>
      <c r="I169" t="s">
        <v>141</v>
      </c>
    </row>
    <row r="170" spans="1:9" x14ac:dyDescent="0.2">
      <c r="A170" s="9" t="s">
        <v>127</v>
      </c>
      <c r="B170" s="9" t="s">
        <v>126</v>
      </c>
      <c r="C170" t="s">
        <v>96</v>
      </c>
      <c r="D170" s="10">
        <v>-5.0000000000000001E-3</v>
      </c>
      <c r="E170" t="s">
        <v>5</v>
      </c>
      <c r="F170" t="s">
        <v>21</v>
      </c>
      <c r="G170" t="s">
        <v>16</v>
      </c>
      <c r="I170" t="s">
        <v>142</v>
      </c>
    </row>
    <row r="171" spans="1:9" x14ac:dyDescent="0.2">
      <c r="A171" s="9" t="s">
        <v>127</v>
      </c>
      <c r="B171" s="9" t="s">
        <v>126</v>
      </c>
      <c r="C171" t="s">
        <v>96</v>
      </c>
      <c r="D171" s="10">
        <v>-0.08</v>
      </c>
      <c r="E171" t="s">
        <v>5</v>
      </c>
      <c r="F171" t="s">
        <v>21</v>
      </c>
      <c r="G171" t="s">
        <v>16</v>
      </c>
      <c r="I171" t="s">
        <v>143</v>
      </c>
    </row>
    <row r="172" spans="1:9" x14ac:dyDescent="0.2">
      <c r="A172" s="11"/>
      <c r="B172" s="11"/>
      <c r="C172" s="11"/>
      <c r="D172" s="12"/>
      <c r="E172" s="11"/>
    </row>
    <row r="173" spans="1:9" x14ac:dyDescent="0.2">
      <c r="A173" s="2" t="s">
        <v>0</v>
      </c>
      <c r="B173" s="2" t="s">
        <v>250</v>
      </c>
    </row>
    <row r="174" spans="1:9" x14ac:dyDescent="0.2">
      <c r="A174" t="s">
        <v>238</v>
      </c>
      <c r="B174" t="s">
        <v>245</v>
      </c>
    </row>
    <row r="175" spans="1:9" x14ac:dyDescent="0.2">
      <c r="A175" t="s">
        <v>2</v>
      </c>
      <c r="B175" s="9" t="s">
        <v>39</v>
      </c>
    </row>
    <row r="176" spans="1:9" x14ac:dyDescent="0.2">
      <c r="A176" t="s">
        <v>14</v>
      </c>
      <c r="B176" t="s">
        <v>34</v>
      </c>
    </row>
    <row r="177" spans="1:9" x14ac:dyDescent="0.2">
      <c r="A177" t="s">
        <v>1</v>
      </c>
      <c r="B177" t="s">
        <v>77</v>
      </c>
    </row>
    <row r="178" spans="1:9" x14ac:dyDescent="0.2">
      <c r="A178" t="s">
        <v>8</v>
      </c>
      <c r="B178">
        <v>1</v>
      </c>
    </row>
    <row r="179" spans="1:9" x14ac:dyDescent="0.2">
      <c r="A179" t="s">
        <v>4</v>
      </c>
      <c r="B179" t="s">
        <v>5</v>
      </c>
    </row>
    <row r="180" spans="1:9" x14ac:dyDescent="0.2">
      <c r="A180" t="s">
        <v>239</v>
      </c>
      <c r="B180" t="s">
        <v>240</v>
      </c>
    </row>
    <row r="181" spans="1:9" x14ac:dyDescent="0.2">
      <c r="A181" s="2" t="s">
        <v>6</v>
      </c>
    </row>
    <row r="182" spans="1:9" x14ac:dyDescent="0.2">
      <c r="A182" s="2" t="s">
        <v>7</v>
      </c>
      <c r="B182" s="2" t="s">
        <v>2</v>
      </c>
      <c r="C182" s="2" t="s">
        <v>1</v>
      </c>
      <c r="D182" s="3" t="s">
        <v>8</v>
      </c>
      <c r="E182" s="2" t="s">
        <v>4</v>
      </c>
      <c r="F182" s="2" t="s">
        <v>13</v>
      </c>
      <c r="G182" s="2" t="s">
        <v>3</v>
      </c>
      <c r="H182" s="2" t="s">
        <v>9</v>
      </c>
      <c r="I182" s="2" t="s">
        <v>238</v>
      </c>
    </row>
    <row r="183" spans="1:9" x14ac:dyDescent="0.2">
      <c r="A183" t="str">
        <f>B173</f>
        <v>GaAs ingot production - x-ray, cropping, grinding notch</v>
      </c>
      <c r="B183" s="9" t="str">
        <f>B175</f>
        <v>single-crystal GaAs ingot</v>
      </c>
      <c r="C183" t="s">
        <v>77</v>
      </c>
      <c r="D183" s="1">
        <f>B178</f>
        <v>1</v>
      </c>
      <c r="E183" t="str">
        <f>B179</f>
        <v>kilogram</v>
      </c>
      <c r="F183" t="s">
        <v>218</v>
      </c>
      <c r="G183" t="s">
        <v>10</v>
      </c>
    </row>
    <row r="184" spans="1:9" x14ac:dyDescent="0.2">
      <c r="A184" t="s">
        <v>249</v>
      </c>
      <c r="B184" s="9" t="s">
        <v>37</v>
      </c>
      <c r="C184" t="s">
        <v>77</v>
      </c>
      <c r="D184" s="10">
        <v>1.0989011</v>
      </c>
      <c r="E184" t="s">
        <v>5</v>
      </c>
      <c r="F184" t="s">
        <v>218</v>
      </c>
      <c r="G184" t="s">
        <v>16</v>
      </c>
      <c r="I184" s="9"/>
    </row>
    <row r="185" spans="1:9" x14ac:dyDescent="0.2">
      <c r="A185" s="9" t="s">
        <v>144</v>
      </c>
      <c r="B185" s="8" t="s">
        <v>144</v>
      </c>
      <c r="C185" t="s">
        <v>73</v>
      </c>
      <c r="D185" s="10">
        <v>5.7140000000000001E-8</v>
      </c>
      <c r="E185" t="s">
        <v>5</v>
      </c>
      <c r="F185" t="s">
        <v>21</v>
      </c>
      <c r="G185" t="s">
        <v>16</v>
      </c>
      <c r="I185" s="9" t="s">
        <v>145</v>
      </c>
    </row>
    <row r="186" spans="1:9" x14ac:dyDescent="0.2">
      <c r="A186" t="s">
        <v>251</v>
      </c>
      <c r="B186" s="9" t="s">
        <v>38</v>
      </c>
      <c r="C186" t="s">
        <v>77</v>
      </c>
      <c r="D186" s="10">
        <v>4.3960000000000001E-4</v>
      </c>
      <c r="E186" t="s">
        <v>4</v>
      </c>
      <c r="F186" t="s">
        <v>218</v>
      </c>
      <c r="G186" t="s">
        <v>16</v>
      </c>
    </row>
    <row r="187" spans="1:9" x14ac:dyDescent="0.2">
      <c r="A187" t="s">
        <v>120</v>
      </c>
      <c r="B187" t="s">
        <v>117</v>
      </c>
      <c r="C187" t="s">
        <v>119</v>
      </c>
      <c r="D187" s="10">
        <v>0.43956040000000002</v>
      </c>
      <c r="E187" t="s">
        <v>15</v>
      </c>
      <c r="F187" t="s">
        <v>21</v>
      </c>
      <c r="G187" t="s">
        <v>16</v>
      </c>
      <c r="I187" t="s">
        <v>146</v>
      </c>
    </row>
    <row r="188" spans="1:9" x14ac:dyDescent="0.2">
      <c r="A188" t="s">
        <v>120</v>
      </c>
      <c r="B188" t="s">
        <v>117</v>
      </c>
      <c r="C188" t="s">
        <v>119</v>
      </c>
      <c r="D188" s="10">
        <v>7.4725299999999995E-2</v>
      </c>
      <c r="E188" t="s">
        <v>15</v>
      </c>
      <c r="F188" t="s">
        <v>21</v>
      </c>
      <c r="G188" t="s">
        <v>16</v>
      </c>
      <c r="I188" t="s">
        <v>147</v>
      </c>
    </row>
    <row r="189" spans="1:9" x14ac:dyDescent="0.2">
      <c r="A189" t="s">
        <v>120</v>
      </c>
      <c r="B189" t="s">
        <v>117</v>
      </c>
      <c r="C189" t="s">
        <v>119</v>
      </c>
      <c r="D189" s="10">
        <v>0.43956040000000002</v>
      </c>
      <c r="E189" t="s">
        <v>15</v>
      </c>
      <c r="F189" t="s">
        <v>21</v>
      </c>
      <c r="G189" t="s">
        <v>16</v>
      </c>
      <c r="I189" t="s">
        <v>148</v>
      </c>
    </row>
    <row r="190" spans="1:9" x14ac:dyDescent="0.2">
      <c r="A190" s="9" t="s">
        <v>127</v>
      </c>
      <c r="B190" s="9" t="s">
        <v>126</v>
      </c>
      <c r="C190" t="s">
        <v>96</v>
      </c>
      <c r="D190" s="10">
        <v>-5.0549499999999997E-2</v>
      </c>
      <c r="E190" t="s">
        <v>5</v>
      </c>
      <c r="F190" t="s">
        <v>21</v>
      </c>
      <c r="G190" t="s">
        <v>16</v>
      </c>
      <c r="I190" t="s">
        <v>149</v>
      </c>
    </row>
    <row r="191" spans="1:9" x14ac:dyDescent="0.2">
      <c r="A191" s="9"/>
      <c r="B191" s="9"/>
      <c r="C191" s="13"/>
      <c r="D191" s="14"/>
      <c r="E191" s="9"/>
    </row>
    <row r="192" spans="1:9" x14ac:dyDescent="0.2">
      <c r="A192" s="2" t="s">
        <v>0</v>
      </c>
      <c r="B192" s="2" t="s">
        <v>251</v>
      </c>
    </row>
    <row r="193" spans="1:9" x14ac:dyDescent="0.2">
      <c r="A193" t="s">
        <v>238</v>
      </c>
      <c r="B193" t="s">
        <v>245</v>
      </c>
    </row>
    <row r="194" spans="1:9" x14ac:dyDescent="0.2">
      <c r="A194" t="s">
        <v>2</v>
      </c>
      <c r="B194" s="9" t="s">
        <v>38</v>
      </c>
    </row>
    <row r="195" spans="1:9" x14ac:dyDescent="0.2">
      <c r="A195" t="s">
        <v>14</v>
      </c>
      <c r="B195" t="s">
        <v>55</v>
      </c>
    </row>
    <row r="196" spans="1:9" x14ac:dyDescent="0.2">
      <c r="A196" t="s">
        <v>1</v>
      </c>
      <c r="B196" t="s">
        <v>77</v>
      </c>
    </row>
    <row r="197" spans="1:9" x14ac:dyDescent="0.2">
      <c r="A197" t="s">
        <v>8</v>
      </c>
      <c r="B197">
        <v>1</v>
      </c>
    </row>
    <row r="198" spans="1:9" x14ac:dyDescent="0.2">
      <c r="A198" t="s">
        <v>4</v>
      </c>
      <c r="B198" t="s">
        <v>4</v>
      </c>
    </row>
    <row r="199" spans="1:9" x14ac:dyDescent="0.2">
      <c r="A199" t="s">
        <v>239</v>
      </c>
      <c r="B199" t="s">
        <v>240</v>
      </c>
    </row>
    <row r="200" spans="1:9" x14ac:dyDescent="0.2">
      <c r="A200" s="2" t="s">
        <v>6</v>
      </c>
    </row>
    <row r="201" spans="1:9" x14ac:dyDescent="0.2">
      <c r="A201" s="2" t="s">
        <v>7</v>
      </c>
      <c r="B201" s="2" t="s">
        <v>2</v>
      </c>
      <c r="C201" s="2" t="s">
        <v>1</v>
      </c>
      <c r="D201" s="3" t="s">
        <v>8</v>
      </c>
      <c r="E201" s="2" t="s">
        <v>4</v>
      </c>
      <c r="F201" s="2" t="s">
        <v>13</v>
      </c>
      <c r="G201" s="2" t="s">
        <v>3</v>
      </c>
      <c r="H201" s="2" t="s">
        <v>9</v>
      </c>
      <c r="I201" s="2" t="s">
        <v>238</v>
      </c>
    </row>
    <row r="202" spans="1:9" x14ac:dyDescent="0.2">
      <c r="A202" t="str">
        <f>B192</f>
        <v>diamond saw production</v>
      </c>
      <c r="B202" s="9" t="str">
        <f>B194</f>
        <v>diamond saw</v>
      </c>
      <c r="C202" t="s">
        <v>77</v>
      </c>
      <c r="D202" s="1">
        <f>B197</f>
        <v>1</v>
      </c>
      <c r="E202" t="str">
        <f>B198</f>
        <v>unit</v>
      </c>
      <c r="F202" t="s">
        <v>218</v>
      </c>
      <c r="G202" t="s">
        <v>10</v>
      </c>
    </row>
    <row r="203" spans="1:9" x14ac:dyDescent="0.2">
      <c r="A203" s="9" t="s">
        <v>151</v>
      </c>
      <c r="B203" s="9" t="s">
        <v>212</v>
      </c>
      <c r="C203" t="s">
        <v>73</v>
      </c>
      <c r="D203" s="10">
        <v>0.02</v>
      </c>
      <c r="E203" t="s">
        <v>5</v>
      </c>
      <c r="F203" t="s">
        <v>21</v>
      </c>
      <c r="G203" t="s">
        <v>16</v>
      </c>
      <c r="I203" s="9" t="s">
        <v>150</v>
      </c>
    </row>
    <row r="204" spans="1:9" x14ac:dyDescent="0.2">
      <c r="A204" t="s">
        <v>252</v>
      </c>
      <c r="B204" s="9" t="s">
        <v>40</v>
      </c>
      <c r="C204" t="s">
        <v>77</v>
      </c>
      <c r="D204" s="10">
        <v>2.0000000000000001E-4</v>
      </c>
      <c r="E204" t="s">
        <v>5</v>
      </c>
      <c r="F204" t="s">
        <v>218</v>
      </c>
      <c r="G204" t="s">
        <v>16</v>
      </c>
      <c r="I204" s="9"/>
    </row>
    <row r="205" spans="1:9" x14ac:dyDescent="0.2">
      <c r="A205" t="s">
        <v>120</v>
      </c>
      <c r="B205" t="s">
        <v>117</v>
      </c>
      <c r="C205" t="s">
        <v>119</v>
      </c>
      <c r="D205" s="10">
        <v>10</v>
      </c>
      <c r="E205" t="s">
        <v>15</v>
      </c>
      <c r="F205" t="s">
        <v>21</v>
      </c>
      <c r="G205" t="s">
        <v>16</v>
      </c>
      <c r="I205" t="s">
        <v>131</v>
      </c>
    </row>
    <row r="206" spans="1:9" x14ac:dyDescent="0.2">
      <c r="A206" s="9"/>
      <c r="B206" s="9"/>
      <c r="C206" s="6"/>
      <c r="D206" s="10"/>
    </row>
    <row r="207" spans="1:9" x14ac:dyDescent="0.2">
      <c r="A207" s="2" t="s">
        <v>0</v>
      </c>
      <c r="B207" s="2" t="s">
        <v>252</v>
      </c>
    </row>
    <row r="208" spans="1:9" x14ac:dyDescent="0.2">
      <c r="A208" t="s">
        <v>238</v>
      </c>
      <c r="B208" t="s">
        <v>245</v>
      </c>
    </row>
    <row r="209" spans="1:9" x14ac:dyDescent="0.2">
      <c r="A209" t="s">
        <v>2</v>
      </c>
      <c r="B209" s="9" t="s">
        <v>40</v>
      </c>
    </row>
    <row r="210" spans="1:9" x14ac:dyDescent="0.2">
      <c r="A210" t="s">
        <v>14</v>
      </c>
      <c r="B210" t="s">
        <v>56</v>
      </c>
    </row>
    <row r="211" spans="1:9" x14ac:dyDescent="0.2">
      <c r="A211" t="s">
        <v>1</v>
      </c>
      <c r="B211" t="s">
        <v>77</v>
      </c>
    </row>
    <row r="212" spans="1:9" x14ac:dyDescent="0.2">
      <c r="A212" t="s">
        <v>8</v>
      </c>
      <c r="B212">
        <v>1</v>
      </c>
    </row>
    <row r="213" spans="1:9" x14ac:dyDescent="0.2">
      <c r="A213" t="s">
        <v>4</v>
      </c>
      <c r="B213" t="s">
        <v>5</v>
      </c>
    </row>
    <row r="214" spans="1:9" x14ac:dyDescent="0.2">
      <c r="A214" t="s">
        <v>239</v>
      </c>
      <c r="B214" t="s">
        <v>240</v>
      </c>
    </row>
    <row r="215" spans="1:9" x14ac:dyDescent="0.2">
      <c r="A215" s="2" t="s">
        <v>6</v>
      </c>
    </row>
    <row r="216" spans="1:9" x14ac:dyDescent="0.2">
      <c r="A216" s="2" t="s">
        <v>7</v>
      </c>
      <c r="B216" s="2" t="s">
        <v>2</v>
      </c>
      <c r="C216" s="2" t="s">
        <v>1</v>
      </c>
      <c r="D216" s="3" t="s">
        <v>8</v>
      </c>
      <c r="E216" s="2" t="s">
        <v>4</v>
      </c>
      <c r="F216" s="2" t="s">
        <v>13</v>
      </c>
      <c r="G216" s="2" t="s">
        <v>3</v>
      </c>
      <c r="H216" s="2" t="s">
        <v>9</v>
      </c>
      <c r="I216" s="2" t="s">
        <v>238</v>
      </c>
    </row>
    <row r="217" spans="1:9" x14ac:dyDescent="0.2">
      <c r="A217" t="str">
        <f>B207</f>
        <v>synthetic diamond production</v>
      </c>
      <c r="B217" s="9" t="str">
        <f>B209</f>
        <v>synthetic diamond</v>
      </c>
      <c r="C217" t="s">
        <v>77</v>
      </c>
      <c r="D217" s="1">
        <f>B212</f>
        <v>1</v>
      </c>
      <c r="E217" t="str">
        <f>B213</f>
        <v>kilogram</v>
      </c>
      <c r="F217" t="s">
        <v>218</v>
      </c>
      <c r="G217" t="s">
        <v>10</v>
      </c>
    </row>
    <row r="218" spans="1:9" x14ac:dyDescent="0.2">
      <c r="A218" s="15" t="s">
        <v>204</v>
      </c>
      <c r="B218" s="15" t="s">
        <v>206</v>
      </c>
      <c r="C218" s="16" t="s">
        <v>96</v>
      </c>
      <c r="D218" s="10">
        <v>14.545455</v>
      </c>
      <c r="E218" t="s">
        <v>12</v>
      </c>
      <c r="F218" t="s">
        <v>21</v>
      </c>
      <c r="G218" t="s">
        <v>16</v>
      </c>
      <c r="I218" s="17" t="s">
        <v>205</v>
      </c>
    </row>
    <row r="219" spans="1:9" x14ac:dyDescent="0.2">
      <c r="A219" t="s">
        <v>273</v>
      </c>
      <c r="B219" t="s">
        <v>266</v>
      </c>
      <c r="C219" t="s">
        <v>73</v>
      </c>
      <c r="D219" s="10">
        <v>3.6363600000000003E-2</v>
      </c>
      <c r="E219" t="s">
        <v>5</v>
      </c>
      <c r="F219" t="s">
        <v>21</v>
      </c>
      <c r="G219" t="s">
        <v>16</v>
      </c>
      <c r="I219" s="9" t="s">
        <v>152</v>
      </c>
    </row>
    <row r="220" spans="1:9" x14ac:dyDescent="0.2">
      <c r="A220" t="s">
        <v>120</v>
      </c>
      <c r="B220" t="s">
        <v>117</v>
      </c>
      <c r="C220" t="s">
        <v>119</v>
      </c>
      <c r="D220" s="10">
        <v>1218181.8</v>
      </c>
      <c r="E220" t="s">
        <v>15</v>
      </c>
      <c r="F220" t="s">
        <v>21</v>
      </c>
      <c r="G220" t="s">
        <v>16</v>
      </c>
      <c r="I220" t="s">
        <v>131</v>
      </c>
    </row>
    <row r="221" spans="1:9" x14ac:dyDescent="0.2">
      <c r="A221" s="18"/>
    </row>
    <row r="222" spans="1:9" x14ac:dyDescent="0.2">
      <c r="A222" s="2" t="s">
        <v>0</v>
      </c>
      <c r="B222" s="2" t="s">
        <v>253</v>
      </c>
    </row>
    <row r="223" spans="1:9" x14ac:dyDescent="0.2">
      <c r="A223" t="s">
        <v>238</v>
      </c>
      <c r="B223" t="s">
        <v>245</v>
      </c>
    </row>
    <row r="224" spans="1:9" x14ac:dyDescent="0.2">
      <c r="A224" t="s">
        <v>2</v>
      </c>
      <c r="B224" s="9" t="s">
        <v>42</v>
      </c>
    </row>
    <row r="225" spans="1:9" x14ac:dyDescent="0.2">
      <c r="A225" t="s">
        <v>14</v>
      </c>
      <c r="B225" t="s">
        <v>57</v>
      </c>
    </row>
    <row r="226" spans="1:9" x14ac:dyDescent="0.2">
      <c r="A226" t="s">
        <v>1</v>
      </c>
      <c r="B226" t="s">
        <v>77</v>
      </c>
    </row>
    <row r="227" spans="1:9" x14ac:dyDescent="0.2">
      <c r="A227" t="s">
        <v>8</v>
      </c>
      <c r="B227">
        <v>1</v>
      </c>
    </row>
    <row r="228" spans="1:9" x14ac:dyDescent="0.2">
      <c r="A228" t="s">
        <v>4</v>
      </c>
      <c r="B228" t="s">
        <v>19</v>
      </c>
    </row>
    <row r="229" spans="1:9" x14ac:dyDescent="0.2">
      <c r="A229" t="s">
        <v>239</v>
      </c>
      <c r="B229" t="s">
        <v>240</v>
      </c>
    </row>
    <row r="230" spans="1:9" x14ac:dyDescent="0.2">
      <c r="A230" s="2" t="s">
        <v>6</v>
      </c>
    </row>
    <row r="231" spans="1:9" x14ac:dyDescent="0.2">
      <c r="A231" s="2" t="s">
        <v>7</v>
      </c>
      <c r="B231" s="2" t="s">
        <v>2</v>
      </c>
      <c r="C231" s="2" t="s">
        <v>1</v>
      </c>
      <c r="D231" s="3" t="s">
        <v>8</v>
      </c>
      <c r="E231" s="2" t="s">
        <v>4</v>
      </c>
      <c r="F231" s="2" t="s">
        <v>13</v>
      </c>
      <c r="G231" s="2" t="s">
        <v>3</v>
      </c>
      <c r="H231" s="2" t="s">
        <v>9</v>
      </c>
      <c r="I231" s="2" t="s">
        <v>238</v>
      </c>
    </row>
    <row r="232" spans="1:9" x14ac:dyDescent="0.2">
      <c r="A232" t="str">
        <f>B222</f>
        <v>raw GaAs wafer production</v>
      </c>
      <c r="B232" s="9" t="str">
        <f>B224</f>
        <v>raw GaAs wafer</v>
      </c>
      <c r="C232" t="s">
        <v>77</v>
      </c>
      <c r="D232" s="1">
        <f>B227</f>
        <v>1</v>
      </c>
      <c r="E232" t="str">
        <f>B228</f>
        <v>square meter</v>
      </c>
      <c r="F232" t="s">
        <v>218</v>
      </c>
      <c r="G232" t="s">
        <v>10</v>
      </c>
    </row>
    <row r="233" spans="1:9" x14ac:dyDescent="0.2">
      <c r="A233" t="s">
        <v>250</v>
      </c>
      <c r="B233" s="9" t="s">
        <v>39</v>
      </c>
      <c r="C233" t="s">
        <v>77</v>
      </c>
      <c r="D233" s="10">
        <v>20.222221999999999</v>
      </c>
      <c r="E233" s="9" t="s">
        <v>5</v>
      </c>
      <c r="F233" t="s">
        <v>218</v>
      </c>
      <c r="G233" t="s">
        <v>16</v>
      </c>
      <c r="I233" s="9"/>
    </row>
    <row r="234" spans="1:9" x14ac:dyDescent="0.2">
      <c r="A234" s="9" t="s">
        <v>144</v>
      </c>
      <c r="B234" s="8" t="s">
        <v>144</v>
      </c>
      <c r="C234" t="s">
        <v>73</v>
      </c>
      <c r="D234" s="10">
        <v>7.8220000000000007E-5</v>
      </c>
      <c r="E234" s="9" t="s">
        <v>5</v>
      </c>
      <c r="F234" t="s">
        <v>21</v>
      </c>
      <c r="G234" t="s">
        <v>16</v>
      </c>
      <c r="I234" s="9" t="s">
        <v>153</v>
      </c>
    </row>
    <row r="235" spans="1:9" x14ac:dyDescent="0.2">
      <c r="A235" s="9" t="s">
        <v>254</v>
      </c>
      <c r="B235" s="9" t="s">
        <v>41</v>
      </c>
      <c r="C235" t="s">
        <v>77</v>
      </c>
      <c r="D235" s="10">
        <v>0.31111109999999997</v>
      </c>
      <c r="E235" s="9" t="s">
        <v>5</v>
      </c>
      <c r="F235" t="s">
        <v>218</v>
      </c>
      <c r="G235" t="s">
        <v>16</v>
      </c>
    </row>
    <row r="236" spans="1:9" x14ac:dyDescent="0.2">
      <c r="A236" t="s">
        <v>251</v>
      </c>
      <c r="B236" s="9" t="s">
        <v>38</v>
      </c>
      <c r="C236" t="s">
        <v>77</v>
      </c>
      <c r="D236" s="10">
        <v>1.77778E-2</v>
      </c>
      <c r="E236" s="9" t="s">
        <v>4</v>
      </c>
      <c r="F236" t="s">
        <v>218</v>
      </c>
      <c r="G236" t="s">
        <v>16</v>
      </c>
      <c r="I236" t="s">
        <v>213</v>
      </c>
    </row>
    <row r="237" spans="1:9" x14ac:dyDescent="0.2">
      <c r="A237" t="s">
        <v>120</v>
      </c>
      <c r="B237" t="s">
        <v>117</v>
      </c>
      <c r="C237" t="s">
        <v>119</v>
      </c>
      <c r="D237" s="10">
        <v>2.9629629999999998</v>
      </c>
      <c r="E237" s="9" t="s">
        <v>15</v>
      </c>
      <c r="F237" t="s">
        <v>21</v>
      </c>
      <c r="G237" t="s">
        <v>16</v>
      </c>
      <c r="I237" t="s">
        <v>154</v>
      </c>
    </row>
    <row r="238" spans="1:9" x14ac:dyDescent="0.2">
      <c r="A238" t="s">
        <v>120</v>
      </c>
      <c r="B238" t="s">
        <v>117</v>
      </c>
      <c r="C238" t="s">
        <v>119</v>
      </c>
      <c r="D238" s="10">
        <v>7.4074074000000003</v>
      </c>
      <c r="E238" s="9" t="s">
        <v>15</v>
      </c>
      <c r="F238" t="s">
        <v>21</v>
      </c>
      <c r="G238" t="s">
        <v>16</v>
      </c>
      <c r="I238" s="19" t="s">
        <v>155</v>
      </c>
    </row>
    <row r="239" spans="1:9" x14ac:dyDescent="0.2">
      <c r="A239" s="9" t="s">
        <v>127</v>
      </c>
      <c r="B239" s="9" t="s">
        <v>126</v>
      </c>
      <c r="C239" t="s">
        <v>96</v>
      </c>
      <c r="D239" s="10">
        <v>-6.0740740999999998</v>
      </c>
      <c r="E239" s="9" t="s">
        <v>5</v>
      </c>
      <c r="F239" t="s">
        <v>21</v>
      </c>
      <c r="G239" t="s">
        <v>16</v>
      </c>
      <c r="I239" t="s">
        <v>149</v>
      </c>
    </row>
    <row r="240" spans="1:9" x14ac:dyDescent="0.2">
      <c r="A240" s="2"/>
      <c r="B240" s="2"/>
      <c r="C240" s="2"/>
      <c r="D240" s="3"/>
      <c r="E240" s="2"/>
      <c r="F240" s="2"/>
      <c r="G240" s="2"/>
      <c r="H240" s="2"/>
      <c r="I240" s="2"/>
    </row>
    <row r="241" spans="1:9" x14ac:dyDescent="0.2">
      <c r="A241" s="2" t="s">
        <v>0</v>
      </c>
      <c r="B241" s="2" t="s">
        <v>254</v>
      </c>
    </row>
    <row r="242" spans="1:9" x14ac:dyDescent="0.2">
      <c r="A242" t="s">
        <v>238</v>
      </c>
      <c r="B242" t="s">
        <v>245</v>
      </c>
    </row>
    <row r="243" spans="1:9" x14ac:dyDescent="0.2">
      <c r="A243" t="s">
        <v>2</v>
      </c>
      <c r="B243" s="9" t="s">
        <v>41</v>
      </c>
    </row>
    <row r="244" spans="1:9" x14ac:dyDescent="0.2">
      <c r="A244" t="s">
        <v>14</v>
      </c>
      <c r="B244" t="s">
        <v>58</v>
      </c>
    </row>
    <row r="245" spans="1:9" x14ac:dyDescent="0.2">
      <c r="A245" t="s">
        <v>1</v>
      </c>
      <c r="B245" t="s">
        <v>77</v>
      </c>
    </row>
    <row r="246" spans="1:9" x14ac:dyDescent="0.2">
      <c r="A246" t="s">
        <v>8</v>
      </c>
      <c r="B246">
        <v>1</v>
      </c>
    </row>
    <row r="247" spans="1:9" x14ac:dyDescent="0.2">
      <c r="A247" t="s">
        <v>4</v>
      </c>
      <c r="B247" t="s">
        <v>5</v>
      </c>
    </row>
    <row r="248" spans="1:9" x14ac:dyDescent="0.2">
      <c r="A248" t="s">
        <v>239</v>
      </c>
      <c r="B248" t="s">
        <v>240</v>
      </c>
    </row>
    <row r="249" spans="1:9" x14ac:dyDescent="0.2">
      <c r="A249" s="2" t="s">
        <v>6</v>
      </c>
    </row>
    <row r="250" spans="1:9" x14ac:dyDescent="0.2">
      <c r="A250" s="2" t="s">
        <v>7</v>
      </c>
      <c r="B250" s="2" t="s">
        <v>2</v>
      </c>
      <c r="C250" s="2" t="s">
        <v>1</v>
      </c>
      <c r="D250" s="3" t="s">
        <v>8</v>
      </c>
      <c r="E250" s="2" t="s">
        <v>4</v>
      </c>
      <c r="F250" s="2" t="s">
        <v>13</v>
      </c>
      <c r="G250" s="2" t="s">
        <v>3</v>
      </c>
      <c r="H250" s="2" t="s">
        <v>9</v>
      </c>
      <c r="I250" s="2" t="s">
        <v>238</v>
      </c>
    </row>
    <row r="251" spans="1:9" x14ac:dyDescent="0.2">
      <c r="A251" t="str">
        <f>B241</f>
        <v>sawing slurry production</v>
      </c>
      <c r="B251" t="str">
        <f>B243</f>
        <v>sawing slurry</v>
      </c>
      <c r="C251" t="s">
        <v>77</v>
      </c>
      <c r="D251" s="1">
        <v>1</v>
      </c>
      <c r="E251" t="str">
        <f>B247</f>
        <v>kilogram</v>
      </c>
      <c r="F251" t="s">
        <v>218</v>
      </c>
      <c r="G251" t="s">
        <v>10</v>
      </c>
    </row>
    <row r="252" spans="1:9" x14ac:dyDescent="0.2">
      <c r="A252" s="9" t="s">
        <v>156</v>
      </c>
      <c r="B252" s="9" t="s">
        <v>158</v>
      </c>
      <c r="C252" t="s">
        <v>96</v>
      </c>
      <c r="D252" s="10">
        <v>0.5</v>
      </c>
      <c r="E252" t="s">
        <v>5</v>
      </c>
      <c r="F252" t="s">
        <v>21</v>
      </c>
      <c r="G252" t="s">
        <v>16</v>
      </c>
      <c r="I252" s="9" t="s">
        <v>157</v>
      </c>
    </row>
    <row r="253" spans="1:9" x14ac:dyDescent="0.2">
      <c r="A253" s="9" t="s">
        <v>264</v>
      </c>
      <c r="B253" s="9" t="s">
        <v>160</v>
      </c>
      <c r="C253" t="s">
        <v>73</v>
      </c>
      <c r="D253" s="10">
        <v>0.5</v>
      </c>
      <c r="E253" t="s">
        <v>5</v>
      </c>
      <c r="F253" t="s">
        <v>21</v>
      </c>
      <c r="G253" t="s">
        <v>16</v>
      </c>
      <c r="I253" s="9" t="s">
        <v>159</v>
      </c>
    </row>
    <row r="254" spans="1:9" x14ac:dyDescent="0.2">
      <c r="B254" s="9"/>
      <c r="C254" s="9"/>
      <c r="D254" s="14"/>
      <c r="E254" s="9"/>
    </row>
    <row r="255" spans="1:9" x14ac:dyDescent="0.2">
      <c r="A255" s="2" t="s">
        <v>0</v>
      </c>
      <c r="B255" s="2" t="s">
        <v>255</v>
      </c>
    </row>
    <row r="256" spans="1:9" x14ac:dyDescent="0.2">
      <c r="A256" t="s">
        <v>238</v>
      </c>
      <c r="B256" t="s">
        <v>245</v>
      </c>
    </row>
    <row r="257" spans="1:9" x14ac:dyDescent="0.2">
      <c r="A257" t="s">
        <v>2</v>
      </c>
      <c r="B257" s="9" t="s">
        <v>44</v>
      </c>
    </row>
    <row r="258" spans="1:9" x14ac:dyDescent="0.2">
      <c r="A258" t="s">
        <v>14</v>
      </c>
      <c r="B258" t="s">
        <v>59</v>
      </c>
    </row>
    <row r="259" spans="1:9" x14ac:dyDescent="0.2">
      <c r="A259" t="s">
        <v>1</v>
      </c>
      <c r="B259" t="s">
        <v>77</v>
      </c>
    </row>
    <row r="260" spans="1:9" x14ac:dyDescent="0.2">
      <c r="A260" t="s">
        <v>8</v>
      </c>
      <c r="B260">
        <v>1</v>
      </c>
    </row>
    <row r="261" spans="1:9" x14ac:dyDescent="0.2">
      <c r="A261" t="s">
        <v>4</v>
      </c>
      <c r="B261" t="s">
        <v>19</v>
      </c>
    </row>
    <row r="262" spans="1:9" x14ac:dyDescent="0.2">
      <c r="A262" t="s">
        <v>239</v>
      </c>
      <c r="B262" t="s">
        <v>240</v>
      </c>
    </row>
    <row r="263" spans="1:9" x14ac:dyDescent="0.2">
      <c r="A263" s="2" t="s">
        <v>6</v>
      </c>
    </row>
    <row r="264" spans="1:9" x14ac:dyDescent="0.2">
      <c r="A264" s="2" t="s">
        <v>7</v>
      </c>
      <c r="B264" s="2" t="s">
        <v>2</v>
      </c>
      <c r="C264" s="2" t="s">
        <v>1</v>
      </c>
      <c r="D264" s="3" t="s">
        <v>8</v>
      </c>
      <c r="E264" s="2" t="s">
        <v>4</v>
      </c>
      <c r="F264" s="2" t="s">
        <v>13</v>
      </c>
      <c r="G264" s="2" t="s">
        <v>3</v>
      </c>
      <c r="H264" s="2" t="s">
        <v>9</v>
      </c>
      <c r="I264" s="2" t="s">
        <v>238</v>
      </c>
    </row>
    <row r="265" spans="1:9" x14ac:dyDescent="0.2">
      <c r="A265" t="str">
        <f>B255</f>
        <v>etched GaAs wafer production - cleaning, etching</v>
      </c>
      <c r="B265" t="str">
        <f>B257</f>
        <v>etched GaAs wafer</v>
      </c>
      <c r="C265" t="s">
        <v>77</v>
      </c>
      <c r="D265" s="1">
        <f>B260</f>
        <v>1</v>
      </c>
      <c r="E265" t="str">
        <f>B261</f>
        <v>square meter</v>
      </c>
      <c r="F265" t="s">
        <v>218</v>
      </c>
      <c r="G265" t="s">
        <v>10</v>
      </c>
    </row>
    <row r="266" spans="1:9" x14ac:dyDescent="0.2">
      <c r="A266" t="s">
        <v>253</v>
      </c>
      <c r="B266" s="9" t="s">
        <v>42</v>
      </c>
      <c r="C266" t="s">
        <v>77</v>
      </c>
      <c r="D266" s="10">
        <v>1</v>
      </c>
      <c r="E266" t="s">
        <v>19</v>
      </c>
      <c r="F266" t="s">
        <v>218</v>
      </c>
      <c r="G266" t="s">
        <v>16</v>
      </c>
      <c r="I266" s="9"/>
    </row>
    <row r="267" spans="1:9" x14ac:dyDescent="0.2">
      <c r="A267" s="9" t="s">
        <v>162</v>
      </c>
      <c r="B267" s="9" t="s">
        <v>163</v>
      </c>
      <c r="C267" t="s">
        <v>96</v>
      </c>
      <c r="D267" s="10">
        <v>88.888889000000006</v>
      </c>
      <c r="E267" t="s">
        <v>5</v>
      </c>
      <c r="F267" t="s">
        <v>21</v>
      </c>
      <c r="G267" t="s">
        <v>16</v>
      </c>
      <c r="I267" s="9"/>
    </row>
    <row r="268" spans="1:9" x14ac:dyDescent="0.2">
      <c r="A268" s="9" t="s">
        <v>170</v>
      </c>
      <c r="B268" s="9" t="s">
        <v>172</v>
      </c>
      <c r="C268" t="s">
        <v>73</v>
      </c>
      <c r="D268" s="10">
        <v>1.2888888999999999</v>
      </c>
      <c r="E268" t="s">
        <v>5</v>
      </c>
      <c r="F268" t="s">
        <v>21</v>
      </c>
      <c r="G268" t="s">
        <v>16</v>
      </c>
      <c r="I268" t="s">
        <v>171</v>
      </c>
    </row>
    <row r="269" spans="1:9" x14ac:dyDescent="0.2">
      <c r="A269" s="9" t="s">
        <v>110</v>
      </c>
      <c r="B269" s="9" t="s">
        <v>43</v>
      </c>
      <c r="C269" t="s">
        <v>96</v>
      </c>
      <c r="D269" s="10">
        <v>1.0222222000000001</v>
      </c>
      <c r="E269" t="s">
        <v>5</v>
      </c>
      <c r="F269" t="s">
        <v>21</v>
      </c>
      <c r="G269" t="s">
        <v>16</v>
      </c>
      <c r="I269" t="s">
        <v>173</v>
      </c>
    </row>
    <row r="270" spans="1:9" x14ac:dyDescent="0.2">
      <c r="A270" t="s">
        <v>120</v>
      </c>
      <c r="B270" t="s">
        <v>117</v>
      </c>
      <c r="C270" t="s">
        <v>119</v>
      </c>
      <c r="D270" s="10">
        <v>0.97777780000000003</v>
      </c>
      <c r="E270" s="9" t="s">
        <v>15</v>
      </c>
      <c r="F270" t="s">
        <v>21</v>
      </c>
      <c r="G270" t="s">
        <v>16</v>
      </c>
      <c r="I270" t="s">
        <v>168</v>
      </c>
    </row>
    <row r="271" spans="1:9" x14ac:dyDescent="0.2">
      <c r="A271" t="s">
        <v>120</v>
      </c>
      <c r="B271" t="s">
        <v>117</v>
      </c>
      <c r="C271" t="s">
        <v>119</v>
      </c>
      <c r="D271" s="10">
        <v>1.9851852000000001</v>
      </c>
      <c r="E271" s="9" t="s">
        <v>15</v>
      </c>
      <c r="F271" t="s">
        <v>21</v>
      </c>
      <c r="G271" t="s">
        <v>16</v>
      </c>
      <c r="I271" t="s">
        <v>169</v>
      </c>
    </row>
    <row r="272" spans="1:9" x14ac:dyDescent="0.2">
      <c r="A272" s="9" t="s">
        <v>127</v>
      </c>
      <c r="B272" s="9" t="s">
        <v>126</v>
      </c>
      <c r="C272" t="s">
        <v>96</v>
      </c>
      <c r="D272" s="14">
        <v>-0.88888889999999998</v>
      </c>
      <c r="E272" t="s">
        <v>5</v>
      </c>
      <c r="F272" t="s">
        <v>21</v>
      </c>
      <c r="G272" t="s">
        <v>16</v>
      </c>
      <c r="I272" t="s">
        <v>149</v>
      </c>
    </row>
    <row r="273" spans="1:9" x14ac:dyDescent="0.2">
      <c r="A273" s="9"/>
      <c r="B273" s="9"/>
      <c r="C273" s="13"/>
      <c r="D273" s="14"/>
      <c r="E273" s="9"/>
    </row>
    <row r="274" spans="1:9" x14ac:dyDescent="0.2">
      <c r="A274" s="2" t="s">
        <v>0</v>
      </c>
      <c r="B274" s="11" t="s">
        <v>256</v>
      </c>
    </row>
    <row r="275" spans="1:9" x14ac:dyDescent="0.2">
      <c r="A275" t="s">
        <v>238</v>
      </c>
      <c r="B275" t="s">
        <v>245</v>
      </c>
    </row>
    <row r="276" spans="1:9" x14ac:dyDescent="0.2">
      <c r="A276" t="s">
        <v>2</v>
      </c>
      <c r="B276" s="9" t="s">
        <v>45</v>
      </c>
    </row>
    <row r="277" spans="1:9" x14ac:dyDescent="0.2">
      <c r="A277" t="s">
        <v>14</v>
      </c>
      <c r="B277" t="s">
        <v>60</v>
      </c>
    </row>
    <row r="278" spans="1:9" x14ac:dyDescent="0.2">
      <c r="A278" t="s">
        <v>1</v>
      </c>
      <c r="B278" t="s">
        <v>77</v>
      </c>
    </row>
    <row r="279" spans="1:9" x14ac:dyDescent="0.2">
      <c r="A279" t="s">
        <v>8</v>
      </c>
      <c r="B279">
        <v>1</v>
      </c>
    </row>
    <row r="280" spans="1:9" x14ac:dyDescent="0.2">
      <c r="A280" t="s">
        <v>4</v>
      </c>
      <c r="B280" t="s">
        <v>19</v>
      </c>
    </row>
    <row r="281" spans="1:9" x14ac:dyDescent="0.2">
      <c r="A281" t="s">
        <v>239</v>
      </c>
      <c r="B281" t="s">
        <v>240</v>
      </c>
    </row>
    <row r="282" spans="1:9" x14ac:dyDescent="0.2">
      <c r="A282" s="2" t="s">
        <v>6</v>
      </c>
    </row>
    <row r="283" spans="1:9" x14ac:dyDescent="0.2">
      <c r="A283" s="2" t="s">
        <v>7</v>
      </c>
      <c r="B283" s="2" t="s">
        <v>2</v>
      </c>
      <c r="C283" s="2" t="s">
        <v>1</v>
      </c>
      <c r="D283" s="3" t="s">
        <v>8</v>
      </c>
      <c r="E283" s="2" t="s">
        <v>4</v>
      </c>
      <c r="F283" s="2" t="s">
        <v>13</v>
      </c>
      <c r="G283" s="2" t="s">
        <v>3</v>
      </c>
      <c r="H283" s="2" t="s">
        <v>9</v>
      </c>
      <c r="I283" s="2" t="s">
        <v>238</v>
      </c>
    </row>
    <row r="284" spans="1:9" x14ac:dyDescent="0.2">
      <c r="A284" t="str">
        <f>B274</f>
        <v>pre-polished GaAs wafer production</v>
      </c>
      <c r="B284" t="str">
        <f>B276</f>
        <v>pre-polished GaAs wafer</v>
      </c>
      <c r="C284" t="s">
        <v>77</v>
      </c>
      <c r="D284" s="1">
        <f>B279</f>
        <v>1</v>
      </c>
      <c r="E284" t="str">
        <f>B280</f>
        <v>square meter</v>
      </c>
      <c r="F284" t="s">
        <v>218</v>
      </c>
      <c r="G284" t="s">
        <v>10</v>
      </c>
    </row>
    <row r="285" spans="1:9" x14ac:dyDescent="0.2">
      <c r="A285" t="s">
        <v>255</v>
      </c>
      <c r="B285" s="9" t="s">
        <v>44</v>
      </c>
      <c r="C285" t="s">
        <v>77</v>
      </c>
      <c r="D285" s="10">
        <v>1</v>
      </c>
      <c r="E285" t="s">
        <v>19</v>
      </c>
      <c r="F285" t="s">
        <v>218</v>
      </c>
      <c r="G285" t="s">
        <v>16</v>
      </c>
      <c r="I285" s="9"/>
    </row>
    <row r="286" spans="1:9" x14ac:dyDescent="0.2">
      <c r="A286" s="9" t="s">
        <v>113</v>
      </c>
      <c r="B286" s="9" t="s">
        <v>167</v>
      </c>
      <c r="C286" t="s">
        <v>73</v>
      </c>
      <c r="D286" s="10">
        <v>9.3036999999999998E-3</v>
      </c>
      <c r="E286" t="s">
        <v>5</v>
      </c>
      <c r="F286" t="s">
        <v>21</v>
      </c>
      <c r="G286" t="s">
        <v>16</v>
      </c>
      <c r="I286" s="9" t="s">
        <v>166</v>
      </c>
    </row>
    <row r="287" spans="1:9" x14ac:dyDescent="0.2">
      <c r="A287" t="s">
        <v>254</v>
      </c>
      <c r="B287" s="9" t="s">
        <v>41</v>
      </c>
      <c r="C287" t="s">
        <v>77</v>
      </c>
      <c r="D287" s="10">
        <v>29.925926</v>
      </c>
      <c r="E287" t="s">
        <v>5</v>
      </c>
      <c r="F287" t="s">
        <v>218</v>
      </c>
      <c r="G287" t="s">
        <v>16</v>
      </c>
      <c r="I287" s="9"/>
    </row>
    <row r="288" spans="1:9" x14ac:dyDescent="0.2">
      <c r="A288" t="s">
        <v>120</v>
      </c>
      <c r="B288" t="s">
        <v>117</v>
      </c>
      <c r="C288" t="s">
        <v>119</v>
      </c>
      <c r="D288" s="10">
        <v>9.7777778000000009</v>
      </c>
      <c r="E288" s="9" t="s">
        <v>15</v>
      </c>
      <c r="F288" t="s">
        <v>21</v>
      </c>
      <c r="G288" t="s">
        <v>16</v>
      </c>
      <c r="I288" t="s">
        <v>161</v>
      </c>
    </row>
    <row r="289" spans="1:9" x14ac:dyDescent="0.2">
      <c r="A289" s="9" t="s">
        <v>127</v>
      </c>
      <c r="B289" s="9" t="s">
        <v>126</v>
      </c>
      <c r="C289" t="s">
        <v>96</v>
      </c>
      <c r="D289" s="10">
        <v>-1.4814814999999999</v>
      </c>
      <c r="E289" t="s">
        <v>5</v>
      </c>
      <c r="F289" t="s">
        <v>21</v>
      </c>
      <c r="G289" t="s">
        <v>16</v>
      </c>
      <c r="I289" t="s">
        <v>149</v>
      </c>
    </row>
    <row r="290" spans="1:9" x14ac:dyDescent="0.2">
      <c r="A290" s="9"/>
      <c r="B290" s="9"/>
      <c r="C290" s="13"/>
      <c r="D290" s="14"/>
      <c r="E290" s="9"/>
    </row>
    <row r="291" spans="1:9" x14ac:dyDescent="0.2">
      <c r="A291" s="2" t="s">
        <v>0</v>
      </c>
      <c r="B291" s="11" t="s">
        <v>257</v>
      </c>
    </row>
    <row r="292" spans="1:9" x14ac:dyDescent="0.2">
      <c r="A292" t="s">
        <v>238</v>
      </c>
      <c r="B292" t="s">
        <v>245</v>
      </c>
    </row>
    <row r="293" spans="1:9" x14ac:dyDescent="0.2">
      <c r="A293" t="s">
        <v>2</v>
      </c>
      <c r="B293" s="9" t="s">
        <v>46</v>
      </c>
    </row>
    <row r="294" spans="1:9" x14ac:dyDescent="0.2">
      <c r="A294" t="s">
        <v>14</v>
      </c>
      <c r="B294" t="s">
        <v>61</v>
      </c>
    </row>
    <row r="295" spans="1:9" x14ac:dyDescent="0.2">
      <c r="A295" t="s">
        <v>1</v>
      </c>
      <c r="B295" t="s">
        <v>77</v>
      </c>
    </row>
    <row r="296" spans="1:9" x14ac:dyDescent="0.2">
      <c r="A296" t="s">
        <v>8</v>
      </c>
      <c r="B296">
        <v>1</v>
      </c>
    </row>
    <row r="297" spans="1:9" x14ac:dyDescent="0.2">
      <c r="A297" t="s">
        <v>4</v>
      </c>
      <c r="B297" t="s">
        <v>19</v>
      </c>
    </row>
    <row r="298" spans="1:9" x14ac:dyDescent="0.2">
      <c r="A298" t="s">
        <v>239</v>
      </c>
      <c r="B298" t="s">
        <v>240</v>
      </c>
    </row>
    <row r="299" spans="1:9" x14ac:dyDescent="0.2">
      <c r="A299" s="2" t="s">
        <v>6</v>
      </c>
    </row>
    <row r="300" spans="1:9" x14ac:dyDescent="0.2">
      <c r="A300" s="2" t="s">
        <v>7</v>
      </c>
      <c r="B300" s="2" t="s">
        <v>2</v>
      </c>
      <c r="C300" s="2" t="s">
        <v>1</v>
      </c>
      <c r="D300" s="3" t="s">
        <v>8</v>
      </c>
      <c r="E300" s="2" t="s">
        <v>4</v>
      </c>
      <c r="F300" s="2" t="s">
        <v>13</v>
      </c>
      <c r="G300" s="2" t="s">
        <v>3</v>
      </c>
      <c r="H300" s="2" t="s">
        <v>9</v>
      </c>
      <c r="I300" s="2" t="s">
        <v>238</v>
      </c>
    </row>
    <row r="301" spans="1:9" x14ac:dyDescent="0.2">
      <c r="A301" t="str">
        <f>B291</f>
        <v>double-polished GaAs wafer production - chemical, mechanical polishing (CMP)</v>
      </c>
      <c r="B301" t="str">
        <f>B293</f>
        <v>double-polished GaAs wafer</v>
      </c>
      <c r="C301" t="s">
        <v>77</v>
      </c>
      <c r="D301" s="1">
        <f>B296</f>
        <v>1</v>
      </c>
      <c r="E301" t="str">
        <f>B297</f>
        <v>square meter</v>
      </c>
      <c r="F301" t="s">
        <v>218</v>
      </c>
      <c r="G301" t="s">
        <v>10</v>
      </c>
    </row>
    <row r="302" spans="1:9" x14ac:dyDescent="0.2">
      <c r="A302" s="9" t="s">
        <v>256</v>
      </c>
      <c r="B302" s="9" t="s">
        <v>45</v>
      </c>
      <c r="C302" t="s">
        <v>77</v>
      </c>
      <c r="D302" s="10">
        <v>1</v>
      </c>
      <c r="E302" t="s">
        <v>19</v>
      </c>
      <c r="F302" t="s">
        <v>218</v>
      </c>
      <c r="G302" t="s">
        <v>16</v>
      </c>
      <c r="I302" s="9"/>
    </row>
    <row r="303" spans="1:9" x14ac:dyDescent="0.2">
      <c r="A303" s="9" t="s">
        <v>113</v>
      </c>
      <c r="B303" s="9" t="s">
        <v>167</v>
      </c>
      <c r="C303" t="s">
        <v>73</v>
      </c>
      <c r="D303" s="10">
        <v>1.8666700000000001E-2</v>
      </c>
      <c r="E303" t="s">
        <v>5</v>
      </c>
      <c r="F303" t="s">
        <v>21</v>
      </c>
      <c r="G303" t="s">
        <v>16</v>
      </c>
      <c r="I303" s="9" t="s">
        <v>166</v>
      </c>
    </row>
    <row r="304" spans="1:9" x14ac:dyDescent="0.2">
      <c r="A304" s="9" t="s">
        <v>258</v>
      </c>
      <c r="B304" s="9" t="s">
        <v>35</v>
      </c>
      <c r="C304" t="s">
        <v>77</v>
      </c>
      <c r="D304" s="10">
        <v>23.703703999999998</v>
      </c>
      <c r="E304" t="s">
        <v>5</v>
      </c>
      <c r="F304" t="s">
        <v>218</v>
      </c>
      <c r="G304" t="s">
        <v>16</v>
      </c>
      <c r="I304" s="9"/>
    </row>
    <row r="305" spans="1:9" x14ac:dyDescent="0.2">
      <c r="A305" t="s">
        <v>120</v>
      </c>
      <c r="B305" t="s">
        <v>117</v>
      </c>
      <c r="C305" t="s">
        <v>119</v>
      </c>
      <c r="D305" s="10">
        <v>48.888888999999999</v>
      </c>
      <c r="E305" s="9" t="s">
        <v>15</v>
      </c>
      <c r="F305" t="s">
        <v>21</v>
      </c>
      <c r="G305" t="s">
        <v>16</v>
      </c>
      <c r="I305" t="s">
        <v>161</v>
      </c>
    </row>
    <row r="306" spans="1:9" x14ac:dyDescent="0.2">
      <c r="A306" s="9" t="s">
        <v>127</v>
      </c>
      <c r="B306" s="9" t="s">
        <v>126</v>
      </c>
      <c r="C306" t="s">
        <v>96</v>
      </c>
      <c r="D306" s="10">
        <v>-7.4074074000000003</v>
      </c>
      <c r="E306" t="s">
        <v>5</v>
      </c>
      <c r="F306" t="s">
        <v>21</v>
      </c>
      <c r="G306" t="s">
        <v>16</v>
      </c>
      <c r="I306" t="s">
        <v>149</v>
      </c>
    </row>
    <row r="307" spans="1:9" x14ac:dyDescent="0.2">
      <c r="A307" s="9"/>
      <c r="B307" s="9"/>
      <c r="C307" s="13"/>
      <c r="D307" s="14"/>
      <c r="E307" s="9"/>
    </row>
    <row r="308" spans="1:9" x14ac:dyDescent="0.2">
      <c r="A308" s="2" t="s">
        <v>0</v>
      </c>
      <c r="B308" s="11" t="s">
        <v>258</v>
      </c>
    </row>
    <row r="309" spans="1:9" x14ac:dyDescent="0.2">
      <c r="A309" t="s">
        <v>238</v>
      </c>
      <c r="B309" t="s">
        <v>245</v>
      </c>
    </row>
    <row r="310" spans="1:9" x14ac:dyDescent="0.2">
      <c r="A310" t="s">
        <v>2</v>
      </c>
      <c r="B310" s="9" t="s">
        <v>35</v>
      </c>
    </row>
    <row r="311" spans="1:9" x14ac:dyDescent="0.2">
      <c r="A311" t="s">
        <v>14</v>
      </c>
      <c r="B311" t="s">
        <v>62</v>
      </c>
    </row>
    <row r="312" spans="1:9" x14ac:dyDescent="0.2">
      <c r="A312" t="s">
        <v>1</v>
      </c>
      <c r="B312" t="s">
        <v>77</v>
      </c>
    </row>
    <row r="313" spans="1:9" x14ac:dyDescent="0.2">
      <c r="A313" t="s">
        <v>8</v>
      </c>
      <c r="B313">
        <v>1</v>
      </c>
    </row>
    <row r="314" spans="1:9" x14ac:dyDescent="0.2">
      <c r="A314" t="s">
        <v>4</v>
      </c>
      <c r="B314" t="s">
        <v>5</v>
      </c>
    </row>
    <row r="315" spans="1:9" x14ac:dyDescent="0.2">
      <c r="A315" t="s">
        <v>239</v>
      </c>
      <c r="B315" t="s">
        <v>240</v>
      </c>
    </row>
    <row r="316" spans="1:9" x14ac:dyDescent="0.2">
      <c r="A316" s="2" t="s">
        <v>6</v>
      </c>
    </row>
    <row r="317" spans="1:9" x14ac:dyDescent="0.2">
      <c r="A317" s="2" t="s">
        <v>7</v>
      </c>
      <c r="B317" s="2" t="s">
        <v>2</v>
      </c>
      <c r="C317" s="2" t="s">
        <v>1</v>
      </c>
      <c r="D317" s="3" t="s">
        <v>8</v>
      </c>
      <c r="E317" s="2" t="s">
        <v>4</v>
      </c>
      <c r="F317" s="2" t="s">
        <v>13</v>
      </c>
      <c r="G317" s="2" t="s">
        <v>3</v>
      </c>
      <c r="H317" s="2" t="s">
        <v>9</v>
      </c>
      <c r="I317" s="2" t="s">
        <v>238</v>
      </c>
    </row>
    <row r="318" spans="1:9" x14ac:dyDescent="0.2">
      <c r="A318" t="str">
        <f>B308</f>
        <v>CMP slurry production</v>
      </c>
      <c r="B318" t="str">
        <f>B310</f>
        <v>CMP slurry</v>
      </c>
      <c r="C318" t="s">
        <v>77</v>
      </c>
      <c r="D318" s="1">
        <f>B313</f>
        <v>1</v>
      </c>
      <c r="E318" t="str">
        <f>B314</f>
        <v>kilogram</v>
      </c>
      <c r="F318" t="s">
        <v>218</v>
      </c>
      <c r="G318" t="s">
        <v>10</v>
      </c>
    </row>
    <row r="319" spans="1:9" x14ac:dyDescent="0.2">
      <c r="A319" s="9" t="s">
        <v>156</v>
      </c>
      <c r="B319" s="9" t="s">
        <v>158</v>
      </c>
      <c r="C319" t="s">
        <v>96</v>
      </c>
      <c r="D319" s="10">
        <v>0.5</v>
      </c>
      <c r="E319" t="s">
        <v>5</v>
      </c>
      <c r="F319" t="s">
        <v>21</v>
      </c>
      <c r="G319" t="s">
        <v>16</v>
      </c>
      <c r="I319" s="9" t="s">
        <v>157</v>
      </c>
    </row>
    <row r="320" spans="1:9" x14ac:dyDescent="0.2">
      <c r="A320" s="9" t="s">
        <v>162</v>
      </c>
      <c r="B320" s="9" t="s">
        <v>163</v>
      </c>
      <c r="C320" t="s">
        <v>96</v>
      </c>
      <c r="D320" s="10">
        <v>0.25</v>
      </c>
      <c r="E320" t="s">
        <v>5</v>
      </c>
      <c r="F320" t="s">
        <v>21</v>
      </c>
      <c r="G320" t="s">
        <v>16</v>
      </c>
      <c r="I320" s="9"/>
    </row>
    <row r="321" spans="1:9" x14ac:dyDescent="0.2">
      <c r="A321" t="s">
        <v>101</v>
      </c>
      <c r="B321" t="s">
        <v>47</v>
      </c>
      <c r="C321" t="s">
        <v>73</v>
      </c>
      <c r="D321" s="10">
        <v>0.25</v>
      </c>
      <c r="E321" t="s">
        <v>5</v>
      </c>
      <c r="F321" t="s">
        <v>21</v>
      </c>
      <c r="G321" t="s">
        <v>16</v>
      </c>
    </row>
    <row r="322" spans="1:9" x14ac:dyDescent="0.2">
      <c r="A322" s="9"/>
      <c r="B322" s="9"/>
      <c r="C322" s="13"/>
      <c r="D322" s="14"/>
      <c r="E322" s="9"/>
      <c r="F322" s="9"/>
      <c r="G322" s="9"/>
      <c r="H322" s="13"/>
      <c r="I322" s="9"/>
    </row>
    <row r="323" spans="1:9" x14ac:dyDescent="0.2">
      <c r="A323" s="2" t="s">
        <v>0</v>
      </c>
      <c r="B323" s="11" t="s">
        <v>259</v>
      </c>
    </row>
    <row r="324" spans="1:9" x14ac:dyDescent="0.2">
      <c r="A324" t="s">
        <v>238</v>
      </c>
      <c r="B324" t="s">
        <v>245</v>
      </c>
    </row>
    <row r="325" spans="1:9" x14ac:dyDescent="0.2">
      <c r="A325" t="s">
        <v>2</v>
      </c>
      <c r="B325" s="9" t="s">
        <v>48</v>
      </c>
    </row>
    <row r="326" spans="1:9" x14ac:dyDescent="0.2">
      <c r="A326" t="s">
        <v>14</v>
      </c>
      <c r="B326" t="s">
        <v>63</v>
      </c>
    </row>
    <row r="327" spans="1:9" x14ac:dyDescent="0.2">
      <c r="A327" t="s">
        <v>1</v>
      </c>
      <c r="B327" t="s">
        <v>77</v>
      </c>
    </row>
    <row r="328" spans="1:9" x14ac:dyDescent="0.2">
      <c r="A328" t="s">
        <v>8</v>
      </c>
      <c r="B328">
        <v>1</v>
      </c>
    </row>
    <row r="329" spans="1:9" x14ac:dyDescent="0.2">
      <c r="A329" t="s">
        <v>4</v>
      </c>
      <c r="B329" t="s">
        <v>19</v>
      </c>
    </row>
    <row r="330" spans="1:9" x14ac:dyDescent="0.2">
      <c r="A330" t="s">
        <v>239</v>
      </c>
      <c r="B330" t="s">
        <v>240</v>
      </c>
    </row>
    <row r="331" spans="1:9" x14ac:dyDescent="0.2">
      <c r="A331" s="2" t="s">
        <v>6</v>
      </c>
    </row>
    <row r="332" spans="1:9" x14ac:dyDescent="0.2">
      <c r="A332" s="2" t="s">
        <v>7</v>
      </c>
      <c r="B332" s="2" t="s">
        <v>2</v>
      </c>
      <c r="C332" s="2" t="s">
        <v>1</v>
      </c>
      <c r="D332" s="3" t="s">
        <v>8</v>
      </c>
      <c r="E332" s="2" t="s">
        <v>4</v>
      </c>
      <c r="F332" s="2" t="s">
        <v>13</v>
      </c>
      <c r="G332" s="2" t="s">
        <v>3</v>
      </c>
      <c r="H332" s="2" t="s">
        <v>9</v>
      </c>
      <c r="I332" s="2" t="s">
        <v>238</v>
      </c>
    </row>
    <row r="333" spans="1:9" x14ac:dyDescent="0.2">
      <c r="A333" t="str">
        <f>B323</f>
        <v>GaAs wafer production - cleaning, quality control, packing</v>
      </c>
      <c r="B333" t="str">
        <f>B325</f>
        <v>GaAs wafer</v>
      </c>
      <c r="C333" t="s">
        <v>77</v>
      </c>
      <c r="D333" s="1">
        <f>B328</f>
        <v>1</v>
      </c>
      <c r="E333" t="str">
        <f>B329</f>
        <v>square meter</v>
      </c>
      <c r="F333" t="s">
        <v>218</v>
      </c>
      <c r="G333" t="s">
        <v>10</v>
      </c>
    </row>
    <row r="334" spans="1:9" x14ac:dyDescent="0.2">
      <c r="A334" s="9" t="s">
        <v>257</v>
      </c>
      <c r="B334" s="9" t="s">
        <v>46</v>
      </c>
      <c r="C334" t="s">
        <v>77</v>
      </c>
      <c r="D334" s="10">
        <v>1</v>
      </c>
      <c r="E334" t="s">
        <v>19</v>
      </c>
      <c r="F334" t="s">
        <v>218</v>
      </c>
      <c r="G334" t="s">
        <v>16</v>
      </c>
      <c r="I334" s="9"/>
    </row>
    <row r="335" spans="1:9" x14ac:dyDescent="0.2">
      <c r="A335" s="9" t="s">
        <v>162</v>
      </c>
      <c r="B335" s="9" t="s">
        <v>163</v>
      </c>
      <c r="C335" t="s">
        <v>96</v>
      </c>
      <c r="D335" s="10">
        <v>88.888889000000006</v>
      </c>
      <c r="E335" t="s">
        <v>5</v>
      </c>
      <c r="F335" t="s">
        <v>21</v>
      </c>
      <c r="G335" t="s">
        <v>16</v>
      </c>
      <c r="I335" s="9"/>
    </row>
    <row r="336" spans="1:9" x14ac:dyDescent="0.2">
      <c r="A336" t="s">
        <v>101</v>
      </c>
      <c r="B336" t="s">
        <v>47</v>
      </c>
      <c r="C336" t="s">
        <v>73</v>
      </c>
      <c r="D336" s="10">
        <v>5.9555556000000003</v>
      </c>
      <c r="E336" t="s">
        <v>5</v>
      </c>
      <c r="F336" t="s">
        <v>21</v>
      </c>
      <c r="G336" t="s">
        <v>16</v>
      </c>
      <c r="I336" s="9"/>
    </row>
    <row r="337" spans="1:9" x14ac:dyDescent="0.2">
      <c r="A337" s="9" t="s">
        <v>176</v>
      </c>
      <c r="B337" s="9" t="s">
        <v>175</v>
      </c>
      <c r="C337" t="s">
        <v>73</v>
      </c>
      <c r="D337" s="10">
        <v>0.1226667</v>
      </c>
      <c r="E337" t="s">
        <v>5</v>
      </c>
      <c r="F337" t="s">
        <v>21</v>
      </c>
      <c r="G337" t="s">
        <v>16</v>
      </c>
      <c r="I337" t="s">
        <v>174</v>
      </c>
    </row>
    <row r="338" spans="1:9" x14ac:dyDescent="0.2">
      <c r="A338" s="9" t="s">
        <v>180</v>
      </c>
      <c r="B338" s="9" t="s">
        <v>178</v>
      </c>
      <c r="C338" t="s">
        <v>179</v>
      </c>
      <c r="D338" s="10">
        <v>1.4222E-3</v>
      </c>
      <c r="E338" t="s">
        <v>5</v>
      </c>
      <c r="F338" t="s">
        <v>21</v>
      </c>
      <c r="G338" t="s">
        <v>16</v>
      </c>
      <c r="I338" t="s">
        <v>177</v>
      </c>
    </row>
    <row r="339" spans="1:9" x14ac:dyDescent="0.2">
      <c r="A339" s="9" t="s">
        <v>183</v>
      </c>
      <c r="B339" s="9" t="s">
        <v>182</v>
      </c>
      <c r="C339" t="s">
        <v>73</v>
      </c>
      <c r="D339" s="10">
        <v>0.17777780000000001</v>
      </c>
      <c r="E339" t="s">
        <v>5</v>
      </c>
      <c r="F339" t="s">
        <v>21</v>
      </c>
      <c r="G339" t="s">
        <v>16</v>
      </c>
      <c r="I339" t="s">
        <v>181</v>
      </c>
    </row>
    <row r="340" spans="1:9" x14ac:dyDescent="0.2">
      <c r="A340" t="s">
        <v>120</v>
      </c>
      <c r="B340" t="s">
        <v>117</v>
      </c>
      <c r="C340" t="s">
        <v>119</v>
      </c>
      <c r="D340" s="10">
        <v>8.8888888999999995</v>
      </c>
      <c r="E340" t="s">
        <v>15</v>
      </c>
      <c r="F340" t="s">
        <v>21</v>
      </c>
      <c r="G340" t="s">
        <v>16</v>
      </c>
      <c r="I340" t="s">
        <v>164</v>
      </c>
    </row>
    <row r="341" spans="1:9" x14ac:dyDescent="0.2">
      <c r="A341" t="s">
        <v>120</v>
      </c>
      <c r="B341" t="s">
        <v>117</v>
      </c>
      <c r="C341" t="s">
        <v>119</v>
      </c>
      <c r="D341" s="10">
        <v>8.8888888999999995</v>
      </c>
      <c r="E341" t="s">
        <v>15</v>
      </c>
      <c r="F341" t="s">
        <v>21</v>
      </c>
      <c r="G341" t="s">
        <v>16</v>
      </c>
      <c r="I341" t="s">
        <v>165</v>
      </c>
    </row>
    <row r="343" spans="1:9" x14ac:dyDescent="0.2">
      <c r="A343" s="2" t="s">
        <v>0</v>
      </c>
      <c r="B343" s="20" t="s">
        <v>260</v>
      </c>
    </row>
    <row r="344" spans="1:9" x14ac:dyDescent="0.2">
      <c r="A344" t="s">
        <v>238</v>
      </c>
      <c r="B344" t="s">
        <v>245</v>
      </c>
    </row>
    <row r="345" spans="1:9" x14ac:dyDescent="0.2">
      <c r="A345" t="s">
        <v>2</v>
      </c>
      <c r="B345" s="8" t="s">
        <v>67</v>
      </c>
    </row>
    <row r="346" spans="1:9" x14ac:dyDescent="0.2">
      <c r="A346" t="s">
        <v>14</v>
      </c>
      <c r="B346" t="s">
        <v>68</v>
      </c>
    </row>
    <row r="347" spans="1:9" x14ac:dyDescent="0.2">
      <c r="A347" t="s">
        <v>1</v>
      </c>
      <c r="B347" t="s">
        <v>77</v>
      </c>
    </row>
    <row r="348" spans="1:9" x14ac:dyDescent="0.2">
      <c r="A348" t="s">
        <v>8</v>
      </c>
      <c r="B348">
        <v>1</v>
      </c>
    </row>
    <row r="349" spans="1:9" x14ac:dyDescent="0.2">
      <c r="A349" t="s">
        <v>4</v>
      </c>
      <c r="B349" t="s">
        <v>70</v>
      </c>
    </row>
    <row r="350" spans="1:9" x14ac:dyDescent="0.2">
      <c r="A350" t="s">
        <v>239</v>
      </c>
      <c r="B350" t="s">
        <v>240</v>
      </c>
    </row>
    <row r="351" spans="1:9" x14ac:dyDescent="0.2">
      <c r="A351" s="2" t="s">
        <v>6</v>
      </c>
    </row>
    <row r="352" spans="1:9" x14ac:dyDescent="0.2">
      <c r="A352" s="2" t="s">
        <v>7</v>
      </c>
      <c r="B352" s="2" t="s">
        <v>2</v>
      </c>
      <c r="C352" s="2" t="s">
        <v>1</v>
      </c>
      <c r="D352" s="3" t="s">
        <v>8</v>
      </c>
      <c r="E352" s="2" t="s">
        <v>4</v>
      </c>
      <c r="F352" s="2" t="s">
        <v>13</v>
      </c>
      <c r="G352" s="2" t="s">
        <v>3</v>
      </c>
      <c r="H352" s="2" t="s">
        <v>9</v>
      </c>
      <c r="I352" s="2" t="s">
        <v>238</v>
      </c>
    </row>
    <row r="353" spans="1:9" x14ac:dyDescent="0.2">
      <c r="A353" t="str">
        <f>B343</f>
        <v>trimethyl aluminum 99% pure production</v>
      </c>
      <c r="B353" t="str">
        <f>B345</f>
        <v>trimethyl aluminum 99% pure</v>
      </c>
      <c r="C353" t="s">
        <v>77</v>
      </c>
      <c r="D353" s="1">
        <f>B348</f>
        <v>1</v>
      </c>
      <c r="E353" t="s">
        <v>5</v>
      </c>
      <c r="F353" t="s">
        <v>218</v>
      </c>
      <c r="G353" t="s">
        <v>10</v>
      </c>
    </row>
    <row r="354" spans="1:9" x14ac:dyDescent="0.2">
      <c r="A354" s="8" t="s">
        <v>261</v>
      </c>
      <c r="B354" s="8" t="s">
        <v>64</v>
      </c>
      <c r="C354" t="s">
        <v>77</v>
      </c>
      <c r="D354" s="21">
        <v>2.7530000000000001</v>
      </c>
      <c r="E354" t="s">
        <v>5</v>
      </c>
      <c r="F354" t="s">
        <v>218</v>
      </c>
      <c r="G354" t="s">
        <v>16</v>
      </c>
      <c r="I354" s="9"/>
    </row>
    <row r="355" spans="1:9" x14ac:dyDescent="0.2">
      <c r="A355" s="8" t="s">
        <v>270</v>
      </c>
      <c r="B355" s="8" t="s">
        <v>65</v>
      </c>
      <c r="C355" t="s">
        <v>73</v>
      </c>
      <c r="D355" s="21">
        <v>0.9</v>
      </c>
      <c r="E355" t="s">
        <v>5</v>
      </c>
      <c r="F355" t="s">
        <v>21</v>
      </c>
      <c r="G355" t="s">
        <v>16</v>
      </c>
      <c r="I355" s="9"/>
    </row>
    <row r="356" spans="1:9" x14ac:dyDescent="0.2">
      <c r="A356" s="22" t="s">
        <v>269</v>
      </c>
      <c r="B356" s="22" t="s">
        <v>201</v>
      </c>
      <c r="C356" t="s">
        <v>73</v>
      </c>
      <c r="D356" s="21">
        <v>2.8000000000000001E-2</v>
      </c>
      <c r="E356" t="s">
        <v>5</v>
      </c>
      <c r="F356" t="s">
        <v>21</v>
      </c>
      <c r="G356" t="s">
        <v>16</v>
      </c>
      <c r="I356" s="9"/>
    </row>
    <row r="357" spans="1:9" x14ac:dyDescent="0.2">
      <c r="A357" s="8" t="s">
        <v>267</v>
      </c>
      <c r="B357" s="8" t="s">
        <v>268</v>
      </c>
      <c r="C357" t="s">
        <v>73</v>
      </c>
      <c r="D357" s="21">
        <v>5.1029999999999998</v>
      </c>
      <c r="E357" t="s">
        <v>5</v>
      </c>
      <c r="F357" t="s">
        <v>21</v>
      </c>
      <c r="G357" t="s">
        <v>16</v>
      </c>
    </row>
    <row r="358" spans="1:9" x14ac:dyDescent="0.2">
      <c r="A358" t="s">
        <v>120</v>
      </c>
      <c r="B358" t="s">
        <v>117</v>
      </c>
      <c r="C358" t="s">
        <v>119</v>
      </c>
      <c r="D358" s="21">
        <v>0.17299999999999999</v>
      </c>
      <c r="E358" t="s">
        <v>15</v>
      </c>
      <c r="F358" t="s">
        <v>21</v>
      </c>
      <c r="G358" t="s">
        <v>16</v>
      </c>
    </row>
    <row r="359" spans="1:9" x14ac:dyDescent="0.2">
      <c r="A359" t="s">
        <v>89</v>
      </c>
      <c r="B359" t="s">
        <v>90</v>
      </c>
      <c r="C359" t="s">
        <v>81</v>
      </c>
      <c r="D359" s="21">
        <v>-7.57</v>
      </c>
      <c r="E359" t="s">
        <v>5</v>
      </c>
      <c r="F359" t="s">
        <v>21</v>
      </c>
      <c r="G359" t="s">
        <v>16</v>
      </c>
      <c r="I359" t="s">
        <v>184</v>
      </c>
    </row>
    <row r="361" spans="1:9" x14ac:dyDescent="0.2">
      <c r="A361" s="2" t="s">
        <v>0</v>
      </c>
      <c r="B361" s="23" t="s">
        <v>261</v>
      </c>
    </row>
    <row r="362" spans="1:9" x14ac:dyDescent="0.2">
      <c r="A362" t="s">
        <v>238</v>
      </c>
      <c r="B362" t="s">
        <v>245</v>
      </c>
    </row>
    <row r="363" spans="1:9" x14ac:dyDescent="0.2">
      <c r="A363" t="s">
        <v>2</v>
      </c>
      <c r="B363" s="22" t="s">
        <v>64</v>
      </c>
    </row>
    <row r="364" spans="1:9" x14ac:dyDescent="0.2">
      <c r="A364" t="s">
        <v>14</v>
      </c>
      <c r="B364" t="s">
        <v>69</v>
      </c>
    </row>
    <row r="365" spans="1:9" x14ac:dyDescent="0.2">
      <c r="A365" t="s">
        <v>1</v>
      </c>
      <c r="B365" t="s">
        <v>77</v>
      </c>
    </row>
    <row r="366" spans="1:9" x14ac:dyDescent="0.2">
      <c r="A366" t="s">
        <v>8</v>
      </c>
      <c r="B366">
        <v>1</v>
      </c>
    </row>
    <row r="367" spans="1:9" x14ac:dyDescent="0.2">
      <c r="A367" t="s">
        <v>4</v>
      </c>
      <c r="B367" t="s">
        <v>5</v>
      </c>
    </row>
    <row r="368" spans="1:9" x14ac:dyDescent="0.2">
      <c r="A368" t="s">
        <v>239</v>
      </c>
      <c r="B368" t="s">
        <v>240</v>
      </c>
    </row>
    <row r="369" spans="1:9" x14ac:dyDescent="0.2">
      <c r="A369" s="2" t="s">
        <v>6</v>
      </c>
    </row>
    <row r="370" spans="1:9" x14ac:dyDescent="0.2">
      <c r="A370" s="2" t="s">
        <v>7</v>
      </c>
      <c r="B370" s="2" t="s">
        <v>2</v>
      </c>
      <c r="C370" s="2" t="s">
        <v>1</v>
      </c>
      <c r="D370" s="3" t="s">
        <v>8</v>
      </c>
      <c r="E370" s="2" t="s">
        <v>4</v>
      </c>
      <c r="F370" s="2" t="s">
        <v>13</v>
      </c>
      <c r="G370" s="2" t="s">
        <v>3</v>
      </c>
      <c r="H370" s="2" t="s">
        <v>9</v>
      </c>
      <c r="I370" s="2" t="s">
        <v>238</v>
      </c>
    </row>
    <row r="371" spans="1:9" x14ac:dyDescent="0.2">
      <c r="A371" t="str">
        <f>B361</f>
        <v>methyl aluminum sesquichloride production</v>
      </c>
      <c r="B371" t="str">
        <f>B363</f>
        <v>methyl aluminum sesquichloride</v>
      </c>
      <c r="C371" t="s">
        <v>77</v>
      </c>
      <c r="D371" s="1">
        <f>B366</f>
        <v>1</v>
      </c>
      <c r="E371" t="s">
        <v>5</v>
      </c>
      <c r="F371" t="s">
        <v>218</v>
      </c>
      <c r="G371" t="s">
        <v>10</v>
      </c>
    </row>
    <row r="372" spans="1:9" s="25" customFormat="1" x14ac:dyDescent="0.2">
      <c r="A372" s="22" t="s">
        <v>185</v>
      </c>
      <c r="B372" s="22" t="s">
        <v>214</v>
      </c>
      <c r="C372" t="s">
        <v>77</v>
      </c>
      <c r="D372" s="24">
        <v>1.6E-2</v>
      </c>
      <c r="E372" t="s">
        <v>5</v>
      </c>
      <c r="F372" t="s">
        <v>21</v>
      </c>
      <c r="G372" t="s">
        <v>16</v>
      </c>
      <c r="H372"/>
      <c r="I372" s="22"/>
    </row>
    <row r="373" spans="1:9" x14ac:dyDescent="0.2">
      <c r="A373" s="22" t="s">
        <v>188</v>
      </c>
      <c r="B373" s="22" t="s">
        <v>187</v>
      </c>
      <c r="C373" t="s">
        <v>179</v>
      </c>
      <c r="D373" s="24">
        <v>0.26200000000000001</v>
      </c>
      <c r="E373" t="s">
        <v>5</v>
      </c>
      <c r="F373" t="s">
        <v>21</v>
      </c>
      <c r="G373" t="s">
        <v>16</v>
      </c>
      <c r="I373" s="22" t="s">
        <v>186</v>
      </c>
    </row>
    <row r="374" spans="1:9" x14ac:dyDescent="0.2">
      <c r="A374" s="22" t="s">
        <v>189</v>
      </c>
      <c r="B374" s="22" t="s">
        <v>191</v>
      </c>
      <c r="C374" t="s">
        <v>190</v>
      </c>
      <c r="D374" s="24">
        <v>0.73699999999999999</v>
      </c>
      <c r="E374" t="s">
        <v>5</v>
      </c>
      <c r="F374" t="s">
        <v>21</v>
      </c>
      <c r="G374" t="s">
        <v>16</v>
      </c>
      <c r="I374" s="22"/>
    </row>
    <row r="375" spans="1:9" x14ac:dyDescent="0.2">
      <c r="A375" t="s">
        <v>120</v>
      </c>
      <c r="B375" t="s">
        <v>117</v>
      </c>
      <c r="C375" t="s">
        <v>119</v>
      </c>
      <c r="D375" s="24">
        <v>3.0000000000000001E-3</v>
      </c>
      <c r="E375" t="s">
        <v>15</v>
      </c>
      <c r="F375" t="s">
        <v>21</v>
      </c>
      <c r="G375" t="s">
        <v>16</v>
      </c>
    </row>
    <row r="376" spans="1:9" s="6" customFormat="1" x14ac:dyDescent="0.2">
      <c r="A376" s="22" t="s">
        <v>207</v>
      </c>
      <c r="B376" s="22"/>
      <c r="C376"/>
      <c r="D376" s="24">
        <v>2.3E-2</v>
      </c>
      <c r="E376" t="s">
        <v>5</v>
      </c>
      <c r="F376" t="s">
        <v>102</v>
      </c>
      <c r="G376" t="s">
        <v>11</v>
      </c>
      <c r="H376" t="s">
        <v>92</v>
      </c>
      <c r="I376" t="s">
        <v>215</v>
      </c>
    </row>
    <row r="377" spans="1:9" x14ac:dyDescent="0.2">
      <c r="A377" s="22" t="s">
        <v>208</v>
      </c>
      <c r="B377" s="22"/>
      <c r="D377" s="24">
        <v>2.3E-2</v>
      </c>
      <c r="E377" t="s">
        <v>5</v>
      </c>
      <c r="F377" t="s">
        <v>102</v>
      </c>
      <c r="G377" t="s">
        <v>11</v>
      </c>
      <c r="H377" t="s">
        <v>92</v>
      </c>
    </row>
    <row r="379" spans="1:9" x14ac:dyDescent="0.2">
      <c r="A379" s="2" t="s">
        <v>0</v>
      </c>
      <c r="B379" s="23" t="s">
        <v>262</v>
      </c>
    </row>
    <row r="380" spans="1:9" x14ac:dyDescent="0.2">
      <c r="A380" t="s">
        <v>238</v>
      </c>
      <c r="B380" t="s">
        <v>245</v>
      </c>
    </row>
    <row r="381" spans="1:9" x14ac:dyDescent="0.2">
      <c r="A381" t="s">
        <v>2</v>
      </c>
      <c r="B381" s="22" t="s">
        <v>244</v>
      </c>
    </row>
    <row r="382" spans="1:9" x14ac:dyDescent="0.2">
      <c r="A382" t="s">
        <v>14</v>
      </c>
      <c r="B382" t="s">
        <v>71</v>
      </c>
    </row>
    <row r="383" spans="1:9" x14ac:dyDescent="0.2">
      <c r="A383" t="s">
        <v>1</v>
      </c>
      <c r="B383" t="s">
        <v>77</v>
      </c>
    </row>
    <row r="384" spans="1:9" x14ac:dyDescent="0.2">
      <c r="A384" t="s">
        <v>8</v>
      </c>
      <c r="B384">
        <v>1</v>
      </c>
    </row>
    <row r="385" spans="1:9" x14ac:dyDescent="0.2">
      <c r="A385" t="s">
        <v>4</v>
      </c>
      <c r="B385" t="s">
        <v>5</v>
      </c>
    </row>
    <row r="386" spans="1:9" x14ac:dyDescent="0.2">
      <c r="A386" t="s">
        <v>239</v>
      </c>
      <c r="B386" t="s">
        <v>240</v>
      </c>
    </row>
    <row r="387" spans="1:9" x14ac:dyDescent="0.2">
      <c r="A387" s="2" t="s">
        <v>6</v>
      </c>
    </row>
    <row r="388" spans="1:9" x14ac:dyDescent="0.2">
      <c r="A388" s="2" t="s">
        <v>7</v>
      </c>
      <c r="B388" s="2" t="s">
        <v>2</v>
      </c>
      <c r="C388" s="2" t="s">
        <v>1</v>
      </c>
      <c r="D388" s="3" t="s">
        <v>8</v>
      </c>
      <c r="E388" s="2" t="s">
        <v>4</v>
      </c>
      <c r="F388" s="2" t="s">
        <v>13</v>
      </c>
      <c r="G388" s="2" t="s">
        <v>3</v>
      </c>
      <c r="H388" s="2" t="s">
        <v>9</v>
      </c>
      <c r="I388" s="2" t="s">
        <v>238</v>
      </c>
    </row>
    <row r="389" spans="1:9" x14ac:dyDescent="0.2">
      <c r="A389" t="str">
        <f>B379</f>
        <v>trimethyl gallium 99% pure production</v>
      </c>
      <c r="B389" t="str">
        <f>B381</f>
        <v>trimethyl gallium 99% pure</v>
      </c>
      <c r="C389" t="s">
        <v>77</v>
      </c>
      <c r="D389" s="1">
        <f>B384</f>
        <v>1</v>
      </c>
      <c r="E389" t="s">
        <v>5</v>
      </c>
      <c r="F389" t="s">
        <v>218</v>
      </c>
      <c r="G389" t="s">
        <v>10</v>
      </c>
    </row>
    <row r="390" spans="1:9" x14ac:dyDescent="0.2">
      <c r="A390" s="22" t="s">
        <v>263</v>
      </c>
      <c r="B390" s="22" t="s">
        <v>66</v>
      </c>
      <c r="C390" t="s">
        <v>77</v>
      </c>
      <c r="D390" s="24">
        <v>1.5760000000000001</v>
      </c>
      <c r="E390" t="s">
        <v>5</v>
      </c>
      <c r="F390" t="s">
        <v>218</v>
      </c>
      <c r="G390" t="s">
        <v>16</v>
      </c>
      <c r="I390" s="22"/>
    </row>
    <row r="391" spans="1:9" x14ac:dyDescent="0.2">
      <c r="A391" s="22" t="s">
        <v>260</v>
      </c>
      <c r="B391" s="22" t="s">
        <v>67</v>
      </c>
      <c r="C391" t="s">
        <v>77</v>
      </c>
      <c r="D391" s="24">
        <v>1.012</v>
      </c>
      <c r="E391" t="s">
        <v>5</v>
      </c>
      <c r="F391" t="s">
        <v>218</v>
      </c>
      <c r="G391" t="s">
        <v>16</v>
      </c>
      <c r="I391" s="22"/>
    </row>
    <row r="392" spans="1:9" x14ac:dyDescent="0.2">
      <c r="A392" s="22" t="s">
        <v>200</v>
      </c>
      <c r="B392" s="22" t="s">
        <v>198</v>
      </c>
      <c r="C392" t="s">
        <v>73</v>
      </c>
      <c r="D392" s="24">
        <v>0.8</v>
      </c>
      <c r="E392" t="s">
        <v>5</v>
      </c>
      <c r="F392" t="s">
        <v>21</v>
      </c>
      <c r="G392" t="s">
        <v>16</v>
      </c>
      <c r="I392" s="22" t="s">
        <v>199</v>
      </c>
    </row>
    <row r="393" spans="1:9" x14ac:dyDescent="0.2">
      <c r="A393" t="s">
        <v>120</v>
      </c>
      <c r="B393" t="s">
        <v>117</v>
      </c>
      <c r="C393" t="s">
        <v>119</v>
      </c>
      <c r="D393" s="24">
        <v>0.112</v>
      </c>
      <c r="E393" t="s">
        <v>15</v>
      </c>
      <c r="F393" t="s">
        <v>21</v>
      </c>
      <c r="G393" t="s">
        <v>16</v>
      </c>
    </row>
    <row r="394" spans="1:9" s="6" customFormat="1" x14ac:dyDescent="0.2">
      <c r="A394" s="22" t="s">
        <v>194</v>
      </c>
      <c r="B394" s="22" t="s">
        <v>192</v>
      </c>
      <c r="C394" t="s">
        <v>96</v>
      </c>
      <c r="D394" s="24">
        <v>-2.4</v>
      </c>
      <c r="E394" t="s">
        <v>5</v>
      </c>
      <c r="F394" t="s">
        <v>21</v>
      </c>
      <c r="G394" t="s">
        <v>16</v>
      </c>
      <c r="H394"/>
      <c r="I394" t="s">
        <v>193</v>
      </c>
    </row>
    <row r="396" spans="1:9" x14ac:dyDescent="0.2">
      <c r="A396" s="2" t="s">
        <v>0</v>
      </c>
      <c r="B396" s="20" t="s">
        <v>263</v>
      </c>
    </row>
    <row r="397" spans="1:9" x14ac:dyDescent="0.2">
      <c r="A397" t="s">
        <v>238</v>
      </c>
      <c r="B397" t="s">
        <v>245</v>
      </c>
    </row>
    <row r="398" spans="1:9" x14ac:dyDescent="0.2">
      <c r="A398" t="s">
        <v>2</v>
      </c>
      <c r="B398" s="8" t="s">
        <v>66</v>
      </c>
    </row>
    <row r="399" spans="1:9" x14ac:dyDescent="0.2">
      <c r="A399" t="s">
        <v>14</v>
      </c>
      <c r="B399" t="s">
        <v>72</v>
      </c>
    </row>
    <row r="400" spans="1:9" x14ac:dyDescent="0.2">
      <c r="A400" t="s">
        <v>1</v>
      </c>
      <c r="B400" t="s">
        <v>77</v>
      </c>
    </row>
    <row r="401" spans="1:9" x14ac:dyDescent="0.2">
      <c r="A401" t="s">
        <v>8</v>
      </c>
      <c r="B401">
        <v>1</v>
      </c>
    </row>
    <row r="402" spans="1:9" x14ac:dyDescent="0.2">
      <c r="A402" t="s">
        <v>4</v>
      </c>
      <c r="B402" t="s">
        <v>5</v>
      </c>
    </row>
    <row r="403" spans="1:9" x14ac:dyDescent="0.2">
      <c r="A403" t="s">
        <v>239</v>
      </c>
      <c r="B403" t="s">
        <v>240</v>
      </c>
    </row>
    <row r="404" spans="1:9" x14ac:dyDescent="0.2">
      <c r="A404" s="2" t="s">
        <v>6</v>
      </c>
    </row>
    <row r="405" spans="1:9" x14ac:dyDescent="0.2">
      <c r="A405" s="2" t="s">
        <v>7</v>
      </c>
      <c r="B405" s="2" t="s">
        <v>2</v>
      </c>
      <c r="C405" s="2" t="s">
        <v>1</v>
      </c>
      <c r="D405" s="3" t="s">
        <v>8</v>
      </c>
      <c r="E405" s="2" t="s">
        <v>4</v>
      </c>
      <c r="F405" s="2" t="s">
        <v>13</v>
      </c>
      <c r="G405" s="2" t="s">
        <v>3</v>
      </c>
      <c r="H405" s="2" t="s">
        <v>9</v>
      </c>
      <c r="I405" s="2" t="s">
        <v>238</v>
      </c>
    </row>
    <row r="406" spans="1:9" x14ac:dyDescent="0.2">
      <c r="A406" t="str">
        <f>B396</f>
        <v>gallium chloride production</v>
      </c>
      <c r="B406" t="str">
        <f>B398</f>
        <v>gallium chloride</v>
      </c>
      <c r="C406" t="s">
        <v>77</v>
      </c>
      <c r="D406" s="1">
        <f>B401</f>
        <v>1</v>
      </c>
      <c r="E406" t="s">
        <v>5</v>
      </c>
      <c r="F406" t="s">
        <v>218</v>
      </c>
      <c r="G406" t="s">
        <v>10</v>
      </c>
    </row>
    <row r="407" spans="1:9" x14ac:dyDescent="0.2">
      <c r="A407" s="8" t="s">
        <v>129</v>
      </c>
      <c r="B407" s="8" t="s">
        <v>130</v>
      </c>
      <c r="C407" t="s">
        <v>77</v>
      </c>
      <c r="D407" s="21">
        <v>0.39600000000000002</v>
      </c>
      <c r="E407" t="s">
        <v>5</v>
      </c>
      <c r="F407" t="s">
        <v>21</v>
      </c>
      <c r="G407" t="s">
        <v>16</v>
      </c>
      <c r="I407" s="9"/>
    </row>
    <row r="408" spans="1:9" x14ac:dyDescent="0.2">
      <c r="A408" s="8" t="s">
        <v>197</v>
      </c>
      <c r="B408" s="8" t="s">
        <v>195</v>
      </c>
      <c r="C408" t="s">
        <v>96</v>
      </c>
      <c r="D408" s="21">
        <v>0.60399999999999998</v>
      </c>
      <c r="E408" t="s">
        <v>5</v>
      </c>
      <c r="F408" t="s">
        <v>21</v>
      </c>
      <c r="G408" t="s">
        <v>16</v>
      </c>
      <c r="I408" s="9" t="s">
        <v>196</v>
      </c>
    </row>
    <row r="409" spans="1:9" x14ac:dyDescent="0.2">
      <c r="A409" t="s">
        <v>120</v>
      </c>
      <c r="B409" t="s">
        <v>117</v>
      </c>
      <c r="C409" t="s">
        <v>119</v>
      </c>
      <c r="D409" s="21">
        <v>0.28399999999999997</v>
      </c>
      <c r="E409" t="s">
        <v>15</v>
      </c>
      <c r="F409" t="s">
        <v>21</v>
      </c>
      <c r="G409" t="s">
        <v>16</v>
      </c>
      <c r="I409" s="9"/>
    </row>
    <row r="410" spans="1:9" x14ac:dyDescent="0.2">
      <c r="A410" s="8"/>
      <c r="B410" s="8"/>
      <c r="C410" s="21"/>
      <c r="D410" s="26"/>
      <c r="E410" s="8"/>
    </row>
    <row r="411" spans="1:9" x14ac:dyDescent="0.2">
      <c r="A411" s="2" t="s">
        <v>0</v>
      </c>
      <c r="B411" s="20" t="s">
        <v>272</v>
      </c>
    </row>
    <row r="412" spans="1:9" x14ac:dyDescent="0.2">
      <c r="A412" t="s">
        <v>238</v>
      </c>
      <c r="B412" t="inlineStr">
        <is>
          <t>APPROVED GaAs-Si MODULE ASSEMBLY COVERAGE, issue77,2026-10-18. Pallas et al.2020 DOI10.1007/s11367-020-01791-z, public SI S1,S4,S6: https://media.springernature.com/full/springer-static/esm/art%3A10.1007%2Fs11367-020-01791-z/MediaObjects/11367_2020_1791_MOESM1_ESM.docx . SI S1 states that nanowire transfer is followed by both Si-cell and module manufacture. Existing installation already supplies1m2 complete Si cells plus1m2 GaAs ELO afterissue76, but contains no glass/encapsulant/frame/module assembly. Add one1m2 assembly-only reference using the published-source-compatible architecture of the existing ecoinvent3.10 RER single-Si panel-production inventory, copied into this workbook as a scoped engineering adaptation. Copy every original non-cell technosphere ingredient, processing service, packaging, factory and existing waste exchange plus biosphere flows; exclude the single photovoltaic-cell market input so no second Si cell or wafer is purchased. Preserve existing separate mounting/electricalinstallation/inverter purchases. Important geometry assumption: retain original GaAs design1m2 active Si cell per1m2 nominal module/0.28kWp; native panel reference cell coverage is0.9324100017547607m2 per modulem2. This uses its per-module-area assembly burden, not a claim that its original frame/layout is a measured GaAs module. Active-area packing, module gaps and optical fill factor require design validation; do not silently change28% module power or lifetime electricity denominator. Retain source reference module glass/EVA/backsheet/AlMg3 frame/interconnections and manufacture burdens rather than adding only an aluminium filler. No change to native PV panels or existing2026PV reference design. Copied waste outputs stay in the original reference scope; no new GaAs nanowire-specific EOL recovery, treatment route or substitution credit is invented. Background3.10 suppliers are migrated by existing supported-version import logic. Exact prospective tandem encapsulation, reliability, assembly yield and nanolayer disposal remain gaps, not asserted solved by a silicon-module analogue. Source native process includes some legacy disposal assumptions; these are retained once and documented, not additional external recycling credits.
PREVIOUS NOTES (retained as history; the correction above takes precedence):
APPROVED GaAs SUBSTRATE REUSE BOUNDARY, issue76,2026-10-18. Pallas et al.2020 DOI10.1007/s11367-020-01791-z, public SI S1,S4,S6: https://media.springernature.com/full/springer-static/esm/art%3A10.1007%2Fs11367-020-01791-z/MediaObjects/11367_2020_1791_MOESM1_ESM.docx . Paper sections2.7-2.10 distinguish baseline100 uses of a625um substrate from recurring lithography, gold patterning, wet etching, MOVPE growth and lift-off/CMP. The installation formerly bought0.01m2 of the entire ELO chain: fresh gold, precursors, solvents, growth and lift-off were all divided by100. New attribution helper supplies the manufacturing burden of0.01m2 complete original GaAs substrate per1m2 processed area, with no circulating technosphere loop or negative substitution credit. Its input includes the original wafer-production cleanup/quality/packaging chain and its source yields; issue75 already corrects the active boule recipe. Coating buys1m2 of this attributed substrate reference; all downstream process areas stay1m2, and the installation now buys1m2 ELO output per1m2 Si cell. Retain baseline CMP after every ELO: source optimization with one CMP per10ELO is a separate scenario, not silently adopted. Preserve source fresh gold169mg/m2; the paper90% gold recovery is another optimization scenario and is not imposed here. Keep source reagent quantities and electricity per processed area, no100x substrate-manufacture penalty. Original100-use baseline is prospective, not proven commercial durability; sensitivity10,100,500 uses applies to substrate manufacture only. Initial/final re-polishing count differs by at mostone over100cycles; baseline uses per-cycle source processing, not an invented recovered-wafer product or full annual substrate replacement. Fragility/attrition and route-specific recovery are gaps. Operating electricity output/lifetime,0.28kWp identity, Si cell input and BOS remain unchanged. No runtime/YAML/native edits or primary-secondary-share changes.
PREVIOUS NOTES (retained as history; the correction above takes precedence):
Ex-ante LCA. Pallas et al. (2020) Ex ante life cycle assessment of GaAs/Si nanowire–based tandem solar cells: a benchmark for industrialization. The International Journal of Life Cycle Assessment, 25, 1767-1782. https://doi.org/10.1007/s11367-020-01791-z</t>
        </is>
      </c>
    </row>
    <row r="413" spans="1:9" x14ac:dyDescent="0.2">
      <c r="A413" t="s">
        <v>2</v>
      </c>
      <c r="B413" t="s">
        <v>220</v>
      </c>
    </row>
    <row r="414" spans="1:9" x14ac:dyDescent="0.2">
      <c r="A414" t="s">
        <v>14</v>
      </c>
      <c r="B414" t="s">
        <v>221</v>
      </c>
    </row>
    <row r="415" spans="1:9" x14ac:dyDescent="0.2">
      <c r="A415" t="s">
        <v>1</v>
      </c>
      <c r="B415" t="s">
        <v>77</v>
      </c>
    </row>
    <row r="416" spans="1:9" x14ac:dyDescent="0.2">
      <c r="A416" t="s">
        <v>8</v>
      </c>
      <c r="B416">
        <v>1</v>
      </c>
    </row>
    <row r="417" spans="1:9" x14ac:dyDescent="0.2">
      <c r="A417" t="s">
        <v>4</v>
      </c>
      <c r="B417" t="s">
        <v>4</v>
      </c>
    </row>
    <row r="418" spans="1:9" x14ac:dyDescent="0.2">
      <c r="A418" t="s">
        <v>239</v>
      </c>
      <c r="B418" t="s">
        <v>240</v>
      </c>
    </row>
    <row r="419" spans="1:9" x14ac:dyDescent="0.2">
      <c r="A419" s="2" t="s">
        <v>6</v>
      </c>
    </row>
    <row r="420" spans="1:9" x14ac:dyDescent="0.2">
      <c r="A420" s="2" t="s">
        <v>7</v>
      </c>
      <c r="B420" s="2" t="s">
        <v>2</v>
      </c>
      <c r="C420" s="2" t="s">
        <v>1</v>
      </c>
      <c r="D420" s="3" t="s">
        <v>8</v>
      </c>
      <c r="E420" s="2" t="s">
        <v>4</v>
      </c>
      <c r="F420" s="2" t="s">
        <v>13</v>
      </c>
      <c r="G420" s="2" t="s">
        <v>3</v>
      </c>
      <c r="H420" s="2" t="s">
        <v>9</v>
      </c>
      <c r="I420" s="2" t="s">
        <v>238</v>
      </c>
    </row>
    <row r="421" spans="1:9" x14ac:dyDescent="0.2">
      <c r="A421" t="str">
        <f>B411</f>
        <v>photovoltaic installation, 0.28kWp, GaAs</v>
      </c>
      <c r="B421" t="str">
        <f>B413</f>
        <v>photovoltaic installation, GaAs</v>
      </c>
      <c r="C421" t="s">
        <v>77</v>
      </c>
      <c r="D421" s="1">
        <f>B416</f>
        <v>1</v>
      </c>
      <c r="E421" t="str">
        <f>B417</f>
        <v>unit</v>
      </c>
      <c r="F421" t="s">
        <v>218</v>
      </c>
      <c r="G421" t="s">
        <v>10</v>
      </c>
      <c r="I421" t="s">
        <v>227</v>
      </c>
    </row>
    <row r="422" spans="1:9" x14ac:dyDescent="0.2">
      <c r="A422" t="s">
        <v>120</v>
      </c>
      <c r="B422" t="s">
        <v>117</v>
      </c>
      <c r="C422" t="s">
        <v>119</v>
      </c>
      <c r="D422" s="1">
        <f>0.23/21.429</f>
        <v>1.0733118670959916E-2</v>
      </c>
      <c r="E422" t="s">
        <v>15</v>
      </c>
      <c r="F422" t="s">
        <v>21</v>
      </c>
      <c r="G422" t="s">
        <v>16</v>
      </c>
    </row>
    <row r="423" spans="1:9" x14ac:dyDescent="0.2">
      <c r="A423" s="8" t="s">
        <v>223</v>
      </c>
      <c r="B423" s="8" t="s">
        <v>222</v>
      </c>
      <c r="C423" t="s">
        <v>77</v>
      </c>
      <c r="D423" s="1">
        <f>2.4*0.28/3</f>
        <v>0.224</v>
      </c>
      <c r="E423" t="s">
        <v>4</v>
      </c>
      <c r="F423" t="s">
        <v>21</v>
      </c>
      <c r="G423" t="s">
        <v>16</v>
      </c>
      <c r="I423" s="9" t="s">
        <v>226</v>
      </c>
    </row>
    <row r="424" spans="1:9" x14ac:dyDescent="0.2">
      <c r="A424" t="s">
        <v>229</v>
      </c>
      <c r="B424" t="s">
        <v>228</v>
      </c>
      <c r="C424" t="s">
        <v>77</v>
      </c>
      <c r="D424" s="1">
        <f>21.429/21.429</f>
        <v>1</v>
      </c>
      <c r="E424" t="s">
        <v>19</v>
      </c>
      <c r="F424" t="s">
        <v>21</v>
      </c>
      <c r="G424" t="s">
        <v>16</v>
      </c>
      <c r="I424" t="s">
        <v>285</v>
      </c>
    </row>
    <row r="425" spans="1:9" x14ac:dyDescent="0.2">
      <c r="A425" t="s">
        <v>225</v>
      </c>
      <c r="B425" t="s">
        <v>224</v>
      </c>
      <c r="C425" t="s">
        <v>77</v>
      </c>
      <c r="D425" s="1">
        <f>1/21.429</f>
        <v>4.6665733351999632E-2</v>
      </c>
      <c r="E425" t="s">
        <v>4</v>
      </c>
      <c r="F425" t="s">
        <v>21</v>
      </c>
      <c r="G425" t="s">
        <v>16</v>
      </c>
    </row>
    <row r="426" spans="1:9" x14ac:dyDescent="0.2">
      <c r="A426" s="8" t="s">
        <v>243</v>
      </c>
      <c r="B426" t="s">
        <v>33</v>
      </c>
      <c r="C426" t="s">
        <v>77</v>
      </c>
      <c r="D426" s="33">
        <f>1</f>
        <v>1</v>
      </c>
      <c r="E426" t="s">
        <v>19</v>
      </c>
      <c r="F426" t="s">
        <v>284</v>
      </c>
      <c r="G426" t="s">
        <v>16</v>
      </c>
      <c r="I426" s="28" t="s">
        <v>279</v>
      </c>
    </row>
    <row r="427" spans="1:9" x14ac:dyDescent="0.2">
      <c r="A427" t="s">
        <v>282</v>
      </c>
      <c r="B427" t="s">
        <v>283</v>
      </c>
      <c r="C427" t="s">
        <v>77</v>
      </c>
      <c r="D427" s="1">
        <v>1</v>
      </c>
      <c r="E427" t="s">
        <v>19</v>
      </c>
      <c r="F427" t="s">
        <v>21</v>
      </c>
      <c r="G427" t="s">
        <v>16</v>
      </c>
      <c r="I427" s="28"/>
    </row>
    <row r="428">
      <c r="A428" t="inlineStr">
        <is>
          <t>photovoltaic module assembly only, GaAs-Si tandem reference</t>
        </is>
      </c>
      <c r="B428" t="inlineStr">
        <is>
          <t>photovoltaic module assembly only, GaAs-Si tandem reference</t>
        </is>
      </c>
      <c r="C428" t="inlineStr">
        <is>
          <t>RER</t>
        </is>
      </c>
      <c r="D428">
        <v>1</v>
      </c>
      <c r="E428" t="inlineStr">
        <is>
          <t>square meter</t>
        </is>
      </c>
      <c r="G428" t="inlineStr">
        <is>
          <t>technosphere</t>
        </is>
      </c>
    </row>
    <row r="429" spans="1:9" x14ac:dyDescent="0.2">
      <c r="A429" s="2" t="s">
        <v>0</v>
      </c>
      <c r="B429" s="20" t="s">
        <v>271</v>
      </c>
    </row>
    <row r="430" spans="1:9" x14ac:dyDescent="0.2">
      <c r="A430" t="s">
        <v>238</v>
      </c>
      <c r="B430" t="s">
        <v>241</v>
      </c>
    </row>
    <row r="431" spans="1:9" x14ac:dyDescent="0.2">
      <c r="A431" t="s">
        <v>2</v>
      </c>
      <c r="B431" t="s">
        <v>271</v>
      </c>
    </row>
    <row r="432" spans="1:9" x14ac:dyDescent="0.2">
      <c r="A432" t="s">
        <v>14</v>
      </c>
      <c r="B432" t="s">
        <v>217</v>
      </c>
    </row>
    <row r="433" spans="1:13" x14ac:dyDescent="0.2">
      <c r="A433" t="s">
        <v>1</v>
      </c>
      <c r="B433" t="s">
        <v>77</v>
      </c>
    </row>
    <row r="434" spans="1:13" x14ac:dyDescent="0.2">
      <c r="A434" t="s">
        <v>8</v>
      </c>
      <c r="B434">
        <v>1</v>
      </c>
    </row>
    <row r="435" spans="1:13" x14ac:dyDescent="0.2">
      <c r="A435" t="s">
        <v>4</v>
      </c>
      <c r="B435" t="s">
        <v>15</v>
      </c>
    </row>
    <row r="436" spans="1:13" x14ac:dyDescent="0.2">
      <c r="A436" t="s">
        <v>239</v>
      </c>
      <c r="B436" t="s">
        <v>240</v>
      </c>
    </row>
    <row r="437" spans="1:13" x14ac:dyDescent="0.2">
      <c r="A437" s="2" t="s">
        <v>6</v>
      </c>
    </row>
    <row r="438" spans="1:13" x14ac:dyDescent="0.2">
      <c r="A438" s="2" t="s">
        <v>7</v>
      </c>
      <c r="B438" s="2" t="s">
        <v>2</v>
      </c>
      <c r="C438" s="2" t="s">
        <v>1</v>
      </c>
      <c r="D438" s="3" t="s">
        <v>8</v>
      </c>
      <c r="E438" s="2" t="s">
        <v>4</v>
      </c>
      <c r="F438" s="2" t="s">
        <v>13</v>
      </c>
      <c r="G438" s="2" t="s">
        <v>3</v>
      </c>
      <c r="H438" s="2" t="s">
        <v>9</v>
      </c>
      <c r="I438" s="2" t="s">
        <v>238</v>
      </c>
      <c r="J438" s="2" t="s">
        <v>274</v>
      </c>
      <c r="K438" s="2" t="s">
        <v>275</v>
      </c>
      <c r="L438" s="2" t="s">
        <v>276</v>
      </c>
      <c r="M438" s="2" t="s">
        <v>277</v>
      </c>
    </row>
    <row r="439" spans="1:13" x14ac:dyDescent="0.2">
      <c r="A439" t="str">
        <f>B429</f>
        <v xml:space="preserve">electricity production, photovoltaic, 0.28kWp, GaAs </v>
      </c>
      <c r="B439" t="str">
        <f>B431</f>
        <v xml:space="preserve">electricity production, photovoltaic, 0.28kWp, GaAs </v>
      </c>
      <c r="C439" t="s">
        <v>77</v>
      </c>
      <c r="D439" s="1">
        <f>B434</f>
        <v>1</v>
      </c>
      <c r="E439" t="s">
        <v>15</v>
      </c>
      <c r="F439" t="s">
        <v>218</v>
      </c>
      <c r="G439" t="s">
        <v>10</v>
      </c>
    </row>
    <row r="440" spans="1:13" x14ac:dyDescent="0.2">
      <c r="A440" s="8" t="s">
        <v>272</v>
      </c>
      <c r="B440" t="s">
        <v>220</v>
      </c>
      <c r="C440" t="s">
        <v>77</v>
      </c>
      <c r="D440" s="27">
        <f>1/0.28/1700/30/0.85</f>
        <v>8.2385895534684459E-5</v>
      </c>
      <c r="E440" s="6" t="s">
        <v>4</v>
      </c>
      <c r="F440" t="s">
        <v>218</v>
      </c>
      <c r="G440" t="s">
        <v>16</v>
      </c>
      <c r="I440" s="9" t="s">
        <v>280</v>
      </c>
      <c r="J440">
        <v>5</v>
      </c>
      <c r="K440" s="7">
        <f>D440</f>
        <v>8.2385895534684459E-5</v>
      </c>
      <c r="L440">
        <f>1/0.28/1700/40/0.85</f>
        <v>6.1789421651013341E-5</v>
      </c>
      <c r="M440" s="7">
        <f>1/0.28/1700/20/0.85</f>
        <v>1.2357884330202668E-4</v>
      </c>
    </row>
    <row r="441" spans="1:13" x14ac:dyDescent="0.2">
      <c r="A441" s="28" t="s">
        <v>235</v>
      </c>
      <c r="B441" s="28" t="s">
        <v>234</v>
      </c>
      <c r="C441" s="28" t="s">
        <v>81</v>
      </c>
      <c r="D441" s="29">
        <f>0.00579493511839/0.0000135395680336215*D440</f>
        <v>3.5261163288844939E-2</v>
      </c>
      <c r="E441" s="28" t="s">
        <v>5</v>
      </c>
      <c r="F441" s="28" t="s">
        <v>21</v>
      </c>
      <c r="G441" s="28" t="s">
        <v>16</v>
      </c>
      <c r="H441" s="28"/>
      <c r="I441" s="28" t="s">
        <v>233</v>
      </c>
    </row>
    <row r="442" spans="1:13" x14ac:dyDescent="0.2">
      <c r="A442" s="30" t="s">
        <v>236</v>
      </c>
      <c r="B442" s="28" t="s">
        <v>237</v>
      </c>
      <c r="C442" s="28" t="s">
        <v>81</v>
      </c>
      <c r="D442" s="31">
        <f>-0.00000579493511839/0.0000135395680336215*D440</f>
        <v>-3.5261163288844936E-5</v>
      </c>
      <c r="E442" s="28" t="s">
        <v>12</v>
      </c>
      <c r="F442" s="28" t="s">
        <v>21</v>
      </c>
      <c r="G442" s="28" t="s">
        <v>16</v>
      </c>
      <c r="H442" s="28"/>
      <c r="I442" s="32"/>
    </row>
    <row r="443" spans="1:13" x14ac:dyDescent="0.2">
      <c r="A443" s="28" t="s">
        <v>202</v>
      </c>
      <c r="B443" s="28"/>
      <c r="C443" s="28"/>
      <c r="D443" s="29">
        <f>0.0000008692402677585/0.0000135395680336215*D440</f>
        <v>5.2891744933267402E-6</v>
      </c>
      <c r="E443" s="28" t="s">
        <v>12</v>
      </c>
      <c r="F443" s="28" t="s">
        <v>11</v>
      </c>
      <c r="G443" s="28" t="s">
        <v>11</v>
      </c>
      <c r="H443" s="28" t="s">
        <v>85</v>
      </c>
      <c r="I443" s="28"/>
    </row>
    <row r="444" spans="1:13" x14ac:dyDescent="0.2">
      <c r="A444" s="30" t="s">
        <v>230</v>
      </c>
      <c r="B444" s="28"/>
      <c r="C444" s="28"/>
      <c r="D444" s="31">
        <v>3.8502999999999998</v>
      </c>
      <c r="E444" s="28" t="s">
        <v>232</v>
      </c>
      <c r="F444" s="28" t="s">
        <v>11</v>
      </c>
      <c r="G444" s="28" t="s">
        <v>11</v>
      </c>
      <c r="H444" s="28" t="s">
        <v>231</v>
      </c>
      <c r="I444" s="32"/>
    </row>
    <row r="447">
      <c r="A447" t="inlineStr">
        <is>
          <t>Activity</t>
        </is>
      </c>
      <c r="B447" t="inlineStr">
        <is>
          <t>polycrystalline GaAs boule, balanced engineering reference</t>
        </is>
      </c>
    </row>
    <row r="448">
      <c r="A448" t="inlineStr">
        <is>
          <t>location</t>
        </is>
      </c>
      <c r="B448" t="inlineStr">
        <is>
          <t>GLO</t>
        </is>
      </c>
    </row>
    <row r="449">
      <c r="A449" t="inlineStr">
        <is>
          <t>production amount</t>
        </is>
      </c>
      <c r="B449">
        <v>1</v>
      </c>
    </row>
    <row r="450">
      <c r="A450" t="inlineStr">
        <is>
          <t>reference product</t>
        </is>
      </c>
      <c r="B450" t="inlineStr">
        <is>
          <t>polycrystalline GaAs boule, balanced engineering reference</t>
        </is>
      </c>
    </row>
    <row r="451">
      <c r="A451" t="inlineStr">
        <is>
          <t>unit</t>
        </is>
      </c>
      <c r="B451" t="inlineStr">
        <is>
          <t>kilogram</t>
        </is>
      </c>
    </row>
    <row r="452">
      <c r="A452" t="inlineStr">
        <is>
          <t>source</t>
        </is>
      </c>
      <c r="B452" t="inlineStr">
        <is>
          <t>Pallas et al.2020 DOI10.1007/s11367-020-01791-z, public SI S1,S4,S6: https://media.springernature.com/full/springer-static/esm/art%3A10.1007%2Fs11367-020-01791-z/MediaObjects/11367_2020_1791_MOESM1_ESM.docx .</t>
        </is>
      </c>
    </row>
    <row r="453">
      <c r="A453" t="inlineStr">
        <is>
          <t>comment</t>
        </is>
      </c>
      <c r="B453" t="inlineStr">
        <is>
          <t>APPROVED PYROLYTIC BORON NITRIDE CRUCIBLE SUPPLY, issue112,2026-10-18. 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 pBN=BN,notB4C:boronmassfraction=0.4355885078776645 ratherthan0.7826102694973847. ReplaceonlyactivebalancedpolycrystallineGaAsandsinglecrystalgrowthcrucibleinputs atsame.01kg/kg boule withfinishedpBNreference. Oldlegacyunbalancedbouleprovider remainsavailablebutunusedbyactivecrystalgrowth;doNOTdoublecorrectitsunrelatedGaAsfeed. Preserve.01kgcrucibleEOLineachgrowthstage;changingceramicsupplierdoesnotaddanothercrucibleEOL. Existinggenericundergroundhazardoustreatment isfateproxy,notnewrecoverycredit.
 CVDreference50%boronprecursordepositionutilization and95%finishedsolidretention,notindustrialmeasurements;NH3:BCl3molarratio4frompatentexample. Grossprecursorfeedper1grossBN:2BCl3+8NH3. OneBCl3 reactswithoneNH3 -&gt;BN+3HCl;otherBCl3 hydrolyzeswith3H2O -&gt;H3BO3+3HCl. SixremainingNH3 neutralizes6HCl -&gt;6NH4Cl;oneextraNH3 isneutralizedwith.5H2SO4 -&gt;.5(NH4)2SO4. Net2BCl3+8NH3+3H2O+.5H2SO4 -&gt;BN+H3BO3+6NH4Cl+.5(NH4)2SO4. Atomandmassbalanced;Bdeposited50%,finishedBN95%ofdepositedsolid. AllunretainedB/N/Clcapturedaswetbrineis100%collectionREFERENCE,notmeasuredabatementefficiency;actualfugitiveNH3/HClrequiresdata. Testboronutilization10-90%,retention90-100%,gasratio2-5 andcapture95-100%withrecalculatedchemistry/fates,notindependentquantitymultipliers.
 Select25kWfurnace*20h/2kgfinishedbatch=250kWh/kgpBN,explicitengineeringutilitynotpatentmeasuredpower. Test100-1000kWh/kg;finishedbatchmassanddepositionareaareassumed,notrecoveredcommercialplantdata. Retainnonconsumedgraphitemandrelas2kgtool/kgperbatch with100productiveuses=.02kgfreshtool/kgpBN andequalspenttoolmass;reuse10-500uses sensitivity. Mandrelgeometry/roughnessandpuritynotvalidated. Scrub100kgwashwater/kgpBNplusstoichiometrichydrolysiswater;assumebrinedensity1100kg/m3,test1000-1250. Capturedbrineboricacid,NH4Cl,andammoniumsulfatecompositionexplicitbelow. Genericindustrial-averageWWT isUNVALIDATEDforhighsalinity/boron/ammonia;itrepresentscollection/treatmentdemand,notprovenremovalefficiencyorcorrectliquidelementemissions. No fictitiousmetalsrecoveryorhalidesubstitutioncredits.
 BuildmissingBCl3viaB2O3+3C+3Cl2-&gt;2BCl3+3CO.100%stoichiometricconversionand1kWh+3MJ/kgBCl3areengineeringlower-boundprecursorsupplyreferences;semiconductorgradepurification,reagentexcess,phosgenepurificationandplantyieldunknown. COplacedasstoichiometricairoutputinthisreference;actualthermaloxidation/abatementmustbesensitivityreviewed,notclaimedmeasuredindustrialemissions. Boricoxideandgraphitesuppliersarefeed-gradeproxies. No silentlypurchasedbulkBNpowderandclaimCVDmanufacture. Existingworkbookonly;no runtime/native/primarysecondarychanges.
PREVIOUS NOTES (retained as history; the correction above takes precedence):
APPROVED GaAs BOULE MATERIAL BALANCE, issue75,2026-10-18. Pallas et al.2020 DOI10.1007/s11367-020-01791-z, public SI S1,S4,S6: https://media.springernature.com/full/springer-static/esm/art%3A10.1007%2Fs11367-020-01791-z/MediaObjects/11367_2020_1791_MOESM1_ESM.docx . SI S6 outputs 1kg GaAs from0.236kg Ga and0.516kg As: only0.752kg feed, excluding the B4C process crucible. The problem is present in the published supplement, not simply an import typo. Attempts to recover Smith2018 original thesis https://repository.rit.edu/theses/9877/ returned HTTP403 for the full text; the original author batch calculation is not independently verified. Use a distinct balanced engineering reference, not a falsely claimed verbatim source correction. GaAs has one Ga and one As atom; atomic masses69.723 and74.921595 give retained fractions0.4820297640572052 and0.5179702359427949. Adopt95% overall boule-material retention as an explicit assumption, test90-100%; feed both7N elements at their retained fraction/0.95. Treat the corresponding1/0.95-1kg GaAs process loss with the existing hazardous underground-deposit proxy, not a recycling credit. Preserve source50kWh/kg process electricity,0.01kg B4C crucible and its paired0.01kg disposal. Existing upstream7N refining and downstream crystal-growth/wafer-sawing losses remain separate, not removed or charged twice. Route the active single-crystal producer to this new provider at its existing1.08kg/kg dose. Old provider identity remains available and is marked as a legacy unbalanced source recipe. Actual industrial yield, Ga/As-specific volatilization, recovery, purity and exhaust treatment are not established; underground disposal is a mixed-hazardous-waste fate proxy. No native database, runtime or YAML edits, and no primary-secondary-share claim.</t>
        </is>
      </c>
    </row>
    <row r="454">
      <c r="A454" t="inlineStr">
        <is>
          <t>Exchanges</t>
        </is>
      </c>
    </row>
    <row r="455">
      <c r="A455" t="inlineStr">
        <is>
          <t>name</t>
        </is>
      </c>
      <c r="B455" t="inlineStr">
        <is>
          <t>amount</t>
        </is>
      </c>
      <c r="C455" t="inlineStr">
        <is>
          <t>location</t>
        </is>
      </c>
      <c r="D455" t="inlineStr">
        <is>
          <t>unit</t>
        </is>
      </c>
      <c r="E455" t="inlineStr">
        <is>
          <t>categories</t>
        </is>
      </c>
      <c r="F455" t="inlineStr">
        <is>
          <t>type</t>
        </is>
      </c>
      <c r="G455" t="inlineStr">
        <is>
          <t>reference product</t>
        </is>
      </c>
      <c r="H455" t="inlineStr">
        <is>
          <t>comment</t>
        </is>
      </c>
      <c r="I455" t="inlineStr">
        <is>
          <t>product</t>
        </is>
      </c>
    </row>
    <row r="456">
      <c r="A456" t="inlineStr">
        <is>
          <t>polycrystalline GaAs boule, balanced engineering reference</t>
        </is>
      </c>
      <c r="B456">
        <v>1</v>
      </c>
      <c r="C456" t="inlineStr">
        <is>
          <t>GLO</t>
        </is>
      </c>
      <c r="D456" t="inlineStr">
        <is>
          <t>kilogram</t>
        </is>
      </c>
      <c r="F456" t="inlineStr">
        <is>
          <t>production</t>
        </is>
      </c>
      <c r="G456" t="inlineStr">
        <is>
          <t>polycrystalline GaAs boule, balanced engineering reference</t>
        </is>
      </c>
      <c r="H456" t="inlineStr">
        <is>
          <t>APPROVED PYROLYTIC BORON NITRIDE CRUCIBLE SUPPLY, issue112,2026-10-18. 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 pBN=BN,notB4C:boronmassfraction=0.4355885078776645 ratherthan0.7826102694973847. ReplaceonlyactivebalancedpolycrystallineGaAsandsinglecrystalgrowthcrucibleinputs atsame.01kg/kg boule withfinishedpBNreference. Oldlegacyunbalancedbouleprovider remainsavailablebutunusedbyactivecrystalgrowth;doNOTdoublecorrectitsunrelatedGaAsfeed. Preserve.01kgcrucibleEOLineachgrowthstage;changingceramicsupplierdoesnotaddanothercrucibleEOL. Existinggenericundergroundhazardoustreatment isfateproxy,notnewrecoverycredit.
 CVDreference50%boronprecursordepositionutilization and95%finishedsolidretention,notindustrialmeasurements;NH3:BCl3molarratio4frompatentexample. Grossprecursorfeedper1grossBN:2BCl3+8NH3. OneBCl3 reactswithoneNH3 -&gt;BN+3HCl;otherBCl3 hydrolyzeswith3H2O -&gt;H3BO3+3HCl. SixremainingNH3 neutralizes6HCl -&gt;6NH4Cl;oneextraNH3 isneutralizedwith.5H2SO4 -&gt;.5(NH4)2SO4. Net2BCl3+8NH3+3H2O+.5H2SO4 -&gt;BN+H3BO3+6NH4Cl+.5(NH4)2SO4. Atomandmassbalanced;Bdeposited50%,finishedBN95%ofdepositedsolid. AllunretainedB/N/Clcapturedaswetbrineis100%collectionREFERENCE,notmeasuredabatementefficiency;actualfugitiveNH3/HClrequiresdata. Testboronutilization10-90%,retention90-100%,gasratio2-5 andcapture95-100%withrecalculatedchemistry/fates,notindependentquantitymultipliers.
 Select25kWfurnace*20h/2kgfinishedbatch=250kWh/kgpBN,explicitengineeringutilitynotpatentmeasuredpower. Test100-1000kWh/kg;finishedbatchmassanddepositionareaareassumed,notrecoveredcommercialplantdata. Retainnonconsumedgraphitemandrelas2kgtool/kgperbatch with100productiveuses=.02kgfreshtool/kgpBN andequalspenttoolmass;reuse10-500uses sensitivity. Mandrelgeometry/roughnessandpuritynotvalidated. Scrub100kgwashwater/kgpBNplusstoichiometrichydrolysiswater;assumebrinedensity1100kg/m3,test1000-1250. Capturedbrineboricacid,NH4Cl,andammoniumsulfatecompositionexplicitbelow. Genericindustrial-averageWWT isUNVALIDATEDforhighsalinity/boron/ammonia;itrepresentscollection/treatmentdemand,notprovenremovalefficiencyorcorrectliquidelementemissions. No fictitiousmetalsrecoveryorhalidesubstitutioncredits.
 BuildmissingBCl3viaB2O3+3C+3Cl2-&gt;2BCl3+3CO.100%stoichiometricconversionand1kWh+3MJ/kgBCl3areengineeringlower-boundprecursorsupplyreferences;semiconductorgradepurification,reagentexcess,phosgenepurificationandplantyieldunknown. COplacedasstoichiometricairoutputinthisreference;actualthermaloxidation/abatementmustbesensitivityreviewed,notclaimedmeasuredindustrialemissions. Boricoxideandgraphitesuppliersarefeed-gradeproxies. No silentlypurchasedbulkBNpowderandclaimCVDmanufacture. Existingworkbookonly;no runtime/native/primarysecondarychanges.</t>
        </is>
      </c>
      <c r="I456" t="inlineStr">
        <is>
          <t>polycrystalline GaAs boule, balanced engineering reference</t>
        </is>
      </c>
    </row>
    <row r="457">
      <c r="A457" t="inlineStr">
        <is>
          <t>7N gallium production</t>
        </is>
      </c>
      <c r="B457">
        <v>0.5073997516391634</v>
      </c>
      <c r="C457" t="inlineStr">
        <is>
          <t>GLO</t>
        </is>
      </c>
      <c r="D457" t="inlineStr">
        <is>
          <t>kilogram</t>
        </is>
      </c>
      <c r="F457" t="inlineStr">
        <is>
          <t>technosphere</t>
        </is>
      </c>
      <c r="G457" t="inlineStr">
        <is>
          <t>7N Gallium</t>
        </is>
      </c>
      <c r="I457" t="inlineStr">
        <is>
          <t>7N Gallium</t>
        </is>
      </c>
    </row>
    <row r="458">
      <c r="A458" t="inlineStr">
        <is>
          <t>7N arsenic production</t>
        </is>
      </c>
      <c r="B458">
        <v>0.5452318273082052</v>
      </c>
      <c r="C458" t="inlineStr">
        <is>
          <t>GLO</t>
        </is>
      </c>
      <c r="D458" t="inlineStr">
        <is>
          <t>kilogram</t>
        </is>
      </c>
      <c r="F458" t="inlineStr">
        <is>
          <t>technosphere</t>
        </is>
      </c>
      <c r="G458" t="inlineStr">
        <is>
          <t>7N Arsenic</t>
        </is>
      </c>
      <c r="I458" t="inlineStr">
        <is>
          <t>7N Arsenic</t>
        </is>
      </c>
    </row>
    <row r="459">
      <c r="A459" t="inlineStr">
        <is>
          <t>pyrolytic boron nitride crucible, CVD engineering reference</t>
        </is>
      </c>
      <c r="B459">
        <v>0.01</v>
      </c>
      <c r="C459" t="inlineStr">
        <is>
          <t>GLO</t>
        </is>
      </c>
      <c r="D459" t="inlineStr">
        <is>
          <t>kilogram</t>
        </is>
      </c>
      <c r="F459" t="inlineStr">
        <is>
          <t>technosphere</t>
        </is>
      </c>
      <c r="G459" t="inlineStr">
        <is>
          <t>pyrolytic boron nitride crucible, CVD engineering reference</t>
        </is>
      </c>
      <c r="H459" t="inlineStr">
        <is>
          <t>APPROVED PYROLYTIC BORON NITRIDE CRUCIBLE SUPPLY, issue112,2026-10-18. 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 pBN=BN,notB4C:boronmassfraction=0.4355885078776645 ratherthan0.7826102694973847. ReplaceonlyactivebalancedpolycrystallineGaAsandsinglecrystalgrowthcrucibleinputs atsame.01kg/kg boule withfinishedpBNreference. Oldlegacyunbalancedbouleprovider remainsavailablebutunusedbyactivecrystalgrowth;doNOTdoublecorrectitsunrelatedGaAsfeed. Preserve.01kgcrucibleEOLineachgrowthstage;changingceramicsupplierdoesnotaddanothercrucibleEOL. Existinggenericundergroundhazardoustreatment isfateproxy,notnewrecoverycredit.
 CVDreference50%boronprecursordepositionutilization and95%finishedsolidretention,notindustrialmeasurements;NH3:BCl3molarratio4frompatentexample. Grossprecursorfeedper1grossBN:2BCl3+8NH3. OneBCl3 reactswithoneNH3 -&gt;BN+3HCl;otherBCl3 hydrolyzeswith3H2O -&gt;H3BO3+3HCl. SixremainingNH3 neutralizes6HCl -&gt;6NH4Cl;oneextraNH3 isneutralizedwith.5H2SO4 -&gt;.5(NH4)2SO4. Net2BCl3+8NH3+3H2O+.5H2SO4 -&gt;BN+H3BO3+6NH4Cl+.5(NH4)2SO4. Atomandmassbalanced;Bdeposited50%,finishedBN95%ofdepositedsolid. AllunretainedB/N/Clcapturedaswetbrineis100%collectionREFERENCE,notmeasuredabatementefficiency;actualfugitiveNH3/HClrequiresdata. Testboronutilization10-90%,retention90-100%,gasratio2-5 andcapture95-100%withrecalculatedchemistry/fates,notindependentquantitymultipliers.
 Select25kWfurnace*20h/2kgfinishedbatch=250kWh/kgpBN,explicitengineeringutilitynotpatentmeasuredpower. Test100-1000kWh/kg;finishedbatchmassanddepositionareaareassumed,notrecoveredcommercialplantdata. Retainnonconsumedgraphitemandrelas2kgtool/kgperbatch with100productiveuses=.02kgfreshtool/kgpBN andequalspenttoolmass;reuse10-500uses sensitivity. Mandrelgeometry/roughnessandpuritynotvalidated. Scrub100kgwashwater/kgpBNplusstoichiometrichydrolysiswater;assumebrinedensity1100kg/m3,test1000-1250. Capturedbrineboricacid,NH4Cl,andammoniumsulfatecompositionexplicitbelow. Genericindustrial-averageWWT isUNVALIDATEDforhighsalinity/boron/ammonia;itrepresentscollection/treatmentdemand,notprovenremovalefficiencyorcorrectliquidelementemissions. No fictitiousmetalsrecoveryorhalidesubstitutioncredits.
 BuildmissingBCl3viaB2O3+3C+3Cl2-&gt;2BCl3+3CO.100%stoichiometricconversionand1kWh+3MJ/kgBCl3areengineeringlower-boundprecursorsupplyreferences;semiconductorgradepurification,reagentexcess,phosgenepurificationandplantyieldunknown. COplacedasstoichiometricairoutputinthisreference;actualthermaloxidation/abatementmustbesensitivityreviewed,notclaimedmeasuredindustrialemissions. Boricoxideandgraphitesuppliersarefeed-gradeproxies. No silentlypurchasedbulkBNpowderandclaimCVDmanufacture. Existingworkbookonly;no runtime/native/primarysecondarychanges.</t>
        </is>
      </c>
      <c r="I459" t="inlineStr">
        <is>
          <t>pyrolytic boron nitride crucible, CVD engineering reference</t>
        </is>
      </c>
    </row>
    <row r="460">
      <c r="A460" t="inlineStr">
        <is>
          <t>market group for electricity, low voltage</t>
        </is>
      </c>
      <c r="B460">
        <v>50</v>
      </c>
      <c r="C460" t="inlineStr">
        <is>
          <t>UCTE</t>
        </is>
      </c>
      <c r="D460" t="inlineStr">
        <is>
          <t>kilowatt hour</t>
        </is>
      </c>
      <c r="F460" t="inlineStr">
        <is>
          <t>technosphere</t>
        </is>
      </c>
      <c r="G460" t="inlineStr">
        <is>
          <t>electricity, low voltage</t>
        </is>
      </c>
      <c r="I460" t="inlineStr">
        <is>
          <t>electricity, low voltage</t>
        </is>
      </c>
    </row>
    <row r="461">
      <c r="A461" t="inlineStr">
        <is>
          <t>treatment of hazardous waste, underground deposit</t>
        </is>
      </c>
      <c r="B461">
        <v>-0.01</v>
      </c>
      <c r="C461" t="inlineStr">
        <is>
          <t>RoW</t>
        </is>
      </c>
      <c r="D461" t="inlineStr">
        <is>
          <t>kilogram</t>
        </is>
      </c>
      <c r="F461" t="inlineStr">
        <is>
          <t>technosphere</t>
        </is>
      </c>
      <c r="G461" t="inlineStr">
        <is>
          <t>hazardous waste, for underground deposit</t>
        </is>
      </c>
      <c r="I461" t="inlineStr">
        <is>
          <t>hazardous waste, for underground deposit</t>
        </is>
      </c>
    </row>
    <row r="462">
      <c r="A462" t="inlineStr">
        <is>
          <t>treatment of hazardous waste, underground deposit</t>
        </is>
      </c>
      <c r="B462">
        <v>-0.05263157894736836</v>
      </c>
      <c r="C462" t="inlineStr">
        <is>
          <t>RoW</t>
        </is>
      </c>
      <c r="D462" t="inlineStr">
        <is>
          <t>kilogram</t>
        </is>
      </c>
      <c r="F462" t="inlineStr">
        <is>
          <t>technosphere</t>
        </is>
      </c>
      <c r="G462" t="inlineStr">
        <is>
          <t>hazardous waste, for underground deposit</t>
        </is>
      </c>
      <c r="I462" t="inlineStr">
        <is>
          <t>hazardous waste, for underground deposit</t>
        </is>
      </c>
    </row>
    <row r="465">
      <c r="A465" t="inlineStr">
        <is>
          <t>Activity</t>
        </is>
      </c>
      <c r="B465" t="inlineStr">
        <is>
          <t>GaAs substrate manufacture, 100-use attribution reference</t>
        </is>
      </c>
    </row>
    <row r="466">
      <c r="A466" t="inlineStr">
        <is>
          <t>location</t>
        </is>
      </c>
      <c r="B466" t="inlineStr">
        <is>
          <t>GLO</t>
        </is>
      </c>
    </row>
    <row r="467">
      <c r="A467" t="inlineStr">
        <is>
          <t>production amount</t>
        </is>
      </c>
      <c r="B467">
        <v>1</v>
      </c>
    </row>
    <row r="468">
      <c r="A468" t="inlineStr">
        <is>
          <t>reference product</t>
        </is>
      </c>
      <c r="B468" t="inlineStr">
        <is>
          <t>GaAs substrate manufacture, 100-use attribution reference</t>
        </is>
      </c>
    </row>
    <row r="469">
      <c r="A469" t="inlineStr">
        <is>
          <t>unit</t>
        </is>
      </c>
      <c r="B469" t="inlineStr">
        <is>
          <t>square meter</t>
        </is>
      </c>
    </row>
    <row r="470">
      <c r="A470" t="inlineStr">
        <is>
          <t>source</t>
        </is>
      </c>
      <c r="B470" t="inlineStr">
        <is>
          <t>Pallas et al.2020 DOI10.1007/s11367-020-01791-z, public SI S1,S4,S6: https://media.springernature.com/full/springer-static/esm/art%3A10.1007%2Fs11367-020-01791-z/MediaObjects/11367_2020_1791_MOESM1_ESM.docx .</t>
        </is>
      </c>
    </row>
    <row r="471">
      <c r="A471" t="inlineStr">
        <is>
          <t>comment</t>
        </is>
      </c>
      <c r="B471" t="inlineStr">
        <is>
          <t>APPROVED GaAs SUBSTRATE REUSE BOUNDARY, issue76,2026-10-18. Pallas et al.2020 DOI10.1007/s11367-020-01791-z, public SI S1,S4,S6: https://media.springernature.com/full/springer-static/esm/art%3A10.1007%2Fs11367-020-01791-z/MediaObjects/11367_2020_1791_MOESM1_ESM.docx . Paper sections2.7-2.10 distinguish baseline100 uses of a625um substrate from recurring lithography, gold patterning, wet etching, MOVPE growth and lift-off/CMP. The installation formerly bought0.01m2 of the entire ELO chain: fresh gold, precursors, solvents, growth and lift-off were all divided by100. New attribution helper supplies the manufacturing burden of0.01m2 complete original GaAs substrate per1m2 processed area, with no circulating technosphere loop or negative substitution credit. Its input includes the original wafer-production cleanup/quality/packaging chain and its source yields; issue75 already corrects the active boule recipe. Coating buys1m2 of this attributed substrate reference; all downstream process areas stay1m2, and the installation now buys1m2 ELO output per1m2 Si cell. Retain baseline CMP after every ELO: source optimization with one CMP per10ELO is a separate scenario, not silently adopted. Preserve source fresh gold169mg/m2; the paper90% gold recovery is another optimization scenario and is not imposed here. Keep source reagent quantities and electricity per processed area, no100x substrate-manufacture penalty. Original100-use baseline is prospective, not proven commercial durability; sensitivity10,100,500 uses applies to substrate manufacture only. Initial/final re-polishing count differs by at mostone over100cycles; baseline uses per-cycle source processing, not an invented recovered-wafer product or full annual substrate replacement. Fragility/attrition and route-specific recovery are gaps. Operating electricity output/lifetime,0.28kWp identity, Si cell input and BOS remain unchanged. No runtime/YAML/native edits or primary-secondary-share changes.</t>
        </is>
      </c>
    </row>
    <row r="472">
      <c r="A472" t="inlineStr">
        <is>
          <t>Exchanges</t>
        </is>
      </c>
    </row>
    <row r="473">
      <c r="A473" t="inlineStr">
        <is>
          <t>name</t>
        </is>
      </c>
      <c r="B473" t="inlineStr">
        <is>
          <t>amount</t>
        </is>
      </c>
      <c r="C473" t="inlineStr">
        <is>
          <t>location</t>
        </is>
      </c>
      <c r="D473" t="inlineStr">
        <is>
          <t>unit</t>
        </is>
      </c>
      <c r="E473" t="inlineStr">
        <is>
          <t>categories</t>
        </is>
      </c>
      <c r="F473" t="inlineStr">
        <is>
          <t>type</t>
        </is>
      </c>
      <c r="G473" t="inlineStr">
        <is>
          <t>reference product</t>
        </is>
      </c>
      <c r="H473" t="inlineStr">
        <is>
          <t>comment</t>
        </is>
      </c>
      <c r="I473" t="inlineStr">
        <is>
          <t>product</t>
        </is>
      </c>
    </row>
    <row r="474">
      <c r="A474" t="inlineStr">
        <is>
          <t>GaAs substrate manufacture, 100-use attribution reference</t>
        </is>
      </c>
      <c r="B474">
        <v>1</v>
      </c>
      <c r="C474" t="inlineStr">
        <is>
          <t>GLO</t>
        </is>
      </c>
      <c r="D474" t="inlineStr">
        <is>
          <t>square meter</t>
        </is>
      </c>
      <c r="F474" t="inlineStr">
        <is>
          <t>production</t>
        </is>
      </c>
      <c r="G474" t="inlineStr">
        <is>
          <t>GaAs substrate manufacture, 100-use attribution reference</t>
        </is>
      </c>
      <c r="I474" t="inlineStr">
        <is>
          <t>GaAs substrate manufacture, 100-use attribution reference</t>
        </is>
      </c>
    </row>
    <row r="475">
      <c r="A475" t="inlineStr">
        <is>
          <t>GaAs wafer production - cleaning, quality control, packing</t>
        </is>
      </c>
      <c r="B475">
        <v>0.01</v>
      </c>
      <c r="C475" t="inlineStr">
        <is>
          <t>GLO</t>
        </is>
      </c>
      <c r="D475" t="inlineStr">
        <is>
          <t>square meter</t>
        </is>
      </c>
      <c r="F475" t="inlineStr">
        <is>
          <t>technosphere</t>
        </is>
      </c>
      <c r="G475" t="inlineStr">
        <is>
          <t xml:space="preserve">GaAs wafer </t>
        </is>
      </c>
      <c r="I475" t="inlineStr">
        <is>
          <t xml:space="preserve">GaAs wafer </t>
        </is>
      </c>
    </row>
    <row r="478">
      <c r="A478" t="inlineStr">
        <is>
          <t>Activity</t>
        </is>
      </c>
      <c r="B478" t="inlineStr">
        <is>
          <t>photovoltaic module assembly only, GaAs-Si tandem reference</t>
        </is>
      </c>
    </row>
    <row r="479">
      <c r="A479" t="inlineStr">
        <is>
          <t>location</t>
        </is>
      </c>
      <c r="B479" t="inlineStr">
        <is>
          <t>RER</t>
        </is>
      </c>
    </row>
    <row r="480">
      <c r="A480" t="inlineStr">
        <is>
          <t>production amount</t>
        </is>
      </c>
      <c r="B480">
        <v>1</v>
      </c>
    </row>
    <row r="481">
      <c r="A481" t="inlineStr">
        <is>
          <t>reference product</t>
        </is>
      </c>
      <c r="B481" t="inlineStr">
        <is>
          <t>photovoltaic module assembly only, GaAs-Si tandem reference</t>
        </is>
      </c>
    </row>
    <row r="482">
      <c r="A482" t="inlineStr">
        <is>
          <t>unit</t>
        </is>
      </c>
      <c r="B482" t="inlineStr">
        <is>
          <t>square meter</t>
        </is>
      </c>
    </row>
    <row r="483">
      <c r="A483" t="inlineStr">
        <is>
          <t>source</t>
        </is>
      </c>
      <c r="B483" t="inlineStr">
        <is>
          <t>Pallas et al.2020 DOI10.1007/s11367-020-01791-z, public SI S1,S4,S6: https://media.springernature.com/full/springer-static/esm/art%3A10.1007%2Fs11367-020-01791-z/MediaObjects/11367_2020_1791_MOESM1_ESM.docx .</t>
        </is>
      </c>
    </row>
    <row r="484">
      <c r="A484" t="inlineStr">
        <is>
          <t>comment</t>
        </is>
      </c>
      <c r="B484" t="inlineStr">
        <is>
          <t>APPROVED GaAs-Si MODULE ASSEMBLY COVERAGE, issue77,2026-10-18. Pallas et al.2020 DOI10.1007/s11367-020-01791-z, public SI S1,S4,S6: https://media.springernature.com/full/springer-static/esm/art%3A10.1007%2Fs11367-020-01791-z/MediaObjects/11367_2020_1791_MOESM1_ESM.docx . SI S1 states that nanowire transfer is followed by both Si-cell and module manufacture. Existing installation already supplies1m2 complete Si cells plus1m2 GaAs ELO afterissue76, but contains no glass/encapsulant/frame/module assembly. Add one1m2 assembly-only reference using the published-source-compatible architecture of the existing ecoinvent3.10 RER single-Si panel-production inventory, copied into this workbook as a scoped engineering adaptation. Copy every original non-cell technosphere ingredient, processing service, packaging, factory and existing waste exchange plus biosphere flows; exclude the single photovoltaic-cell market input so no second Si cell or wafer is purchased. Preserve existing separate mounting/electricalinstallation/inverter purchases. Important geometry assumption: retain original GaAs design1m2 active Si cell per1m2 nominal module/0.28kWp; native panel reference cell coverage is0.9324100017547607m2 per modulem2. This uses its per-module-area assembly burden, not a claim that its original frame/layout is a measured GaAs module. Active-area packing, module gaps and optical fill factor require design validation; do not silently change28% module power or lifetime electricity denominator. Retain source reference module glass/EVA/backsheet/AlMg3 frame/interconnections and manufacture burdens rather than adding only an aluminium filler. No change to native PV panels or existing2026PV reference design. Copied waste outputs stay in the original reference scope; no new GaAs nanowire-specific EOL recovery, treatment route or substitution credit is invented. Background3.10 suppliers are migrated by existing supported-version import logic. Exact prospective tandem encapsulation, reliability, assembly yield and nanolayer disposal remain gaps, not asserted solved by a silicon-module analogue. Source native process includes some legacy disposal assumptions; these are retained once and documented, not additional external recycling credits.</t>
        </is>
      </c>
    </row>
    <row r="485">
      <c r="A485" t="inlineStr">
        <is>
          <t>Exchanges</t>
        </is>
      </c>
    </row>
    <row r="486">
      <c r="A486" t="inlineStr">
        <is>
          <t>name</t>
        </is>
      </c>
      <c r="B486" t="inlineStr">
        <is>
          <t>amount</t>
        </is>
      </c>
      <c r="C486" t="inlineStr">
        <is>
          <t>location</t>
        </is>
      </c>
      <c r="D486" t="inlineStr">
        <is>
          <t>unit</t>
        </is>
      </c>
      <c r="E486" t="inlineStr">
        <is>
          <t>categories</t>
        </is>
      </c>
      <c r="F486" t="inlineStr">
        <is>
          <t>type</t>
        </is>
      </c>
      <c r="G486" t="inlineStr">
        <is>
          <t>reference product</t>
        </is>
      </c>
      <c r="H486" t="inlineStr">
        <is>
          <t>comment</t>
        </is>
      </c>
      <c r="I486" t="inlineStr">
        <is>
          <t>product</t>
        </is>
      </c>
    </row>
    <row r="487">
      <c r="A487" t="inlineStr">
        <is>
          <t>photovoltaic module assembly only, GaAs-Si tandem reference</t>
        </is>
      </c>
      <c r="B487">
        <v>1</v>
      </c>
      <c r="C487" t="inlineStr">
        <is>
          <t>RER</t>
        </is>
      </c>
      <c r="D487" t="inlineStr">
        <is>
          <t>square meter</t>
        </is>
      </c>
      <c r="F487" t="inlineStr">
        <is>
          <t>production</t>
        </is>
      </c>
      <c r="G487" t="inlineStr">
        <is>
          <t>photovoltaic module assembly only, GaAs-Si tandem reference</t>
        </is>
      </c>
      <c r="I487" t="inlineStr">
        <is>
          <t>photovoltaic module assembly only, GaAs-Si tandem reference</t>
        </is>
      </c>
    </row>
    <row r="488">
      <c r="A488" t="inlineStr">
        <is>
          <t>market for 1-propanol</t>
        </is>
      </c>
      <c r="B488">
        <v>0.008138599805533886</v>
      </c>
      <c r="C488" t="inlineStr">
        <is>
          <t>GLO</t>
        </is>
      </c>
      <c r="D488" t="inlineStr">
        <is>
          <t>kilogram</t>
        </is>
      </c>
      <c r="F488" t="inlineStr">
        <is>
          <t>technosphere</t>
        </is>
      </c>
      <c r="G488" t="inlineStr">
        <is>
          <t>1-propanol</t>
        </is>
      </c>
      <c r="I488" t="inlineStr">
        <is>
          <t>1-propanol</t>
        </is>
      </c>
    </row>
    <row r="489">
      <c r="A489" t="inlineStr">
        <is>
          <t>market for acetone, liquid</t>
        </is>
      </c>
      <c r="B489">
        <v>0.01295899972319603</v>
      </c>
      <c r="C489" t="inlineStr">
        <is>
          <t>RER</t>
        </is>
      </c>
      <c r="D489" t="inlineStr">
        <is>
          <t>kilogram</t>
        </is>
      </c>
      <c r="F489" t="inlineStr">
        <is>
          <t>technosphere</t>
        </is>
      </c>
      <c r="G489" t="inlineStr">
        <is>
          <t>acetone, liquid</t>
        </is>
      </c>
      <c r="I489" t="inlineStr">
        <is>
          <t>acetone, liquid</t>
        </is>
      </c>
    </row>
    <row r="490">
      <c r="A490" t="inlineStr">
        <is>
          <t>market for aluminium alloy, AlMg3</t>
        </is>
      </c>
      <c r="B490">
        <v>2.6294000148773193</v>
      </c>
      <c r="C490" t="inlineStr">
        <is>
          <t>GLO</t>
        </is>
      </c>
      <c r="D490" t="inlineStr">
        <is>
          <t>kilogram</t>
        </is>
      </c>
      <c r="F490" t="inlineStr">
        <is>
          <t>technosphere</t>
        </is>
      </c>
      <c r="G490" t="inlineStr">
        <is>
          <t>aluminium alloy, AlMg3</t>
        </is>
      </c>
      <c r="I490" t="inlineStr">
        <is>
          <t>aluminium alloy, AlMg3</t>
        </is>
      </c>
    </row>
    <row r="491">
      <c r="A491" t="inlineStr">
        <is>
          <t>market for brazing solder, cadmium free</t>
        </is>
      </c>
      <c r="B491">
        <v>0.008764700032770634</v>
      </c>
      <c r="C491" t="inlineStr">
        <is>
          <t>GLO</t>
        </is>
      </c>
      <c r="D491" t="inlineStr">
        <is>
          <t>kilogram</t>
        </is>
      </c>
      <c r="F491" t="inlineStr">
        <is>
          <t>technosphere</t>
        </is>
      </c>
      <c r="G491" t="inlineStr">
        <is>
          <t>brazing solder, cadmium free</t>
        </is>
      </c>
      <c r="I491" t="inlineStr">
        <is>
          <t>brazing solder, cadmium free</t>
        </is>
      </c>
    </row>
    <row r="492">
      <c r="A492" t="inlineStr">
        <is>
          <t>market for copper, cathode</t>
        </is>
      </c>
      <c r="B492">
        <v>0.11269000172615051</v>
      </c>
      <c r="C492" t="inlineStr">
        <is>
          <t>GLO</t>
        </is>
      </c>
      <c r="D492" t="inlineStr">
        <is>
          <t>kilogram</t>
        </is>
      </c>
      <c r="F492" t="inlineStr">
        <is>
          <t>technosphere</t>
        </is>
      </c>
      <c r="G492" t="inlineStr">
        <is>
          <t>copper, cathode</t>
        </is>
      </c>
      <c r="I492" t="inlineStr">
        <is>
          <t>copper, cathode</t>
        </is>
      </c>
    </row>
    <row r="493">
      <c r="A493" t="inlineStr">
        <is>
          <t>market for corrugated board box</t>
        </is>
      </c>
      <c r="B493">
        <v>1.0956000089645386</v>
      </c>
      <c r="C493" t="inlineStr">
        <is>
          <t>RER</t>
        </is>
      </c>
      <c r="D493" t="inlineStr">
        <is>
          <t>kilogram</t>
        </is>
      </c>
      <c r="F493" t="inlineStr">
        <is>
          <t>technosphere</t>
        </is>
      </c>
      <c r="G493" t="inlineStr">
        <is>
          <t>corrugated board box</t>
        </is>
      </c>
      <c r="I493" t="inlineStr">
        <is>
          <t>corrugated board box</t>
        </is>
      </c>
    </row>
    <row r="494">
      <c r="A494" t="inlineStr">
        <is>
          <t>market group for electricity, medium voltage</t>
        </is>
      </c>
      <c r="B494">
        <v>4.710700035095215</v>
      </c>
      <c r="C494" t="inlineStr">
        <is>
          <t>RER</t>
        </is>
      </c>
      <c r="D494" t="inlineStr">
        <is>
          <t>kilowatt hour</t>
        </is>
      </c>
      <c r="F494" t="inlineStr">
        <is>
          <t>technosphere</t>
        </is>
      </c>
      <c r="G494" t="inlineStr">
        <is>
          <t>electricity, medium voltage</t>
        </is>
      </c>
      <c r="I494" t="inlineStr">
        <is>
          <t>electricity, medium voltage</t>
        </is>
      </c>
    </row>
    <row r="495">
      <c r="A495" t="inlineStr">
        <is>
          <t>market for ethylvinylacetate, foil</t>
        </is>
      </c>
      <c r="B495">
        <v>1.0017000436782837</v>
      </c>
      <c r="C495" t="inlineStr">
        <is>
          <t>GLO</t>
        </is>
      </c>
      <c r="D495" t="inlineStr">
        <is>
          <t>kilogram</t>
        </is>
      </c>
      <c r="F495" t="inlineStr">
        <is>
          <t>technosphere</t>
        </is>
      </c>
      <c r="G495" t="inlineStr">
        <is>
          <t>ethylvinylacetate, foil</t>
        </is>
      </c>
      <c r="I495" t="inlineStr">
        <is>
          <t>ethylvinylacetate, foil</t>
        </is>
      </c>
    </row>
    <row r="496">
      <c r="A496" t="inlineStr">
        <is>
          <t>market for glass fibre reinforced plastic, polyamide, injection moulded</t>
        </is>
      </c>
      <c r="B496">
        <v>0.1878100037574768</v>
      </c>
      <c r="C496" t="inlineStr">
        <is>
          <t>GLO</t>
        </is>
      </c>
      <c r="D496" t="inlineStr">
        <is>
          <t>kilogram</t>
        </is>
      </c>
      <c r="F496" t="inlineStr">
        <is>
          <t>technosphere</t>
        </is>
      </c>
      <c r="G496" t="inlineStr">
        <is>
          <t>glass fibre reinforced plastic, polyamide, injection moulded</t>
        </is>
      </c>
      <c r="I496" t="inlineStr">
        <is>
          <t>glass fibre reinforced plastic, polyamide, injection moulded</t>
        </is>
      </c>
    </row>
    <row r="497">
      <c r="A497" t="inlineStr">
        <is>
          <t>market group for heat, district or industrial, natural gas</t>
        </is>
      </c>
      <c r="B497">
        <v>4.866390228271484</v>
      </c>
      <c r="C497" t="inlineStr">
        <is>
          <t>RER</t>
        </is>
      </c>
      <c r="D497" t="inlineStr">
        <is>
          <t>megajoule</t>
        </is>
      </c>
      <c r="F497" t="inlineStr">
        <is>
          <t>technosphere</t>
        </is>
      </c>
      <c r="G497" t="inlineStr">
        <is>
          <t>heat, district or industrial, natural gas</t>
        </is>
      </c>
      <c r="I497" t="inlineStr">
        <is>
          <t>heat, district or industrial, natural gas</t>
        </is>
      </c>
    </row>
    <row r="498">
      <c r="A498" t="inlineStr">
        <is>
          <t>market for lubricating oil</t>
        </is>
      </c>
      <c r="B498">
        <v>0.0016069000121206045</v>
      </c>
      <c r="C498" t="inlineStr">
        <is>
          <t>RER</t>
        </is>
      </c>
      <c r="D498" t="inlineStr">
        <is>
          <t>kilogram</t>
        </is>
      </c>
      <c r="F498" t="inlineStr">
        <is>
          <t>technosphere</t>
        </is>
      </c>
      <c r="G498" t="inlineStr">
        <is>
          <t>lubricating oil</t>
        </is>
      </c>
      <c r="I498" t="inlineStr">
        <is>
          <t>lubricating oil</t>
        </is>
      </c>
    </row>
    <row r="499">
      <c r="A499" t="inlineStr">
        <is>
          <t>market for methanol</t>
        </is>
      </c>
      <c r="B499">
        <v>0.0021556001156568527</v>
      </c>
      <c r="C499" t="inlineStr">
        <is>
          <t>RER</t>
        </is>
      </c>
      <c r="D499" t="inlineStr">
        <is>
          <t>kilogram</t>
        </is>
      </c>
      <c r="F499" t="inlineStr">
        <is>
          <t>technosphere</t>
        </is>
      </c>
      <c r="G499" t="inlineStr">
        <is>
          <t>methanol</t>
        </is>
      </c>
      <c r="I499" t="inlineStr">
        <is>
          <t>methanol</t>
        </is>
      </c>
    </row>
    <row r="500">
      <c r="A500" t="inlineStr">
        <is>
          <t>market group for municipal solid waste</t>
        </is>
      </c>
      <c r="B500">
        <v>-0.029999999329447746</v>
      </c>
      <c r="C500" t="inlineStr">
        <is>
          <t>RER</t>
        </is>
      </c>
      <c r="D500" t="inlineStr">
        <is>
          <t>kilogram</t>
        </is>
      </c>
      <c r="F500" t="inlineStr">
        <is>
          <t>technosphere</t>
        </is>
      </c>
      <c r="G500" t="inlineStr">
        <is>
          <t>municipal solid waste</t>
        </is>
      </c>
      <c r="I500" t="inlineStr">
        <is>
          <t>municipal solid waste</t>
        </is>
      </c>
    </row>
    <row r="501">
      <c r="A501" t="inlineStr">
        <is>
          <t>market for nickel, class 1</t>
        </is>
      </c>
      <c r="B501">
        <v>0.00016276999667752534</v>
      </c>
      <c r="C501" t="inlineStr">
        <is>
          <t>GLO</t>
        </is>
      </c>
      <c r="D501" t="inlineStr">
        <is>
          <t>kilogram</t>
        </is>
      </c>
      <c r="F501" t="inlineStr">
        <is>
          <t>technosphere</t>
        </is>
      </c>
      <c r="G501" t="inlineStr">
        <is>
          <t>nickel, class 1</t>
        </is>
      </c>
      <c r="I501" t="inlineStr">
        <is>
          <t>nickel, class 1</t>
        </is>
      </c>
    </row>
    <row r="502">
      <c r="A502" t="inlineStr">
        <is>
          <t>market for photovoltaic panel factory</t>
        </is>
      </c>
      <c r="B502">
        <v>3.999999989900971e-06</v>
      </c>
      <c r="C502" t="inlineStr">
        <is>
          <t>GLO</t>
        </is>
      </c>
      <c r="D502" t="inlineStr">
        <is>
          <t>unit</t>
        </is>
      </c>
      <c r="F502" t="inlineStr">
        <is>
          <t>technosphere</t>
        </is>
      </c>
      <c r="G502" t="inlineStr">
        <is>
          <t>photovoltaic panel factory</t>
        </is>
      </c>
      <c r="I502" t="inlineStr">
        <is>
          <t>photovoltaic panel factory</t>
        </is>
      </c>
    </row>
    <row r="503">
      <c r="A503" t="inlineStr">
        <is>
          <t>market for polyethylene terephthalate, granulate, amorphous</t>
        </is>
      </c>
      <c r="B503">
        <v>0.37297001481056213</v>
      </c>
      <c r="C503" t="inlineStr">
        <is>
          <t>GLO</t>
        </is>
      </c>
      <c r="D503" t="inlineStr">
        <is>
          <t>kilogram</t>
        </is>
      </c>
      <c r="F503" t="inlineStr">
        <is>
          <t>technosphere</t>
        </is>
      </c>
      <c r="G503" t="inlineStr">
        <is>
          <t>polyethylene terephthalate, granulate, amorphous</t>
        </is>
      </c>
      <c r="I503" t="inlineStr">
        <is>
          <t>polyethylene terephthalate, granulate, amorphous</t>
        </is>
      </c>
    </row>
    <row r="504">
      <c r="A504" t="inlineStr">
        <is>
          <t>market for polyvinylfluoride, film</t>
        </is>
      </c>
      <c r="B504">
        <v>0.1103999987244606</v>
      </c>
      <c r="C504" t="inlineStr">
        <is>
          <t>GLO</t>
        </is>
      </c>
      <c r="D504" t="inlineStr">
        <is>
          <t>kilogram</t>
        </is>
      </c>
      <c r="F504" t="inlineStr">
        <is>
          <t>technosphere</t>
        </is>
      </c>
      <c r="G504" t="inlineStr">
        <is>
          <t>polyvinylfluoride, film</t>
        </is>
      </c>
      <c r="I504" t="inlineStr">
        <is>
          <t>polyvinylfluoride, film</t>
        </is>
      </c>
    </row>
    <row r="505">
      <c r="A505" t="inlineStr">
        <is>
          <t>market for silicone product</t>
        </is>
      </c>
      <c r="B505">
        <v>0.12195000052452087</v>
      </c>
      <c r="C505" t="inlineStr">
        <is>
          <t>RER</t>
        </is>
      </c>
      <c r="D505" t="inlineStr">
        <is>
          <t>kilogram</t>
        </is>
      </c>
      <c r="F505" t="inlineStr">
        <is>
          <t>technosphere</t>
        </is>
      </c>
      <c r="G505" t="inlineStr">
        <is>
          <t>silicone product</t>
        </is>
      </c>
      <c r="I505" t="inlineStr">
        <is>
          <t>silicone product</t>
        </is>
      </c>
    </row>
    <row r="506">
      <c r="A506" t="inlineStr">
        <is>
          <t>market for solar glass, low-iron</t>
        </is>
      </c>
      <c r="B506">
        <v>10.079000473022461</v>
      </c>
      <c r="C506" t="inlineStr">
        <is>
          <t>GLO</t>
        </is>
      </c>
      <c r="D506" t="inlineStr">
        <is>
          <t>kilogram</t>
        </is>
      </c>
      <c r="F506" t="inlineStr">
        <is>
          <t>technosphere</t>
        </is>
      </c>
      <c r="G506" t="inlineStr">
        <is>
          <t>solar glass, low-iron</t>
        </is>
      </c>
      <c r="I506" t="inlineStr">
        <is>
          <t>solar glass, low-iron</t>
        </is>
      </c>
    </row>
    <row r="507">
      <c r="A507" t="inlineStr">
        <is>
          <t>market group for tap water</t>
        </is>
      </c>
      <c r="B507">
        <v>21.285999298095703</v>
      </c>
      <c r="C507" t="inlineStr">
        <is>
          <t>RER</t>
        </is>
      </c>
      <c r="D507" t="inlineStr">
        <is>
          <t>kilogram</t>
        </is>
      </c>
      <c r="F507" t="inlineStr">
        <is>
          <t>technosphere</t>
        </is>
      </c>
      <c r="G507" t="inlineStr">
        <is>
          <t>tap water</t>
        </is>
      </c>
      <c r="I507" t="inlineStr">
        <is>
          <t>tap water</t>
        </is>
      </c>
    </row>
    <row r="508">
      <c r="A508" t="inlineStr">
        <is>
          <t>tempering, flat glass</t>
        </is>
      </c>
      <c r="B508">
        <v>10.079000473022461</v>
      </c>
      <c r="C508" t="inlineStr">
        <is>
          <t>RER</t>
        </is>
      </c>
      <c r="D508" t="inlineStr">
        <is>
          <t>kilogram</t>
        </is>
      </c>
      <c r="F508" t="inlineStr">
        <is>
          <t>technosphere</t>
        </is>
      </c>
      <c r="G508" t="inlineStr">
        <is>
          <t>tempering, flat glass</t>
        </is>
      </c>
      <c r="I508" t="inlineStr">
        <is>
          <t>tempering, flat glass</t>
        </is>
      </c>
    </row>
    <row r="509">
      <c r="A509" t="inlineStr">
        <is>
          <t>market for vinyl acetate</t>
        </is>
      </c>
      <c r="B509">
        <v>0.0016434000572189689</v>
      </c>
      <c r="C509" t="inlineStr">
        <is>
          <t>GLO</t>
        </is>
      </c>
      <c r="D509" t="inlineStr">
        <is>
          <t>kilogram</t>
        </is>
      </c>
      <c r="F509" t="inlineStr">
        <is>
          <t>technosphere</t>
        </is>
      </c>
      <c r="G509" t="inlineStr">
        <is>
          <t>vinyl acetate</t>
        </is>
      </c>
      <c r="I509" t="inlineStr">
        <is>
          <t>vinyl acetate</t>
        </is>
      </c>
    </row>
    <row r="510">
      <c r="A510" t="inlineStr">
        <is>
          <t>market for waste mineral oil</t>
        </is>
      </c>
      <c r="B510">
        <v>-0.0015680805081501603</v>
      </c>
      <c r="C510" t="inlineStr">
        <is>
          <t>Europe without Switzerland</t>
        </is>
      </c>
      <c r="D510" t="inlineStr">
        <is>
          <t>kilogram</t>
        </is>
      </c>
      <c r="F510" t="inlineStr">
        <is>
          <t>technosphere</t>
        </is>
      </c>
      <c r="G510" t="inlineStr">
        <is>
          <t>waste mineral oil</t>
        </is>
      </c>
      <c r="I510" t="inlineStr">
        <is>
          <t>waste mineral oil</t>
        </is>
      </c>
    </row>
    <row r="511">
      <c r="A511" t="inlineStr">
        <is>
          <t>market for waste mineral oil</t>
        </is>
      </c>
      <c r="B511">
        <v>-3.8819438486825675e-05</v>
      </c>
      <c r="C511" t="inlineStr">
        <is>
          <t>CH</t>
        </is>
      </c>
      <c r="D511" t="inlineStr">
        <is>
          <t>kilogram</t>
        </is>
      </c>
      <c r="F511" t="inlineStr">
        <is>
          <t>technosphere</t>
        </is>
      </c>
      <c r="G511" t="inlineStr">
        <is>
          <t>waste mineral oil</t>
        </is>
      </c>
      <c r="I511" t="inlineStr">
        <is>
          <t>waste mineral oil</t>
        </is>
      </c>
    </row>
    <row r="512">
      <c r="A512" t="inlineStr">
        <is>
          <t>market group for waste plastic, mixture</t>
        </is>
      </c>
      <c r="B512">
        <v>-1.6861000061035156</v>
      </c>
      <c r="C512" t="inlineStr">
        <is>
          <t>RER</t>
        </is>
      </c>
      <c r="D512" t="inlineStr">
        <is>
          <t>kilogram</t>
        </is>
      </c>
      <c r="F512" t="inlineStr">
        <is>
          <t>technosphere</t>
        </is>
      </c>
      <c r="G512" t="inlineStr">
        <is>
          <t>waste plastic, mixture</t>
        </is>
      </c>
      <c r="I512" t="inlineStr">
        <is>
          <t>waste plastic, mixture</t>
        </is>
      </c>
    </row>
    <row r="513">
      <c r="A513" t="inlineStr">
        <is>
          <t>market for waste polyvinylfluoride</t>
        </is>
      </c>
      <c r="B513">
        <v>-0.1103999987244606</v>
      </c>
      <c r="C513" t="inlineStr">
        <is>
          <t>CH</t>
        </is>
      </c>
      <c r="D513" t="inlineStr">
        <is>
          <t>kilogram</t>
        </is>
      </c>
      <c r="F513" t="inlineStr">
        <is>
          <t>technosphere</t>
        </is>
      </c>
      <c r="G513" t="inlineStr">
        <is>
          <t>waste polyvinylfluoride</t>
        </is>
      </c>
      <c r="I513" t="inlineStr">
        <is>
          <t>waste polyvinylfluoride</t>
        </is>
      </c>
    </row>
    <row r="514">
      <c r="A514" t="inlineStr">
        <is>
          <t>market for wastewater, average</t>
        </is>
      </c>
      <c r="B514">
        <v>-0.020764166489243507</v>
      </c>
      <c r="C514" t="inlineStr">
        <is>
          <t>Europe without Switzerland</t>
        </is>
      </c>
      <c r="D514" t="inlineStr">
        <is>
          <t>cubic meter</t>
        </is>
      </c>
      <c r="F514" t="inlineStr">
        <is>
          <t>technosphere</t>
        </is>
      </c>
      <c r="G514" t="inlineStr">
        <is>
          <t>wastewater, average</t>
        </is>
      </c>
      <c r="I514" t="inlineStr">
        <is>
          <t>wastewater, average</t>
        </is>
      </c>
    </row>
    <row r="515">
      <c r="A515" t="inlineStr">
        <is>
          <t>market for wastewater, average</t>
        </is>
      </c>
      <c r="B515">
        <v>-0.0005218342412263155</v>
      </c>
      <c r="C515" t="inlineStr">
        <is>
          <t>CH</t>
        </is>
      </c>
      <c r="D515" t="inlineStr">
        <is>
          <t>cubic meter</t>
        </is>
      </c>
      <c r="F515" t="inlineStr">
        <is>
          <t>technosphere</t>
        </is>
      </c>
      <c r="G515" t="inlineStr">
        <is>
          <t>wastewater, average</t>
        </is>
      </c>
      <c r="I515" t="inlineStr">
        <is>
          <t>wastewater, average</t>
        </is>
      </c>
    </row>
    <row r="516">
      <c r="A516" t="inlineStr">
        <is>
          <t>wire drawing, copper</t>
        </is>
      </c>
      <c r="B516">
        <v>0.11269000172615051</v>
      </c>
      <c r="C516" t="inlineStr">
        <is>
          <t>RER</t>
        </is>
      </c>
      <c r="D516" t="inlineStr">
        <is>
          <t>kilogram</t>
        </is>
      </c>
      <c r="F516" t="inlineStr">
        <is>
          <t>technosphere</t>
        </is>
      </c>
      <c r="G516" t="inlineStr">
        <is>
          <t>wire drawing, copper</t>
        </is>
      </c>
      <c r="I516" t="inlineStr">
        <is>
          <t>wire drawing, copper</t>
        </is>
      </c>
    </row>
    <row r="517">
      <c r="A517" t="inlineStr">
        <is>
          <t>Water</t>
        </is>
      </c>
      <c r="B517">
        <v>0.0031928999815136194</v>
      </c>
      <c r="D517" t="inlineStr">
        <is>
          <t>cubic meter</t>
        </is>
      </c>
      <c r="E517" t="inlineStr">
        <is>
          <t>air</t>
        </is>
      </c>
      <c r="F517" t="inlineStr">
        <is>
          <t>biosphere</t>
        </is>
      </c>
      <c r="H517" t="inlineStr">
        <is>
          <t/>
        </is>
      </c>
    </row>
    <row r="520">
      <c r="A520" t="inlineStr">
        <is>
          <t>Activity</t>
        </is>
      </c>
      <c r="B520" t="inlineStr">
        <is>
          <t>hydrogen bromide, elemental synthesis engineering reference</t>
        </is>
      </c>
    </row>
    <row r="521">
      <c r="A521" t="inlineStr">
        <is>
          <t>location</t>
        </is>
      </c>
      <c r="B521" t="inlineStr">
        <is>
          <t>GLO</t>
        </is>
      </c>
    </row>
    <row r="522">
      <c r="A522" t="inlineStr">
        <is>
          <t>production amount</t>
        </is>
      </c>
      <c r="B522">
        <v>1</v>
      </c>
    </row>
    <row r="523">
      <c r="A523" t="inlineStr">
        <is>
          <t>reference product</t>
        </is>
      </c>
      <c r="B523" t="inlineStr">
        <is>
          <t>hydrogen bromide, elemental synthesis engineering reference</t>
        </is>
      </c>
    </row>
    <row r="524">
      <c r="A524" t="inlineStr">
        <is>
          <t>unit</t>
        </is>
      </c>
      <c r="B524" t="inlineStr">
        <is>
          <t>kilogram</t>
        </is>
      </c>
    </row>
    <row r="525">
      <c r="A525" t="inlineStr">
        <is>
          <t>source</t>
        </is>
      </c>
      <c r="B525" t="inlineStr">
        <is>
          <t>Pallas2020 SI S4 identifies diethylzinc8.5e-6kg/m2 MOVPE. CN100408584C Example1:600gZn,250mLEtI,250mLEtBr,10gCuI; reported trialyieldabout85%,not a measured semiconductorplant inventory. https://patents.google.com/patent/CN100408584C/en .</t>
        </is>
      </c>
    </row>
    <row r="526">
      <c r="A526" t="inlineStr">
        <is>
          <t>comment</t>
        </is>
      </c>
      <c r="B526" t="inlineStr">
        <is>
          <t>APPROVED DIETHYLZINC IDENTITY AND Zn FEED, issue83,2026-10-18. Pallas2020 SI S4 identifies diethylzinc8.5e-6kg/m2 MOVPE. CN100408584C Example1:600gZn,250mLEtI,250mLEtBr,10gCuI; reported trialyieldabout85%,not a measured semiconductorplant inventory. https://patents.google.com/patent/CN100408584C/en . Replace onlyMOVPEgenericorganicchemical8.5mg/m2 by the same mass of an explicitZn(C2H5)2 reference; retainedZn fraction=0.529375566783262. Do not add elementalZn on top of a complete DEZ supplier. Use the patentdirectZn/ethylhalide route as a namedengineeringvariant,not a claim of the actualPallas chemicalvendor. Convert250mL eachEtBr/EtI with explicitlyassumed20C densities1.46/1.94kg/L;sourcebatch0.365kgEtBr+0.485kgEtI+0.600kgZn+0.010kgCuI. IsolatednewDEZ=0.3390440898698082kg perbatch at85% of halide-limitedtheoreticalyield; patent doesnot report that exactkgoutput or allresiduefates.30gDEZinitiator is treatedasclosedcirculatingseed,not counted bothasnewoutput andnewfreshinput;initialseedstock/startup-loss allocation is a gap.95%versus85%yield sensitivity mustnot silentlychangeoldper-m2dosage. Use1kWh/kg productmanufacture as explicitheating,distillation/coolingallowance,plus0.05kgN2/kgproduct and0.01kgH2/kgproduct purge references;actualpurityupgrade,powderactivation,purgeflow,leaks andutilities remainunmeasured. NativeZnmarket is a bulkrefinedsupplyproxy,not certified6Npowder;semiconductor-gradepurification gap remains. No assumedclosedloopZn-saltorCuIrecovery; matchall grossZn/ethylhalide/CuImass notretainedin1kg producttoexistingmixedhazardouswasteprovider with no metalcredit. MixedresiduecontainsZn/halides/Cu andunreactedmaterial;separateelementfates areunresolved. Buildmissingethylhalides via balancedEtOH+HX-&gt;EtX+H2O precursorreferences,withHX fromH2+halogen andCuIfromCu+I;these are explicit100%stoichiometric precursorconversionreferences,not measuredindustrialyields. Their1kWh/kgHX/CuI and0.5kWh/kgEtX processingallowances andwastewaterwateroutflow are engineeringproxies. Testprecursoryields90-100%;do not claim industrialrecipe closure because elementalbalances close. UsepetrochemicalethanolRER,realBr/I/Cu/H2feeds,not genericorganicchemical as missingZn substitute. Preserve sourceoperatingnanowirearea afterissue76 andallotherMOVPEinputs. Highpuritymetal,saltrecycling,pyrophoricreagent losses andactualcarrier-solvent grade requirefuturedata. No native,runtime,YAML or primary-secondaryshare edits.</t>
        </is>
      </c>
    </row>
    <row r="527">
      <c r="A527" t="inlineStr">
        <is>
          <t>Exchanges</t>
        </is>
      </c>
    </row>
    <row r="528">
      <c r="A528" t="inlineStr">
        <is>
          <t>name</t>
        </is>
      </c>
      <c r="B528" t="inlineStr">
        <is>
          <t>amount</t>
        </is>
      </c>
      <c r="C528" t="inlineStr">
        <is>
          <t>location</t>
        </is>
      </c>
      <c r="D528" t="inlineStr">
        <is>
          <t>unit</t>
        </is>
      </c>
      <c r="E528" t="inlineStr">
        <is>
          <t>categories</t>
        </is>
      </c>
      <c r="F528" t="inlineStr">
        <is>
          <t>type</t>
        </is>
      </c>
      <c r="G528" t="inlineStr">
        <is>
          <t>reference product</t>
        </is>
      </c>
      <c r="H528" t="inlineStr">
        <is>
          <t>comment</t>
        </is>
      </c>
      <c r="I528" t="inlineStr">
        <is>
          <t>product</t>
        </is>
      </c>
    </row>
    <row r="529">
      <c r="A529" t="inlineStr">
        <is>
          <t>hydrogen bromide, elemental synthesis engineering reference</t>
        </is>
      </c>
      <c r="B529">
        <v>1</v>
      </c>
      <c r="C529" t="inlineStr">
        <is>
          <t>GLO</t>
        </is>
      </c>
      <c r="D529" t="inlineStr">
        <is>
          <t>kilogram</t>
        </is>
      </c>
      <c r="F529" t="inlineStr">
        <is>
          <t>production</t>
        </is>
      </c>
      <c r="G529" t="inlineStr">
        <is>
          <t>hydrogen bromide, elemental synthesis engineering reference</t>
        </is>
      </c>
      <c r="I529" t="inlineStr">
        <is>
          <t>hydrogen bromide, elemental synthesis engineering reference</t>
        </is>
      </c>
    </row>
    <row r="530">
      <c r="A530" t="inlineStr">
        <is>
          <t>market for hydrogen, gaseous, low pressure</t>
        </is>
      </c>
      <c r="B530">
        <v>0.012457979038955904</v>
      </c>
      <c r="C530" t="inlineStr">
        <is>
          <t>RER</t>
        </is>
      </c>
      <c r="D530" t="inlineStr">
        <is>
          <t>kilogram</t>
        </is>
      </c>
      <c r="F530" t="inlineStr">
        <is>
          <t>technosphere</t>
        </is>
      </c>
      <c r="G530" t="inlineStr">
        <is>
          <t>hydrogen, gaseous, low pressure</t>
        </is>
      </c>
      <c r="I530" t="inlineStr">
        <is>
          <t>hydrogen, gaseous, low pressure</t>
        </is>
      </c>
    </row>
    <row r="531">
      <c r="A531" t="inlineStr">
        <is>
          <t>market for bromine</t>
        </is>
      </c>
      <c r="B531">
        <v>0.9875420209610442</v>
      </c>
      <c r="C531" t="inlineStr">
        <is>
          <t>GLO</t>
        </is>
      </c>
      <c r="D531" t="inlineStr">
        <is>
          <t>kilogram</t>
        </is>
      </c>
      <c r="F531" t="inlineStr">
        <is>
          <t>technosphere</t>
        </is>
      </c>
      <c r="G531" t="inlineStr">
        <is>
          <t>bromine</t>
        </is>
      </c>
      <c r="I531" t="inlineStr">
        <is>
          <t>bromine</t>
        </is>
      </c>
    </row>
    <row r="532">
      <c r="A532" t="inlineStr">
        <is>
          <t>market group for electricity, medium voltage</t>
        </is>
      </c>
      <c r="B532">
        <v>1</v>
      </c>
      <c r="C532" t="inlineStr">
        <is>
          <t>GLO</t>
        </is>
      </c>
      <c r="D532" t="inlineStr">
        <is>
          <t>kilowatt hour</t>
        </is>
      </c>
      <c r="F532" t="inlineStr">
        <is>
          <t>technosphere</t>
        </is>
      </c>
      <c r="G532" t="inlineStr">
        <is>
          <t>electricity, medium voltage</t>
        </is>
      </c>
      <c r="I532" t="inlineStr">
        <is>
          <t>electricity, medium voltage</t>
        </is>
      </c>
    </row>
    <row r="535">
      <c r="A535" t="inlineStr">
        <is>
          <t>Activity</t>
        </is>
      </c>
      <c r="B535" t="inlineStr">
        <is>
          <t>hydrogen iodide, elemental synthesis engineering reference</t>
        </is>
      </c>
    </row>
    <row r="536">
      <c r="A536" t="inlineStr">
        <is>
          <t>location</t>
        </is>
      </c>
      <c r="B536" t="inlineStr">
        <is>
          <t>GLO</t>
        </is>
      </c>
    </row>
    <row r="537">
      <c r="A537" t="inlineStr">
        <is>
          <t>production amount</t>
        </is>
      </c>
      <c r="B537">
        <v>1</v>
      </c>
    </row>
    <row r="538">
      <c r="A538" t="inlineStr">
        <is>
          <t>reference product</t>
        </is>
      </c>
      <c r="B538" t="inlineStr">
        <is>
          <t>hydrogen iodide, elemental synthesis engineering reference</t>
        </is>
      </c>
    </row>
    <row r="539">
      <c r="A539" t="inlineStr">
        <is>
          <t>unit</t>
        </is>
      </c>
      <c r="B539" t="inlineStr">
        <is>
          <t>kilogram</t>
        </is>
      </c>
    </row>
    <row r="540">
      <c r="A540" t="inlineStr">
        <is>
          <t>source</t>
        </is>
      </c>
      <c r="B540" t="inlineStr">
        <is>
          <t>Pallas2020 SI S4 identifies diethylzinc8.5e-6kg/m2 MOVPE. CN100408584C Example1:600gZn,250mLEtI,250mLEtBr,10gCuI; reported trialyieldabout85%,not a measured semiconductorplant inventory. https://patents.google.com/patent/CN100408584C/en .</t>
        </is>
      </c>
    </row>
    <row r="541">
      <c r="A541" t="inlineStr">
        <is>
          <t>comment</t>
        </is>
      </c>
      <c r="B541" t="inlineStr">
        <is>
          <t>APPROVED DIETHYLZINC IDENTITY AND Zn FEED, issue83,2026-10-18. Pallas2020 SI S4 identifies diethylzinc8.5e-6kg/m2 MOVPE. CN100408584C Example1:600gZn,250mLEtI,250mLEtBr,10gCuI; reported trialyieldabout85%,not a measured semiconductorplant inventory. https://patents.google.com/patent/CN100408584C/en . Replace onlyMOVPEgenericorganicchemical8.5mg/m2 by the same mass of an explicitZn(C2H5)2 reference; retainedZn fraction=0.529375566783262. Do not add elementalZn on top of a complete DEZ supplier. Use the patentdirectZn/ethylhalide route as a namedengineeringvariant,not a claim of the actualPallas chemicalvendor. Convert250mL eachEtBr/EtI with explicitlyassumed20C densities1.46/1.94kg/L;sourcebatch0.365kgEtBr+0.485kgEtI+0.600kgZn+0.010kgCuI. IsolatednewDEZ=0.3390440898698082kg perbatch at85% of halide-limitedtheoreticalyield; patent doesnot report that exactkgoutput or allresiduefates.30gDEZinitiator is treatedasclosedcirculatingseed,not counted bothasnewoutput andnewfreshinput;initialseedstock/startup-loss allocation is a gap.95%versus85%yield sensitivity mustnot silentlychangeoldper-m2dosage. Use1kWh/kg productmanufacture as explicitheating,distillation/coolingallowance,plus0.05kgN2/kgproduct and0.01kgH2/kgproduct purge references;actualpurityupgrade,powderactivation,purgeflow,leaks andutilities remainunmeasured. NativeZnmarket is a bulkrefinedsupplyproxy,not certified6Npowder;semiconductor-gradepurification gap remains. No assumedclosedloopZn-saltorCuIrecovery; matchall grossZn/ethylhalide/CuImass notretainedin1kg producttoexistingmixedhazardouswasteprovider with no metalcredit. MixedresiduecontainsZn/halides/Cu andunreactedmaterial;separateelementfates areunresolved. Buildmissingethylhalides via balancedEtOH+HX-&gt;EtX+H2O precursorreferences,withHX fromH2+halogen andCuIfromCu+I;these are explicit100%stoichiometric precursorconversionreferences,not measuredindustrialyields. Their1kWh/kgHX/CuI and0.5kWh/kgEtX processingallowances andwastewaterwateroutflow are engineeringproxies. Testprecursoryields90-100%;do not claim industrialrecipe closure because elementalbalances close. UsepetrochemicalethanolRER,realBr/I/Cu/H2feeds,not genericorganicchemical as missingZn substitute. Preserve sourceoperatingnanowirearea afterissue76 andallotherMOVPEinputs. Highpuritymetal,saltrecycling,pyrophoricreagent losses andactualcarrier-solvent grade requirefuturedata. No native,runtime,YAML or primary-secondaryshare edits.</t>
        </is>
      </c>
    </row>
    <row r="542">
      <c r="A542" t="inlineStr">
        <is>
          <t>Exchanges</t>
        </is>
      </c>
    </row>
    <row r="543">
      <c r="A543" t="inlineStr">
        <is>
          <t>name</t>
        </is>
      </c>
      <c r="B543" t="inlineStr">
        <is>
          <t>amount</t>
        </is>
      </c>
      <c r="C543" t="inlineStr">
        <is>
          <t>location</t>
        </is>
      </c>
      <c r="D543" t="inlineStr">
        <is>
          <t>unit</t>
        </is>
      </c>
      <c r="E543" t="inlineStr">
        <is>
          <t>categories</t>
        </is>
      </c>
      <c r="F543" t="inlineStr">
        <is>
          <t>type</t>
        </is>
      </c>
      <c r="G543" t="inlineStr">
        <is>
          <t>reference product</t>
        </is>
      </c>
      <c r="H543" t="inlineStr">
        <is>
          <t>comment</t>
        </is>
      </c>
      <c r="I543" t="inlineStr">
        <is>
          <t>product</t>
        </is>
      </c>
    </row>
    <row r="544">
      <c r="A544" t="inlineStr">
        <is>
          <t>hydrogen iodide, elemental synthesis engineering reference</t>
        </is>
      </c>
      <c r="B544">
        <v>1</v>
      </c>
      <c r="C544" t="inlineStr">
        <is>
          <t>GLO</t>
        </is>
      </c>
      <c r="D544" t="inlineStr">
        <is>
          <t>kilogram</t>
        </is>
      </c>
      <c r="F544" t="inlineStr">
        <is>
          <t>production</t>
        </is>
      </c>
      <c r="G544" t="inlineStr">
        <is>
          <t>hydrogen iodide, elemental synthesis engineering reference</t>
        </is>
      </c>
      <c r="I544" t="inlineStr">
        <is>
          <t>hydrogen iodide, elemental synthesis engineering reference</t>
        </is>
      </c>
    </row>
    <row r="545">
      <c r="A545" t="inlineStr">
        <is>
          <t>market for hydrogen, gaseous, low pressure</t>
        </is>
      </c>
      <c r="B545">
        <v>0.007880388831518929</v>
      </c>
      <c r="C545" t="inlineStr">
        <is>
          <t>RER</t>
        </is>
      </c>
      <c r="D545" t="inlineStr">
        <is>
          <t>kilogram</t>
        </is>
      </c>
      <c r="F545" t="inlineStr">
        <is>
          <t>technosphere</t>
        </is>
      </c>
      <c r="G545" t="inlineStr">
        <is>
          <t>hydrogen, gaseous, low pressure</t>
        </is>
      </c>
      <c r="I545" t="inlineStr">
        <is>
          <t>hydrogen, gaseous, low pressure</t>
        </is>
      </c>
    </row>
    <row r="546">
      <c r="A546" t="inlineStr">
        <is>
          <t>market for iodine</t>
        </is>
      </c>
      <c r="B546">
        <v>0.9921196111684811</v>
      </c>
      <c r="C546" t="inlineStr">
        <is>
          <t>GLO</t>
        </is>
      </c>
      <c r="D546" t="inlineStr">
        <is>
          <t>kilogram</t>
        </is>
      </c>
      <c r="F546" t="inlineStr">
        <is>
          <t>technosphere</t>
        </is>
      </c>
      <c r="G546" t="inlineStr">
        <is>
          <t>iodine</t>
        </is>
      </c>
      <c r="I546" t="inlineStr">
        <is>
          <t>iodine</t>
        </is>
      </c>
    </row>
    <row r="547">
      <c r="A547" t="inlineStr">
        <is>
          <t>market group for electricity, medium voltage</t>
        </is>
      </c>
      <c r="B547">
        <v>1</v>
      </c>
      <c r="C547" t="inlineStr">
        <is>
          <t>GLO</t>
        </is>
      </c>
      <c r="D547" t="inlineStr">
        <is>
          <t>kilowatt hour</t>
        </is>
      </c>
      <c r="F547" t="inlineStr">
        <is>
          <t>technosphere</t>
        </is>
      </c>
      <c r="G547" t="inlineStr">
        <is>
          <t>electricity, medium voltage</t>
        </is>
      </c>
      <c r="I547" t="inlineStr">
        <is>
          <t>electricity, medium voltage</t>
        </is>
      </c>
    </row>
    <row r="550">
      <c r="A550" t="inlineStr">
        <is>
          <t>Activity</t>
        </is>
      </c>
      <c r="B550" t="inlineStr">
        <is>
          <t>ethyl bromide, ethanol route engineering reference</t>
        </is>
      </c>
    </row>
    <row r="551">
      <c r="A551" t="inlineStr">
        <is>
          <t>location</t>
        </is>
      </c>
      <c r="B551" t="inlineStr">
        <is>
          <t>GLO</t>
        </is>
      </c>
    </row>
    <row r="552">
      <c r="A552" t="inlineStr">
        <is>
          <t>production amount</t>
        </is>
      </c>
      <c r="B552">
        <v>1</v>
      </c>
    </row>
    <row r="553">
      <c r="A553" t="inlineStr">
        <is>
          <t>reference product</t>
        </is>
      </c>
      <c r="B553" t="inlineStr">
        <is>
          <t>ethyl bromide, ethanol route engineering reference</t>
        </is>
      </c>
    </row>
    <row r="554">
      <c r="A554" t="inlineStr">
        <is>
          <t>unit</t>
        </is>
      </c>
      <c r="B554" t="inlineStr">
        <is>
          <t>kilogram</t>
        </is>
      </c>
    </row>
    <row r="555">
      <c r="A555" t="inlineStr">
        <is>
          <t>source</t>
        </is>
      </c>
      <c r="B555" t="inlineStr">
        <is>
          <t>Pallas2020 SI S4 identifies diethylzinc8.5e-6kg/m2 MOVPE. CN100408584C Example1:600gZn,250mLEtI,250mLEtBr,10gCuI; reported trialyieldabout85%,not a measured semiconductorplant inventory. https://patents.google.com/patent/CN100408584C/en .</t>
        </is>
      </c>
    </row>
    <row r="556">
      <c r="A556" t="inlineStr">
        <is>
          <t>comment</t>
        </is>
      </c>
      <c r="B556" t="inlineStr">
        <is>
          <t>APPROVED DIETHYLZINC IDENTITY AND Zn FEED, issue83,2026-10-18. Pallas2020 SI S4 identifies diethylzinc8.5e-6kg/m2 MOVPE. CN100408584C Example1:600gZn,250mLEtI,250mLEtBr,10gCuI; reported trialyieldabout85%,not a measured semiconductorplant inventory. https://patents.google.com/patent/CN100408584C/en . Replace onlyMOVPEgenericorganicchemical8.5mg/m2 by the same mass of an explicitZn(C2H5)2 reference; retainedZn fraction=0.529375566783262. Do not add elementalZn on top of a complete DEZ supplier. Use the patentdirectZn/ethylhalide route as a namedengineeringvariant,not a claim of the actualPallas chemicalvendor. Convert250mL eachEtBr/EtI with explicitlyassumed20C densities1.46/1.94kg/L;sourcebatch0.365kgEtBr+0.485kgEtI+0.600kgZn+0.010kgCuI. IsolatednewDEZ=0.3390440898698082kg perbatch at85% of halide-limitedtheoreticalyield; patent doesnot report that exactkgoutput or allresiduefates.30gDEZinitiator is treatedasclosedcirculatingseed,not counted bothasnewoutput andnewfreshinput;initialseedstock/startup-loss allocation is a gap.95%versus85%yield sensitivity mustnot silentlychangeoldper-m2dosage. Use1kWh/kg productmanufacture as explicitheating,distillation/coolingallowance,plus0.05kgN2/kgproduct and0.01kgH2/kgproduct purge references;actualpurityupgrade,powderactivation,purgeflow,leaks andutilities remainunmeasured. NativeZnmarket is a bulkrefinedsupplyproxy,not certified6Npowder;semiconductor-gradepurification gap remains. No assumedclosedloopZn-saltorCuIrecovery; matchall grossZn/ethylhalide/CuImass notretainedin1kg producttoexistingmixedhazardouswasteprovider with no metalcredit. MixedresiduecontainsZn/halides/Cu andunreactedmaterial;separateelementfates areunresolved. Buildmissingethylhalides via balancedEtOH+HX-&gt;EtX+H2O precursorreferences,withHX fromH2+halogen andCuIfromCu+I;these are explicit100%stoichiometric precursorconversionreferences,not measuredindustrialyields. Their1kWh/kgHX/CuI and0.5kWh/kgEtX processingallowances andwastewaterwateroutflow are engineeringproxies. Testprecursoryields90-100%;do not claim industrialrecipe closure because elementalbalances close. UsepetrochemicalethanolRER,realBr/I/Cu/H2feeds,not genericorganicchemical as missingZn substitute. Preserve sourceoperatingnanowirearea afterissue76 andallotherMOVPEinputs. Highpuritymetal,saltrecycling,pyrophoricreagent losses andactualcarrier-solvent grade requirefuturedata. No native,runtime,YAML or primary-secondaryshare edits.</t>
        </is>
      </c>
    </row>
    <row r="557">
      <c r="A557" t="inlineStr">
        <is>
          <t>Exchanges</t>
        </is>
      </c>
    </row>
    <row r="558">
      <c r="A558" t="inlineStr">
        <is>
          <t>name</t>
        </is>
      </c>
      <c r="B558" t="inlineStr">
        <is>
          <t>amount</t>
        </is>
      </c>
      <c r="C558" t="inlineStr">
        <is>
          <t>location</t>
        </is>
      </c>
      <c r="D558" t="inlineStr">
        <is>
          <t>unit</t>
        </is>
      </c>
      <c r="E558" t="inlineStr">
        <is>
          <t>categories</t>
        </is>
      </c>
      <c r="F558" t="inlineStr">
        <is>
          <t>type</t>
        </is>
      </c>
      <c r="G558" t="inlineStr">
        <is>
          <t>reference product</t>
        </is>
      </c>
      <c r="H558" t="inlineStr">
        <is>
          <t>comment</t>
        </is>
      </c>
      <c r="I558" t="inlineStr">
        <is>
          <t>product</t>
        </is>
      </c>
    </row>
    <row r="559">
      <c r="A559" t="inlineStr">
        <is>
          <t>ethyl bromide, ethanol route engineering reference</t>
        </is>
      </c>
      <c r="B559">
        <v>1</v>
      </c>
      <c r="C559" t="inlineStr">
        <is>
          <t>GLO</t>
        </is>
      </c>
      <c r="D559" t="inlineStr">
        <is>
          <t>kilogram</t>
        </is>
      </c>
      <c r="F559" t="inlineStr">
        <is>
          <t>production</t>
        </is>
      </c>
      <c r="G559" t="inlineStr">
        <is>
          <t>ethyl bromide, ethanol route engineering reference</t>
        </is>
      </c>
      <c r="I559" t="inlineStr">
        <is>
          <t>ethyl bromide, ethanol route engineering reference</t>
        </is>
      </c>
    </row>
    <row r="560">
      <c r="A560" t="inlineStr">
        <is>
          <t>market for ethanol, without water, in 99.7% solution state, from ethylene</t>
        </is>
      </c>
      <c r="B560">
        <v>0.422783253491915</v>
      </c>
      <c r="C560" t="inlineStr">
        <is>
          <t>RER</t>
        </is>
      </c>
      <c r="D560" t="inlineStr">
        <is>
          <t>kilogram</t>
        </is>
      </c>
      <c r="F560" t="inlineStr">
        <is>
          <t>technosphere</t>
        </is>
      </c>
      <c r="G560" t="inlineStr">
        <is>
          <t>ethanol, without water, in 99.7% solution state, from ethylene</t>
        </is>
      </c>
      <c r="I560" t="inlineStr">
        <is>
          <t>ethanol, without water, in 99.7% solution state, from ethylene</t>
        </is>
      </c>
    </row>
    <row r="561">
      <c r="A561" t="inlineStr">
        <is>
          <t>hydrogen bromide, elemental synthesis engineering reference</t>
        </is>
      </c>
      <c r="B561">
        <v>0.742543545693152</v>
      </c>
      <c r="C561" t="inlineStr">
        <is>
          <t>GLO</t>
        </is>
      </c>
      <c r="D561" t="inlineStr">
        <is>
          <t>kilogram</t>
        </is>
      </c>
      <c r="F561" t="inlineStr">
        <is>
          <t>technosphere</t>
        </is>
      </c>
      <c r="G561" t="inlineStr">
        <is>
          <t>hydrogen bromide, elemental synthesis engineering reference</t>
        </is>
      </c>
      <c r="I561" t="inlineStr">
        <is>
          <t>hydrogen bromide, elemental synthesis engineering reference</t>
        </is>
      </c>
    </row>
    <row r="562">
      <c r="A562" t="inlineStr">
        <is>
          <t>market for wastewater, average</t>
        </is>
      </c>
      <c r="B562">
        <v>-0.0001653267991850669</v>
      </c>
      <c r="C562" t="inlineStr">
        <is>
          <t>RoW</t>
        </is>
      </c>
      <c r="D562" t="inlineStr">
        <is>
          <t>cubic meter</t>
        </is>
      </c>
      <c r="F562" t="inlineStr">
        <is>
          <t>technosphere</t>
        </is>
      </c>
      <c r="G562" t="inlineStr">
        <is>
          <t>wastewater, average</t>
        </is>
      </c>
      <c r="I562" t="inlineStr">
        <is>
          <t>wastewater, average</t>
        </is>
      </c>
    </row>
    <row r="563">
      <c r="A563" t="inlineStr">
        <is>
          <t>market group for electricity, medium voltage</t>
        </is>
      </c>
      <c r="B563">
        <v>0.5</v>
      </c>
      <c r="C563" t="inlineStr">
        <is>
          <t>GLO</t>
        </is>
      </c>
      <c r="D563" t="inlineStr">
        <is>
          <t>kilowatt hour</t>
        </is>
      </c>
      <c r="F563" t="inlineStr">
        <is>
          <t>technosphere</t>
        </is>
      </c>
      <c r="G563" t="inlineStr">
        <is>
          <t>electricity, medium voltage</t>
        </is>
      </c>
      <c r="I563" t="inlineStr">
        <is>
          <t>electricity, medium voltage</t>
        </is>
      </c>
    </row>
    <row r="566">
      <c r="A566" t="inlineStr">
        <is>
          <t>Activity</t>
        </is>
      </c>
      <c r="B566" t="inlineStr">
        <is>
          <t>ethyl iodide, ethanol route engineering reference</t>
        </is>
      </c>
    </row>
    <row r="567">
      <c r="A567" t="inlineStr">
        <is>
          <t>location</t>
        </is>
      </c>
      <c r="B567" t="inlineStr">
        <is>
          <t>GLO</t>
        </is>
      </c>
    </row>
    <row r="568">
      <c r="A568" t="inlineStr">
        <is>
          <t>production amount</t>
        </is>
      </c>
      <c r="B568">
        <v>1</v>
      </c>
    </row>
    <row r="569">
      <c r="A569" t="inlineStr">
        <is>
          <t>reference product</t>
        </is>
      </c>
      <c r="B569" t="inlineStr">
        <is>
          <t>ethyl iodide, ethanol route engineering reference</t>
        </is>
      </c>
    </row>
    <row r="570">
      <c r="A570" t="inlineStr">
        <is>
          <t>unit</t>
        </is>
      </c>
      <c r="B570" t="inlineStr">
        <is>
          <t>kilogram</t>
        </is>
      </c>
    </row>
    <row r="571">
      <c r="A571" t="inlineStr">
        <is>
          <t>source</t>
        </is>
      </c>
      <c r="B571" t="inlineStr">
        <is>
          <t>Pallas2020 SI S4 identifies diethylzinc8.5e-6kg/m2 MOVPE. CN100408584C Example1:600gZn,250mLEtI,250mLEtBr,10gCuI; reported trialyieldabout85%,not a measured semiconductorplant inventory. https://patents.google.com/patent/CN100408584C/en .</t>
        </is>
      </c>
    </row>
    <row r="572">
      <c r="A572" t="inlineStr">
        <is>
          <t>comment</t>
        </is>
      </c>
      <c r="B572" t="inlineStr">
        <is>
          <t>APPROVED DIETHYLZINC IDENTITY AND Zn FEED, issue83,2026-10-18. Pallas2020 SI S4 identifies diethylzinc8.5e-6kg/m2 MOVPE. CN100408584C Example1:600gZn,250mLEtI,250mLEtBr,10gCuI; reported trialyieldabout85%,not a measured semiconductorplant inventory. https://patents.google.com/patent/CN100408584C/en . Replace onlyMOVPEgenericorganicchemical8.5mg/m2 by the same mass of an explicitZn(C2H5)2 reference; retainedZn fraction=0.529375566783262. Do not add elementalZn on top of a complete DEZ supplier. Use the patentdirectZn/ethylhalide route as a namedengineeringvariant,not a claim of the actualPallas chemicalvendor. Convert250mL eachEtBr/EtI with explicitlyassumed20C densities1.46/1.94kg/L;sourcebatch0.365kgEtBr+0.485kgEtI+0.600kgZn+0.010kgCuI. IsolatednewDEZ=0.3390440898698082kg perbatch at85% of halide-limitedtheoreticalyield; patent doesnot report that exactkgoutput or allresiduefates.30gDEZinitiator is treatedasclosedcirculatingseed,not counted bothasnewoutput andnewfreshinput;initialseedstock/startup-loss allocation is a gap.95%versus85%yield sensitivity mustnot silentlychangeoldper-m2dosage. Use1kWh/kg productmanufacture as explicitheating,distillation/coolingallowance,plus0.05kgN2/kgproduct and0.01kgH2/kgproduct purge references;actualpurityupgrade,powderactivation,purgeflow,leaks andutilities remainunmeasured. NativeZnmarket is a bulkrefinedsupplyproxy,not certified6Npowder;semiconductor-gradepurification gap remains. No assumedclosedloopZn-saltorCuIrecovery; matchall grossZn/ethylhalide/CuImass notretainedin1kg producttoexistingmixedhazardouswasteprovider with no metalcredit. MixedresiduecontainsZn/halides/Cu andunreactedmaterial;separateelementfates areunresolved. Buildmissingethylhalides via balancedEtOH+HX-&gt;EtX+H2O precursorreferences,withHX fromH2+halogen andCuIfromCu+I;these are explicit100%stoichiometric precursorconversionreferences,not measuredindustrialyields. Their1kWh/kgHX/CuI and0.5kWh/kgEtX processingallowances andwastewaterwateroutflow are engineeringproxies. Testprecursoryields90-100%;do not claim industrialrecipe closure because elementalbalances close. UsepetrochemicalethanolRER,realBr/I/Cu/H2feeds,not genericorganicchemical as missingZn substitute. Preserve sourceoperatingnanowirearea afterissue76 andallotherMOVPEinputs. Highpuritymetal,saltrecycling,pyrophoricreagent losses andactualcarrier-solvent grade requirefuturedata. No native,runtime,YAML or primary-secondaryshare edits.</t>
        </is>
      </c>
    </row>
    <row r="573">
      <c r="A573" t="inlineStr">
        <is>
          <t>Exchanges</t>
        </is>
      </c>
    </row>
    <row r="574">
      <c r="A574" t="inlineStr">
        <is>
          <t>name</t>
        </is>
      </c>
      <c r="B574" t="inlineStr">
        <is>
          <t>amount</t>
        </is>
      </c>
      <c r="C574" t="inlineStr">
        <is>
          <t>location</t>
        </is>
      </c>
      <c r="D574" t="inlineStr">
        <is>
          <t>unit</t>
        </is>
      </c>
      <c r="E574" t="inlineStr">
        <is>
          <t>categories</t>
        </is>
      </c>
      <c r="F574" t="inlineStr">
        <is>
          <t>type</t>
        </is>
      </c>
      <c r="G574" t="inlineStr">
        <is>
          <t>reference product</t>
        </is>
      </c>
      <c r="H574" t="inlineStr">
        <is>
          <t>comment</t>
        </is>
      </c>
      <c r="I574" t="inlineStr">
        <is>
          <t>product</t>
        </is>
      </c>
    </row>
    <row r="575">
      <c r="A575" t="inlineStr">
        <is>
          <t>ethyl iodide, ethanol route engineering reference</t>
        </is>
      </c>
      <c r="B575">
        <v>1</v>
      </c>
      <c r="C575" t="inlineStr">
        <is>
          <t>GLO</t>
        </is>
      </c>
      <c r="D575" t="inlineStr">
        <is>
          <t>kilogram</t>
        </is>
      </c>
      <c r="F575" t="inlineStr">
        <is>
          <t>production</t>
        </is>
      </c>
      <c r="G575" t="inlineStr">
        <is>
          <t>ethyl iodide, ethanol route engineering reference</t>
        </is>
      </c>
      <c r="I575" t="inlineStr">
        <is>
          <t>ethyl iodide, ethanol route engineering reference</t>
        </is>
      </c>
    </row>
    <row r="576">
      <c r="A576" t="inlineStr">
        <is>
          <t>market for ethanol, without water, in 99.7% solution state, from ethylene</t>
        </is>
      </c>
      <c r="B576">
        <v>0.2953775898114511</v>
      </c>
      <c r="C576" t="inlineStr">
        <is>
          <t>RER</t>
        </is>
      </c>
      <c r="D576" t="inlineStr">
        <is>
          <t>kilogram</t>
        </is>
      </c>
      <c r="F576" t="inlineStr">
        <is>
          <t>technosphere</t>
        </is>
      </c>
      <c r="G576" t="inlineStr">
        <is>
          <t>ethanol, without water, in 99.7% solution state, from ethylene</t>
        </is>
      </c>
      <c r="I576" t="inlineStr">
        <is>
          <t>ethanol, without water, in 99.7% solution state, from ethylene</t>
        </is>
      </c>
    </row>
    <row r="577">
      <c r="A577" t="inlineStr">
        <is>
          <t>hydrogen iodide, elemental synthesis engineering reference</t>
        </is>
      </c>
      <c r="B577">
        <v>0.820128005718152</v>
      </c>
      <c r="C577" t="inlineStr">
        <is>
          <t>GLO</t>
        </is>
      </c>
      <c r="D577" t="inlineStr">
        <is>
          <t>kilogram</t>
        </is>
      </c>
      <c r="F577" t="inlineStr">
        <is>
          <t>technosphere</t>
        </is>
      </c>
      <c r="G577" t="inlineStr">
        <is>
          <t>hydrogen iodide, elemental synthesis engineering reference</t>
        </is>
      </c>
      <c r="I577" t="inlineStr">
        <is>
          <t>hydrogen iodide, elemental synthesis engineering reference</t>
        </is>
      </c>
    </row>
    <row r="578">
      <c r="A578" t="inlineStr">
        <is>
          <t>market for wastewater, average</t>
        </is>
      </c>
      <c r="B578">
        <v>-0.00011550559552960325</v>
      </c>
      <c r="C578" t="inlineStr">
        <is>
          <t>RoW</t>
        </is>
      </c>
      <c r="D578" t="inlineStr">
        <is>
          <t>cubic meter</t>
        </is>
      </c>
      <c r="F578" t="inlineStr">
        <is>
          <t>technosphere</t>
        </is>
      </c>
      <c r="G578" t="inlineStr">
        <is>
          <t>wastewater, average</t>
        </is>
      </c>
      <c r="I578" t="inlineStr">
        <is>
          <t>wastewater, average</t>
        </is>
      </c>
    </row>
    <row r="579">
      <c r="A579" t="inlineStr">
        <is>
          <t>market group for electricity, medium voltage</t>
        </is>
      </c>
      <c r="B579">
        <v>0.5</v>
      </c>
      <c r="C579" t="inlineStr">
        <is>
          <t>GLO</t>
        </is>
      </c>
      <c r="D579" t="inlineStr">
        <is>
          <t>kilowatt hour</t>
        </is>
      </c>
      <c r="F579" t="inlineStr">
        <is>
          <t>technosphere</t>
        </is>
      </c>
      <c r="G579" t="inlineStr">
        <is>
          <t>electricity, medium voltage</t>
        </is>
      </c>
      <c r="I579" t="inlineStr">
        <is>
          <t>electricity, medium voltage</t>
        </is>
      </c>
    </row>
    <row r="582">
      <c r="A582" t="inlineStr">
        <is>
          <t>Activity</t>
        </is>
      </c>
      <c r="B582" t="inlineStr">
        <is>
          <t>copper iodide, catalyst engineering reference</t>
        </is>
      </c>
    </row>
    <row r="583">
      <c r="A583" t="inlineStr">
        <is>
          <t>location</t>
        </is>
      </c>
      <c r="B583" t="inlineStr">
        <is>
          <t>GLO</t>
        </is>
      </c>
    </row>
    <row r="584">
      <c r="A584" t="inlineStr">
        <is>
          <t>production amount</t>
        </is>
      </c>
      <c r="B584">
        <v>1</v>
      </c>
    </row>
    <row r="585">
      <c r="A585" t="inlineStr">
        <is>
          <t>reference product</t>
        </is>
      </c>
      <c r="B585" t="inlineStr">
        <is>
          <t>copper iodide, catalyst engineering reference</t>
        </is>
      </c>
    </row>
    <row r="586">
      <c r="A586" t="inlineStr">
        <is>
          <t>unit</t>
        </is>
      </c>
      <c r="B586" t="inlineStr">
        <is>
          <t>kilogram</t>
        </is>
      </c>
    </row>
    <row r="587">
      <c r="A587" t="inlineStr">
        <is>
          <t>source</t>
        </is>
      </c>
      <c r="B587" t="inlineStr">
        <is>
          <t>Pallas2020 SI S4 identifies diethylzinc8.5e-6kg/m2 MOVPE. CN100408584C Example1:600gZn,250mLEtI,250mLEtBr,10gCuI; reported trialyieldabout85%,not a measured semiconductorplant inventory. https://patents.google.com/patent/CN100408584C/en .</t>
        </is>
      </c>
    </row>
    <row r="588">
      <c r="A588" t="inlineStr">
        <is>
          <t>comment</t>
        </is>
      </c>
      <c r="B588" t="inlineStr">
        <is>
          <t>APPROVED DIETHYLZINC IDENTITY AND Zn FEED, issue83,2026-10-18. Pallas2020 SI S4 identifies diethylzinc8.5e-6kg/m2 MOVPE. CN100408584C Example1:600gZn,250mLEtI,250mLEtBr,10gCuI; reported trialyieldabout85%,not a measured semiconductorplant inventory. https://patents.google.com/patent/CN100408584C/en . Replace onlyMOVPEgenericorganicchemical8.5mg/m2 by the same mass of an explicitZn(C2H5)2 reference; retainedZn fraction=0.529375566783262. Do not add elementalZn on top of a complete DEZ supplier. Use the patentdirectZn/ethylhalide route as a namedengineeringvariant,not a claim of the actualPallas chemicalvendor. Convert250mL eachEtBr/EtI with explicitlyassumed20C densities1.46/1.94kg/L;sourcebatch0.365kgEtBr+0.485kgEtI+0.600kgZn+0.010kgCuI. IsolatednewDEZ=0.3390440898698082kg perbatch at85% of halide-limitedtheoreticalyield; patent doesnot report that exactkgoutput or allresiduefates.30gDEZinitiator is treatedasclosedcirculatingseed,not counted bothasnewoutput andnewfreshinput;initialseedstock/startup-loss allocation is a gap.95%versus85%yield sensitivity mustnot silentlychangeoldper-m2dosage. Use1kWh/kg productmanufacture as explicitheating,distillation/coolingallowance,plus0.05kgN2/kgproduct and0.01kgH2/kgproduct purge references;actualpurityupgrade,powderactivation,purgeflow,leaks andutilities remainunmeasured. NativeZnmarket is a bulkrefinedsupplyproxy,not certified6Npowder;semiconductor-gradepurification gap remains. No assumedclosedloopZn-saltorCuIrecovery; matchall grossZn/ethylhalide/CuImass notretainedin1kg producttoexistingmixedhazardouswasteprovider with no metalcredit. MixedresiduecontainsZn/halides/Cu andunreactedmaterial;separateelementfates areunresolved. Buildmissingethylhalides via balancedEtOH+HX-&gt;EtX+H2O precursorreferences,withHX fromH2+halogen andCuIfromCu+I;these are explicit100%stoichiometric precursorconversionreferences,not measuredindustrialyields. Their1kWh/kgHX/CuI and0.5kWh/kgEtX processingallowances andwastewaterwateroutflow are engineeringproxies. Testprecursoryields90-100%;do not claim industrialrecipe closure because elementalbalances close. UsepetrochemicalethanolRER,realBr/I/Cu/H2feeds,not genericorganicchemical as missingZn substitute. Preserve sourceoperatingnanowirearea afterissue76 andallotherMOVPEinputs. Highpuritymetal,saltrecycling,pyrophoricreagent losses andactualcarrier-solvent grade requirefuturedata. No native,runtime,YAML or primary-secondaryshare edits.</t>
        </is>
      </c>
    </row>
    <row r="589">
      <c r="A589" t="inlineStr">
        <is>
          <t>Exchanges</t>
        </is>
      </c>
    </row>
    <row r="590">
      <c r="A590" t="inlineStr">
        <is>
          <t>name</t>
        </is>
      </c>
      <c r="B590" t="inlineStr">
        <is>
          <t>amount</t>
        </is>
      </c>
      <c r="C590" t="inlineStr">
        <is>
          <t>location</t>
        </is>
      </c>
      <c r="D590" t="inlineStr">
        <is>
          <t>unit</t>
        </is>
      </c>
      <c r="E590" t="inlineStr">
        <is>
          <t>categories</t>
        </is>
      </c>
      <c r="F590" t="inlineStr">
        <is>
          <t>type</t>
        </is>
      </c>
      <c r="G590" t="inlineStr">
        <is>
          <t>reference product</t>
        </is>
      </c>
      <c r="H590" t="inlineStr">
        <is>
          <t>comment</t>
        </is>
      </c>
      <c r="I590" t="inlineStr">
        <is>
          <t>product</t>
        </is>
      </c>
    </row>
    <row r="591">
      <c r="A591" t="inlineStr">
        <is>
          <t>copper iodide, catalyst engineering reference</t>
        </is>
      </c>
      <c r="B591">
        <v>1</v>
      </c>
      <c r="C591" t="inlineStr">
        <is>
          <t>GLO</t>
        </is>
      </c>
      <c r="D591" t="inlineStr">
        <is>
          <t>kilogram</t>
        </is>
      </c>
      <c r="F591" t="inlineStr">
        <is>
          <t>production</t>
        </is>
      </c>
      <c r="G591" t="inlineStr">
        <is>
          <t>copper iodide, catalyst engineering reference</t>
        </is>
      </c>
      <c r="I591" t="inlineStr">
        <is>
          <t>copper iodide, catalyst engineering reference</t>
        </is>
      </c>
    </row>
    <row r="592">
      <c r="A592" t="inlineStr">
        <is>
          <t>market for copper, cathode</t>
        </is>
      </c>
      <c r="B592">
        <v>0.33366155515394635</v>
      </c>
      <c r="C592" t="inlineStr">
        <is>
          <t>GLO</t>
        </is>
      </c>
      <c r="D592" t="inlineStr">
        <is>
          <t>kilogram</t>
        </is>
      </c>
      <c r="F592" t="inlineStr">
        <is>
          <t>technosphere</t>
        </is>
      </c>
      <c r="G592" t="inlineStr">
        <is>
          <t>copper, cathode</t>
        </is>
      </c>
      <c r="I592" t="inlineStr">
        <is>
          <t>copper, cathode</t>
        </is>
      </c>
    </row>
    <row r="593">
      <c r="A593" t="inlineStr">
        <is>
          <t>market for iodine</t>
        </is>
      </c>
      <c r="B593">
        <v>0.6663384448460538</v>
      </c>
      <c r="C593" t="inlineStr">
        <is>
          <t>GLO</t>
        </is>
      </c>
      <c r="D593" t="inlineStr">
        <is>
          <t>kilogram</t>
        </is>
      </c>
      <c r="F593" t="inlineStr">
        <is>
          <t>technosphere</t>
        </is>
      </c>
      <c r="G593" t="inlineStr">
        <is>
          <t>iodine</t>
        </is>
      </c>
      <c r="I593" t="inlineStr">
        <is>
          <t>iodine</t>
        </is>
      </c>
    </row>
    <row r="594">
      <c r="A594" t="inlineStr">
        <is>
          <t>market group for electricity, medium voltage</t>
        </is>
      </c>
      <c r="B594">
        <v>1</v>
      </c>
      <c r="C594" t="inlineStr">
        <is>
          <t>GLO</t>
        </is>
      </c>
      <c r="D594" t="inlineStr">
        <is>
          <t>kilowatt hour</t>
        </is>
      </c>
      <c r="F594" t="inlineStr">
        <is>
          <t>technosphere</t>
        </is>
      </c>
      <c r="G594" t="inlineStr">
        <is>
          <t>electricity, medium voltage</t>
        </is>
      </c>
      <c r="I594" t="inlineStr">
        <is>
          <t>electricity, medium voltage</t>
        </is>
      </c>
    </row>
    <row r="597">
      <c r="A597" t="inlineStr">
        <is>
          <t>Activity</t>
        </is>
      </c>
      <c r="B597" t="inlineStr">
        <is>
          <t>diethylzinc, organozinc synthesis engineering reference</t>
        </is>
      </c>
    </row>
    <row r="598">
      <c r="A598" t="inlineStr">
        <is>
          <t>location</t>
        </is>
      </c>
      <c r="B598" t="inlineStr">
        <is>
          <t>GLO</t>
        </is>
      </c>
    </row>
    <row r="599">
      <c r="A599" t="inlineStr">
        <is>
          <t>production amount</t>
        </is>
      </c>
      <c r="B599">
        <v>1</v>
      </c>
    </row>
    <row r="600">
      <c r="A600" t="inlineStr">
        <is>
          <t>reference product</t>
        </is>
      </c>
      <c r="B600" t="inlineStr">
        <is>
          <t>diethylzinc, organozinc synthesis engineering reference</t>
        </is>
      </c>
    </row>
    <row r="601">
      <c r="A601" t="inlineStr">
        <is>
          <t>unit</t>
        </is>
      </c>
      <c r="B601" t="inlineStr">
        <is>
          <t>kilogram</t>
        </is>
      </c>
    </row>
    <row r="602">
      <c r="A602" t="inlineStr">
        <is>
          <t>source</t>
        </is>
      </c>
      <c r="B602" t="inlineStr">
        <is>
          <t>Pallas2020 SI S4 identifies diethylzinc8.5e-6kg/m2 MOVPE. CN100408584C Example1:600gZn,250mLEtI,250mLEtBr,10gCuI; reported trialyieldabout85%,not a measured semiconductorplant inventory. https://patents.google.com/patent/CN100408584C/en .</t>
        </is>
      </c>
    </row>
    <row r="603">
      <c r="A603" t="inlineStr">
        <is>
          <t>comment</t>
        </is>
      </c>
      <c r="B603" t="inlineStr">
        <is>
          <t>APPROVED DIETHYLZINC IDENTITY AND Zn FEED, issue83,2026-10-18. Pallas2020 SI S4 identifies diethylzinc8.5e-6kg/m2 MOVPE. CN100408584C Example1:600gZn,250mLEtI,250mLEtBr,10gCuI; reported trialyieldabout85%,not a measured semiconductorplant inventory. https://patents.google.com/patent/CN100408584C/en . Replace onlyMOVPEgenericorganicchemical8.5mg/m2 by the same mass of an explicitZn(C2H5)2 reference; retainedZn fraction=0.529375566783262. Do not add elementalZn on top of a complete DEZ supplier. Use the patentdirectZn/ethylhalide route as a namedengineeringvariant,not a claim of the actualPallas chemicalvendor. Convert250mL eachEtBr/EtI with explicitlyassumed20C densities1.46/1.94kg/L;sourcebatch0.365kgEtBr+0.485kgEtI+0.600kgZn+0.010kgCuI. IsolatednewDEZ=0.3390440898698082kg perbatch at85% of halide-limitedtheoreticalyield; patent doesnot report that exactkgoutput or allresiduefates.30gDEZinitiator is treatedasclosedcirculatingseed,not counted bothasnewoutput andnewfreshinput;initialseedstock/startup-loss allocation is a gap.95%versus85%yield sensitivity mustnot silentlychangeoldper-m2dosage. Use1kWh/kg productmanufacture as explicitheating,distillation/coolingallowance,plus0.05kgN2/kgproduct and0.01kgH2/kgproduct purge references;actualpurityupgrade,powderactivation,purgeflow,leaks andutilities remainunmeasured. NativeZnmarket is a bulkrefinedsupplyproxy,not certified6Npowder;semiconductor-gradepurification gap remains. No assumedclosedloopZn-saltorCuIrecovery; matchall grossZn/ethylhalide/CuImass notretainedin1kg producttoexistingmixedhazardouswasteprovider with no metalcredit. MixedresiduecontainsZn/halides/Cu andunreactedmaterial;separateelementfates areunresolved. Buildmissingethylhalides via balancedEtOH+HX-&gt;EtX+H2O precursorreferences,withHX fromH2+halogen andCuIfromCu+I;these are explicit100%stoichiometric precursorconversionreferences,not measuredindustrialyields. Their1kWh/kgHX/CuI and0.5kWh/kgEtX processingallowances andwastewaterwateroutflow are engineeringproxies. Testprecursoryields90-100%;do not claim industrialrecipe closure because elementalbalances close. UsepetrochemicalethanolRER,realBr/I/Cu/H2feeds,not genericorganicchemical as missingZn substitute. Preserve sourceoperatingnanowirearea afterissue76 andallotherMOVPEinputs. Highpuritymetal,saltrecycling,pyrophoricreagent losses andactualcarrier-solvent grade requirefuturedata. No native,runtime,YAML or primary-secondaryshare edits.</t>
        </is>
      </c>
    </row>
    <row r="604">
      <c r="A604" t="inlineStr">
        <is>
          <t>Exchanges</t>
        </is>
      </c>
    </row>
    <row r="605">
      <c r="A605" t="inlineStr">
        <is>
          <t>name</t>
        </is>
      </c>
      <c r="B605" t="inlineStr">
        <is>
          <t>amount</t>
        </is>
      </c>
      <c r="C605" t="inlineStr">
        <is>
          <t>location</t>
        </is>
      </c>
      <c r="D605" t="inlineStr">
        <is>
          <t>unit</t>
        </is>
      </c>
      <c r="E605" t="inlineStr">
        <is>
          <t>categories</t>
        </is>
      </c>
      <c r="F605" t="inlineStr">
        <is>
          <t>type</t>
        </is>
      </c>
      <c r="G605" t="inlineStr">
        <is>
          <t>reference product</t>
        </is>
      </c>
      <c r="H605" t="inlineStr">
        <is>
          <t>comment</t>
        </is>
      </c>
      <c r="I605" t="inlineStr">
        <is>
          <t>product</t>
        </is>
      </c>
    </row>
    <row r="606">
      <c r="A606" t="inlineStr">
        <is>
          <t>diethylzinc, organozinc synthesis engineering reference</t>
        </is>
      </c>
      <c r="B606">
        <v>1</v>
      </c>
      <c r="C606" t="inlineStr">
        <is>
          <t>GLO</t>
        </is>
      </c>
      <c r="D606" t="inlineStr">
        <is>
          <t>kilogram</t>
        </is>
      </c>
      <c r="F606" t="inlineStr">
        <is>
          <t>production</t>
        </is>
      </c>
      <c r="G606" t="inlineStr">
        <is>
          <t>diethylzinc, organozinc synthesis engineering reference</t>
        </is>
      </c>
      <c r="I606" t="inlineStr">
        <is>
          <t>diethylzinc, organozinc synthesis engineering reference</t>
        </is>
      </c>
    </row>
    <row r="607">
      <c r="A607" t="inlineStr">
        <is>
          <t>market for zinc</t>
        </is>
      </c>
      <c r="B607">
        <v>1.7696813421239639</v>
      </c>
      <c r="C607" t="inlineStr">
        <is>
          <t>GLO</t>
        </is>
      </c>
      <c r="D607" t="inlineStr">
        <is>
          <t>kilogram</t>
        </is>
      </c>
      <c r="F607" t="inlineStr">
        <is>
          <t>technosphere</t>
        </is>
      </c>
      <c r="G607" t="inlineStr">
        <is>
          <t>zinc</t>
        </is>
      </c>
      <c r="I607" t="inlineStr">
        <is>
          <t>zinc</t>
        </is>
      </c>
    </row>
    <row r="608">
      <c r="A608" t="inlineStr">
        <is>
          <t>ethyl bromide, ethanol route engineering reference</t>
        </is>
      </c>
      <c r="B608">
        <v>1.076556149792078</v>
      </c>
      <c r="C608" t="inlineStr">
        <is>
          <t>GLO</t>
        </is>
      </c>
      <c r="D608" t="inlineStr">
        <is>
          <t>kilogram</t>
        </is>
      </c>
      <c r="F608" t="inlineStr">
        <is>
          <t>technosphere</t>
        </is>
      </c>
      <c r="G608" t="inlineStr">
        <is>
          <t>ethyl bromide, ethanol route engineering reference</t>
        </is>
      </c>
      <c r="I608" t="inlineStr">
        <is>
          <t>ethyl bromide, ethanol route engineering reference</t>
        </is>
      </c>
    </row>
    <row r="609">
      <c r="A609" t="inlineStr">
        <is>
          <t>ethyl iodide, ethanol route engineering reference</t>
        </is>
      </c>
      <c r="B609">
        <v>1.4304924182168708</v>
      </c>
      <c r="C609" t="inlineStr">
        <is>
          <t>GLO</t>
        </is>
      </c>
      <c r="D609" t="inlineStr">
        <is>
          <t>kilogram</t>
        </is>
      </c>
      <c r="F609" t="inlineStr">
        <is>
          <t>technosphere</t>
        </is>
      </c>
      <c r="G609" t="inlineStr">
        <is>
          <t>ethyl iodide, ethanol route engineering reference</t>
        </is>
      </c>
      <c r="I609" t="inlineStr">
        <is>
          <t>ethyl iodide, ethanol route engineering reference</t>
        </is>
      </c>
    </row>
    <row r="610">
      <c r="A610" t="inlineStr">
        <is>
          <t>copper iodide, catalyst engineering reference</t>
        </is>
      </c>
      <c r="B610">
        <v>0.029494689035399396</v>
      </c>
      <c r="C610" t="inlineStr">
        <is>
          <t>GLO</t>
        </is>
      </c>
      <c r="D610" t="inlineStr">
        <is>
          <t>kilogram</t>
        </is>
      </c>
      <c r="F610" t="inlineStr">
        <is>
          <t>technosphere</t>
        </is>
      </c>
      <c r="G610" t="inlineStr">
        <is>
          <t>copper iodide, catalyst engineering reference</t>
        </is>
      </c>
      <c r="I610" t="inlineStr">
        <is>
          <t>copper iodide, catalyst engineering reference</t>
        </is>
      </c>
    </row>
    <row r="611">
      <c r="A611" t="inlineStr">
        <is>
          <t>market for hazardous waste, for incineration</t>
        </is>
      </c>
      <c r="B611">
        <v>-3.3062245991683117</v>
      </c>
      <c r="C611" t="inlineStr">
        <is>
          <t>RoW</t>
        </is>
      </c>
      <c r="D611" t="inlineStr">
        <is>
          <t>kilogram</t>
        </is>
      </c>
      <c r="F611" t="inlineStr">
        <is>
          <t>technosphere</t>
        </is>
      </c>
      <c r="G611" t="inlineStr">
        <is>
          <t>hazardous waste, for incineration</t>
        </is>
      </c>
      <c r="I611" t="inlineStr">
        <is>
          <t>hazardous waste, for incineration</t>
        </is>
      </c>
    </row>
    <row r="612">
      <c r="A612" t="inlineStr">
        <is>
          <t>market for nitrogen, liquid</t>
        </is>
      </c>
      <c r="B612">
        <v>0.05</v>
      </c>
      <c r="C612" t="inlineStr">
        <is>
          <t>RER</t>
        </is>
      </c>
      <c r="D612" t="inlineStr">
        <is>
          <t>kilogram</t>
        </is>
      </c>
      <c r="F612" t="inlineStr">
        <is>
          <t>technosphere</t>
        </is>
      </c>
      <c r="G612" t="inlineStr">
        <is>
          <t>nitrogen, liquid</t>
        </is>
      </c>
      <c r="I612" t="inlineStr">
        <is>
          <t>nitrogen, liquid</t>
        </is>
      </c>
    </row>
    <row r="613">
      <c r="A613" t="inlineStr">
        <is>
          <t>market for hydrogen, gaseous, low pressure</t>
        </is>
      </c>
      <c r="B613">
        <v>0.01</v>
      </c>
      <c r="C613" t="inlineStr">
        <is>
          <t>RER</t>
        </is>
      </c>
      <c r="D613" t="inlineStr">
        <is>
          <t>kilogram</t>
        </is>
      </c>
      <c r="F613" t="inlineStr">
        <is>
          <t>technosphere</t>
        </is>
      </c>
      <c r="G613" t="inlineStr">
        <is>
          <t>hydrogen, gaseous, low pressure</t>
        </is>
      </c>
      <c r="I613" t="inlineStr">
        <is>
          <t>hydrogen, gaseous, low pressure</t>
        </is>
      </c>
    </row>
    <row r="614">
      <c r="A614" t="inlineStr">
        <is>
          <t>market group for electricity, medium voltage</t>
        </is>
      </c>
      <c r="B614">
        <v>1</v>
      </c>
      <c r="C614" t="inlineStr">
        <is>
          <t>GLO</t>
        </is>
      </c>
      <c r="D614" t="inlineStr">
        <is>
          <t>kilowatt hour</t>
        </is>
      </c>
      <c r="F614" t="inlineStr">
        <is>
          <t>technosphere</t>
        </is>
      </c>
      <c r="G614" t="inlineStr">
        <is>
          <t>electricity, medium voltage</t>
        </is>
      </c>
      <c r="I614" t="inlineStr">
        <is>
          <t>electricity, medium voltage</t>
        </is>
      </c>
    </row>
    <row r="617">
      <c r="A617" t="inlineStr">
        <is>
          <t>Activity</t>
        </is>
      </c>
      <c r="B617" t="inlineStr">
        <is>
          <t>arsine-to-arsenic purification, source-yield engineering reference</t>
        </is>
      </c>
    </row>
    <row r="618">
      <c r="A618" t="inlineStr">
        <is>
          <t>location</t>
        </is>
      </c>
      <c r="B618" t="inlineStr">
        <is>
          <t>GLO</t>
        </is>
      </c>
    </row>
    <row r="619">
      <c r="A619" t="inlineStr">
        <is>
          <t>production amount</t>
        </is>
      </c>
      <c r="B619">
        <v>1</v>
      </c>
    </row>
    <row r="620">
      <c r="A620" t="inlineStr">
        <is>
          <t>reference product</t>
        </is>
      </c>
      <c r="B620" t="inlineStr">
        <is>
          <t>arsine-to-arsenic purification, source-yield engineering reference</t>
        </is>
      </c>
    </row>
    <row r="621">
      <c r="A621" t="inlineStr">
        <is>
          <t>unit</t>
        </is>
      </c>
      <c r="B621" t="inlineStr">
        <is>
          <t>kilogram</t>
        </is>
      </c>
    </row>
    <row r="622">
      <c r="A622" t="inlineStr">
        <is>
          <t>source</t>
        </is>
      </c>
      <c r="B622" t="inlineStr">
        <is>
          <t>Pallas et al.2020, DOI10.1007/s11367-020-01791-z, SI S6. https://media.springernature.com/full/springer-static/esm/art%3A10.1007%2Fs11367-020-01791-z/MediaObjects/11367_2020_1791_MOESM1_ESM.docx .</t>
        </is>
      </c>
    </row>
    <row r="623">
      <c r="A623" t="inlineStr">
        <is>
          <t>comment</t>
        </is>
      </c>
      <c r="B623" t="inlineStr">
        <is>
          <t>APPROVED ARSENIC-EQUIVALENT ARSINE FEED, issue111,2026-10-18. Pallas et al.2020, DOI10.1007/s11367-020-01791-z, SI S6. https://media.springernature.com/full/springer-static/esm/art%3A10.1007%2Fs11367-020-01791-z/MediaObjects/11367_2020_1791_MOESM1_ESM.docx . Source explicitly specifies1.4705882kg elemental2N arsenic and calls for about1.53kgAsH3 when using arsineproduction as proxy. Current workbook copied1.4705882kg without compoundconversion. Use atomicmasses As74.921595,H1.008:Asfraction=0.9612037088176696 andarsinefeed=1.5299443671611501kg per1kg7NAs. Preserve source elementalfeed and impliedpurificationretention1/1.4705882~68%;do not accidentallytreatcompoundreplacement as100%Asrecovery. Add explicit netAsH3-&gt;As+1.5H2 conversion:elementalAsreject=0.4705881999999999kg toexisting hazardousunderground-disposalproxy,hydrogenreleasedfromfeed=0.05935616716115022kg biosphereair. This is a chemicallydefined engineeringconversion/fate,not validatedindustrialarsine-based7Nrefining. Sourcepreferenceisoriginalmetallic2NAs purification;actualhighpurityfeedrouteandpurificationutilitiesrequireoriginalSmith2018 processdata. Keep8.1176471kWh andoriginalexternalH2.0941176kg,Ar.0470588kg as existingpurification/purge allowances;theirrecycle/ventfates areunresolved,notclaimedatomclosedfornonreactivepurge. Do not subtractgeneratedH2 fromexternalpurge orcredit hydrogenmarket without evidencedcapturequality. AddedAsreject isnotanextra retainedproduct orrecyclingcredit. No change7NAs1kgoutput,GaAs boulecomposition,downstreamyield,nanowireAsH3dose,lifetime/substratereuse orprimary/secondaryshares. SourceAsfraction.961rounds to1.53kg;exactmolarconversionusedratherthanrounded1.53. Existingworkbookonly,no runtime/native edits.</t>
        </is>
      </c>
    </row>
    <row r="624">
      <c r="A624" t="inlineStr">
        <is>
          <t>Exchanges</t>
        </is>
      </c>
    </row>
    <row r="625">
      <c r="A625" t="inlineStr">
        <is>
          <t>name</t>
        </is>
      </c>
      <c r="B625" t="inlineStr">
        <is>
          <t>amount</t>
        </is>
      </c>
      <c r="C625" t="inlineStr">
        <is>
          <t>location</t>
        </is>
      </c>
      <c r="D625" t="inlineStr">
        <is>
          <t>unit</t>
        </is>
      </c>
      <c r="E625" t="inlineStr">
        <is>
          <t>categories</t>
        </is>
      </c>
      <c r="F625" t="inlineStr">
        <is>
          <t>type</t>
        </is>
      </c>
      <c r="G625" t="inlineStr">
        <is>
          <t>reference product</t>
        </is>
      </c>
      <c r="H625" t="inlineStr">
        <is>
          <t>comment</t>
        </is>
      </c>
      <c r="I625" t="inlineStr">
        <is>
          <t>product</t>
        </is>
      </c>
    </row>
    <row r="626">
      <c r="A626" t="inlineStr">
        <is>
          <t>arsine-to-arsenic purification, source-yield engineering reference</t>
        </is>
      </c>
      <c r="B626">
        <v>1</v>
      </c>
      <c r="C626" t="inlineStr">
        <is>
          <t>GLO</t>
        </is>
      </c>
      <c r="D626" t="inlineStr">
        <is>
          <t>kilogram</t>
        </is>
      </c>
      <c r="F626" t="inlineStr">
        <is>
          <t>production</t>
        </is>
      </c>
      <c r="G626" t="inlineStr">
        <is>
          <t>arsine-to-arsenic purification, source-yield engineering reference</t>
        </is>
      </c>
      <c r="I626" t="inlineStr">
        <is>
          <t>arsine-to-arsenic purification, source-yield engineering reference</t>
        </is>
      </c>
    </row>
    <row r="627">
      <c r="A627" t="inlineStr">
        <is>
          <t>arsine production</t>
        </is>
      </c>
      <c r="B627">
        <v>1.5299443671611501</v>
      </c>
      <c r="C627" t="inlineStr">
        <is>
          <t>GLO</t>
        </is>
      </c>
      <c r="D627" t="inlineStr">
        <is>
          <t>kilogram</t>
        </is>
      </c>
      <c r="F627" t="inlineStr">
        <is>
          <t>technosphere</t>
        </is>
      </c>
      <c r="G627" t="inlineStr">
        <is>
          <t>arsine</t>
        </is>
      </c>
      <c r="I627" t="inlineStr">
        <is>
          <t>arsine</t>
        </is>
      </c>
    </row>
    <row r="628">
      <c r="A628" t="inlineStr">
        <is>
          <t>treatment of hazardous waste, underground deposit</t>
        </is>
      </c>
      <c r="B628">
        <v>-0.4705881999999999</v>
      </c>
      <c r="C628" t="inlineStr">
        <is>
          <t>RoW</t>
        </is>
      </c>
      <c r="D628" t="inlineStr">
        <is>
          <t>kilogram</t>
        </is>
      </c>
      <c r="F628" t="inlineStr">
        <is>
          <t>technosphere</t>
        </is>
      </c>
      <c r="G628" t="inlineStr">
        <is>
          <t>hazardous waste, for underground deposit</t>
        </is>
      </c>
      <c r="I628" t="inlineStr">
        <is>
          <t>hazardous waste, for underground deposit</t>
        </is>
      </c>
    </row>
    <row r="629">
      <c r="A629" t="inlineStr">
        <is>
          <t>Hydrogen</t>
        </is>
      </c>
      <c r="B629">
        <v>0.05935616716115022</v>
      </c>
      <c r="D629" t="inlineStr">
        <is>
          <t>kilogram</t>
        </is>
      </c>
      <c r="E629" t="inlineStr">
        <is>
          <t>air::non-urban air or from high stacks</t>
        </is>
      </c>
      <c r="F629" t="inlineStr">
        <is>
          <t>biosphere</t>
        </is>
      </c>
      <c r="H629" t="inlineStr">
        <is>
          <t>APPROVED ARSENIC-EQUIVALENT ARSINE FEED, issue111,2026-10-18. Pallas et al.2020, DOI10.1007/s11367-020-01791-z, SI S6. https://media.springernature.com/full/springer-static/esm/art%3A10.1007%2Fs11367-020-01791-z/MediaObjects/11367_2020_1791_MOESM1_ESM.docx . Source explicitly specifies1.4705882kg elemental2N arsenic and calls for about1.53kgAsH3 when using arsineproduction as proxy. Current workbook copied1.4705882kg without compoundconversion. Use atomicmasses As74.921595,H1.008:Asfraction=0.9612037088176696 andarsinefeed=1.5299443671611501kg per1kg7NAs. Preserve source elementalfeed and impliedpurificationretention1/1.4705882~68%;do not accidentallytreatcompoundreplacement as100%Asrecovery. Add explicit netAsH3-&gt;As+1.5H2 conversion:elementalAsreject=0.4705881999999999kg toexisting hazardousunderground-disposalproxy,hydrogenreleasedfromfeed=0.05935616716115022kg biosphereair. This is a chemicallydefined engineeringconversion/fate,not validatedindustrialarsine-based7Nrefining. Sourcepreferenceisoriginalmetallic2NAs purification;actualhighpurityfeedrouteandpurificationutilitiesrequireoriginalSmith2018 processdata. Keep8.1176471kWh andoriginalexternalH2.0941176kg,Ar.0470588kg as existingpurification/purge allowances;theirrecycle/ventfates areunresolved,notclaimedatomclosedfornonreactivepurge. Do not subtractgeneratedH2 fromexternalpurge orcredit hydrogenmarket without evidencedcapturequality. AddedAsreject isnotanextra retainedproduct orrecyclingcredit. No change7NAs1kgoutput,GaAs boulecomposition,downstreamyield,nanowireAsH3dose,lifetime/substratereuse orprimary/secondaryshares. SourceAsfraction.961rounds to1.53kg;exactmolarconversionusedratherthanrounded1.53. Existingworkbookonly,no runtime/native edits.</t>
        </is>
      </c>
    </row>
    <row r="632">
      <c r="A632" t="inlineStr">
        <is>
          <t>Activity</t>
        </is>
      </c>
      <c r="B632" t="inlineStr">
        <is>
          <t>boron trichloride, carbochlorination engineering reference</t>
        </is>
      </c>
    </row>
    <row r="633">
      <c r="A633" t="inlineStr">
        <is>
          <t>location</t>
        </is>
      </c>
      <c r="B633" t="inlineStr">
        <is>
          <t>GLO</t>
        </is>
      </c>
    </row>
    <row r="634">
      <c r="A634" t="inlineStr">
        <is>
          <t>production amount</t>
        </is>
      </c>
      <c r="B634">
        <v>1</v>
      </c>
    </row>
    <row r="635">
      <c r="A635" t="inlineStr">
        <is>
          <t>reference product</t>
        </is>
      </c>
      <c r="B635" t="inlineStr">
        <is>
          <t>boron trichloride, carbochlorination engineering reference</t>
        </is>
      </c>
    </row>
    <row r="636">
      <c r="A636" t="inlineStr">
        <is>
          <t>unit</t>
        </is>
      </c>
      <c r="B636" t="inlineStr">
        <is>
          <t>kilogram</t>
        </is>
      </c>
    </row>
    <row r="637">
      <c r="A637" t="inlineStr">
        <is>
          <t>source</t>
        </is>
      </c>
      <c r="B637" t="inlineStr">
        <is>
          <t>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t>
        </is>
      </c>
    </row>
    <row r="638">
      <c r="A638" t="inlineStr">
        <is>
          <t>comment</t>
        </is>
      </c>
      <c r="B638" t="inlineStr">
        <is>
          <t>APPROVED PYROLYTIC BORON NITRIDE CRUCIBLE SUPPLY, issue112,2026-10-18. 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 pBN=BN,notB4C:boronmassfraction=0.4355885078776645 ratherthan0.7826102694973847. ReplaceonlyactivebalancedpolycrystallineGaAsandsinglecrystalgrowthcrucibleinputs atsame.01kg/kg boule withfinishedpBNreference. Oldlegacyunbalancedbouleprovider remainsavailablebutunusedbyactivecrystalgrowth;doNOTdoublecorrectitsunrelatedGaAsfeed. Preserve.01kgcrucibleEOLineachgrowthstage;changingceramicsupplierdoesnotaddanothercrucibleEOL. Existinggenericundergroundhazardoustreatment isfateproxy,notnewrecoverycredit.
 CVDreference50%boronprecursordepositionutilization and95%finishedsolidretention,notindustrialmeasurements;NH3:BCl3molarratio4frompatentexample. Grossprecursorfeedper1grossBN:2BCl3+8NH3. OneBCl3 reactswithoneNH3 -&gt;BN+3HCl;otherBCl3 hydrolyzeswith3H2O -&gt;H3BO3+3HCl. SixremainingNH3 neutralizes6HCl -&gt;6NH4Cl;oneextraNH3 isneutralizedwith.5H2SO4 -&gt;.5(NH4)2SO4. Net2BCl3+8NH3+3H2O+.5H2SO4 -&gt;BN+H3BO3+6NH4Cl+.5(NH4)2SO4. Atomandmassbalanced;Bdeposited50%,finishedBN95%ofdepositedsolid. AllunretainedB/N/Clcapturedaswetbrineis100%collectionREFERENCE,notmeasuredabatementefficiency;actualfugitiveNH3/HClrequiresdata. Testboronutilization10-90%,retention90-100%,gasratio2-5 andcapture95-100%withrecalculatedchemistry/fates,notindependentquantitymultipliers.
 Select25kWfurnace*20h/2kgfinishedbatch=250kWh/kgpBN,explicitengineeringutilitynotpatentmeasuredpower. Test100-1000kWh/kg;finishedbatchmassanddepositionareaareassumed,notrecoveredcommercialplantdata. Retainnonconsumedgraphitemandrelas2kgtool/kgperbatch with100productiveuses=.02kgfreshtool/kgpBN andequalspenttoolmass;reuse10-500uses sensitivity. Mandrelgeometry/roughnessandpuritynotvalidated. Scrub100kgwashwater/kgpBNplusstoichiometrichydrolysiswater;assumebrinedensity1100kg/m3,test1000-1250. Capturedbrineboricacid,NH4Cl,andammoniumsulfatecompositionexplicitbelow. Genericindustrial-averageWWT isUNVALIDATEDforhighsalinity/boron/ammonia;itrepresentscollection/treatmentdemand,notprovenremovalefficiencyorcorrectliquidelementemissions. No fictitiousmetalsrecoveryorhalidesubstitutioncredits.
 BuildmissingBCl3viaB2O3+3C+3Cl2-&gt;2BCl3+3CO.100%stoichiometricconversionand1kWh+3MJ/kgBCl3areengineeringlower-boundprecursorsupplyreferences;semiconductorgradepurification,reagentexcess,phosgenepurificationandplantyieldunknown. COplacedasstoichiometricairoutputinthisreference;actualthermaloxidation/abatementmustbesensitivityreviewed,notclaimedmeasuredindustrialemissions. Boricoxideandgraphitesuppliersarefeed-gradeproxies. No silentlypurchasedbulkBNpowderandclaimCVDmanufacture. Existingworkbookonly;no runtime/native/primarysecondarychanges.</t>
        </is>
      </c>
    </row>
    <row r="639">
      <c r="A639" t="inlineStr">
        <is>
          <t>Exchanges</t>
        </is>
      </c>
    </row>
    <row r="640">
      <c r="A640" t="inlineStr">
        <is>
          <t>name</t>
        </is>
      </c>
      <c r="B640" t="inlineStr">
        <is>
          <t>amount</t>
        </is>
      </c>
      <c r="C640" t="inlineStr">
        <is>
          <t>location</t>
        </is>
      </c>
      <c r="D640" t="inlineStr">
        <is>
          <t>unit</t>
        </is>
      </c>
      <c r="E640" t="inlineStr">
        <is>
          <t>categories</t>
        </is>
      </c>
      <c r="F640" t="inlineStr">
        <is>
          <t>type</t>
        </is>
      </c>
      <c r="G640" t="inlineStr">
        <is>
          <t>reference product</t>
        </is>
      </c>
      <c r="H640" t="inlineStr">
        <is>
          <t>comment</t>
        </is>
      </c>
      <c r="I640" t="inlineStr">
        <is>
          <t>product</t>
        </is>
      </c>
    </row>
    <row r="641">
      <c r="A641" t="inlineStr">
        <is>
          <t>boron trichloride, carbochlorination engineering reference</t>
        </is>
      </c>
      <c r="B641">
        <v>1</v>
      </c>
      <c r="C641" t="inlineStr">
        <is>
          <t>GLO</t>
        </is>
      </c>
      <c r="D641" t="inlineStr">
        <is>
          <t>kilogram</t>
        </is>
      </c>
      <c r="F641" t="inlineStr">
        <is>
          <t>production</t>
        </is>
      </c>
      <c r="G641" t="inlineStr">
        <is>
          <t>boron trichloride, carbochlorination engineering reference</t>
        </is>
      </c>
      <c r="I641" t="inlineStr">
        <is>
          <t>boron trichloride, carbochlorination engineering reference</t>
        </is>
      </c>
    </row>
    <row r="642">
      <c r="A642" t="inlineStr">
        <is>
          <t>boric oxide production</t>
        </is>
      </c>
      <c r="B642">
        <v>0.29710225332878115</v>
      </c>
      <c r="C642" t="inlineStr">
        <is>
          <t>GLO</t>
        </is>
      </c>
      <c r="D642" t="inlineStr">
        <is>
          <t>kilogram</t>
        </is>
      </c>
      <c r="F642" t="inlineStr">
        <is>
          <t>technosphere</t>
        </is>
      </c>
      <c r="G642" t="inlineStr">
        <is>
          <t>boric oxide</t>
        </is>
      </c>
      <c r="I642" t="inlineStr">
        <is>
          <t>boric oxide</t>
        </is>
      </c>
    </row>
    <row r="643">
      <c r="A643" t="inlineStr">
        <is>
          <t>market for graphite</t>
        </is>
      </c>
      <c r="B643">
        <v>0.15377688630932057</v>
      </c>
      <c r="C643" t="inlineStr">
        <is>
          <t>GLO</t>
        </is>
      </c>
      <c r="D643" t="inlineStr">
        <is>
          <t>kilogram</t>
        </is>
      </c>
      <c r="F643" t="inlineStr">
        <is>
          <t>technosphere</t>
        </is>
      </c>
      <c r="G643" t="inlineStr">
        <is>
          <t>graphite</t>
        </is>
      </c>
      <c r="I643" t="inlineStr">
        <is>
          <t>graphite</t>
        </is>
      </c>
    </row>
    <row r="644">
      <c r="A644" t="inlineStr">
        <is>
          <t>market for chlorine, liquid</t>
        </is>
      </c>
      <c r="B644">
        <v>0.9077330146807784</v>
      </c>
      <c r="C644" t="inlineStr">
        <is>
          <t>RER</t>
        </is>
      </c>
      <c r="D644" t="inlineStr">
        <is>
          <t>kilogram</t>
        </is>
      </c>
      <c r="F644" t="inlineStr">
        <is>
          <t>technosphere</t>
        </is>
      </c>
      <c r="G644" t="inlineStr">
        <is>
          <t>chlorine, liquid</t>
        </is>
      </c>
      <c r="I644" t="inlineStr">
        <is>
          <t>chlorine, liquid</t>
        </is>
      </c>
    </row>
    <row r="645">
      <c r="A645" t="inlineStr">
        <is>
          <t>market group for electricity, medium voltage</t>
        </is>
      </c>
      <c r="B645">
        <v>1</v>
      </c>
      <c r="C645" t="inlineStr">
        <is>
          <t>GLO</t>
        </is>
      </c>
      <c r="D645" t="inlineStr">
        <is>
          <t>kilowatt hour</t>
        </is>
      </c>
      <c r="F645" t="inlineStr">
        <is>
          <t>technosphere</t>
        </is>
      </c>
      <c r="G645" t="inlineStr">
        <is>
          <t>electricity, medium voltage</t>
        </is>
      </c>
      <c r="I645" t="inlineStr">
        <is>
          <t>electricity, medium voltage</t>
        </is>
      </c>
    </row>
    <row r="646">
      <c r="A646" t="inlineStr">
        <is>
          <t>market for heat, district or industrial, natural gas</t>
        </is>
      </c>
      <c r="B646">
        <v>3</v>
      </c>
      <c r="C646" t="inlineStr">
        <is>
          <t>RoW</t>
        </is>
      </c>
      <c r="D646" t="inlineStr">
        <is>
          <t>megajoule</t>
        </is>
      </c>
      <c r="F646" t="inlineStr">
        <is>
          <t>technosphere</t>
        </is>
      </c>
      <c r="G646" t="inlineStr">
        <is>
          <t>heat, district or industrial, natural gas</t>
        </is>
      </c>
      <c r="I646" t="inlineStr">
        <is>
          <t>heat, district or industrial, natural gas</t>
        </is>
      </c>
    </row>
    <row r="647">
      <c r="A647" t="inlineStr">
        <is>
          <t>Carbon monoxide, fossil</t>
        </is>
      </c>
      <c r="B647">
        <v>0.35861215431888016</v>
      </c>
      <c r="D647" t="inlineStr">
        <is>
          <t>kilogram</t>
        </is>
      </c>
      <c r="E647" t="inlineStr">
        <is>
          <t>air::non-urban air or from high stacks</t>
        </is>
      </c>
      <c r="F647" t="inlineStr">
        <is>
          <t>biosphere</t>
        </is>
      </c>
      <c r="H647" t="inlineStr">
        <is>
          <t>APPROVED PYROLYTIC BORON NITRIDE CRUCIBLE SUPPLY, issue112,2026-10-18. 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 pBN=BN,notB4C:boronmassfraction=0.4355885078776645 ratherthan0.7826102694973847. ReplaceonlyactivebalancedpolycrystallineGaAsandsinglecrystalgrowthcrucibleinputs atsame.01kg/kg boule withfinishedpBNreference. Oldlegacyunbalancedbouleprovider remainsavailablebutunusedbyactivecrystalgrowth;doNOTdoublecorrectitsunrelatedGaAsfeed. Preserve.01kgcrucibleEOLineachgrowthstage;changingceramicsupplierdoesnotaddanothercrucibleEOL. Existinggenericundergroundhazardoustreatment isfateproxy,notnewrecoverycredit.
 CVDreference50%boronprecursordepositionutilization and95%finishedsolidretention,notindustrialmeasurements;NH3:BCl3molarratio4frompatentexample. Grossprecursorfeedper1grossBN:2BCl3+8NH3. OneBCl3 reactswithoneNH3 -&gt;BN+3HCl;otherBCl3 hydrolyzeswith3H2O -&gt;H3BO3+3HCl. SixremainingNH3 neutralizes6HCl -&gt;6NH4Cl;oneextraNH3 isneutralizedwith.5H2SO4 -&gt;.5(NH4)2SO4. Net2BCl3+8NH3+3H2O+.5H2SO4 -&gt;BN+H3BO3+6NH4Cl+.5(NH4)2SO4. Atomandmassbalanced;Bdeposited50%,finishedBN95%ofdepositedsolid. AllunretainedB/N/Clcapturedaswetbrineis100%collectionREFERENCE,notmeasuredabatementefficiency;actualfugitiveNH3/HClrequiresdata. Testboronutilization10-90%,retention90-100%,gasratio2-5 andcapture95-100%withrecalculatedchemistry/fates,notindependentquantitymultipliers.
 Select25kWfurnace*20h/2kgfinishedbatch=250kWh/kgpBN,explicitengineeringutilitynotpatentmeasuredpower. Test100-1000kWh/kg;finishedbatchmassanddepositionareaareassumed,notrecoveredcommercialplantdata. Retainnonconsumedgraphitemandrelas2kgtool/kgperbatch with100productiveuses=.02kgfreshtool/kgpBN andequalspenttoolmass;reuse10-500uses sensitivity. Mandrelgeometry/roughnessandpuritynotvalidated. Scrub100kgwashwater/kgpBNplusstoichiometrichydrolysiswater;assumebrinedensity1100kg/m3,test1000-1250. Capturedbrineboricacid,NH4Cl,andammoniumsulfatecompositionexplicitbelow. Genericindustrial-averageWWT isUNVALIDATEDforhighsalinity/boron/ammonia;itrepresentscollection/treatmentdemand,notprovenremovalefficiencyorcorrectliquidelementemissions. No fictitiousmetalsrecoveryorhalidesubstitutioncredits.
 BuildmissingBCl3viaB2O3+3C+3Cl2-&gt;2BCl3+3CO.100%stoichiometricconversionand1kWh+3MJ/kgBCl3areengineeringlower-boundprecursorsupplyreferences;semiconductorgradepurification,reagentexcess,phosgenepurificationandplantyieldunknown. COplacedasstoichiometricairoutputinthisreference;actualthermaloxidation/abatementmustbesensitivityreviewed,notclaimedmeasuredindustrialemissions. Boricoxideandgraphitesuppliersarefeed-gradeproxies. No silentlypurchasedbulkBNpowderandclaimCVDmanufacture. Existingworkbookonly;no runtime/native/primarysecondarychanges.</t>
        </is>
      </c>
    </row>
    <row r="650">
      <c r="A650" t="inlineStr">
        <is>
          <t>Activity</t>
        </is>
      </c>
      <c r="B650" t="inlineStr">
        <is>
          <t>pyrolytic boron nitride crucible, CVD engineering reference</t>
        </is>
      </c>
    </row>
    <row r="651">
      <c r="A651" t="inlineStr">
        <is>
          <t>location</t>
        </is>
      </c>
      <c r="B651" t="inlineStr">
        <is>
          <t>GLO</t>
        </is>
      </c>
    </row>
    <row r="652">
      <c r="A652" t="inlineStr">
        <is>
          <t>production amount</t>
        </is>
      </c>
      <c r="B652">
        <v>1</v>
      </c>
    </row>
    <row r="653">
      <c r="A653" t="inlineStr">
        <is>
          <t>reference product</t>
        </is>
      </c>
      <c r="B653" t="inlineStr">
        <is>
          <t>pyrolytic boron nitride crucible, CVD engineering reference</t>
        </is>
      </c>
    </row>
    <row r="654">
      <c r="A654" t="inlineStr">
        <is>
          <t>unit</t>
        </is>
      </c>
      <c r="B654" t="inlineStr">
        <is>
          <t>kilogram</t>
        </is>
      </c>
    </row>
    <row r="655">
      <c r="A655" t="inlineStr">
        <is>
          <t>source</t>
        </is>
      </c>
      <c r="B655" t="inlineStr">
        <is>
          <t>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t>
        </is>
      </c>
    </row>
    <row r="656">
      <c r="A656" t="inlineStr">
        <is>
          <t>comment</t>
        </is>
      </c>
      <c r="B656" t="inlineStr">
        <is>
          <t>APPROVED PYROLYTIC BORON NITRIDE CRUCIBLE SUPPLY, issue112,2026-10-18. Pallas2020 SI S6 labels pBN crucibles but usesB4C proxy. US4690841A demonstratesCVD BCl3/NH3 ongraphite at&gt;=1900C;EP0851042A2 example usesBCl31L/min,NH34L/min,20h,.8mm deposit. https://patents.google.com/patent/US4690841A/en ; https://data.epo.org/publication-server/rest/v1.2/publication-dates/19980701/patents/EP0851042NWA2/document.pdf . BCl3carbochlorination referencehttps://patents.google.com/patent/US4210631A/en . pBN=BN,notB4C:boronmassfraction=0.4355885078776645 ratherthan0.7826102694973847. ReplaceonlyactivebalancedpolycrystallineGaAsandsinglecrystalgrowthcrucibleinputs atsame.01kg/kg boule withfinishedpBNreference. Oldlegacyunbalancedbouleprovider remainsavailablebutunusedbyactivecrystalgrowth;doNOTdoublecorrectitsunrelatedGaAsfeed. Preserve.01kgcrucibleEOLineachgrowthstage;changingceramicsupplierdoesnotaddanothercrucibleEOL. Existinggenericundergroundhazardoustreatment isfateproxy,notnewrecoverycredit.
 CVDreference50%boronprecursordepositionutilization and95%finishedsolidretention,notindustrialmeasurements;NH3:BCl3molarratio4frompatentexample. Grossprecursorfeedper1grossBN:2BCl3+8NH3. OneBCl3 reactswithoneNH3 -&gt;BN+3HCl;otherBCl3 hydrolyzeswith3H2O -&gt;H3BO3+3HCl. SixremainingNH3 neutralizes6HCl -&gt;6NH4Cl;oneextraNH3 isneutralizedwith.5H2SO4 -&gt;.5(NH4)2SO4. Net2BCl3+8NH3+3H2O+.5H2SO4 -&gt;BN+H3BO3+6NH4Cl+.5(NH4)2SO4. Atomandmassbalanced;Bdeposited50%,finishedBN95%ofdepositedsolid. AllunretainedB/N/Clcapturedaswetbrineis100%collectionREFERENCE,notmeasuredabatementefficiency;actualfugitiveNH3/HClrequiresdata. Testboronutilization10-90%,retention90-100%,gasratio2-5 andcapture95-100%withrecalculatedchemistry/fates,notindependentquantitymultipliers.
 Select25kWfurnace*20h/2kgfinishedbatch=250kWh/kgpBN,explicitengineeringutilitynotpatentmeasuredpower. Test100-1000kWh/kg;finishedbatchmassanddepositionareaareassumed,notrecoveredcommercialplantdata. Retainnonconsumedgraphitemandrelas2kgtool/kgperbatch with100productiveuses=.02kgfreshtool/kgpBN andequalspenttoolmass;reuse10-500uses sensitivity. Mandrelgeometry/roughnessandpuritynotvalidated. Scrub100kgwashwater/kgpBNplusstoichiometrichydrolysiswater;assumebrinedensity1100kg/m3,test1000-1250. Capturedbrineboricacid,NH4Cl,andammoniumsulfatecompositionexplicitbelow. Genericindustrial-averageWWT isUNVALIDATEDforhighsalinity/boron/ammonia;itrepresentscollection/treatmentdemand,notprovenremovalefficiencyorcorrectliquidelementemissions. No fictitiousmetalsrecoveryorhalidesubstitutioncredits.
 BuildmissingBCl3viaB2O3+3C+3Cl2-&gt;2BCl3+3CO.100%stoichiometricconversionand1kWh+3MJ/kgBCl3areengineeringlower-boundprecursorsupplyreferences;semiconductorgradepurification,reagentexcess,phosgenepurificationandplantyieldunknown. COplacedasstoichiometricairoutputinthisreference;actualthermaloxidation/abatementmustbesensitivityreviewed,notclaimedmeasuredindustrialemissions. Boricoxideandgraphitesuppliersarefeed-gradeproxies. No silentlypurchasedbulkBNpowderandclaimCVDmanufacture. Existingworkbookonly;no runtime/native/primarysecondarychanges. Feedkg={'BCl3': 9.938857701533118, 'NH3': 5.7790606184639985, 'H2SO4': 2.0798985415345594, 'water': 102.29235901536086, 'graphite': 0.02};brinesoluteskg={'boric_acid': 2.6226080170002315, 'ammonium_chloride': 13.61265516210238, 'ammonium_sulfate': 2.802281118842559};brinemass=119.03754429794517kg;density1100-&gt;0.10821594936176834m3.</t>
        </is>
      </c>
    </row>
    <row r="657">
      <c r="A657" t="inlineStr">
        <is>
          <t>Exchanges</t>
        </is>
      </c>
    </row>
    <row r="658">
      <c r="A658" t="inlineStr">
        <is>
          <t>name</t>
        </is>
      </c>
      <c r="B658" t="inlineStr">
        <is>
          <t>amount</t>
        </is>
      </c>
      <c r="C658" t="inlineStr">
        <is>
          <t>location</t>
        </is>
      </c>
      <c r="D658" t="inlineStr">
        <is>
          <t>unit</t>
        </is>
      </c>
      <c r="E658" t="inlineStr">
        <is>
          <t>categories</t>
        </is>
      </c>
      <c r="F658" t="inlineStr">
        <is>
          <t>type</t>
        </is>
      </c>
      <c r="G658" t="inlineStr">
        <is>
          <t>reference product</t>
        </is>
      </c>
      <c r="H658" t="inlineStr">
        <is>
          <t>comment</t>
        </is>
      </c>
      <c r="I658" t="inlineStr">
        <is>
          <t>product</t>
        </is>
      </c>
    </row>
    <row r="659">
      <c r="A659" t="inlineStr">
        <is>
          <t>pyrolytic boron nitride crucible, CVD engineering reference</t>
        </is>
      </c>
      <c r="B659">
        <v>1</v>
      </c>
      <c r="C659" t="inlineStr">
        <is>
          <t>GLO</t>
        </is>
      </c>
      <c r="D659" t="inlineStr">
        <is>
          <t>kilogram</t>
        </is>
      </c>
      <c r="F659" t="inlineStr">
        <is>
          <t>production</t>
        </is>
      </c>
      <c r="G659" t="inlineStr">
        <is>
          <t>pyrolytic boron nitride crucible, CVD engineering reference</t>
        </is>
      </c>
      <c r="I659" t="inlineStr">
        <is>
          <t>pyrolytic boron nitride crucible, CVD engineering reference</t>
        </is>
      </c>
    </row>
    <row r="660">
      <c r="A660" t="inlineStr">
        <is>
          <t>boron trichloride, carbochlorination engineering reference</t>
        </is>
      </c>
      <c r="B660">
        <v>9.938857701533118</v>
      </c>
      <c r="C660" t="inlineStr">
        <is>
          <t>GLO</t>
        </is>
      </c>
      <c r="D660" t="inlineStr">
        <is>
          <t>kilogram</t>
        </is>
      </c>
      <c r="F660" t="inlineStr">
        <is>
          <t>technosphere</t>
        </is>
      </c>
      <c r="G660" t="inlineStr">
        <is>
          <t>boron trichloride, carbochlorination engineering reference</t>
        </is>
      </c>
      <c r="I660" t="inlineStr">
        <is>
          <t>boron trichloride, carbochlorination engineering reference</t>
        </is>
      </c>
    </row>
    <row r="661">
      <c r="A661" t="inlineStr">
        <is>
          <t>market for ammonia, anhydrous, liquid</t>
        </is>
      </c>
      <c r="B661">
        <v>5.7790606184639985</v>
      </c>
      <c r="C661" t="inlineStr">
        <is>
          <t>RER</t>
        </is>
      </c>
      <c r="D661" t="inlineStr">
        <is>
          <t>kilogram</t>
        </is>
      </c>
      <c r="F661" t="inlineStr">
        <is>
          <t>technosphere</t>
        </is>
      </c>
      <c r="G661" t="inlineStr">
        <is>
          <t>ammonia, anhydrous, liquid</t>
        </is>
      </c>
      <c r="I661" t="inlineStr">
        <is>
          <t>ammonia, anhydrous, liquid</t>
        </is>
      </c>
    </row>
    <row r="662">
      <c r="A662" t="inlineStr">
        <is>
          <t>market for sulfuric acid</t>
        </is>
      </c>
      <c r="B662">
        <v>2.0798985415345594</v>
      </c>
      <c r="C662" t="inlineStr">
        <is>
          <t>RER</t>
        </is>
      </c>
      <c r="D662" t="inlineStr">
        <is>
          <t>kilogram</t>
        </is>
      </c>
      <c r="F662" t="inlineStr">
        <is>
          <t>technosphere</t>
        </is>
      </c>
      <c r="G662" t="inlineStr">
        <is>
          <t>sulfuric acid</t>
        </is>
      </c>
      <c r="I662" t="inlineStr">
        <is>
          <t>sulfuric acid</t>
        </is>
      </c>
    </row>
    <row r="663">
      <c r="A663" t="inlineStr">
        <is>
          <t>market for tap water</t>
        </is>
      </c>
      <c r="B663">
        <v>102.29235901536086</v>
      </c>
      <c r="C663" t="inlineStr">
        <is>
          <t>RoW</t>
        </is>
      </c>
      <c r="D663" t="inlineStr">
        <is>
          <t>kilogram</t>
        </is>
      </c>
      <c r="F663" t="inlineStr">
        <is>
          <t>technosphere</t>
        </is>
      </c>
      <c r="G663" t="inlineStr">
        <is>
          <t>tap water</t>
        </is>
      </c>
      <c r="I663" t="inlineStr">
        <is>
          <t>tap water</t>
        </is>
      </c>
    </row>
    <row r="664">
      <c r="A664" t="inlineStr">
        <is>
          <t>market for graphite</t>
        </is>
      </c>
      <c r="B664">
        <v>0.02</v>
      </c>
      <c r="C664" t="inlineStr">
        <is>
          <t>GLO</t>
        </is>
      </c>
      <c r="D664" t="inlineStr">
        <is>
          <t>kilogram</t>
        </is>
      </c>
      <c r="F664" t="inlineStr">
        <is>
          <t>technosphere</t>
        </is>
      </c>
      <c r="G664" t="inlineStr">
        <is>
          <t>graphite</t>
        </is>
      </c>
      <c r="I664" t="inlineStr">
        <is>
          <t>graphite</t>
        </is>
      </c>
    </row>
    <row r="665">
      <c r="A665" t="inlineStr">
        <is>
          <t>market group for electricity, medium voltage</t>
        </is>
      </c>
      <c r="B665">
        <v>250</v>
      </c>
      <c r="C665" t="inlineStr">
        <is>
          <t>GLO</t>
        </is>
      </c>
      <c r="D665" t="inlineStr">
        <is>
          <t>kilowatt hour</t>
        </is>
      </c>
      <c r="F665" t="inlineStr">
        <is>
          <t>technosphere</t>
        </is>
      </c>
      <c r="G665" t="inlineStr">
        <is>
          <t>electricity, medium voltage</t>
        </is>
      </c>
      <c r="I665" t="inlineStr">
        <is>
          <t>electricity, medium voltage</t>
        </is>
      </c>
    </row>
    <row r="666">
      <c r="A666" t="inlineStr">
        <is>
          <t>market for wastewater, average</t>
        </is>
      </c>
      <c r="B666">
        <v>-0.10821594936176834</v>
      </c>
      <c r="C666" t="inlineStr">
        <is>
          <t>RoW</t>
        </is>
      </c>
      <c r="D666" t="inlineStr">
        <is>
          <t>cubic meter</t>
        </is>
      </c>
      <c r="F666" t="inlineStr">
        <is>
          <t>technosphere</t>
        </is>
      </c>
      <c r="G666" t="inlineStr">
        <is>
          <t>wastewater, average</t>
        </is>
      </c>
      <c r="I666" t="inlineStr">
        <is>
          <t>wastewater, average</t>
        </is>
      </c>
    </row>
    <row r="667">
      <c r="A667" t="inlineStr">
        <is>
          <t>market for inert waste, for final disposal</t>
        </is>
      </c>
      <c r="B667">
        <v>-0.07263157894736837</v>
      </c>
      <c r="C667" t="inlineStr">
        <is>
          <t>RoW</t>
        </is>
      </c>
      <c r="D667" t="inlineStr">
        <is>
          <t>kilogram</t>
        </is>
      </c>
      <c r="F667" t="inlineStr">
        <is>
          <t>technosphere</t>
        </is>
      </c>
      <c r="G667" t="inlineStr">
        <is>
          <t>inert waste, for final disposal</t>
        </is>
      </c>
      <c r="I667" t="inlineStr">
        <is>
          <t>inert waste, for final disposal</t>
        </is>
      </c>
    </row>
  </sheetData>
  <autoFilter ref="A1:I444"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PV_GaAs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2024-08-20T14:30:08Z</dcterms:modified>
</cp:coreProperties>
</file>