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29040" windowHeight="15840" tabRatio="600" firstSheet="0" activeTab="0" autoFilterDateGrouping="1"/>
  </bookViews>
  <sheets>
    <sheet xmlns:r="http://schemas.openxmlformats.org/officeDocument/2006/relationships" name="PV_GaAs" sheetId="1" state="visible" r:id="rId1"/>
  </sheets>
  <definedNames>
    <definedName name="_xlnm._FilterDatabase" localSheetId="0" hidden="1">'PV_GaAs'!$A$1:$I$444</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color theme="1"/>
      <sz val="12"/>
      <scheme val="minor"/>
    </font>
    <font>
      <name val="Calibri"/>
      <family val="2"/>
      <color theme="1"/>
      <sz val="11"/>
      <scheme val="minor"/>
    </font>
    <font>
      <name val="Calibri"/>
      <family val="2"/>
      <b val="1"/>
      <color theme="1"/>
      <sz val="11"/>
      <scheme val="minor"/>
    </font>
    <font>
      <name val="Calibri"/>
      <family val="2"/>
      <color theme="1"/>
      <sz val="12"/>
      <scheme val="minor"/>
    </font>
    <font>
      <name val="Calibri"/>
      <family val="2"/>
      <color rgb="FFFF0000"/>
      <sz val="11"/>
      <scheme val="minor"/>
    </font>
    <font>
      <name val="Calibri"/>
      <family val="2"/>
      <color rgb="FF000000"/>
      <sz val="11"/>
      <scheme val="minor"/>
    </font>
    <font>
      <name val="Aptos"/>
      <family val="2"/>
      <color theme="1"/>
      <sz val="11"/>
    </font>
    <font>
      <name val="Calibri"/>
      <family val="2"/>
      <b val="1"/>
      <color rgb="FF000000"/>
      <sz val="11"/>
    </font>
    <font>
      <name val="Calibri"/>
      <family val="2"/>
      <color rgb="FF000000"/>
      <sz val="11"/>
    </font>
    <font>
      <name val="Calibri"/>
      <family val="2"/>
      <b val="1"/>
      <color rgb="FF000000"/>
      <sz val="11"/>
      <scheme val="minor"/>
    </font>
    <font>
      <name val="Calibri"/>
      <family val="2"/>
      <color theme="1"/>
      <sz val="11"/>
    </font>
    <font>
      <name val="Calibri (Textkörper)"/>
      <color theme="1"/>
      <sz val="11"/>
    </font>
    <font>
      <name val="Calibri (Textkörper)"/>
      <color rgb="FFFF0000"/>
      <sz val="11"/>
    </font>
    <font>
      <name val="Calibri"/>
      <family val="2"/>
      <sz val="11"/>
      <scheme val="minor"/>
    </font>
    <font>
      <name val="Calibri"/>
      <family val="2"/>
      <sz val="11"/>
    </font>
  </fonts>
  <fills count="2">
    <fill>
      <patternFill/>
    </fill>
    <fill>
      <patternFill patternType="gray125"/>
    </fill>
  </fills>
  <borders count="1">
    <border>
      <left/>
      <right/>
      <top/>
      <bottom/>
      <diagonal/>
    </border>
  </borders>
  <cellStyleXfs count="3">
    <xf numFmtId="0" fontId="2" fillId="0" borderId="0"/>
    <xf numFmtId="0" fontId="4" fillId="0" borderId="0"/>
    <xf numFmtId="43" fontId="2" fillId="0" borderId="0"/>
  </cellStyleXfs>
  <cellXfs count="34">
    <xf numFmtId="0" fontId="0" fillId="0" borderId="0" pivotButton="0" quotePrefix="0" xfId="0"/>
    <xf numFmtId="2" fontId="0" fillId="0" borderId="0" pivotButton="0" quotePrefix="0" xfId="0"/>
    <xf numFmtId="0" fontId="3" fillId="0" borderId="0" pivotButton="0" quotePrefix="0" xfId="0"/>
    <xf numFmtId="2" fontId="3" fillId="0" borderId="0" pivotButton="0" quotePrefix="0" xfId="0"/>
    <xf numFmtId="0" fontId="1" fillId="0" borderId="0" pivotButton="0" quotePrefix="0" xfId="0"/>
    <xf numFmtId="2" fontId="6" fillId="0" borderId="0" applyAlignment="1" pivotButton="0" quotePrefix="0" xfId="0">
      <alignment horizontal="right" vertical="center"/>
    </xf>
    <xf numFmtId="0" fontId="5" fillId="0" borderId="0" pivotButton="0" quotePrefix="0" xfId="0"/>
    <xf numFmtId="11" fontId="0" fillId="0" borderId="0" pivotButton="0" quotePrefix="0" xfId="0"/>
    <xf numFmtId="0" fontId="6" fillId="0" borderId="0" applyAlignment="1" pivotButton="0" quotePrefix="0" xfId="0">
      <alignment vertical="center"/>
    </xf>
    <xf numFmtId="0" fontId="9" fillId="0" borderId="0" applyAlignment="1" pivotButton="0" quotePrefix="0" xfId="0">
      <alignment vertical="center"/>
    </xf>
    <xf numFmtId="2" fontId="9" fillId="0" borderId="0" applyAlignment="1" pivotButton="0" quotePrefix="0" xfId="0">
      <alignment horizontal="right" vertical="center"/>
    </xf>
    <xf numFmtId="0" fontId="8" fillId="0" borderId="0" applyAlignment="1" pivotButton="0" quotePrefix="0" xfId="0">
      <alignment vertical="center"/>
    </xf>
    <xf numFmtId="2" fontId="8" fillId="0" borderId="0" applyAlignment="1" pivotButton="0" quotePrefix="0" xfId="0">
      <alignment vertical="center"/>
    </xf>
    <xf numFmtId="0" fontId="9" fillId="0" borderId="0" applyAlignment="1" pivotButton="0" quotePrefix="0" xfId="0">
      <alignment horizontal="right" vertical="center"/>
    </xf>
    <xf numFmtId="2" fontId="9" fillId="0" borderId="0" applyAlignment="1" pivotButton="0" quotePrefix="0" xfId="0">
      <alignment vertical="center"/>
    </xf>
    <xf numFmtId="0" fontId="12" fillId="0" borderId="0" applyAlignment="1" pivotButton="0" quotePrefix="0" xfId="0">
      <alignment vertical="center"/>
    </xf>
    <xf numFmtId="0" fontId="12" fillId="0" borderId="0" pivotButton="0" quotePrefix="0" xfId="0"/>
    <xf numFmtId="0" fontId="11" fillId="0" borderId="0" applyAlignment="1" pivotButton="0" quotePrefix="0" xfId="0">
      <alignment vertical="center"/>
    </xf>
    <xf numFmtId="0" fontId="7" fillId="0" borderId="0" applyAlignment="1" pivotButton="0" quotePrefix="0" xfId="0">
      <alignment vertical="center"/>
    </xf>
    <xf numFmtId="0" fontId="6" fillId="0" borderId="0" pivotButton="0" quotePrefix="0" xfId="0"/>
    <xf numFmtId="0" fontId="10" fillId="0" borderId="0" applyAlignment="1" pivotButton="0" quotePrefix="0" xfId="0">
      <alignment vertical="center"/>
    </xf>
    <xf numFmtId="0" fontId="6" fillId="0" borderId="0" applyAlignment="1" pivotButton="0" quotePrefix="0" xfId="0">
      <alignment horizontal="right" vertical="center"/>
    </xf>
    <xf numFmtId="0" fontId="0"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horizontal="right" vertical="center"/>
    </xf>
    <xf numFmtId="0" fontId="13" fillId="0" borderId="0" pivotButton="0" quotePrefix="0" xfId="0"/>
    <xf numFmtId="2" fontId="6" fillId="0" borderId="0" applyAlignment="1" pivotButton="0" quotePrefix="0" xfId="0">
      <alignment vertical="center"/>
    </xf>
    <xf numFmtId="11" fontId="5" fillId="0" borderId="0" applyAlignment="1" pivotButton="0" quotePrefix="0" xfId="0">
      <alignment horizontal="right" vertical="center"/>
    </xf>
    <xf numFmtId="0" fontId="14" fillId="0" borderId="0" pivotButton="0" quotePrefix="0" xfId="0"/>
    <xf numFmtId="11" fontId="14" fillId="0" borderId="0" pivotButton="0" quotePrefix="0" xfId="0"/>
    <xf numFmtId="0" fontId="14" fillId="0" borderId="0" applyAlignment="1" pivotButton="0" quotePrefix="0" xfId="0">
      <alignment vertical="center"/>
    </xf>
    <xf numFmtId="11" fontId="14" fillId="0" borderId="0" applyAlignment="1" pivotButton="0" quotePrefix="0" xfId="0">
      <alignment horizontal="right" vertical="center"/>
    </xf>
    <xf numFmtId="0" fontId="15" fillId="0" borderId="0" applyAlignment="1" pivotButton="0" quotePrefix="0" xfId="0">
      <alignment vertical="center"/>
    </xf>
    <xf numFmtId="2" fontId="0" fillId="0" borderId="0" applyAlignment="1" pivotButton="0" quotePrefix="0" xfId="0">
      <alignment horizontal="right" vertical="center"/>
    </xf>
  </cellXfs>
  <cellStyles count="3">
    <cellStyle name="Normal" xfId="0" builtinId="0"/>
    <cellStyle name="Normal 2" xfId="1"/>
    <cellStyle name="Comma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444"/>
  <sheetViews>
    <sheetView tabSelected="1" topLeftCell="B424" zoomScale="108" zoomScaleNormal="94" workbookViewId="0">
      <selection activeCell="I443" sqref="I443"/>
    </sheetView>
  </sheetViews>
  <sheetFormatPr baseColWidth="10" defaultColWidth="8.83203125" defaultRowHeight="15"/>
  <cols>
    <col width="71.6640625" customWidth="1" min="1" max="1"/>
    <col width="51.83203125" customWidth="1" min="2" max="2"/>
    <col width="8.1640625" bestFit="1" customWidth="1" min="3" max="3"/>
    <col width="11.1640625" bestFit="1" customWidth="1" style="1" min="4" max="4"/>
    <col width="12.83203125" bestFit="1" customWidth="1" min="5" max="5"/>
    <col width="15.6640625" customWidth="1" min="6" max="6"/>
    <col width="15.83203125" customWidth="1" min="7" max="7"/>
    <col width="18.83203125" customWidth="1" min="8" max="8"/>
    <col width="44.5" bestFit="1" customWidth="1" min="9" max="9"/>
    <col width="11.83203125" bestFit="1" customWidth="1" min="12" max="13"/>
  </cols>
  <sheetData>
    <row r="1">
      <c r="A1" t="inlineStr">
        <is>
          <t>database</t>
        </is>
      </c>
      <c r="B1" t="inlineStr">
        <is>
          <t>PV_GaAs</t>
        </is>
      </c>
    </row>
    <row r="2"/>
    <row r="3"/>
    <row r="4"/>
    <row r="5">
      <c r="A5" s="2" t="inlineStr">
        <is>
          <t>Activity</t>
        </is>
      </c>
      <c r="B5" s="2" t="inlineStr">
        <is>
          <t>coating, drying, optical lithography</t>
        </is>
      </c>
    </row>
    <row r="6">
      <c r="A6" t="inlineStr">
        <is>
          <t>comment</t>
        </is>
      </c>
      <c r="B6" t="inlineStr">
        <is>
          <t>Ex-ante LCA. Pallas et al. (2020) Ex ante life cycle assessment of GaAs/Si nanowire–based tandem solar cells: a benchmark for industrialization. The International Journal of Life Cycle Assessment, 25, 1767-1782. https://doi.org/10.1007/s11367-020-01791-z</t>
        </is>
      </c>
    </row>
    <row r="7">
      <c r="A7" t="inlineStr">
        <is>
          <t>reference product</t>
        </is>
      </c>
      <c r="B7" t="inlineStr">
        <is>
          <t>GaAs wafer with resist patterned</t>
        </is>
      </c>
    </row>
    <row r="8">
      <c r="A8" t="inlineStr">
        <is>
          <t>code</t>
        </is>
      </c>
      <c r="B8" t="inlineStr">
        <is>
          <t>transfer_1</t>
        </is>
      </c>
    </row>
    <row r="9">
      <c r="A9" t="inlineStr">
        <is>
          <t>location</t>
        </is>
      </c>
      <c r="B9" t="inlineStr">
        <is>
          <t>GLO</t>
        </is>
      </c>
    </row>
    <row r="10">
      <c r="A10" t="inlineStr">
        <is>
          <t>amount</t>
        </is>
      </c>
      <c r="B10" t="n">
        <v>1</v>
      </c>
    </row>
    <row r="11">
      <c r="A11" t="inlineStr">
        <is>
          <t>unit</t>
        </is>
      </c>
      <c r="B11" t="inlineStr">
        <is>
          <t>square meter</t>
        </is>
      </c>
    </row>
    <row r="12">
      <c r="A12" t="inlineStr">
        <is>
          <t>source</t>
        </is>
      </c>
      <c r="B12"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3">
      <c r="A13" s="2" t="inlineStr">
        <is>
          <t>Exchanges</t>
        </is>
      </c>
    </row>
    <row r="14">
      <c r="A14" s="2" t="inlineStr">
        <is>
          <t>name</t>
        </is>
      </c>
      <c r="B14" s="2" t="inlineStr">
        <is>
          <t>reference product</t>
        </is>
      </c>
      <c r="C14" s="2" t="inlineStr">
        <is>
          <t>location</t>
        </is>
      </c>
      <c r="D14" s="3" t="inlineStr">
        <is>
          <t>amount</t>
        </is>
      </c>
      <c r="E14" s="2" t="inlineStr">
        <is>
          <t>unit</t>
        </is>
      </c>
      <c r="F14" s="2" t="inlineStr">
        <is>
          <t>database</t>
        </is>
      </c>
      <c r="G14" s="2" t="inlineStr">
        <is>
          <t>type</t>
        </is>
      </c>
      <c r="H14" s="2" t="inlineStr">
        <is>
          <t>categories</t>
        </is>
      </c>
      <c r="I14" s="2" t="inlineStr">
        <is>
          <t>comment</t>
        </is>
      </c>
    </row>
    <row r="15">
      <c r="A15" t="inlineStr">
        <is>
          <t>coating, drying, optical lithography</t>
        </is>
      </c>
      <c r="B15" t="inlineStr">
        <is>
          <t>GaAs wafer with resist patterned</t>
        </is>
      </c>
      <c r="C15" t="inlineStr">
        <is>
          <t>GLO</t>
        </is>
      </c>
      <c r="D15" s="1" t="n">
        <v>1</v>
      </c>
      <c r="E15" t="inlineStr">
        <is>
          <t>square meter</t>
        </is>
      </c>
      <c r="F15" t="str">
        <f>B1</f>
        <v>PV_GaAs</v>
      </c>
      <c r="G15" t="inlineStr">
        <is>
          <t>production</t>
        </is>
      </c>
      <c r="I15" t="inlineStr">
        <is>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is>
      </c>
    </row>
    <row r="16" ht="16" customHeight="1">
      <c r="A16" s="4" t="inlineStr">
        <is>
          <t>GaAs wafer production - cleaning, quality control, packing</t>
        </is>
      </c>
      <c r="B16" t="inlineStr">
        <is>
          <t xml:space="preserve">GaAs wafer </t>
        </is>
      </c>
      <c r="C16" t="inlineStr">
        <is>
          <t>GLO</t>
        </is>
      </c>
      <c r="D16" s="1" t="n">
        <v>1</v>
      </c>
      <c r="E16" t="inlineStr">
        <is>
          <t>square meter</t>
        </is>
      </c>
      <c r="F16" t="inlineStr">
        <is>
          <t>PV_GaAs</t>
        </is>
      </c>
      <c r="G16" t="inlineStr">
        <is>
          <t>technosphere</t>
        </is>
      </c>
    </row>
    <row r="17">
      <c r="A17" t="inlineStr">
        <is>
          <t>market for acetone, liquid</t>
        </is>
      </c>
      <c r="B17" t="inlineStr">
        <is>
          <t>acetone, liquid</t>
        </is>
      </c>
      <c r="C17" t="inlineStr">
        <is>
          <t>RER</t>
        </is>
      </c>
      <c r="D17" s="5" t="n">
        <v>0.06</v>
      </c>
      <c r="E17" t="inlineStr">
        <is>
          <t>kilogram</t>
        </is>
      </c>
      <c r="F17" t="inlineStr">
        <is>
          <t>ecoinvent</t>
        </is>
      </c>
      <c r="G17" t="inlineStr">
        <is>
          <t>technosphere</t>
        </is>
      </c>
      <c r="I17" t="inlineStr">
        <is>
          <t xml:space="preserve">changed "liquid acetone production" to "market for acetone" </t>
        </is>
      </c>
    </row>
    <row r="18">
      <c r="A18" t="inlineStr">
        <is>
          <t>isopropanol production</t>
        </is>
      </c>
      <c r="B18" t="inlineStr">
        <is>
          <t>isopropanol</t>
        </is>
      </c>
      <c r="C18" t="inlineStr">
        <is>
          <t>RER</t>
        </is>
      </c>
      <c r="D18" s="5" t="n">
        <v>0.06</v>
      </c>
      <c r="E18" t="inlineStr">
        <is>
          <t>kilogram</t>
        </is>
      </c>
      <c r="F18" t="inlineStr">
        <is>
          <t>ecoinvent</t>
        </is>
      </c>
      <c r="G18" t="inlineStr">
        <is>
          <t>technosphere</t>
        </is>
      </c>
    </row>
    <row r="19">
      <c r="A19" t="inlineStr">
        <is>
          <t>chemical production, organic</t>
        </is>
      </c>
      <c r="B19" t="inlineStr">
        <is>
          <t>chemical, organic</t>
        </is>
      </c>
      <c r="C19" t="inlineStr">
        <is>
          <t>GLO</t>
        </is>
      </c>
      <c r="D19" s="5" t="n">
        <v>0.00056</v>
      </c>
      <c r="E19" t="inlineStr">
        <is>
          <t>kilogram</t>
        </is>
      </c>
      <c r="F19" t="inlineStr">
        <is>
          <t>ecoinvent</t>
        </is>
      </c>
      <c r="G19" t="inlineStr">
        <is>
          <t>technosphere</t>
        </is>
      </c>
      <c r="I19" t="inlineStr">
        <is>
          <t>changed "organic resist" to "chemical, organic"</t>
        </is>
      </c>
    </row>
    <row r="20">
      <c r="A20" t="inlineStr">
        <is>
          <t>potassium carbonate production, from potassium hydroxide</t>
        </is>
      </c>
      <c r="B20" t="inlineStr">
        <is>
          <t xml:space="preserve">potassium carbonate </t>
        </is>
      </c>
      <c r="C20" t="inlineStr">
        <is>
          <t>GLO</t>
        </is>
      </c>
      <c r="D20" s="5" t="n">
        <v>0.13</v>
      </c>
      <c r="E20" t="inlineStr">
        <is>
          <t>kilogram</t>
        </is>
      </c>
      <c r="F20" t="inlineStr">
        <is>
          <t>ecoinvent</t>
        </is>
      </c>
      <c r="G20" t="inlineStr">
        <is>
          <t>technosphere</t>
        </is>
      </c>
    </row>
    <row r="21">
      <c r="A21" t="inlineStr">
        <is>
          <t>market for water, deionised</t>
        </is>
      </c>
      <c r="B21" t="inlineStr">
        <is>
          <t>water, deionised</t>
        </is>
      </c>
      <c r="C21" t="inlineStr">
        <is>
          <t>Europe without Switzerland</t>
        </is>
      </c>
      <c r="D21" s="1" t="n">
        <v>16</v>
      </c>
      <c r="E21" t="inlineStr">
        <is>
          <t>kilogram</t>
        </is>
      </c>
      <c r="F21" t="inlineStr">
        <is>
          <t>ecoinvent</t>
        </is>
      </c>
      <c r="G21" t="inlineStr">
        <is>
          <t>technosphere</t>
        </is>
      </c>
      <c r="I21" t="inlineStr">
        <is>
          <t xml:space="preserve">changed "Water production deionised, from tap water, at user" to "market for water, deionised" </t>
        </is>
      </c>
    </row>
    <row r="22">
      <c r="A22" t="inlineStr">
        <is>
          <t>market group for electricity, medium voltage</t>
        </is>
      </c>
      <c r="B22" t="inlineStr">
        <is>
          <t>electricity, medium voltage</t>
        </is>
      </c>
      <c r="C22" t="inlineStr">
        <is>
          <t>RER</t>
        </is>
      </c>
      <c r="D22" s="5" t="n">
        <v>13</v>
      </c>
      <c r="E22" t="inlineStr">
        <is>
          <t>kilowatt hour</t>
        </is>
      </c>
      <c r="F22" t="inlineStr">
        <is>
          <t>ecoinvent</t>
        </is>
      </c>
      <c r="G22" t="inlineStr">
        <is>
          <t>technosphere</t>
        </is>
      </c>
    </row>
    <row r="23">
      <c r="A23" t="inlineStr">
        <is>
          <t xml:space="preserve">VOC, volatile organic compounds </t>
        </is>
      </c>
      <c r="C23" s="6" t="n"/>
      <c r="D23" s="1" t="n">
        <v>0.23</v>
      </c>
      <c r="E23" t="inlineStr">
        <is>
          <t>kilogram</t>
        </is>
      </c>
      <c r="F23" t="inlineStr">
        <is>
          <t>biosphere3</t>
        </is>
      </c>
      <c r="G23" t="inlineStr">
        <is>
          <t>biosphere</t>
        </is>
      </c>
      <c r="H23" t="inlineStr">
        <is>
          <t>air</t>
        </is>
      </c>
    </row>
    <row r="24">
      <c r="A24" t="inlineStr">
        <is>
          <t>treatment of hazardous waste, hazardous waste incineration</t>
        </is>
      </c>
      <c r="B24" t="inlineStr">
        <is>
          <t>hazardous waste, for incineration</t>
        </is>
      </c>
      <c r="C24" t="inlineStr">
        <is>
          <t>Europe without Switzerland</t>
        </is>
      </c>
      <c r="D24" s="1" t="n">
        <v>-0.25</v>
      </c>
      <c r="E24" t="inlineStr">
        <is>
          <t>kilogram</t>
        </is>
      </c>
      <c r="F24" t="inlineStr">
        <is>
          <t>ecoinvent</t>
        </is>
      </c>
      <c r="G24" t="inlineStr">
        <is>
          <t>technosphere</t>
        </is>
      </c>
      <c r="I24" t="inlineStr">
        <is>
          <t>changed "liquid waste" to "hazardous waste, for incineration"</t>
        </is>
      </c>
    </row>
    <row r="25"/>
    <row r="26">
      <c r="A26" s="2" t="inlineStr">
        <is>
          <t>Activity</t>
        </is>
      </c>
      <c r="B26" s="2" t="inlineStr">
        <is>
          <t>electroplating</t>
        </is>
      </c>
    </row>
    <row r="27">
      <c r="A27" t="inlineStr">
        <is>
          <t>comment</t>
        </is>
      </c>
      <c r="B27" t="inlineStr">
        <is>
          <t>Ex-ante LCA. Pallas et al. (2020) Ex ante life cycle assessment of GaAs/Si nanowire–based tandem solar cells: a benchmark for industrialization. The International Journal of Life Cycle Assessment, 25, 1767-1782. https://doi.org/10.1007/s11367-020-01791-z</t>
        </is>
      </c>
    </row>
    <row r="28">
      <c r="A28" t="inlineStr">
        <is>
          <t>reference product</t>
        </is>
      </c>
      <c r="B28" t="inlineStr">
        <is>
          <t>GaAs wafer with resist and gold particles</t>
        </is>
      </c>
    </row>
    <row r="29">
      <c r="A29" t="inlineStr">
        <is>
          <t>code</t>
        </is>
      </c>
      <c r="B29" t="inlineStr">
        <is>
          <t>transfer_2</t>
        </is>
      </c>
    </row>
    <row r="30">
      <c r="A30" t="inlineStr">
        <is>
          <t>location</t>
        </is>
      </c>
      <c r="B30" t="inlineStr">
        <is>
          <t>GLO</t>
        </is>
      </c>
    </row>
    <row r="31">
      <c r="A31" t="inlineStr">
        <is>
          <t>amount</t>
        </is>
      </c>
      <c r="B31" t="n">
        <v>1</v>
      </c>
    </row>
    <row r="32">
      <c r="A32" t="inlineStr">
        <is>
          <t>unit</t>
        </is>
      </c>
      <c r="B32" t="inlineStr">
        <is>
          <t>square meter</t>
        </is>
      </c>
    </row>
    <row r="33">
      <c r="A33" t="inlineStr">
        <is>
          <t>source</t>
        </is>
      </c>
      <c r="B33"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4">
      <c r="A34" s="2" t="inlineStr">
        <is>
          <t>Exchanges</t>
        </is>
      </c>
    </row>
    <row r="35">
      <c r="A35" s="2" t="inlineStr">
        <is>
          <t>name</t>
        </is>
      </c>
      <c r="B35" s="2" t="inlineStr">
        <is>
          <t>reference product</t>
        </is>
      </c>
      <c r="C35" s="2" t="inlineStr">
        <is>
          <t>location</t>
        </is>
      </c>
      <c r="D35" s="3" t="inlineStr">
        <is>
          <t>amount</t>
        </is>
      </c>
      <c r="E35" s="2" t="inlineStr">
        <is>
          <t>unit</t>
        </is>
      </c>
      <c r="F35" s="2" t="inlineStr">
        <is>
          <t>database</t>
        </is>
      </c>
      <c r="G35" s="2" t="inlineStr">
        <is>
          <t>type</t>
        </is>
      </c>
      <c r="H35" s="2" t="inlineStr">
        <is>
          <t>categories</t>
        </is>
      </c>
      <c r="I35" s="2" t="inlineStr">
        <is>
          <t>comment</t>
        </is>
      </c>
    </row>
    <row r="36">
      <c r="A36" t="inlineStr">
        <is>
          <t>electroplating</t>
        </is>
      </c>
      <c r="B36" t="inlineStr">
        <is>
          <t>GaAs wafer with resist and gold particles</t>
        </is>
      </c>
      <c r="C36" t="inlineStr">
        <is>
          <t>GLO</t>
        </is>
      </c>
      <c r="D36" s="1" t="n">
        <v>1</v>
      </c>
      <c r="E36" t="inlineStr">
        <is>
          <t>square meter</t>
        </is>
      </c>
      <c r="F36" t="inlineStr">
        <is>
          <t>PV_GaAs</t>
        </is>
      </c>
      <c r="G36" t="inlineStr">
        <is>
          <t>production</t>
        </is>
      </c>
    </row>
    <row r="37">
      <c r="A37" t="inlineStr">
        <is>
          <t>coating, drying, optical lithography</t>
        </is>
      </c>
      <c r="B37" t="inlineStr">
        <is>
          <t>GaAs wafer with resist patterned</t>
        </is>
      </c>
      <c r="C37" t="inlineStr">
        <is>
          <t>GLO</t>
        </is>
      </c>
      <c r="D37" s="1" t="n">
        <v>1</v>
      </c>
      <c r="E37" t="inlineStr">
        <is>
          <t>square meter</t>
        </is>
      </c>
      <c r="F37" t="inlineStr">
        <is>
          <t>PV_GaAs</t>
        </is>
      </c>
      <c r="G37" t="inlineStr">
        <is>
          <t>technosphere</t>
        </is>
      </c>
    </row>
    <row r="38">
      <c r="A38" t="inlineStr">
        <is>
          <t>gold-silver mine operation with refinery</t>
        </is>
      </c>
      <c r="B38" t="inlineStr">
        <is>
          <t xml:space="preserve">gold </t>
        </is>
      </c>
      <c r="C38" t="inlineStr">
        <is>
          <t>RoW</t>
        </is>
      </c>
      <c r="D38" s="1" t="n">
        <v>0.000169</v>
      </c>
      <c r="E38" t="inlineStr">
        <is>
          <t>kilogram</t>
        </is>
      </c>
      <c r="F38" t="inlineStr">
        <is>
          <t>ecoinvent</t>
        </is>
      </c>
      <c r="G38" t="inlineStr">
        <is>
          <t>technosphere</t>
        </is>
      </c>
    </row>
    <row r="39">
      <c r="A39" t="inlineStr">
        <is>
          <t>hydrochloric acid production, from the reaction of hydrogen with chlorine</t>
        </is>
      </c>
      <c r="B39" t="inlineStr">
        <is>
          <t>hydrochloric acid, without water, in 30% solution state</t>
        </is>
      </c>
      <c r="C39" t="inlineStr">
        <is>
          <t>RER</t>
        </is>
      </c>
      <c r="D39" s="1" t="n">
        <v>0.022</v>
      </c>
      <c r="E39" t="inlineStr">
        <is>
          <t>kilogram</t>
        </is>
      </c>
      <c r="F39" t="inlineStr">
        <is>
          <t>ecoinvent</t>
        </is>
      </c>
      <c r="G39" t="inlineStr">
        <is>
          <t>technosphere</t>
        </is>
      </c>
    </row>
    <row r="40">
      <c r="A40" t="inlineStr">
        <is>
          <t>market for water, deionised</t>
        </is>
      </c>
      <c r="B40" t="inlineStr">
        <is>
          <t>water, deionised</t>
        </is>
      </c>
      <c r="C40" t="inlineStr">
        <is>
          <t>Europe without Switzerland</t>
        </is>
      </c>
      <c r="D40" s="1" t="n">
        <v>16</v>
      </c>
      <c r="E40" t="inlineStr">
        <is>
          <t>kilogram</t>
        </is>
      </c>
      <c r="F40" t="inlineStr">
        <is>
          <t>ecoinvent</t>
        </is>
      </c>
      <c r="G40" t="inlineStr">
        <is>
          <t>technosphere</t>
        </is>
      </c>
      <c r="I40" t="inlineStr">
        <is>
          <t xml:space="preserve">changed "Water production deionised, from tap water, at user" to "market for water, deionised" </t>
        </is>
      </c>
    </row>
    <row r="41">
      <c r="A41" t="inlineStr">
        <is>
          <t>market group for electricity, medium voltage</t>
        </is>
      </c>
      <c r="B41" t="inlineStr">
        <is>
          <t>electricity, medium voltage</t>
        </is>
      </c>
      <c r="C41" t="inlineStr">
        <is>
          <t>RER</t>
        </is>
      </c>
      <c r="D41" s="1" t="n">
        <v>0.7</v>
      </c>
      <c r="E41" t="inlineStr">
        <is>
          <t>kilowatt hour</t>
        </is>
      </c>
      <c r="F41" t="inlineStr">
        <is>
          <t>ecoinvent</t>
        </is>
      </c>
      <c r="G41" t="inlineStr">
        <is>
          <t>technosphere</t>
        </is>
      </c>
    </row>
    <row r="42">
      <c r="A42" t="inlineStr">
        <is>
          <t>Cyanide</t>
        </is>
      </c>
      <c r="C42" s="6" t="n"/>
      <c r="D42" s="1" t="n">
        <v>5.6e-05</v>
      </c>
      <c r="E42" t="inlineStr">
        <is>
          <t>kilogram</t>
        </is>
      </c>
      <c r="F42" t="inlineStr">
        <is>
          <t>biosphere3</t>
        </is>
      </c>
      <c r="G42" t="inlineStr">
        <is>
          <t>biosphere</t>
        </is>
      </c>
      <c r="H42" t="inlineStr">
        <is>
          <t xml:space="preserve">air </t>
        </is>
      </c>
    </row>
    <row r="43">
      <c r="A43" t="inlineStr">
        <is>
          <t>Cyanide</t>
        </is>
      </c>
      <c r="C43" s="6" t="n"/>
      <c r="D43" s="1" t="n">
        <v>2.2e-05</v>
      </c>
      <c r="E43" t="inlineStr">
        <is>
          <t>kilogram</t>
        </is>
      </c>
      <c r="F43" t="inlineStr">
        <is>
          <t>biosphere3</t>
        </is>
      </c>
      <c r="G43" t="inlineStr">
        <is>
          <t>biosphere</t>
        </is>
      </c>
      <c r="H43" t="inlineStr">
        <is>
          <t xml:space="preserve">water </t>
        </is>
      </c>
    </row>
    <row r="44">
      <c r="A44" t="inlineStr">
        <is>
          <t>Water</t>
        </is>
      </c>
      <c r="D44" s="1" t="n">
        <v>0.016</v>
      </c>
      <c r="E44" t="inlineStr">
        <is>
          <t>cubic meter</t>
        </is>
      </c>
      <c r="F44" t="inlineStr">
        <is>
          <t>biosphere3</t>
        </is>
      </c>
      <c r="G44" t="inlineStr">
        <is>
          <t>biosphere</t>
        </is>
      </c>
      <c r="H44" t="inlineStr">
        <is>
          <t xml:space="preserve">water </t>
        </is>
      </c>
      <c r="I44" t="inlineStr">
        <is>
          <t>changed "waste water" to "water"</t>
        </is>
      </c>
    </row>
    <row r="45">
      <c r="A45" t="inlineStr">
        <is>
          <t>treatment of hazardous waste, hazardous waste incineration</t>
        </is>
      </c>
      <c r="B45" t="inlineStr">
        <is>
          <t>hazardous waste, for incineration</t>
        </is>
      </c>
      <c r="C45" t="inlineStr">
        <is>
          <t>Europe without Switzerland</t>
        </is>
      </c>
      <c r="D45" s="1" t="n">
        <v>-1.67e-06</v>
      </c>
      <c r="E45" t="inlineStr">
        <is>
          <t>kilogram</t>
        </is>
      </c>
      <c r="F45" t="inlineStr">
        <is>
          <t>ecoinvent</t>
        </is>
      </c>
      <c r="G45" t="inlineStr">
        <is>
          <t>technosphere</t>
        </is>
      </c>
      <c r="I45" t="inlineStr">
        <is>
          <t>changed "liquid waste" to "hazardous waste, for incineration"</t>
        </is>
      </c>
    </row>
    <row r="46"/>
    <row r="47">
      <c r="A47" s="2" t="inlineStr">
        <is>
          <t>Activity</t>
        </is>
      </c>
      <c r="B47" s="2" t="inlineStr">
        <is>
          <t>wet etching</t>
        </is>
      </c>
    </row>
    <row r="48">
      <c r="A48" t="inlineStr">
        <is>
          <t>comment</t>
        </is>
      </c>
      <c r="B48" t="inlineStr">
        <is>
          <t>Ex-ante LCA. Pallas et al. (2020) Ex ante life cycle assessment of GaAs/Si nanowire–based tandem solar cells: a benchmark for industrialization. The International Journal of Life Cycle Assessment, 25, 1767-1782. https://doi.org/10.1007/s11367-020-01791-z</t>
        </is>
      </c>
    </row>
    <row r="49">
      <c r="A49" t="inlineStr">
        <is>
          <t>reference product</t>
        </is>
      </c>
      <c r="B49" t="inlineStr">
        <is>
          <t>GaAs wafer with gold particles</t>
        </is>
      </c>
    </row>
    <row r="50">
      <c r="A50" t="inlineStr">
        <is>
          <t>code</t>
        </is>
      </c>
      <c r="B50" t="inlineStr">
        <is>
          <t>transfer_3</t>
        </is>
      </c>
    </row>
    <row r="51">
      <c r="A51" t="inlineStr">
        <is>
          <t>location</t>
        </is>
      </c>
      <c r="B51" t="inlineStr">
        <is>
          <t>GLO</t>
        </is>
      </c>
    </row>
    <row r="52">
      <c r="A52" t="inlineStr">
        <is>
          <t>amount</t>
        </is>
      </c>
      <c r="B52" t="n">
        <v>1</v>
      </c>
    </row>
    <row r="53">
      <c r="A53" t="inlineStr">
        <is>
          <t>unit</t>
        </is>
      </c>
      <c r="B53" t="inlineStr">
        <is>
          <t>square meter</t>
        </is>
      </c>
    </row>
    <row r="54">
      <c r="A54" t="inlineStr">
        <is>
          <t>source</t>
        </is>
      </c>
      <c r="B54"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55">
      <c r="A55" s="2" t="inlineStr">
        <is>
          <t>Exchanges</t>
        </is>
      </c>
    </row>
    <row r="56">
      <c r="A56" s="2" t="inlineStr">
        <is>
          <t>name</t>
        </is>
      </c>
      <c r="B56" s="2" t="inlineStr">
        <is>
          <t>reference product</t>
        </is>
      </c>
      <c r="C56" s="2" t="inlineStr">
        <is>
          <t>location</t>
        </is>
      </c>
      <c r="D56" s="3" t="inlineStr">
        <is>
          <t>amount</t>
        </is>
      </c>
      <c r="E56" s="2" t="inlineStr">
        <is>
          <t>unit</t>
        </is>
      </c>
      <c r="F56" s="2" t="inlineStr">
        <is>
          <t>database</t>
        </is>
      </c>
      <c r="G56" s="2" t="inlineStr">
        <is>
          <t>type</t>
        </is>
      </c>
      <c r="H56" s="2" t="inlineStr">
        <is>
          <t>categories</t>
        </is>
      </c>
      <c r="I56" s="2" t="inlineStr">
        <is>
          <t>comment</t>
        </is>
      </c>
    </row>
    <row r="57">
      <c r="A57" t="inlineStr">
        <is>
          <t>wet etching</t>
        </is>
      </c>
      <c r="B57" t="inlineStr">
        <is>
          <t>GaAs wafer with gold particles</t>
        </is>
      </c>
      <c r="C57" t="inlineStr">
        <is>
          <t>GLO</t>
        </is>
      </c>
      <c r="D57" s="1" t="n">
        <v>1</v>
      </c>
      <c r="E57" t="inlineStr">
        <is>
          <t>square meter</t>
        </is>
      </c>
      <c r="F57" t="inlineStr">
        <is>
          <t>PV_GaAs</t>
        </is>
      </c>
      <c r="G57" t="inlineStr">
        <is>
          <t>production</t>
        </is>
      </c>
    </row>
    <row r="58">
      <c r="A58" t="inlineStr">
        <is>
          <t>electroplating</t>
        </is>
      </c>
      <c r="B58" t="inlineStr">
        <is>
          <t>GaAs wafer with resist and gold particles</t>
        </is>
      </c>
      <c r="C58" t="inlineStr">
        <is>
          <t>GLO</t>
        </is>
      </c>
      <c r="D58" s="1" t="n">
        <v>1</v>
      </c>
      <c r="E58" t="inlineStr">
        <is>
          <t>square meter</t>
        </is>
      </c>
      <c r="F58" t="inlineStr">
        <is>
          <t>PV_GaAs</t>
        </is>
      </c>
      <c r="G58" t="inlineStr">
        <is>
          <t>technosphere</t>
        </is>
      </c>
    </row>
    <row r="59">
      <c r="A59" t="inlineStr">
        <is>
          <t>potassium hydroxide production</t>
        </is>
      </c>
      <c r="B59" t="inlineStr">
        <is>
          <t>potassium hydroxide</t>
        </is>
      </c>
      <c r="C59" t="inlineStr">
        <is>
          <t>RER</t>
        </is>
      </c>
      <c r="D59" s="7" t="n">
        <v>0.36</v>
      </c>
      <c r="E59" t="inlineStr">
        <is>
          <t>kilogram</t>
        </is>
      </c>
      <c r="F59" t="inlineStr">
        <is>
          <t>ecoinvent</t>
        </is>
      </c>
      <c r="G59" t="inlineStr">
        <is>
          <t>technosphere</t>
        </is>
      </c>
      <c r="I59" t="inlineStr">
        <is>
          <t>changed "remover (potassium hydroxide)" to "potassium hydroxide"</t>
        </is>
      </c>
    </row>
    <row r="60">
      <c r="A60" t="inlineStr">
        <is>
          <t>market for water, deionised</t>
        </is>
      </c>
      <c r="B60" t="inlineStr">
        <is>
          <t>water, deionised</t>
        </is>
      </c>
      <c r="C60" t="inlineStr">
        <is>
          <t>Europe without Switzerland</t>
        </is>
      </c>
      <c r="D60" s="7" t="n">
        <v>8</v>
      </c>
      <c r="E60" t="inlineStr">
        <is>
          <t>kilogram</t>
        </is>
      </c>
      <c r="F60" t="inlineStr">
        <is>
          <t>ecoinvent</t>
        </is>
      </c>
      <c r="G60" t="inlineStr">
        <is>
          <t>technosphere</t>
        </is>
      </c>
      <c r="I60" t="inlineStr">
        <is>
          <t xml:space="preserve">changed "Water production deionised, from tap water, at user" to "market for water, deionised" </t>
        </is>
      </c>
    </row>
    <row r="61">
      <c r="A61" t="inlineStr">
        <is>
          <t>market group for electricity, medium voltage</t>
        </is>
      </c>
      <c r="B61" t="inlineStr">
        <is>
          <t>electricity, medium voltage</t>
        </is>
      </c>
      <c r="C61" t="inlineStr">
        <is>
          <t>RER</t>
        </is>
      </c>
      <c r="D61" s="7" t="n">
        <v>0.647</v>
      </c>
      <c r="E61" t="inlineStr">
        <is>
          <t>kilowatt hour</t>
        </is>
      </c>
      <c r="F61" t="inlineStr">
        <is>
          <t>ecoinvent</t>
        </is>
      </c>
      <c r="G61" t="inlineStr">
        <is>
          <t>technosphere</t>
        </is>
      </c>
    </row>
    <row r="62">
      <c r="A62" t="inlineStr">
        <is>
          <t>treatment of hazardous waste, hazardous waste incineration</t>
        </is>
      </c>
      <c r="B62" t="inlineStr">
        <is>
          <t>hazardous waste, for incineration</t>
        </is>
      </c>
      <c r="C62" t="inlineStr">
        <is>
          <t>Europe without Switzerland</t>
        </is>
      </c>
      <c r="D62" s="7" t="n">
        <v>-0.36</v>
      </c>
      <c r="E62" t="inlineStr">
        <is>
          <t>kilogram</t>
        </is>
      </c>
      <c r="F62" t="inlineStr">
        <is>
          <t>ecoinvent</t>
        </is>
      </c>
      <c r="G62" t="inlineStr">
        <is>
          <t>technosphere</t>
        </is>
      </c>
      <c r="I62" t="inlineStr">
        <is>
          <t>changed "liquid waste" to "hazardous waste, for incineration"</t>
        </is>
      </c>
    </row>
    <row r="63"/>
    <row r="64">
      <c r="A64" s="2" t="inlineStr">
        <is>
          <t>Activity</t>
        </is>
      </c>
      <c r="B64" s="2" t="inlineStr">
        <is>
          <t>metal organic vapor phase epitaxy (MOVPE), for GaAs photovoltaic panel</t>
        </is>
      </c>
    </row>
    <row r="65">
      <c r="A65" t="inlineStr">
        <is>
          <t>comment</t>
        </is>
      </c>
      <c r="B65" t="inlineStr">
        <is>
          <t>Ex-ante LCA. Pallas et al. (2020) Ex ante life cycle assessment of GaAs/Si nanowire–based tandem solar cells: a benchmark for industrialization. The International Journal of Life Cycle Assessment, 25, 1767-1782. https://doi.org/10.1007/s11367-020-01791-z</t>
        </is>
      </c>
    </row>
    <row r="66">
      <c r="A66" t="inlineStr">
        <is>
          <t>reference product</t>
        </is>
      </c>
      <c r="B66" t="inlineStr">
        <is>
          <t>GaAs wafer with nanowires</t>
        </is>
      </c>
    </row>
    <row r="67">
      <c r="A67" t="inlineStr">
        <is>
          <t>code</t>
        </is>
      </c>
      <c r="B67" t="inlineStr">
        <is>
          <t>transfer_4</t>
        </is>
      </c>
    </row>
    <row r="68">
      <c r="A68" t="inlineStr">
        <is>
          <t>location</t>
        </is>
      </c>
      <c r="B68" t="inlineStr">
        <is>
          <t>GLO</t>
        </is>
      </c>
    </row>
    <row r="69">
      <c r="A69" t="inlineStr">
        <is>
          <t>amount</t>
        </is>
      </c>
      <c r="B69" t="n">
        <v>1</v>
      </c>
    </row>
    <row r="70">
      <c r="A70" t="inlineStr">
        <is>
          <t>unit</t>
        </is>
      </c>
      <c r="B70" t="inlineStr">
        <is>
          <t>square meter</t>
        </is>
      </c>
    </row>
    <row r="71">
      <c r="A71" t="inlineStr">
        <is>
          <t>source</t>
        </is>
      </c>
      <c r="B71"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72">
      <c r="A72" s="2" t="inlineStr">
        <is>
          <t>Exchanges</t>
        </is>
      </c>
    </row>
    <row r="73">
      <c r="A73" s="2" t="inlineStr">
        <is>
          <t>name</t>
        </is>
      </c>
      <c r="B73" s="2" t="inlineStr">
        <is>
          <t>reference product</t>
        </is>
      </c>
      <c r="C73" s="2" t="inlineStr">
        <is>
          <t>location</t>
        </is>
      </c>
      <c r="D73" s="3" t="inlineStr">
        <is>
          <t>amount</t>
        </is>
      </c>
      <c r="E73" s="2" t="inlineStr">
        <is>
          <t>unit</t>
        </is>
      </c>
      <c r="F73" s="2" t="inlineStr">
        <is>
          <t>database</t>
        </is>
      </c>
      <c r="G73" s="2" t="inlineStr">
        <is>
          <t>type</t>
        </is>
      </c>
      <c r="H73" s="2" t="inlineStr">
        <is>
          <t>categories</t>
        </is>
      </c>
      <c r="I73" s="2" t="inlineStr">
        <is>
          <t>comment</t>
        </is>
      </c>
    </row>
    <row r="74">
      <c r="A74" t="inlineStr">
        <is>
          <t>metal organic vapor phase epitaxy (MOVPE), for GaAs photovoltaic panel</t>
        </is>
      </c>
      <c r="B74" t="inlineStr">
        <is>
          <t>GaAs wafer with nanowires</t>
        </is>
      </c>
      <c r="C74" t="inlineStr">
        <is>
          <t>GLO</t>
        </is>
      </c>
      <c r="D74" s="1" t="n">
        <v>1</v>
      </c>
      <c r="E74" t="inlineStr">
        <is>
          <t>square meter</t>
        </is>
      </c>
      <c r="F74" t="inlineStr">
        <is>
          <t>PV_GaAs</t>
        </is>
      </c>
      <c r="G74" t="inlineStr">
        <is>
          <t>production</t>
        </is>
      </c>
    </row>
    <row r="75">
      <c r="A75" t="inlineStr">
        <is>
          <t>Wet etching</t>
        </is>
      </c>
      <c r="B75" t="inlineStr">
        <is>
          <t>GaAs wafer with gold particles</t>
        </is>
      </c>
      <c r="C75" t="inlineStr">
        <is>
          <t>GLO</t>
        </is>
      </c>
      <c r="D75" s="1" t="n">
        <v>1</v>
      </c>
      <c r="E75" t="inlineStr">
        <is>
          <t>square meter</t>
        </is>
      </c>
      <c r="F75" t="inlineStr">
        <is>
          <t>PV_GaAs</t>
        </is>
      </c>
      <c r="G75" t="inlineStr">
        <is>
          <t>technosphere</t>
        </is>
      </c>
    </row>
    <row r="76">
      <c r="A76" t="inlineStr">
        <is>
          <t>market for hydrogen, gaseous, low pressure</t>
        </is>
      </c>
      <c r="B76" t="inlineStr">
        <is>
          <t>hydrogen, gaseous, low pressure</t>
        </is>
      </c>
      <c r="C76" t="inlineStr">
        <is>
          <t>RER</t>
        </is>
      </c>
      <c r="D76" s="7" t="n">
        <v>2.1</v>
      </c>
      <c r="E76" t="inlineStr">
        <is>
          <t>kilogram</t>
        </is>
      </c>
      <c r="F76" t="inlineStr">
        <is>
          <t>ecoinvent</t>
        </is>
      </c>
      <c r="G76" t="inlineStr">
        <is>
          <t>technosphere</t>
        </is>
      </c>
      <c r="I76" t="inlineStr">
        <is>
          <t>Original inventory, "hydrogen cracking, APME", "hydrogen, liquid", has been deleted in EI3.10</t>
        </is>
      </c>
    </row>
    <row r="77">
      <c r="A77" t="inlineStr">
        <is>
          <t>hydrogen sulfide production</t>
        </is>
      </c>
      <c r="B77" t="inlineStr">
        <is>
          <t>hydrogen sulfide</t>
        </is>
      </c>
      <c r="C77" t="inlineStr">
        <is>
          <t>RER</t>
        </is>
      </c>
      <c r="D77" s="7" t="n">
        <v>8.5e-06</v>
      </c>
      <c r="E77" t="inlineStr">
        <is>
          <t>kilogram</t>
        </is>
      </c>
      <c r="F77" t="inlineStr">
        <is>
          <t>ecoinvent</t>
        </is>
      </c>
      <c r="G77" t="inlineStr">
        <is>
          <t>technosphere</t>
        </is>
      </c>
    </row>
    <row r="78">
      <c r="A78" t="inlineStr">
        <is>
          <t>hydrochloric acid production, from the reaction of hydrogen with chlorine</t>
        </is>
      </c>
      <c r="B78" t="inlineStr">
        <is>
          <t>hydrochloric acid, without water, in 30% solution state</t>
        </is>
      </c>
      <c r="C78" t="inlineStr">
        <is>
          <t>RER</t>
        </is>
      </c>
      <c r="D78" s="7" t="n">
        <v>8.5e-06</v>
      </c>
      <c r="E78" t="inlineStr">
        <is>
          <t>kilogram</t>
        </is>
      </c>
      <c r="F78" t="inlineStr">
        <is>
          <t>ecoinvent</t>
        </is>
      </c>
      <c r="G78" t="inlineStr">
        <is>
          <t>technosphere</t>
        </is>
      </c>
      <c r="I78" t="inlineStr">
        <is>
          <t>changed "hydrogen chloride" to "hydrochloric acid, without water, in 30% solution state"</t>
        </is>
      </c>
    </row>
    <row r="79">
      <c r="A79" s="8" t="inlineStr">
        <is>
          <t>trimethyl gallium 99% pure production</t>
        </is>
      </c>
      <c r="B79" s="8" t="inlineStr">
        <is>
          <t>trimethyl gallium 99% pure</t>
        </is>
      </c>
      <c r="C79" t="inlineStr">
        <is>
          <t>GLO</t>
        </is>
      </c>
      <c r="D79" s="7" t="n">
        <v>0.00148</v>
      </c>
      <c r="E79" t="inlineStr">
        <is>
          <t>kilogram</t>
        </is>
      </c>
      <c r="F79" t="inlineStr">
        <is>
          <t>PV_GaAs</t>
        </is>
      </c>
      <c r="G79" t="inlineStr">
        <is>
          <t>technosphere</t>
        </is>
      </c>
    </row>
    <row r="80">
      <c r="A80" t="inlineStr">
        <is>
          <t>arsine production</t>
        </is>
      </c>
      <c r="B80" t="inlineStr">
        <is>
          <t>arsine</t>
        </is>
      </c>
      <c r="C80" t="inlineStr">
        <is>
          <t>GLO</t>
        </is>
      </c>
      <c r="D80" s="7" t="n">
        <v>0.00298</v>
      </c>
      <c r="E80" t="inlineStr">
        <is>
          <t>kilogram</t>
        </is>
      </c>
      <c r="F80" t="inlineStr">
        <is>
          <t>ecoinvent</t>
        </is>
      </c>
      <c r="G80" t="inlineStr">
        <is>
          <t>technosphere</t>
        </is>
      </c>
    </row>
    <row r="81">
      <c r="A81" t="inlineStr">
        <is>
          <t>chemical production, organic</t>
        </is>
      </c>
      <c r="B81" t="inlineStr">
        <is>
          <t>chemical, organic</t>
        </is>
      </c>
      <c r="C81" t="inlineStr">
        <is>
          <t>GLO</t>
        </is>
      </c>
      <c r="D81" s="7" t="n">
        <v>8.5e-06</v>
      </c>
      <c r="E81" t="inlineStr">
        <is>
          <t>kilogram</t>
        </is>
      </c>
      <c r="F81" t="inlineStr">
        <is>
          <t>ecoinvent</t>
        </is>
      </c>
      <c r="G81" t="inlineStr">
        <is>
          <t>technosphere</t>
        </is>
      </c>
      <c r="I81" t="inlineStr">
        <is>
          <t xml:space="preserve">changed "diethyl zinc" to "chemical, organic" </t>
        </is>
      </c>
    </row>
    <row r="82">
      <c r="A82" t="inlineStr">
        <is>
          <t>market group for electricity, medium voltage</t>
        </is>
      </c>
      <c r="B82" t="inlineStr">
        <is>
          <t>electricity, medium voltage</t>
        </is>
      </c>
      <c r="C82" t="inlineStr">
        <is>
          <t>RER</t>
        </is>
      </c>
      <c r="D82" s="7" t="n">
        <v>0.68</v>
      </c>
      <c r="E82" t="inlineStr">
        <is>
          <t>kilowatt hour</t>
        </is>
      </c>
      <c r="F82" t="inlineStr">
        <is>
          <t>ecoinvent</t>
        </is>
      </c>
      <c r="G82" t="inlineStr">
        <is>
          <t>technosphere</t>
        </is>
      </c>
    </row>
    <row r="83">
      <c r="A83" t="inlineStr">
        <is>
          <t>treatment of hazardous waste, hazardous waste incineration</t>
        </is>
      </c>
      <c r="B83" t="inlineStr">
        <is>
          <t>hazardous waste, for incineration</t>
        </is>
      </c>
      <c r="C83" t="inlineStr">
        <is>
          <t>Europe without Switzerland</t>
        </is>
      </c>
      <c r="D83" s="7" t="n">
        <v>-0.0033</v>
      </c>
      <c r="E83" t="inlineStr">
        <is>
          <t>kilogram</t>
        </is>
      </c>
      <c r="F83" t="inlineStr">
        <is>
          <t>ecoinvent</t>
        </is>
      </c>
      <c r="G83" t="inlineStr">
        <is>
          <t>technosphere</t>
        </is>
      </c>
      <c r="I83" t="inlineStr">
        <is>
          <t>changed "waste" to "hazardous waste, for incineration"</t>
        </is>
      </c>
    </row>
    <row r="84">
      <c r="C84" s="28" t="n"/>
      <c r="D84" s="7" t="n"/>
      <c r="E84" s="28" t="n"/>
      <c r="F84" s="28" t="n"/>
      <c r="G84" s="28" t="n"/>
    </row>
    <row r="85">
      <c r="C85" s="28" t="n"/>
      <c r="D85" s="7" t="n"/>
      <c r="E85" s="28" t="n"/>
      <c r="F85" s="28" t="n"/>
      <c r="G85" s="28" t="n"/>
      <c r="I85" s="28" t="n"/>
    </row>
    <row r="86">
      <c r="A86" s="2" t="inlineStr">
        <is>
          <t>Activity</t>
        </is>
      </c>
      <c r="B86" s="2" t="inlineStr">
        <is>
          <t>epitaxial lift-off (ELO)</t>
        </is>
      </c>
    </row>
    <row r="87">
      <c r="A87" t="inlineStr">
        <is>
          <t>comment</t>
        </is>
      </c>
      <c r="B87" t="inlineStr">
        <is>
          <t>Ex-ante LCA. Pallas et al. (2020) Ex ante life cycle assessment of GaAs/Si nanowire–based tandem solar cells: a benchmark for industrialization. The International Journal of Life Cycle Assessment, 25, 1767-1782. https://doi.org/10.1007/s11367-020-01791-z</t>
        </is>
      </c>
    </row>
    <row r="88">
      <c r="A88" t="inlineStr">
        <is>
          <t>reference product</t>
        </is>
      </c>
      <c r="B88" t="inlineStr">
        <is>
          <t>GaAs wafer - re-polished for reuse</t>
        </is>
      </c>
    </row>
    <row r="89">
      <c r="A89" t="inlineStr">
        <is>
          <t>code</t>
        </is>
      </c>
      <c r="B89" t="inlineStr">
        <is>
          <t>transfer_5</t>
        </is>
      </c>
    </row>
    <row r="90">
      <c r="A90" t="inlineStr">
        <is>
          <t>location</t>
        </is>
      </c>
      <c r="B90" t="inlineStr">
        <is>
          <t>GLO</t>
        </is>
      </c>
    </row>
    <row r="91">
      <c r="A91" t="inlineStr">
        <is>
          <t>amount</t>
        </is>
      </c>
      <c r="B91" t="n">
        <v>1</v>
      </c>
    </row>
    <row r="92">
      <c r="A92" t="inlineStr">
        <is>
          <t>unit</t>
        </is>
      </c>
      <c r="B92" t="inlineStr">
        <is>
          <t>square meter</t>
        </is>
      </c>
    </row>
    <row r="93">
      <c r="A93" t="inlineStr">
        <is>
          <t>source</t>
        </is>
      </c>
      <c r="B93"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94">
      <c r="A94" s="2" t="inlineStr">
        <is>
          <t>Exchanges</t>
        </is>
      </c>
    </row>
    <row r="95">
      <c r="A95" s="2" t="inlineStr">
        <is>
          <t>name</t>
        </is>
      </c>
      <c r="B95" s="2" t="inlineStr">
        <is>
          <t>reference product</t>
        </is>
      </c>
      <c r="C95" s="2" t="inlineStr">
        <is>
          <t>location</t>
        </is>
      </c>
      <c r="D95" s="3" t="inlineStr">
        <is>
          <t>amount</t>
        </is>
      </c>
      <c r="E95" s="2" t="inlineStr">
        <is>
          <t>unit</t>
        </is>
      </c>
      <c r="F95" s="2" t="inlineStr">
        <is>
          <t>database</t>
        </is>
      </c>
      <c r="G95" s="2" t="inlineStr">
        <is>
          <t>type</t>
        </is>
      </c>
      <c r="H95" s="2" t="inlineStr">
        <is>
          <t>categories</t>
        </is>
      </c>
      <c r="I95" s="2" t="inlineStr">
        <is>
          <t>comment</t>
        </is>
      </c>
    </row>
    <row r="96">
      <c r="A96" t="inlineStr">
        <is>
          <t>epitaxial lift-off (ELO)</t>
        </is>
      </c>
      <c r="B96" t="inlineStr">
        <is>
          <t>GaAs wafer - re-polished for reuse</t>
        </is>
      </c>
      <c r="C96" t="inlineStr">
        <is>
          <t>GLO</t>
        </is>
      </c>
      <c r="D96" s="1" t="n">
        <v>1</v>
      </c>
      <c r="E96" t="inlineStr">
        <is>
          <t>square meter</t>
        </is>
      </c>
      <c r="F96" t="inlineStr">
        <is>
          <t>PV_GaAs</t>
        </is>
      </c>
      <c r="G96" t="inlineStr">
        <is>
          <t>production</t>
        </is>
      </c>
      <c r="I96" s="6" t="inlineStr">
        <is>
          <t xml:space="preserve">This process produces two outputs, namely "GaAs wafer - re-polished for reuse" (main product) and "membrane with nanowires, 1m2" (by-product). </t>
        </is>
      </c>
    </row>
    <row r="97">
      <c r="A97" t="inlineStr">
        <is>
          <t>metal organic vapor phase epitaxy (MOVPE), for GaAs photovoltaic panel</t>
        </is>
      </c>
      <c r="B97" t="inlineStr">
        <is>
          <t>GaAs wafer with nanowires</t>
        </is>
      </c>
      <c r="C97" t="inlineStr">
        <is>
          <t>GLO</t>
        </is>
      </c>
      <c r="D97" s="1" t="n">
        <v>1</v>
      </c>
      <c r="E97" t="inlineStr">
        <is>
          <t>square meter</t>
        </is>
      </c>
      <c r="F97" t="inlineStr">
        <is>
          <t>PV_GaAs</t>
        </is>
      </c>
      <c r="G97" t="inlineStr">
        <is>
          <t>technosphere</t>
        </is>
      </c>
      <c r="I97" s="6" t="n"/>
    </row>
    <row r="98">
      <c r="A98" t="inlineStr">
        <is>
          <t>hydrogen fluoride production</t>
        </is>
      </c>
      <c r="B98" t="inlineStr">
        <is>
          <t>hydrogen fluoride</t>
        </is>
      </c>
      <c r="C98" t="inlineStr">
        <is>
          <t>RER</t>
        </is>
      </c>
      <c r="D98" s="7" t="n">
        <v>1.02</v>
      </c>
      <c r="E98" t="inlineStr">
        <is>
          <t>kilogram</t>
        </is>
      </c>
      <c r="F98" t="inlineStr">
        <is>
          <t>ecoinvent</t>
        </is>
      </c>
      <c r="G98" t="inlineStr">
        <is>
          <t>technosphere</t>
        </is>
      </c>
      <c r="I98" t="inlineStr">
        <is>
          <t xml:space="preserve">changed "GLO" to "RER" </t>
        </is>
      </c>
    </row>
    <row r="99">
      <c r="A99" t="inlineStr">
        <is>
          <t>market for acetone, liquid</t>
        </is>
      </c>
      <c r="B99" t="inlineStr">
        <is>
          <t>acetone, liquid</t>
        </is>
      </c>
      <c r="C99" t="inlineStr">
        <is>
          <t>RER</t>
        </is>
      </c>
      <c r="D99" s="7" t="n">
        <v>0.6929999999999999</v>
      </c>
      <c r="E99" t="inlineStr">
        <is>
          <t>kilogram</t>
        </is>
      </c>
      <c r="F99" t="inlineStr">
        <is>
          <t>ecoinvent</t>
        </is>
      </c>
      <c r="G99" t="inlineStr">
        <is>
          <t>technosphere</t>
        </is>
      </c>
      <c r="I99" t="inlineStr">
        <is>
          <t xml:space="preserve">changed "liquid acetone production" to "market for acetone" </t>
        </is>
      </c>
    </row>
    <row r="100">
      <c r="A100" t="inlineStr">
        <is>
          <t>isopropanol production</t>
        </is>
      </c>
      <c r="B100" t="inlineStr">
        <is>
          <t>isopropanol</t>
        </is>
      </c>
      <c r="C100" t="inlineStr">
        <is>
          <t>RER</t>
        </is>
      </c>
      <c r="D100" s="7" t="n">
        <v>0.698</v>
      </c>
      <c r="E100" t="inlineStr">
        <is>
          <t>kilogram</t>
        </is>
      </c>
      <c r="F100" t="inlineStr">
        <is>
          <t>ecoinvent</t>
        </is>
      </c>
      <c r="G100" t="inlineStr">
        <is>
          <t>technosphere</t>
        </is>
      </c>
    </row>
    <row r="101">
      <c r="A101" t="inlineStr">
        <is>
          <t>polyurethane production, rigid foam</t>
        </is>
      </c>
      <c r="B101" t="inlineStr">
        <is>
          <t>polyurethane, rigid foam</t>
        </is>
      </c>
      <c r="C101" t="inlineStr">
        <is>
          <t>RER</t>
        </is>
      </c>
      <c r="D101" s="7" t="n">
        <v>0.172</v>
      </c>
      <c r="E101" t="inlineStr">
        <is>
          <t>kilogram</t>
        </is>
      </c>
      <c r="F101" t="inlineStr">
        <is>
          <t>ecoinvent</t>
        </is>
      </c>
      <c r="G101" t="inlineStr">
        <is>
          <t>technosphere</t>
        </is>
      </c>
      <c r="I101" t="inlineStr">
        <is>
          <t>changed "polishing pad: polyurethane rigid foam" to "polyurethane rigid foam"</t>
        </is>
      </c>
    </row>
    <row r="102">
      <c r="A102" s="9" t="inlineStr">
        <is>
          <t>CMP slurry production</t>
        </is>
      </c>
      <c r="B102" t="inlineStr">
        <is>
          <t>CMP slurry</t>
        </is>
      </c>
      <c r="C102" t="inlineStr">
        <is>
          <t>GLO</t>
        </is>
      </c>
      <c r="D102" s="7" t="n">
        <v>11.6</v>
      </c>
      <c r="E102" t="inlineStr">
        <is>
          <t>kilogram</t>
        </is>
      </c>
      <c r="F102" t="inlineStr">
        <is>
          <t>ecoinvent</t>
        </is>
      </c>
      <c r="G102" t="inlineStr">
        <is>
          <t>technosphere</t>
        </is>
      </c>
    </row>
    <row r="103">
      <c r="A103" t="inlineStr">
        <is>
          <t>polyethylene terephthalate production, granulate, amorphous</t>
        </is>
      </c>
      <c r="B103" t="inlineStr">
        <is>
          <t>polyethylene terephthalate, granulate, amorphous</t>
        </is>
      </c>
      <c r="C103" t="inlineStr">
        <is>
          <t>RER</t>
        </is>
      </c>
      <c r="D103" s="7" t="n">
        <v>0.00276</v>
      </c>
      <c r="E103" t="inlineStr">
        <is>
          <t>kilogram</t>
        </is>
      </c>
      <c r="F103" t="inlineStr">
        <is>
          <t>ecoinvent</t>
        </is>
      </c>
      <c r="G103" t="inlineStr">
        <is>
          <t>technosphere</t>
        </is>
      </c>
      <c r="I103" t="inlineStr">
        <is>
          <t>changed "PET handle: polyethylene terephthalate, granulate, amorphous" to "polyethylene terephthalate, granulate, amorphous"</t>
        </is>
      </c>
    </row>
    <row r="104">
      <c r="A104" t="inlineStr">
        <is>
          <t>market group for electricity, low voltage</t>
        </is>
      </c>
      <c r="B104" t="inlineStr">
        <is>
          <t>electricity, low voltage</t>
        </is>
      </c>
      <c r="C104" t="inlineStr">
        <is>
          <t>UCTE</t>
        </is>
      </c>
      <c r="D104" s="7" t="n">
        <v>9.869999999999999</v>
      </c>
      <c r="E104" t="inlineStr">
        <is>
          <t>kilowatt hour</t>
        </is>
      </c>
      <c r="F104" t="inlineStr">
        <is>
          <t>ecoinvent</t>
        </is>
      </c>
      <c r="G104" t="inlineStr">
        <is>
          <t>technosphere</t>
        </is>
      </c>
      <c r="I104" t="inlineStr">
        <is>
          <t>changed "Electricity (polishing)" to "electricity, low voltage"</t>
        </is>
      </c>
    </row>
    <row r="105">
      <c r="A105" t="inlineStr">
        <is>
          <t>treatment of hazardous waste, hazardous waste incineration</t>
        </is>
      </c>
      <c r="B105" t="inlineStr">
        <is>
          <t>hazardous waste, for incineration</t>
        </is>
      </c>
      <c r="C105" t="inlineStr">
        <is>
          <t>Europe without Switzerland</t>
        </is>
      </c>
      <c r="D105" s="7" t="n">
        <v>-2.59</v>
      </c>
      <c r="E105" t="inlineStr">
        <is>
          <t>kilogram</t>
        </is>
      </c>
      <c r="F105" t="inlineStr">
        <is>
          <t>ecoinvent</t>
        </is>
      </c>
      <c r="G105" t="inlineStr">
        <is>
          <t>technosphere</t>
        </is>
      </c>
      <c r="I105" t="inlineStr">
        <is>
          <t>changed "waste" to "hazardous waste, for incineration"</t>
        </is>
      </c>
    </row>
    <row r="106"/>
    <row r="107">
      <c r="A107" s="2" t="inlineStr">
        <is>
          <t>Activity</t>
        </is>
      </c>
      <c r="B107" s="2" t="inlineStr">
        <is>
          <t>polycrystalline GaAs boule production</t>
        </is>
      </c>
    </row>
    <row r="108">
      <c r="A108" t="inlineStr">
        <is>
          <t>comment</t>
        </is>
      </c>
      <c r="B108"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c r="A109" t="inlineStr">
        <is>
          <t>reference product</t>
        </is>
      </c>
      <c r="B109" s="9" t="inlineStr">
        <is>
          <t>polycrystalline GaAs boule</t>
        </is>
      </c>
    </row>
    <row r="110">
      <c r="A110" t="inlineStr">
        <is>
          <t>code</t>
        </is>
      </c>
      <c r="B110" t="inlineStr">
        <is>
          <t>gaas_1</t>
        </is>
      </c>
    </row>
    <row r="111">
      <c r="A111" t="inlineStr">
        <is>
          <t>location</t>
        </is>
      </c>
      <c r="B111" t="inlineStr">
        <is>
          <t>GLO</t>
        </is>
      </c>
    </row>
    <row r="112">
      <c r="A112" t="inlineStr">
        <is>
          <t>amount</t>
        </is>
      </c>
      <c r="B112" t="n">
        <v>1</v>
      </c>
    </row>
    <row r="113">
      <c r="A113" t="inlineStr">
        <is>
          <t>unit</t>
        </is>
      </c>
      <c r="B113" t="inlineStr">
        <is>
          <t>kilogram</t>
        </is>
      </c>
    </row>
    <row r="114">
      <c r="A114" t="inlineStr">
        <is>
          <t>source</t>
        </is>
      </c>
      <c r="B114"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15">
      <c r="A115" s="2" t="inlineStr">
        <is>
          <t>Exchanges</t>
        </is>
      </c>
    </row>
    <row r="116">
      <c r="A116" s="2" t="inlineStr">
        <is>
          <t>name</t>
        </is>
      </c>
      <c r="B116" s="2" t="inlineStr">
        <is>
          <t>reference product</t>
        </is>
      </c>
      <c r="C116" s="2" t="inlineStr">
        <is>
          <t>location</t>
        </is>
      </c>
      <c r="D116" s="3" t="inlineStr">
        <is>
          <t>amount</t>
        </is>
      </c>
      <c r="E116" s="2" t="inlineStr">
        <is>
          <t>unit</t>
        </is>
      </c>
      <c r="F116" s="2" t="inlineStr">
        <is>
          <t>database</t>
        </is>
      </c>
      <c r="G116" s="2" t="inlineStr">
        <is>
          <t>type</t>
        </is>
      </c>
      <c r="H116" s="2" t="inlineStr">
        <is>
          <t>categories</t>
        </is>
      </c>
      <c r="I116" s="2" t="inlineStr">
        <is>
          <t>comment</t>
        </is>
      </c>
    </row>
    <row r="117">
      <c r="A117" t="inlineStr">
        <is>
          <t>polycrystalline GaAs boule production</t>
        </is>
      </c>
      <c r="B117" t="inlineStr">
        <is>
          <t>polycrystalline GaAs boule</t>
        </is>
      </c>
      <c r="C117" t="inlineStr">
        <is>
          <t>GLO</t>
        </is>
      </c>
      <c r="D117" s="1" t="n">
        <v>1</v>
      </c>
      <c r="E117" t="inlineStr">
        <is>
          <t>kilogram</t>
        </is>
      </c>
      <c r="F117" t="str">
        <f>B1</f>
        <v>PV_GaAs</v>
      </c>
      <c r="G117" t="inlineStr">
        <is>
          <t>production</t>
        </is>
      </c>
    </row>
    <row r="118">
      <c r="A118" t="inlineStr">
        <is>
          <t>7N gallium production</t>
        </is>
      </c>
      <c r="B118" s="9" t="inlineStr">
        <is>
          <t>7N Gallium</t>
        </is>
      </c>
      <c r="C118" t="inlineStr">
        <is>
          <t>GLO</t>
        </is>
      </c>
      <c r="D118" s="10" t="n">
        <v>0.236</v>
      </c>
      <c r="E118" t="inlineStr">
        <is>
          <t>kilogram</t>
        </is>
      </c>
      <c r="F118" t="inlineStr">
        <is>
          <t>PV_GaAs</t>
        </is>
      </c>
      <c r="G118" t="inlineStr">
        <is>
          <t>technosphere</t>
        </is>
      </c>
      <c r="I118" s="9" t="n"/>
    </row>
    <row r="119">
      <c r="A119" t="inlineStr">
        <is>
          <t>7N arsenic production</t>
        </is>
      </c>
      <c r="B119" s="9" t="inlineStr">
        <is>
          <t>7N Arsenic</t>
        </is>
      </c>
      <c r="C119" t="inlineStr">
        <is>
          <t>GLO</t>
        </is>
      </c>
      <c r="D119" s="10" t="n">
        <v>0.516</v>
      </c>
      <c r="E119" t="inlineStr">
        <is>
          <t>kilogram</t>
        </is>
      </c>
      <c r="F119" t="inlineStr">
        <is>
          <t>PV_GaAs</t>
        </is>
      </c>
      <c r="G119" t="inlineStr">
        <is>
          <t>technosphere</t>
        </is>
      </c>
      <c r="I119" s="9" t="n"/>
    </row>
    <row r="120">
      <c r="A120" s="9" t="inlineStr">
        <is>
          <t>boron carbide production</t>
        </is>
      </c>
      <c r="B120" s="9" t="inlineStr">
        <is>
          <t>boron carbide</t>
        </is>
      </c>
      <c r="C120" t="inlineStr">
        <is>
          <t>GLO</t>
        </is>
      </c>
      <c r="D120" s="10" t="n">
        <v>0.01</v>
      </c>
      <c r="E120" t="inlineStr">
        <is>
          <t>kilogram</t>
        </is>
      </c>
      <c r="F120" t="inlineStr">
        <is>
          <t>ecoinvent</t>
        </is>
      </c>
      <c r="G120" t="inlineStr">
        <is>
          <t>technosphere</t>
        </is>
      </c>
      <c r="I120" t="inlineStr">
        <is>
          <t>changed "pBN crucible (boron carbide)" to "boron carbide"</t>
        </is>
      </c>
    </row>
    <row r="121">
      <c r="A121" t="inlineStr">
        <is>
          <t>market group for electricity, low voltage</t>
        </is>
      </c>
      <c r="B121" t="inlineStr">
        <is>
          <t>electricity, low voltage</t>
        </is>
      </c>
      <c r="C121" t="inlineStr">
        <is>
          <t>UCTE</t>
        </is>
      </c>
      <c r="D121" s="10" t="n">
        <v>50</v>
      </c>
      <c r="E121" t="inlineStr">
        <is>
          <t>kilowatt hour</t>
        </is>
      </c>
      <c r="F121" t="inlineStr">
        <is>
          <t>ecoinvent</t>
        </is>
      </c>
      <c r="G121" t="inlineStr">
        <is>
          <t>technosphere</t>
        </is>
      </c>
      <c r="I121" t="inlineStr">
        <is>
          <t>changed "electricity" to "electricity, low voltage"</t>
        </is>
      </c>
    </row>
    <row r="122">
      <c r="A122" s="9" t="inlineStr">
        <is>
          <t>treatment of hazardous waste, underground deposit</t>
        </is>
      </c>
      <c r="B122" s="9" t="inlineStr">
        <is>
          <t>hazardous waste, for underground deposit</t>
        </is>
      </c>
      <c r="C122" t="inlineStr">
        <is>
          <t>RoW</t>
        </is>
      </c>
      <c r="D122" s="10" t="n">
        <v>-0.01</v>
      </c>
      <c r="E122" t="inlineStr">
        <is>
          <t>kilogram</t>
        </is>
      </c>
      <c r="F122" t="inlineStr">
        <is>
          <t>ecoinvent</t>
        </is>
      </c>
      <c r="G122" t="inlineStr">
        <is>
          <t>technosphere</t>
        </is>
      </c>
      <c r="I122" t="inlineStr">
        <is>
          <t>changed "pBN crucible (hazardous waste underground deposit)" to "hazardous waste, for underground deposit"</t>
        </is>
      </c>
    </row>
    <row r="123">
      <c r="C123" s="6" t="n"/>
    </row>
    <row r="124">
      <c r="A124" s="2" t="inlineStr">
        <is>
          <t>Activity</t>
        </is>
      </c>
      <c r="B124" s="2" t="inlineStr">
        <is>
          <t>7N gallium production</t>
        </is>
      </c>
    </row>
    <row r="125">
      <c r="A125" t="inlineStr">
        <is>
          <t>comment</t>
        </is>
      </c>
      <c r="B125"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c r="A126" t="inlineStr">
        <is>
          <t>reference product</t>
        </is>
      </c>
      <c r="B126" s="9" t="inlineStr">
        <is>
          <t xml:space="preserve">7N Gallium </t>
        </is>
      </c>
    </row>
    <row r="127">
      <c r="A127" t="inlineStr">
        <is>
          <t>code</t>
        </is>
      </c>
      <c r="B127" t="inlineStr">
        <is>
          <t>gaas_2</t>
        </is>
      </c>
    </row>
    <row r="128">
      <c r="A128" t="inlineStr">
        <is>
          <t>location</t>
        </is>
      </c>
      <c r="B128" t="inlineStr">
        <is>
          <t>GLO</t>
        </is>
      </c>
    </row>
    <row r="129">
      <c r="A129" t="inlineStr">
        <is>
          <t>amount</t>
        </is>
      </c>
      <c r="B129" t="n">
        <v>1</v>
      </c>
    </row>
    <row r="130">
      <c r="A130" t="inlineStr">
        <is>
          <t>unit</t>
        </is>
      </c>
      <c r="B130" t="inlineStr">
        <is>
          <t>kilogram</t>
        </is>
      </c>
    </row>
    <row r="131">
      <c r="A131" t="inlineStr">
        <is>
          <t>source</t>
        </is>
      </c>
      <c r="B131"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32">
      <c r="A132" s="2" t="inlineStr">
        <is>
          <t>Exchanges</t>
        </is>
      </c>
    </row>
    <row r="133">
      <c r="A133" s="2" t="inlineStr">
        <is>
          <t>name</t>
        </is>
      </c>
      <c r="B133" s="2" t="inlineStr">
        <is>
          <t>reference product</t>
        </is>
      </c>
      <c r="C133" s="2" t="inlineStr">
        <is>
          <t>location</t>
        </is>
      </c>
      <c r="D133" s="3" t="inlineStr">
        <is>
          <t>amount</t>
        </is>
      </c>
      <c r="E133" s="2" t="inlineStr">
        <is>
          <t>unit</t>
        </is>
      </c>
      <c r="F133" s="2" t="inlineStr">
        <is>
          <t>database</t>
        </is>
      </c>
      <c r="G133" s="2" t="inlineStr">
        <is>
          <t>type</t>
        </is>
      </c>
      <c r="H133" s="2" t="inlineStr">
        <is>
          <t>categories</t>
        </is>
      </c>
      <c r="I133" s="2" t="inlineStr">
        <is>
          <t>comment</t>
        </is>
      </c>
    </row>
    <row r="134">
      <c r="A134" t="inlineStr">
        <is>
          <t>7N gallium production</t>
        </is>
      </c>
      <c r="B134" t="inlineStr">
        <is>
          <t xml:space="preserve">7N Gallium </t>
        </is>
      </c>
      <c r="C134" t="inlineStr">
        <is>
          <t>GLO</t>
        </is>
      </c>
      <c r="D134" s="1" t="n">
        <v>1</v>
      </c>
      <c r="E134" t="inlineStr">
        <is>
          <t>kilogram</t>
        </is>
      </c>
      <c r="F134" t="inlineStr">
        <is>
          <t>PV_GaAs</t>
        </is>
      </c>
      <c r="G134" t="inlineStr">
        <is>
          <t>production</t>
        </is>
      </c>
    </row>
    <row r="135">
      <c r="A135" s="9" t="inlineStr">
        <is>
          <t>gallium production, semiconductor-grade</t>
        </is>
      </c>
      <c r="B135" t="inlineStr">
        <is>
          <t>gallium, semiconductor-grade</t>
        </is>
      </c>
      <c r="C135" t="inlineStr">
        <is>
          <t>GLO</t>
        </is>
      </c>
      <c r="D135" s="10" t="n">
        <v>1.4285714</v>
      </c>
      <c r="E135" t="inlineStr">
        <is>
          <t>kilogram</t>
        </is>
      </c>
      <c r="F135" t="inlineStr">
        <is>
          <t>ecoinvent</t>
        </is>
      </c>
      <c r="G135" t="inlineStr">
        <is>
          <t>technosphere</t>
        </is>
      </c>
      <c r="I135" s="9" t="inlineStr">
        <is>
          <t>changed "gallium 6N (semiconductor grade)" to "gallium production, semiconductor-grade"</t>
        </is>
      </c>
    </row>
    <row r="136">
      <c r="A136" t="inlineStr">
        <is>
          <t>market group for electricity, low voltage</t>
        </is>
      </c>
      <c r="B136" t="inlineStr">
        <is>
          <t>electricity, low voltage</t>
        </is>
      </c>
      <c r="C136" t="inlineStr">
        <is>
          <t>UCTE</t>
        </is>
      </c>
      <c r="D136" s="10" t="n">
        <v>5.7142857</v>
      </c>
      <c r="E136" t="inlineStr">
        <is>
          <t>kilowatt hour</t>
        </is>
      </c>
      <c r="F136" t="inlineStr">
        <is>
          <t>ecoinvent</t>
        </is>
      </c>
      <c r="G136" t="inlineStr">
        <is>
          <t>technosphere</t>
        </is>
      </c>
      <c r="I136" t="inlineStr">
        <is>
          <t>changed "Electricity" to "electricity, low voltage"</t>
        </is>
      </c>
    </row>
    <row r="137">
      <c r="A137" s="9" t="n"/>
      <c r="B137" s="9" t="n"/>
      <c r="C137" s="6" t="n"/>
      <c r="D137" s="10" t="n"/>
    </row>
    <row r="138">
      <c r="A138" s="2" t="inlineStr">
        <is>
          <t>Activity</t>
        </is>
      </c>
      <c r="B138" s="2" t="inlineStr">
        <is>
          <t>7N arsenic production</t>
        </is>
      </c>
    </row>
    <row r="139">
      <c r="A139" t="inlineStr">
        <is>
          <t>comment</t>
        </is>
      </c>
      <c r="B139"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c r="A140" t="inlineStr">
        <is>
          <t>reference product</t>
        </is>
      </c>
      <c r="B140" s="9" t="inlineStr">
        <is>
          <t>7N Arsenic</t>
        </is>
      </c>
    </row>
    <row r="141">
      <c r="A141" t="inlineStr">
        <is>
          <t>code</t>
        </is>
      </c>
      <c r="B141" t="inlineStr">
        <is>
          <t>gaas_3</t>
        </is>
      </c>
    </row>
    <row r="142">
      <c r="A142" t="inlineStr">
        <is>
          <t>location</t>
        </is>
      </c>
      <c r="B142" t="inlineStr">
        <is>
          <t>GLO</t>
        </is>
      </c>
    </row>
    <row r="143">
      <c r="A143" t="inlineStr">
        <is>
          <t>amount</t>
        </is>
      </c>
      <c r="B143" t="n">
        <v>1</v>
      </c>
    </row>
    <row r="144">
      <c r="A144" t="inlineStr">
        <is>
          <t>unit</t>
        </is>
      </c>
      <c r="B144" t="inlineStr">
        <is>
          <t>kilogram</t>
        </is>
      </c>
    </row>
    <row r="145">
      <c r="A145" t="inlineStr">
        <is>
          <t>source</t>
        </is>
      </c>
      <c r="B145"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46">
      <c r="A146" s="2" t="inlineStr">
        <is>
          <t>Exchanges</t>
        </is>
      </c>
    </row>
    <row r="147">
      <c r="A147" s="2" t="inlineStr">
        <is>
          <t>name</t>
        </is>
      </c>
      <c r="B147" s="2" t="inlineStr">
        <is>
          <t>reference product</t>
        </is>
      </c>
      <c r="C147" s="2" t="inlineStr">
        <is>
          <t>location</t>
        </is>
      </c>
      <c r="D147" s="3" t="inlineStr">
        <is>
          <t>amount</t>
        </is>
      </c>
      <c r="E147" s="2" t="inlineStr">
        <is>
          <t>unit</t>
        </is>
      </c>
      <c r="F147" s="2" t="inlineStr">
        <is>
          <t>database</t>
        </is>
      </c>
      <c r="G147" s="2" t="inlineStr">
        <is>
          <t>type</t>
        </is>
      </c>
      <c r="H147" s="2" t="inlineStr">
        <is>
          <t>categories</t>
        </is>
      </c>
      <c r="I147" s="2" t="inlineStr">
        <is>
          <t>comment</t>
        </is>
      </c>
    </row>
    <row r="148">
      <c r="A148" t="inlineStr">
        <is>
          <t>7N arsenic production</t>
        </is>
      </c>
      <c r="B148" t="inlineStr">
        <is>
          <t>7N Arsenic</t>
        </is>
      </c>
      <c r="C148" t="inlineStr">
        <is>
          <t>GLO</t>
        </is>
      </c>
      <c r="D148" s="1" t="n">
        <v>1</v>
      </c>
      <c r="E148" t="inlineStr">
        <is>
          <t>kilogram</t>
        </is>
      </c>
      <c r="F148" t="inlineStr">
        <is>
          <t>PV_GaAs</t>
        </is>
      </c>
      <c r="G148" t="inlineStr">
        <is>
          <t>production</t>
        </is>
      </c>
    </row>
    <row r="149">
      <c r="A149" s="9" t="inlineStr">
        <is>
          <t>arsine production</t>
        </is>
      </c>
      <c r="B149" s="9" t="inlineStr">
        <is>
          <t>arsine</t>
        </is>
      </c>
      <c r="C149" t="inlineStr">
        <is>
          <t>GLO</t>
        </is>
      </c>
      <c r="D149" s="10" t="n">
        <v>1.4705882</v>
      </c>
      <c r="E149" t="inlineStr">
        <is>
          <t>kilogram</t>
        </is>
      </c>
      <c r="F149" t="inlineStr">
        <is>
          <t>ecoinvent</t>
        </is>
      </c>
      <c r="G149" t="inlineStr">
        <is>
          <t>technosphere</t>
        </is>
      </c>
      <c r="I149" s="9" t="inlineStr">
        <is>
          <t xml:space="preserve">changed "Arsine production [GLO] – 96.1% As in AsH3, results: 1.53 kg AsH3" to  "arsine production" and "arsenic metallic 2N" to "arsine" </t>
        </is>
      </c>
    </row>
    <row r="150">
      <c r="A150" t="inlineStr">
        <is>
          <t>market for hydrogen, gaseous, low pressure</t>
        </is>
      </c>
      <c r="B150" t="inlineStr">
        <is>
          <t>hydrogen, gaseous, low pressure</t>
        </is>
      </c>
      <c r="C150" t="inlineStr">
        <is>
          <t>RER</t>
        </is>
      </c>
      <c r="D150" s="10" t="n">
        <v>0.0941176</v>
      </c>
      <c r="E150" t="inlineStr">
        <is>
          <t>kilogram</t>
        </is>
      </c>
      <c r="F150" t="inlineStr">
        <is>
          <t>ecoinvent</t>
        </is>
      </c>
      <c r="G150" t="inlineStr">
        <is>
          <t>technosphere</t>
        </is>
      </c>
      <c r="I150" s="9" t="inlineStr">
        <is>
          <t xml:space="preserve">changed "hydrogen" to "hydrogen, liquid" </t>
        </is>
      </c>
    </row>
    <row r="151">
      <c r="A151" s="9" t="inlineStr">
        <is>
          <t>argon production, liquid</t>
        </is>
      </c>
      <c r="B151" s="9" t="inlineStr">
        <is>
          <t>argon, liquid</t>
        </is>
      </c>
      <c r="C151" t="inlineStr">
        <is>
          <t>RER</t>
        </is>
      </c>
      <c r="D151" s="10" t="n">
        <v>0.0470588</v>
      </c>
      <c r="E151" t="inlineStr">
        <is>
          <t>kilogram</t>
        </is>
      </c>
      <c r="F151" t="inlineStr">
        <is>
          <t>ecoinvent</t>
        </is>
      </c>
      <c r="G151" t="inlineStr">
        <is>
          <t>technosphere</t>
        </is>
      </c>
      <c r="I151" t="inlineStr">
        <is>
          <t xml:space="preserve">changed "argon" to "argon, liquid" </t>
        </is>
      </c>
    </row>
    <row r="152">
      <c r="A152" t="inlineStr">
        <is>
          <t>market group for electricity, low voltage</t>
        </is>
      </c>
      <c r="B152" t="inlineStr">
        <is>
          <t>electricity, low voltage</t>
        </is>
      </c>
      <c r="C152" t="inlineStr">
        <is>
          <t>UCTE</t>
        </is>
      </c>
      <c r="D152" s="10" t="n">
        <v>8.117647099999999</v>
      </c>
      <c r="E152" t="inlineStr">
        <is>
          <t>kilowatt hour</t>
        </is>
      </c>
      <c r="F152" t="inlineStr">
        <is>
          <t>ecoinvent</t>
        </is>
      </c>
      <c r="G152" t="inlineStr">
        <is>
          <t>technosphere</t>
        </is>
      </c>
      <c r="I152" t="inlineStr">
        <is>
          <t>changed "Electricity" to "electricity, low voltage"</t>
        </is>
      </c>
    </row>
    <row r="153"/>
    <row r="154">
      <c r="A154" s="2" t="inlineStr">
        <is>
          <t>Activity</t>
        </is>
      </c>
      <c r="B154" s="2" t="inlineStr">
        <is>
          <t>single-crystal GaAs boule production</t>
        </is>
      </c>
    </row>
    <row r="155">
      <c r="A155" t="inlineStr">
        <is>
          <t>comment</t>
        </is>
      </c>
      <c r="B155"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c r="A156" t="inlineStr">
        <is>
          <t>reference product</t>
        </is>
      </c>
      <c r="B156" s="9" t="inlineStr">
        <is>
          <t>single-crystal GaAs boule</t>
        </is>
      </c>
    </row>
    <row r="157">
      <c r="A157" t="inlineStr">
        <is>
          <t>code</t>
        </is>
      </c>
      <c r="B157" t="inlineStr">
        <is>
          <t>gaas_4</t>
        </is>
      </c>
    </row>
    <row r="158">
      <c r="A158" t="inlineStr">
        <is>
          <t>location</t>
        </is>
      </c>
      <c r="B158" t="inlineStr">
        <is>
          <t>GLO</t>
        </is>
      </c>
    </row>
    <row r="159">
      <c r="A159" t="inlineStr">
        <is>
          <t>amount</t>
        </is>
      </c>
      <c r="B159" t="n">
        <v>1</v>
      </c>
    </row>
    <row r="160">
      <c r="A160" t="inlineStr">
        <is>
          <t>unit</t>
        </is>
      </c>
      <c r="B160" t="inlineStr">
        <is>
          <t>kilogram</t>
        </is>
      </c>
    </row>
    <row r="161">
      <c r="A161" t="inlineStr">
        <is>
          <t>source</t>
        </is>
      </c>
      <c r="B161"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62">
      <c r="A162" s="2" t="inlineStr">
        <is>
          <t>Exchanges</t>
        </is>
      </c>
    </row>
    <row r="163">
      <c r="A163" s="2" t="inlineStr">
        <is>
          <t>name</t>
        </is>
      </c>
      <c r="B163" s="2" t="inlineStr">
        <is>
          <t>reference product</t>
        </is>
      </c>
      <c r="C163" s="2" t="inlineStr">
        <is>
          <t>location</t>
        </is>
      </c>
      <c r="D163" s="3" t="inlineStr">
        <is>
          <t>amount</t>
        </is>
      </c>
      <c r="E163" s="2" t="inlineStr">
        <is>
          <t>unit</t>
        </is>
      </c>
      <c r="F163" s="2" t="inlineStr">
        <is>
          <t>database</t>
        </is>
      </c>
      <c r="G163" s="2" t="inlineStr">
        <is>
          <t>type</t>
        </is>
      </c>
      <c r="H163" s="2" t="inlineStr">
        <is>
          <t>categories</t>
        </is>
      </c>
      <c r="I163" s="2" t="inlineStr">
        <is>
          <t>comment</t>
        </is>
      </c>
    </row>
    <row r="164">
      <c r="A164" t="inlineStr">
        <is>
          <t>single-crystal GaAs boule production</t>
        </is>
      </c>
      <c r="B164" t="inlineStr">
        <is>
          <t>single-crystal GaAs boule</t>
        </is>
      </c>
      <c r="C164" t="inlineStr">
        <is>
          <t>GLO</t>
        </is>
      </c>
      <c r="D164" s="1" t="n">
        <v>1</v>
      </c>
      <c r="E164" t="inlineStr">
        <is>
          <t>kilogram</t>
        </is>
      </c>
      <c r="F164" t="inlineStr">
        <is>
          <t>PV_GaAs</t>
        </is>
      </c>
      <c r="G164" t="inlineStr">
        <is>
          <t>production</t>
        </is>
      </c>
    </row>
    <row r="165">
      <c r="A165" t="inlineStr">
        <is>
          <t>polycrystalline GaAs boule production</t>
        </is>
      </c>
      <c r="B165" s="9" t="inlineStr">
        <is>
          <t>polycrystalline GaAs boule</t>
        </is>
      </c>
      <c r="C165" t="inlineStr">
        <is>
          <t>GLO</t>
        </is>
      </c>
      <c r="D165" s="10" t="n">
        <v>1.08</v>
      </c>
      <c r="E165" t="inlineStr">
        <is>
          <t>kilogram</t>
        </is>
      </c>
      <c r="F165" t="inlineStr">
        <is>
          <t>PV_GaAs</t>
        </is>
      </c>
      <c r="G165" t="inlineStr">
        <is>
          <t>technosphere</t>
        </is>
      </c>
      <c r="I165" s="9" t="n"/>
    </row>
    <row r="166">
      <c r="A166" s="9" t="inlineStr">
        <is>
          <t>boric oxide production</t>
        </is>
      </c>
      <c r="B166" s="9" t="inlineStr">
        <is>
          <t>boric oxide</t>
        </is>
      </c>
      <c r="C166" t="inlineStr">
        <is>
          <t>GLO</t>
        </is>
      </c>
      <c r="D166" s="10" t="n">
        <v>0.005</v>
      </c>
      <c r="E166" t="inlineStr">
        <is>
          <t>kilogram</t>
        </is>
      </c>
      <c r="F166" t="inlineStr">
        <is>
          <t>ecoinvent</t>
        </is>
      </c>
      <c r="G166" t="inlineStr">
        <is>
          <t>technosphere</t>
        </is>
      </c>
      <c r="I166" s="9" t="inlineStr">
        <is>
          <t>changed "boron oxide (boric oxide)" to boric oxide"</t>
        </is>
      </c>
    </row>
    <row r="167">
      <c r="A167" s="9" t="inlineStr">
        <is>
          <t>boron carbide production</t>
        </is>
      </c>
      <c r="B167" s="9" t="inlineStr">
        <is>
          <t>boron carbide</t>
        </is>
      </c>
      <c r="C167" t="inlineStr">
        <is>
          <t>GLO</t>
        </is>
      </c>
      <c r="D167" s="10" t="n">
        <v>0.01</v>
      </c>
      <c r="E167" t="inlineStr">
        <is>
          <t>kilogram</t>
        </is>
      </c>
      <c r="F167" t="inlineStr">
        <is>
          <t>ecoinvent</t>
        </is>
      </c>
      <c r="G167" t="inlineStr">
        <is>
          <t>technosphere</t>
        </is>
      </c>
      <c r="I167" t="inlineStr">
        <is>
          <t xml:space="preserve">changed "pBN crucible" to "boron carbide" </t>
        </is>
      </c>
    </row>
    <row r="168">
      <c r="A168" t="inlineStr">
        <is>
          <t>market group for electricity, low voltage</t>
        </is>
      </c>
      <c r="B168" t="inlineStr">
        <is>
          <t>electricity, low voltage</t>
        </is>
      </c>
      <c r="C168" t="inlineStr">
        <is>
          <t>UCTE</t>
        </is>
      </c>
      <c r="D168" s="10" t="n">
        <v>160</v>
      </c>
      <c r="E168" t="inlineStr">
        <is>
          <t>kilowatt hour</t>
        </is>
      </c>
      <c r="F168" t="inlineStr">
        <is>
          <t>ecoinvent</t>
        </is>
      </c>
      <c r="G168" t="inlineStr">
        <is>
          <t>technosphere</t>
        </is>
      </c>
      <c r="I168" t="inlineStr">
        <is>
          <t>changed "Electricity" to "electricity, low voltage"</t>
        </is>
      </c>
    </row>
    <row r="169">
      <c r="A169" s="9" t="inlineStr">
        <is>
          <t>treatment of hazardous waste, underground deposit</t>
        </is>
      </c>
      <c r="B169" s="9" t="inlineStr">
        <is>
          <t>hazardous waste, for underground deposit</t>
        </is>
      </c>
      <c r="C169" t="inlineStr">
        <is>
          <t>RoW</t>
        </is>
      </c>
      <c r="D169" s="10" t="n">
        <v>-0.01</v>
      </c>
      <c r="E169" t="inlineStr">
        <is>
          <t>kilogram</t>
        </is>
      </c>
      <c r="F169" t="inlineStr">
        <is>
          <t>ecoinvent</t>
        </is>
      </c>
      <c r="G169" t="inlineStr">
        <is>
          <t>technosphere</t>
        </is>
      </c>
      <c r="I169" t="inlineStr">
        <is>
          <t xml:space="preserve">changed "pBN crucible (hazardous waste underground deposit)" to "hazardous waste, for underground deposit" </t>
        </is>
      </c>
    </row>
    <row r="170">
      <c r="A170" s="9" t="inlineStr">
        <is>
          <t>treatment of hazardous waste, underground deposit</t>
        </is>
      </c>
      <c r="B170" s="9" t="inlineStr">
        <is>
          <t>hazardous waste, for underground deposit</t>
        </is>
      </c>
      <c r="C170" t="inlineStr">
        <is>
          <t>RoW</t>
        </is>
      </c>
      <c r="D170" s="10" t="n">
        <v>-0.005</v>
      </c>
      <c r="E170" t="inlineStr">
        <is>
          <t>kilogram</t>
        </is>
      </c>
      <c r="F170" t="inlineStr">
        <is>
          <t>ecoinvent</t>
        </is>
      </c>
      <c r="G170" t="inlineStr">
        <is>
          <t>technosphere</t>
        </is>
      </c>
      <c r="I170" t="inlineStr">
        <is>
          <t xml:space="preserve">changed "boron oxide (hazardous waste underground deposit)" to "hazardous waste, for underground deposit" </t>
        </is>
      </c>
    </row>
    <row r="171">
      <c r="A171" s="9" t="inlineStr">
        <is>
          <t>treatment of hazardous waste, underground deposit</t>
        </is>
      </c>
      <c r="B171" s="9" t="inlineStr">
        <is>
          <t>hazardous waste, for underground deposit</t>
        </is>
      </c>
      <c r="C171" t="inlineStr">
        <is>
          <t>RoW</t>
        </is>
      </c>
      <c r="D171" s="10" t="n">
        <v>-0.08</v>
      </c>
      <c r="E171" t="inlineStr">
        <is>
          <t>kilogram</t>
        </is>
      </c>
      <c r="F171" t="inlineStr">
        <is>
          <t>ecoinvent</t>
        </is>
      </c>
      <c r="G171" t="inlineStr">
        <is>
          <t>technosphere</t>
        </is>
      </c>
      <c r="I171" t="inlineStr">
        <is>
          <t xml:space="preserve">changed "7N arsenic (hazardous waste underground deposit)" to "hazardous waste, for underground deposit" </t>
        </is>
      </c>
    </row>
    <row r="172">
      <c r="A172" s="11" t="n"/>
      <c r="B172" s="11" t="n"/>
      <c r="C172" s="11" t="n"/>
      <c r="D172" s="12" t="n"/>
      <c r="E172" s="11" t="n"/>
    </row>
    <row r="173">
      <c r="A173" s="2" t="inlineStr">
        <is>
          <t>Activity</t>
        </is>
      </c>
      <c r="B173" s="2" t="inlineStr">
        <is>
          <t>GaAs ingot production - x-ray, cropping, grinding notch</t>
        </is>
      </c>
    </row>
    <row r="174">
      <c r="A174" t="inlineStr">
        <is>
          <t>comment</t>
        </is>
      </c>
      <c r="B174"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75">
      <c r="A175" t="inlineStr">
        <is>
          <t>reference product</t>
        </is>
      </c>
      <c r="B175" s="9" t="inlineStr">
        <is>
          <t>single-crystal GaAs ingot</t>
        </is>
      </c>
    </row>
    <row r="176">
      <c r="A176" t="inlineStr">
        <is>
          <t>code</t>
        </is>
      </c>
      <c r="B176" t="inlineStr">
        <is>
          <t>gaas_5</t>
        </is>
      </c>
    </row>
    <row r="177">
      <c r="A177" t="inlineStr">
        <is>
          <t>location</t>
        </is>
      </c>
      <c r="B177" t="inlineStr">
        <is>
          <t>GLO</t>
        </is>
      </c>
    </row>
    <row r="178">
      <c r="A178" t="inlineStr">
        <is>
          <t>amount</t>
        </is>
      </c>
      <c r="B178" t="n">
        <v>1</v>
      </c>
    </row>
    <row r="179">
      <c r="A179" t="inlineStr">
        <is>
          <t>unit</t>
        </is>
      </c>
      <c r="B179" t="inlineStr">
        <is>
          <t>kilogram</t>
        </is>
      </c>
    </row>
    <row r="180">
      <c r="A180" t="inlineStr">
        <is>
          <t>source</t>
        </is>
      </c>
      <c r="B180"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181">
      <c r="A181" s="2" t="inlineStr">
        <is>
          <t>Exchanges</t>
        </is>
      </c>
    </row>
    <row r="182">
      <c r="A182" s="2" t="inlineStr">
        <is>
          <t>name</t>
        </is>
      </c>
      <c r="B182" s="2" t="inlineStr">
        <is>
          <t>reference product</t>
        </is>
      </c>
      <c r="C182" s="2" t="inlineStr">
        <is>
          <t>location</t>
        </is>
      </c>
      <c r="D182" s="3" t="inlineStr">
        <is>
          <t>amount</t>
        </is>
      </c>
      <c r="E182" s="2" t="inlineStr">
        <is>
          <t>unit</t>
        </is>
      </c>
      <c r="F182" s="2" t="inlineStr">
        <is>
          <t>database</t>
        </is>
      </c>
      <c r="G182" s="2" t="inlineStr">
        <is>
          <t>type</t>
        </is>
      </c>
      <c r="H182" s="2" t="inlineStr">
        <is>
          <t>categories</t>
        </is>
      </c>
      <c r="I182" s="2" t="inlineStr">
        <is>
          <t>comment</t>
        </is>
      </c>
    </row>
    <row r="183">
      <c r="A183" t="inlineStr">
        <is>
          <t>GaAs ingot production - x-ray, cropping, grinding notch</t>
        </is>
      </c>
      <c r="B183" s="9" t="inlineStr">
        <is>
          <t>single-crystal GaAs ingot</t>
        </is>
      </c>
      <c r="C183" t="inlineStr">
        <is>
          <t>GLO</t>
        </is>
      </c>
      <c r="D183" s="1">
        <f>B178</f>
        <v>1</v>
      </c>
      <c r="E183" t="inlineStr">
        <is>
          <t>kilogram</t>
        </is>
      </c>
      <c r="F183" t="inlineStr">
        <is>
          <t>PV_GaAs</t>
        </is>
      </c>
      <c r="G183" t="inlineStr">
        <is>
          <t>production</t>
        </is>
      </c>
    </row>
    <row r="184">
      <c r="A184" t="inlineStr">
        <is>
          <t>single-crystal GaAs boule production</t>
        </is>
      </c>
      <c r="B184" s="9" t="inlineStr">
        <is>
          <t>single-crystal GaAs boule</t>
        </is>
      </c>
      <c r="C184" t="inlineStr">
        <is>
          <t>GLO</t>
        </is>
      </c>
      <c r="D184" s="10" t="n">
        <v>1.0989011</v>
      </c>
      <c r="E184" t="inlineStr">
        <is>
          <t>kilogram</t>
        </is>
      </c>
      <c r="F184" t="inlineStr">
        <is>
          <t>PV_GaAs</t>
        </is>
      </c>
      <c r="G184" t="inlineStr">
        <is>
          <t>technosphere</t>
        </is>
      </c>
      <c r="I184" s="9" t="n"/>
    </row>
    <row r="185">
      <c r="A185" s="9" t="inlineStr">
        <is>
          <t>wire drawing, steel</t>
        </is>
      </c>
      <c r="B185" s="8" t="inlineStr">
        <is>
          <t>wire drawing, steel</t>
        </is>
      </c>
      <c r="C185" t="inlineStr">
        <is>
          <t>RER</t>
        </is>
      </c>
      <c r="D185" s="10" t="n">
        <v>5.714e-08</v>
      </c>
      <c r="E185" t="inlineStr">
        <is>
          <t>kilogram</t>
        </is>
      </c>
      <c r="F185" t="inlineStr">
        <is>
          <t>ecoinvent</t>
        </is>
      </c>
      <c r="G185" t="inlineStr">
        <is>
          <t>technosphere</t>
        </is>
      </c>
      <c r="I185" s="9" t="inlineStr">
        <is>
          <t>changed "steel wire (cropping)" to "wire drawing, steel"</t>
        </is>
      </c>
    </row>
    <row r="186">
      <c r="A186" t="inlineStr">
        <is>
          <t>diamond saw production</t>
        </is>
      </c>
      <c r="B186" s="9" t="inlineStr">
        <is>
          <t>diamond saw</t>
        </is>
      </c>
      <c r="C186" t="inlineStr">
        <is>
          <t>GLO</t>
        </is>
      </c>
      <c r="D186" s="10" t="n">
        <v>0.0004396</v>
      </c>
      <c r="E186" t="inlineStr">
        <is>
          <t>unit</t>
        </is>
      </c>
      <c r="F186" t="inlineStr">
        <is>
          <t>PV_GaAs</t>
        </is>
      </c>
      <c r="G186" t="inlineStr">
        <is>
          <t>technosphere</t>
        </is>
      </c>
    </row>
    <row r="187">
      <c r="A187" t="inlineStr">
        <is>
          <t>market group for electricity, low voltage</t>
        </is>
      </c>
      <c r="B187" t="inlineStr">
        <is>
          <t>electricity, low voltage</t>
        </is>
      </c>
      <c r="C187" t="inlineStr">
        <is>
          <t>UCTE</t>
        </is>
      </c>
      <c r="D187" s="10" t="n">
        <v>0.4395604</v>
      </c>
      <c r="E187" t="inlineStr">
        <is>
          <t>kilowatt hour</t>
        </is>
      </c>
      <c r="F187" t="inlineStr">
        <is>
          <t>ecoinvent</t>
        </is>
      </c>
      <c r="G187" t="inlineStr">
        <is>
          <t>technosphere</t>
        </is>
      </c>
      <c r="I187" t="inlineStr">
        <is>
          <t>changed "electricity (x-ray)" to "electricity, low voltage"</t>
        </is>
      </c>
    </row>
    <row r="188">
      <c r="A188" t="inlineStr">
        <is>
          <t>market group for electricity, low voltage</t>
        </is>
      </c>
      <c r="B188" t="inlineStr">
        <is>
          <t>electricity, low voltage</t>
        </is>
      </c>
      <c r="C188" t="inlineStr">
        <is>
          <t>UCTE</t>
        </is>
      </c>
      <c r="D188" s="10" t="n">
        <v>0.07472529999999999</v>
      </c>
      <c r="E188" t="inlineStr">
        <is>
          <t>kilowatt hour</t>
        </is>
      </c>
      <c r="F188" t="inlineStr">
        <is>
          <t>ecoinvent</t>
        </is>
      </c>
      <c r="G188" t="inlineStr">
        <is>
          <t>technosphere</t>
        </is>
      </c>
      <c r="I188" t="inlineStr">
        <is>
          <t>changed "electricity (cropping)" to "electricity, low voltage"</t>
        </is>
      </c>
    </row>
    <row r="189">
      <c r="A189" t="inlineStr">
        <is>
          <t>market group for electricity, low voltage</t>
        </is>
      </c>
      <c r="B189" t="inlineStr">
        <is>
          <t>electricity, low voltage</t>
        </is>
      </c>
      <c r="C189" t="inlineStr">
        <is>
          <t>UCTE</t>
        </is>
      </c>
      <c r="D189" s="10" t="n">
        <v>0.4395604</v>
      </c>
      <c r="E189" t="inlineStr">
        <is>
          <t>kilowatt hour</t>
        </is>
      </c>
      <c r="F189" t="inlineStr">
        <is>
          <t>ecoinvent</t>
        </is>
      </c>
      <c r="G189" t="inlineStr">
        <is>
          <t>technosphere</t>
        </is>
      </c>
      <c r="I189" t="inlineStr">
        <is>
          <t>changed "electricity (notch)" to "electricity, low voltage"</t>
        </is>
      </c>
    </row>
    <row r="190">
      <c r="A190" s="9" t="inlineStr">
        <is>
          <t>treatment of hazardous waste, underground deposit</t>
        </is>
      </c>
      <c r="B190" s="9" t="inlineStr">
        <is>
          <t>hazardous waste, for underground deposit</t>
        </is>
      </c>
      <c r="C190" t="inlineStr">
        <is>
          <t>RoW</t>
        </is>
      </c>
      <c r="D190" s="10" t="n">
        <v>-0.0505495</v>
      </c>
      <c r="E190" t="inlineStr">
        <is>
          <t>kilogram</t>
        </is>
      </c>
      <c r="F190" t="inlineStr">
        <is>
          <t>ecoinvent</t>
        </is>
      </c>
      <c r="G190" t="inlineStr">
        <is>
          <t>technosphere</t>
        </is>
      </c>
      <c r="I190" t="inlineStr">
        <is>
          <t xml:space="preserve">changed "arsenic (hazardous waste underground deposit)" to "hazardous waste, for underground deposit" </t>
        </is>
      </c>
    </row>
    <row r="191">
      <c r="A191" s="9" t="n"/>
      <c r="B191" s="9" t="n"/>
      <c r="C191" s="13" t="n"/>
      <c r="D191" s="14" t="n"/>
      <c r="E191" s="9" t="n"/>
    </row>
    <row r="192">
      <c r="A192" s="2" t="inlineStr">
        <is>
          <t>Activity</t>
        </is>
      </c>
      <c r="B192" s="2" t="inlineStr">
        <is>
          <t>diamond saw production</t>
        </is>
      </c>
    </row>
    <row r="193">
      <c r="A193" t="inlineStr">
        <is>
          <t>comment</t>
        </is>
      </c>
      <c r="B193"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94">
      <c r="A194" t="inlineStr">
        <is>
          <t>reference product</t>
        </is>
      </c>
      <c r="B194" s="9" t="inlineStr">
        <is>
          <t>diamond saw</t>
        </is>
      </c>
    </row>
    <row r="195">
      <c r="A195" t="inlineStr">
        <is>
          <t>code</t>
        </is>
      </c>
      <c r="B195" t="inlineStr">
        <is>
          <t>gaas_6</t>
        </is>
      </c>
    </row>
    <row r="196">
      <c r="A196" t="inlineStr">
        <is>
          <t>location</t>
        </is>
      </c>
      <c r="B196" t="inlineStr">
        <is>
          <t>GLO</t>
        </is>
      </c>
    </row>
    <row r="197">
      <c r="A197" t="inlineStr">
        <is>
          <t>amount</t>
        </is>
      </c>
      <c r="B197" t="n">
        <v>1</v>
      </c>
    </row>
    <row r="198">
      <c r="A198" t="inlineStr">
        <is>
          <t>unit</t>
        </is>
      </c>
      <c r="B198" t="inlineStr">
        <is>
          <t>unit</t>
        </is>
      </c>
    </row>
    <row r="199">
      <c r="A199" t="inlineStr">
        <is>
          <t>source</t>
        </is>
      </c>
      <c r="B199"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00">
      <c r="A200" s="2" t="inlineStr">
        <is>
          <t>Exchanges</t>
        </is>
      </c>
    </row>
    <row r="201">
      <c r="A201" s="2" t="inlineStr">
        <is>
          <t>name</t>
        </is>
      </c>
      <c r="B201" s="2" t="inlineStr">
        <is>
          <t>reference product</t>
        </is>
      </c>
      <c r="C201" s="2" t="inlineStr">
        <is>
          <t>location</t>
        </is>
      </c>
      <c r="D201" s="3" t="inlineStr">
        <is>
          <t>amount</t>
        </is>
      </c>
      <c r="E201" s="2" t="inlineStr">
        <is>
          <t>unit</t>
        </is>
      </c>
      <c r="F201" s="2" t="inlineStr">
        <is>
          <t>database</t>
        </is>
      </c>
      <c r="G201" s="2" t="inlineStr">
        <is>
          <t>type</t>
        </is>
      </c>
      <c r="H201" s="2" t="inlineStr">
        <is>
          <t>categories</t>
        </is>
      </c>
      <c r="I201" s="2" t="inlineStr">
        <is>
          <t>comment</t>
        </is>
      </c>
    </row>
    <row r="202">
      <c r="A202" t="inlineStr">
        <is>
          <t>diamond saw production</t>
        </is>
      </c>
      <c r="B202" s="9" t="inlineStr">
        <is>
          <t>diamond saw</t>
        </is>
      </c>
      <c r="C202" t="inlineStr">
        <is>
          <t>GLO</t>
        </is>
      </c>
      <c r="D202" s="1">
        <f>B197</f>
        <v>1</v>
      </c>
      <c r="E202" t="inlineStr">
        <is>
          <t>unit</t>
        </is>
      </c>
      <c r="F202" t="inlineStr">
        <is>
          <t>PV_GaAs</t>
        </is>
      </c>
      <c r="G202" t="inlineStr">
        <is>
          <t>production</t>
        </is>
      </c>
    </row>
    <row r="203">
      <c r="A203" s="9" t="inlineStr">
        <is>
          <t>steel production, converter, unalloyed</t>
        </is>
      </c>
      <c r="B203" s="9" t="inlineStr">
        <is>
          <t>steel, unalloyed</t>
        </is>
      </c>
      <c r="C203" t="inlineStr">
        <is>
          <t>RER</t>
        </is>
      </c>
      <c r="D203" s="10" t="n">
        <v>0.02</v>
      </c>
      <c r="E203" t="inlineStr">
        <is>
          <t>kilogram</t>
        </is>
      </c>
      <c r="F203" t="inlineStr">
        <is>
          <t>ecoinvent</t>
        </is>
      </c>
      <c r="G203" t="inlineStr">
        <is>
          <t>technosphere</t>
        </is>
      </c>
      <c r="I203" s="9" t="inlineStr">
        <is>
          <t xml:space="preserve">changed "steel" to "steel, unalloyed" </t>
        </is>
      </c>
    </row>
    <row r="204">
      <c r="A204" t="inlineStr">
        <is>
          <t>synthetic diamond production</t>
        </is>
      </c>
      <c r="B204" s="9" t="inlineStr">
        <is>
          <t>synthetic diamond</t>
        </is>
      </c>
      <c r="C204" t="inlineStr">
        <is>
          <t>GLO</t>
        </is>
      </c>
      <c r="D204" s="10" t="n">
        <v>0.0002</v>
      </c>
      <c r="E204" t="inlineStr">
        <is>
          <t>kilogram</t>
        </is>
      </c>
      <c r="F204" t="inlineStr">
        <is>
          <t>PV_GaAs</t>
        </is>
      </c>
      <c r="G204" t="inlineStr">
        <is>
          <t>technosphere</t>
        </is>
      </c>
      <c r="I204" s="9" t="n"/>
    </row>
    <row r="205">
      <c r="A205" t="inlineStr">
        <is>
          <t>market group for electricity, low voltage</t>
        </is>
      </c>
      <c r="B205" t="inlineStr">
        <is>
          <t>electricity, low voltage</t>
        </is>
      </c>
      <c r="C205" t="inlineStr">
        <is>
          <t>UCTE</t>
        </is>
      </c>
      <c r="D205" s="10" t="n">
        <v>10</v>
      </c>
      <c r="E205" t="inlineStr">
        <is>
          <t>kilowatt hour</t>
        </is>
      </c>
      <c r="F205" t="inlineStr">
        <is>
          <t>ecoinvent</t>
        </is>
      </c>
      <c r="G205" t="inlineStr">
        <is>
          <t>technosphere</t>
        </is>
      </c>
      <c r="I205" t="inlineStr">
        <is>
          <t>changed "Electricity" to "electricity, low voltage"</t>
        </is>
      </c>
    </row>
    <row r="206">
      <c r="A206" s="9" t="n"/>
      <c r="B206" s="9" t="n"/>
      <c r="C206" s="6" t="n"/>
      <c r="D206" s="10" t="n"/>
    </row>
    <row r="207">
      <c r="A207" s="2" t="inlineStr">
        <is>
          <t>Activity</t>
        </is>
      </c>
      <c r="B207" s="2" t="inlineStr">
        <is>
          <t>synthetic diamond production</t>
        </is>
      </c>
    </row>
    <row r="208">
      <c r="A208" t="inlineStr">
        <is>
          <t>comment</t>
        </is>
      </c>
      <c r="B208"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09">
      <c r="A209" t="inlineStr">
        <is>
          <t>reference product</t>
        </is>
      </c>
      <c r="B209" s="9" t="inlineStr">
        <is>
          <t>synthetic diamond</t>
        </is>
      </c>
    </row>
    <row r="210">
      <c r="A210" t="inlineStr">
        <is>
          <t>code</t>
        </is>
      </c>
      <c r="B210" t="inlineStr">
        <is>
          <t>gaas_7</t>
        </is>
      </c>
    </row>
    <row r="211">
      <c r="A211" t="inlineStr">
        <is>
          <t>location</t>
        </is>
      </c>
      <c r="B211" t="inlineStr">
        <is>
          <t>GLO</t>
        </is>
      </c>
    </row>
    <row r="212">
      <c r="A212" t="inlineStr">
        <is>
          <t>amount</t>
        </is>
      </c>
      <c r="B212" t="n">
        <v>1</v>
      </c>
    </row>
    <row r="213">
      <c r="A213" t="inlineStr">
        <is>
          <t>unit</t>
        </is>
      </c>
      <c r="B213" t="inlineStr">
        <is>
          <t>kilogram</t>
        </is>
      </c>
    </row>
    <row r="214">
      <c r="A214" t="inlineStr">
        <is>
          <t>source</t>
        </is>
      </c>
      <c r="B214"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15">
      <c r="A215" s="2" t="inlineStr">
        <is>
          <t>Exchanges</t>
        </is>
      </c>
    </row>
    <row r="216">
      <c r="A216" s="2" t="inlineStr">
        <is>
          <t>name</t>
        </is>
      </c>
      <c r="B216" s="2" t="inlineStr">
        <is>
          <t>reference product</t>
        </is>
      </c>
      <c r="C216" s="2" t="inlineStr">
        <is>
          <t>location</t>
        </is>
      </c>
      <c r="D216" s="3" t="inlineStr">
        <is>
          <t>amount</t>
        </is>
      </c>
      <c r="E216" s="2" t="inlineStr">
        <is>
          <t>unit</t>
        </is>
      </c>
      <c r="F216" s="2" t="inlineStr">
        <is>
          <t>database</t>
        </is>
      </c>
      <c r="G216" s="2" t="inlineStr">
        <is>
          <t>type</t>
        </is>
      </c>
      <c r="H216" s="2" t="inlineStr">
        <is>
          <t>categories</t>
        </is>
      </c>
      <c r="I216" s="2" t="inlineStr">
        <is>
          <t>comment</t>
        </is>
      </c>
    </row>
    <row r="217">
      <c r="A217" t="inlineStr">
        <is>
          <t>synthetic diamond production</t>
        </is>
      </c>
      <c r="B217" s="9" t="inlineStr">
        <is>
          <t>synthetic diamond</t>
        </is>
      </c>
      <c r="C217" t="inlineStr">
        <is>
          <t>GLO</t>
        </is>
      </c>
      <c r="D217" s="1">
        <f>B212</f>
        <v>1</v>
      </c>
      <c r="E217" t="inlineStr">
        <is>
          <t>kilogram</t>
        </is>
      </c>
      <c r="F217" t="inlineStr">
        <is>
          <t>PV_GaAs</t>
        </is>
      </c>
      <c r="G217" t="inlineStr">
        <is>
          <t>production</t>
        </is>
      </c>
    </row>
    <row r="218">
      <c r="A218" s="15" t="inlineStr">
        <is>
          <t>market for natural gas, high pressure</t>
        </is>
      </c>
      <c r="B218" s="15" t="inlineStr">
        <is>
          <t>natural gas, high pressure</t>
        </is>
      </c>
      <c r="C218" s="16" t="inlineStr">
        <is>
          <t>RoW</t>
        </is>
      </c>
      <c r="D218" s="10" t="n">
        <v>14.545455</v>
      </c>
      <c r="E218" t="inlineStr">
        <is>
          <t>cubic meter</t>
        </is>
      </c>
      <c r="F218" t="inlineStr">
        <is>
          <t>ecoinvent</t>
        </is>
      </c>
      <c r="G218" t="inlineStr">
        <is>
          <t>technosphere</t>
        </is>
      </c>
      <c r="I218" s="17" t="inlineStr">
        <is>
          <t>changed "Natural gas production" to "market for natural gas, high pressure" and "methane (natural gas)" to "natural gas, high pressure"</t>
        </is>
      </c>
    </row>
    <row r="219">
      <c r="A219" t="inlineStr">
        <is>
          <t>market for hydrogen, gaseous, low pressure</t>
        </is>
      </c>
      <c r="B219" t="inlineStr">
        <is>
          <t>hydrogen, gaseous, low pressure</t>
        </is>
      </c>
      <c r="C219" t="inlineStr">
        <is>
          <t>RER</t>
        </is>
      </c>
      <c r="D219" s="10" t="n">
        <v>0.0363636</v>
      </c>
      <c r="E219" t="inlineStr">
        <is>
          <t>kilogram</t>
        </is>
      </c>
      <c r="F219" t="inlineStr">
        <is>
          <t>ecoinvent</t>
        </is>
      </c>
      <c r="G219" t="inlineStr">
        <is>
          <t>technosphere</t>
        </is>
      </c>
      <c r="I219" s="9" t="inlineStr">
        <is>
          <t xml:space="preserve">changed "hydrogen" to "hydrogen, liquid" and "RoW" to "RER" </t>
        </is>
      </c>
    </row>
    <row r="220">
      <c r="A220" t="inlineStr">
        <is>
          <t>market group for electricity, low voltage</t>
        </is>
      </c>
      <c r="B220" t="inlineStr">
        <is>
          <t>electricity, low voltage</t>
        </is>
      </c>
      <c r="C220" t="inlineStr">
        <is>
          <t>UCTE</t>
        </is>
      </c>
      <c r="D220" s="10" t="n">
        <v>1218181.8</v>
      </c>
      <c r="E220" t="inlineStr">
        <is>
          <t>kilowatt hour</t>
        </is>
      </c>
      <c r="F220" t="inlineStr">
        <is>
          <t>ecoinvent</t>
        </is>
      </c>
      <c r="G220" t="inlineStr">
        <is>
          <t>technosphere</t>
        </is>
      </c>
      <c r="I220" t="inlineStr">
        <is>
          <t>changed "Electricity" to "electricity, low voltage"</t>
        </is>
      </c>
    </row>
    <row r="221">
      <c r="A221" s="18" t="n"/>
    </row>
    <row r="222">
      <c r="A222" s="2" t="inlineStr">
        <is>
          <t>Activity</t>
        </is>
      </c>
      <c r="B222" s="2" t="inlineStr">
        <is>
          <t>raw GaAs wafer production</t>
        </is>
      </c>
    </row>
    <row r="223">
      <c r="A223" t="inlineStr">
        <is>
          <t>comment</t>
        </is>
      </c>
      <c r="B223"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24">
      <c r="A224" t="inlineStr">
        <is>
          <t>reference product</t>
        </is>
      </c>
      <c r="B224" s="9" t="inlineStr">
        <is>
          <t>raw GaAs wafer</t>
        </is>
      </c>
    </row>
    <row r="225">
      <c r="A225" t="inlineStr">
        <is>
          <t>code</t>
        </is>
      </c>
      <c r="B225" t="inlineStr">
        <is>
          <t>gaas_8</t>
        </is>
      </c>
    </row>
    <row r="226">
      <c r="A226" t="inlineStr">
        <is>
          <t>location</t>
        </is>
      </c>
      <c r="B226" t="inlineStr">
        <is>
          <t>GLO</t>
        </is>
      </c>
    </row>
    <row r="227">
      <c r="A227" t="inlineStr">
        <is>
          <t>amount</t>
        </is>
      </c>
      <c r="B227" t="n">
        <v>1</v>
      </c>
    </row>
    <row r="228">
      <c r="A228" t="inlineStr">
        <is>
          <t>unit</t>
        </is>
      </c>
      <c r="B228" t="inlineStr">
        <is>
          <t>square meter</t>
        </is>
      </c>
    </row>
    <row r="229">
      <c r="A229" t="inlineStr">
        <is>
          <t>source</t>
        </is>
      </c>
      <c r="B229"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30">
      <c r="A230" s="2" t="inlineStr">
        <is>
          <t>Exchanges</t>
        </is>
      </c>
    </row>
    <row r="231">
      <c r="A231" s="2" t="inlineStr">
        <is>
          <t>name</t>
        </is>
      </c>
      <c r="B231" s="2" t="inlineStr">
        <is>
          <t>reference product</t>
        </is>
      </c>
      <c r="C231" s="2" t="inlineStr">
        <is>
          <t>location</t>
        </is>
      </c>
      <c r="D231" s="3" t="inlineStr">
        <is>
          <t>amount</t>
        </is>
      </c>
      <c r="E231" s="2" t="inlineStr">
        <is>
          <t>unit</t>
        </is>
      </c>
      <c r="F231" s="2" t="inlineStr">
        <is>
          <t>database</t>
        </is>
      </c>
      <c r="G231" s="2" t="inlineStr">
        <is>
          <t>type</t>
        </is>
      </c>
      <c r="H231" s="2" t="inlineStr">
        <is>
          <t>categories</t>
        </is>
      </c>
      <c r="I231" s="2" t="inlineStr">
        <is>
          <t>comment</t>
        </is>
      </c>
    </row>
    <row r="232">
      <c r="A232" t="inlineStr">
        <is>
          <t>raw GaAs wafer production</t>
        </is>
      </c>
      <c r="B232" s="9" t="inlineStr">
        <is>
          <t>raw GaAs wafer</t>
        </is>
      </c>
      <c r="C232" t="inlineStr">
        <is>
          <t>GLO</t>
        </is>
      </c>
      <c r="D232" s="1">
        <f>B227</f>
        <v>1</v>
      </c>
      <c r="E232" t="inlineStr">
        <is>
          <t>square meter</t>
        </is>
      </c>
      <c r="F232" t="inlineStr">
        <is>
          <t>PV_GaAs</t>
        </is>
      </c>
      <c r="G232" t="inlineStr">
        <is>
          <t>production</t>
        </is>
      </c>
    </row>
    <row r="233">
      <c r="A233" t="inlineStr">
        <is>
          <t>GaAs ingot production - x-ray, cropping, grinding notch</t>
        </is>
      </c>
      <c r="B233" s="9" t="inlineStr">
        <is>
          <t>single-crystal GaAs ingot</t>
        </is>
      </c>
      <c r="C233" t="inlineStr">
        <is>
          <t>GLO</t>
        </is>
      </c>
      <c r="D233" s="10" t="n">
        <v>20.222222</v>
      </c>
      <c r="E233" s="9" t="inlineStr">
        <is>
          <t>kilogram</t>
        </is>
      </c>
      <c r="F233" t="inlineStr">
        <is>
          <t>PV_GaAs</t>
        </is>
      </c>
      <c r="G233" t="inlineStr">
        <is>
          <t>technosphere</t>
        </is>
      </c>
      <c r="I233" s="9" t="n"/>
    </row>
    <row r="234">
      <c r="A234" s="9" t="inlineStr">
        <is>
          <t>wire drawing, steel</t>
        </is>
      </c>
      <c r="B234" s="8" t="inlineStr">
        <is>
          <t>wire drawing, steel</t>
        </is>
      </c>
      <c r="C234" t="inlineStr">
        <is>
          <t>RER</t>
        </is>
      </c>
      <c r="D234" s="10" t="n">
        <v>7.822000000000001e-05</v>
      </c>
      <c r="E234" s="9" t="inlineStr">
        <is>
          <t>kilogram</t>
        </is>
      </c>
      <c r="F234" t="inlineStr">
        <is>
          <t>ecoinvent</t>
        </is>
      </c>
      <c r="G234" t="inlineStr">
        <is>
          <t>technosphere</t>
        </is>
      </c>
      <c r="I234" s="9" t="inlineStr">
        <is>
          <t>changed "steel wire (wafering)" to "wire drawing, steel"</t>
        </is>
      </c>
    </row>
    <row r="235">
      <c r="A235" s="9" t="inlineStr">
        <is>
          <t>sawing slurry production</t>
        </is>
      </c>
      <c r="B235" s="9" t="inlineStr">
        <is>
          <t>sawing slurry</t>
        </is>
      </c>
      <c r="C235" t="inlineStr">
        <is>
          <t>GLO</t>
        </is>
      </c>
      <c r="D235" s="10" t="n">
        <v>0.3111111</v>
      </c>
      <c r="E235" s="9" t="inlineStr">
        <is>
          <t>kilogram</t>
        </is>
      </c>
      <c r="F235" t="inlineStr">
        <is>
          <t>PV_GaAs</t>
        </is>
      </c>
      <c r="G235" t="inlineStr">
        <is>
          <t>technosphere</t>
        </is>
      </c>
    </row>
    <row r="236">
      <c r="A236" t="inlineStr">
        <is>
          <t>diamond saw production</t>
        </is>
      </c>
      <c r="B236" s="9" t="inlineStr">
        <is>
          <t>diamond saw</t>
        </is>
      </c>
      <c r="C236" t="inlineStr">
        <is>
          <t>GLO</t>
        </is>
      </c>
      <c r="D236" s="10" t="n">
        <v>0.0177778</v>
      </c>
      <c r="E236" s="9" t="inlineStr">
        <is>
          <t>unit</t>
        </is>
      </c>
      <c r="F236" t="inlineStr">
        <is>
          <t>PV_GaAs</t>
        </is>
      </c>
      <c r="G236" t="inlineStr">
        <is>
          <t>technosphere</t>
        </is>
      </c>
      <c r="I236" t="inlineStr">
        <is>
          <t>changed "diamond saw (edge saw)" to "diamond saw"</t>
        </is>
      </c>
    </row>
    <row r="237">
      <c r="A237" t="inlineStr">
        <is>
          <t>market group for electricity, low voltage</t>
        </is>
      </c>
      <c r="B237" t="inlineStr">
        <is>
          <t>electricity, low voltage</t>
        </is>
      </c>
      <c r="C237" t="inlineStr">
        <is>
          <t>UCTE</t>
        </is>
      </c>
      <c r="D237" s="10" t="n">
        <v>2.962963</v>
      </c>
      <c r="E237" s="9" t="inlineStr">
        <is>
          <t>kilowatt hour</t>
        </is>
      </c>
      <c r="F237" t="inlineStr">
        <is>
          <t>ecoinvent</t>
        </is>
      </c>
      <c r="G237" t="inlineStr">
        <is>
          <t>technosphere</t>
        </is>
      </c>
      <c r="I237" t="inlineStr">
        <is>
          <t>changed "Electricity (wire saw)" to "electricity, low voltage"</t>
        </is>
      </c>
    </row>
    <row r="238">
      <c r="A238" t="inlineStr">
        <is>
          <t>market group for electricity, low voltage</t>
        </is>
      </c>
      <c r="B238" t="inlineStr">
        <is>
          <t>electricity, low voltage</t>
        </is>
      </c>
      <c r="C238" t="inlineStr">
        <is>
          <t>UCTE</t>
        </is>
      </c>
      <c r="D238" s="10" t="n">
        <v>7.4074074</v>
      </c>
      <c r="E238" s="9" t="inlineStr">
        <is>
          <t>kilowatt hour</t>
        </is>
      </c>
      <c r="F238" t="inlineStr">
        <is>
          <t>ecoinvent</t>
        </is>
      </c>
      <c r="G238" t="inlineStr">
        <is>
          <t>technosphere</t>
        </is>
      </c>
      <c r="I238" s="19" t="inlineStr">
        <is>
          <t>changed "Electricity (edge saw)" to "electricity, low voltage"</t>
        </is>
      </c>
    </row>
    <row r="239">
      <c r="A239" s="9" t="inlineStr">
        <is>
          <t>treatment of hazardous waste, underground deposit</t>
        </is>
      </c>
      <c r="B239" s="9" t="inlineStr">
        <is>
          <t>hazardous waste, for underground deposit</t>
        </is>
      </c>
      <c r="C239" t="inlineStr">
        <is>
          <t>RoW</t>
        </is>
      </c>
      <c r="D239" s="10" t="n">
        <v>-6.0740741</v>
      </c>
      <c r="E239" s="9" t="inlineStr">
        <is>
          <t>kilogram</t>
        </is>
      </c>
      <c r="F239" t="inlineStr">
        <is>
          <t>ecoinvent</t>
        </is>
      </c>
      <c r="G239" t="inlineStr">
        <is>
          <t>technosphere</t>
        </is>
      </c>
      <c r="I239" t="inlineStr">
        <is>
          <t xml:space="preserve">changed "arsenic (hazardous waste underground deposit)" to "hazardous waste, for underground deposit" </t>
        </is>
      </c>
    </row>
    <row r="240">
      <c r="A240" s="2" t="n"/>
      <c r="B240" s="2" t="n"/>
      <c r="C240" s="2" t="n"/>
      <c r="D240" s="3" t="n"/>
      <c r="E240" s="2" t="n"/>
      <c r="F240" s="2" t="n"/>
      <c r="G240" s="2" t="n"/>
      <c r="H240" s="2" t="n"/>
      <c r="I240" s="2" t="n"/>
    </row>
    <row r="241">
      <c r="A241" s="2" t="inlineStr">
        <is>
          <t>Activity</t>
        </is>
      </c>
      <c r="B241" s="2" t="inlineStr">
        <is>
          <t>sawing slurry production</t>
        </is>
      </c>
    </row>
    <row r="242">
      <c r="A242" t="inlineStr">
        <is>
          <t>comment</t>
        </is>
      </c>
      <c r="B242"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43">
      <c r="A243" t="inlineStr">
        <is>
          <t>reference product</t>
        </is>
      </c>
      <c r="B243" s="9" t="inlineStr">
        <is>
          <t>sawing slurry</t>
        </is>
      </c>
    </row>
    <row r="244">
      <c r="A244" t="inlineStr">
        <is>
          <t>code</t>
        </is>
      </c>
      <c r="B244" t="inlineStr">
        <is>
          <t>gaas_9</t>
        </is>
      </c>
    </row>
    <row r="245">
      <c r="A245" t="inlineStr">
        <is>
          <t>location</t>
        </is>
      </c>
      <c r="B245" t="inlineStr">
        <is>
          <t>GLO</t>
        </is>
      </c>
    </row>
    <row r="246">
      <c r="A246" t="inlineStr">
        <is>
          <t>amount</t>
        </is>
      </c>
      <c r="B246" t="n">
        <v>1</v>
      </c>
    </row>
    <row r="247">
      <c r="A247" t="inlineStr">
        <is>
          <t>unit</t>
        </is>
      </c>
      <c r="B247" t="inlineStr">
        <is>
          <t>kilogram</t>
        </is>
      </c>
    </row>
    <row r="248">
      <c r="A248" t="inlineStr">
        <is>
          <t>source</t>
        </is>
      </c>
      <c r="B248"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49">
      <c r="A249" s="2" t="inlineStr">
        <is>
          <t>Exchanges</t>
        </is>
      </c>
    </row>
    <row r="250">
      <c r="A250" s="2" t="inlineStr">
        <is>
          <t>name</t>
        </is>
      </c>
      <c r="B250" s="2" t="inlineStr">
        <is>
          <t>reference product</t>
        </is>
      </c>
      <c r="C250" s="2" t="inlineStr">
        <is>
          <t>location</t>
        </is>
      </c>
      <c r="D250" s="3" t="inlineStr">
        <is>
          <t>amount</t>
        </is>
      </c>
      <c r="E250" s="2" t="inlineStr">
        <is>
          <t>unit</t>
        </is>
      </c>
      <c r="F250" s="2" t="inlineStr">
        <is>
          <t>database</t>
        </is>
      </c>
      <c r="G250" s="2" t="inlineStr">
        <is>
          <t>type</t>
        </is>
      </c>
      <c r="H250" s="2" t="inlineStr">
        <is>
          <t>categories</t>
        </is>
      </c>
      <c r="I250" s="2" t="inlineStr">
        <is>
          <t>comment</t>
        </is>
      </c>
    </row>
    <row r="251">
      <c r="A251" t="inlineStr">
        <is>
          <t>sawing slurry production</t>
        </is>
      </c>
      <c r="B251" t="inlineStr">
        <is>
          <t>sawing slurry</t>
        </is>
      </c>
      <c r="C251" t="inlineStr">
        <is>
          <t>GLO</t>
        </is>
      </c>
      <c r="D251" s="1" t="n">
        <v>1</v>
      </c>
      <c r="E251" t="inlineStr">
        <is>
          <t>kilogram</t>
        </is>
      </c>
      <c r="F251" t="inlineStr">
        <is>
          <t>PV_GaAs</t>
        </is>
      </c>
      <c r="G251" t="inlineStr">
        <is>
          <t>production</t>
        </is>
      </c>
    </row>
    <row r="252">
      <c r="A252" s="9" t="inlineStr">
        <is>
          <t>silica sand production</t>
        </is>
      </c>
      <c r="B252" s="9" t="inlineStr">
        <is>
          <t>silica sand</t>
        </is>
      </c>
      <c r="C252" t="inlineStr">
        <is>
          <t>RoW</t>
        </is>
      </c>
      <c r="D252" s="10" t="n">
        <v>0.5</v>
      </c>
      <c r="E252" t="inlineStr">
        <is>
          <t>kilogram</t>
        </is>
      </c>
      <c r="F252" t="inlineStr">
        <is>
          <t>ecoinvent</t>
        </is>
      </c>
      <c r="G252" t="inlineStr">
        <is>
          <t>technosphere</t>
        </is>
      </c>
      <c r="I252" s="9" t="inlineStr">
        <is>
          <t xml:space="preserve">changed "silica sand particles" to "silica sand" </t>
        </is>
      </c>
    </row>
    <row r="253">
      <c r="A253" s="9" t="inlineStr">
        <is>
          <t>market for diethylene glycol</t>
        </is>
      </c>
      <c r="B253" s="9" t="inlineStr">
        <is>
          <t>diethylene glycol</t>
        </is>
      </c>
      <c r="C253" t="inlineStr">
        <is>
          <t>RER</t>
        </is>
      </c>
      <c r="D253" s="10" t="n">
        <v>0.5</v>
      </c>
      <c r="E253" t="inlineStr">
        <is>
          <t>kilogram</t>
        </is>
      </c>
      <c r="F253" t="inlineStr">
        <is>
          <t>ecoinvent</t>
        </is>
      </c>
      <c r="G253" t="inlineStr">
        <is>
          <t>technosphere</t>
        </is>
      </c>
      <c r="I253" s="9" t="inlineStr">
        <is>
          <t>changed "polyethylene glycol (tri-ethylene glycol)" to "diethylene glycol"</t>
        </is>
      </c>
    </row>
    <row r="254">
      <c r="B254" s="9" t="n"/>
      <c r="C254" s="9" t="n"/>
      <c r="D254" s="14" t="n"/>
      <c r="E254" s="9" t="n"/>
    </row>
    <row r="255">
      <c r="A255" s="2" t="inlineStr">
        <is>
          <t>Activity</t>
        </is>
      </c>
      <c r="B255" s="2" t="inlineStr">
        <is>
          <t>etched GaAs wafer production - cleaning, etching</t>
        </is>
      </c>
    </row>
    <row r="256">
      <c r="A256" t="inlineStr">
        <is>
          <t>comment</t>
        </is>
      </c>
      <c r="B256"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57">
      <c r="A257" t="inlineStr">
        <is>
          <t>reference product</t>
        </is>
      </c>
      <c r="B257" s="9" t="inlineStr">
        <is>
          <t>etched GaAs wafer</t>
        </is>
      </c>
    </row>
    <row r="258">
      <c r="A258" t="inlineStr">
        <is>
          <t>code</t>
        </is>
      </c>
      <c r="B258" t="inlineStr">
        <is>
          <t>gaas_10</t>
        </is>
      </c>
    </row>
    <row r="259">
      <c r="A259" t="inlineStr">
        <is>
          <t>location</t>
        </is>
      </c>
      <c r="B259" t="inlineStr">
        <is>
          <t>GLO</t>
        </is>
      </c>
    </row>
    <row r="260">
      <c r="A260" t="inlineStr">
        <is>
          <t>amount</t>
        </is>
      </c>
      <c r="B260" t="n">
        <v>1</v>
      </c>
    </row>
    <row r="261">
      <c r="A261" t="inlineStr">
        <is>
          <t>unit</t>
        </is>
      </c>
      <c r="B261" t="inlineStr">
        <is>
          <t>square meter</t>
        </is>
      </c>
    </row>
    <row r="262">
      <c r="A262" t="inlineStr">
        <is>
          <t>source</t>
        </is>
      </c>
      <c r="B262"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63">
      <c r="A263" s="2" t="inlineStr">
        <is>
          <t>Exchanges</t>
        </is>
      </c>
    </row>
    <row r="264">
      <c r="A264" s="2" t="inlineStr">
        <is>
          <t>name</t>
        </is>
      </c>
      <c r="B264" s="2" t="inlineStr">
        <is>
          <t>reference product</t>
        </is>
      </c>
      <c r="C264" s="2" t="inlineStr">
        <is>
          <t>location</t>
        </is>
      </c>
      <c r="D264" s="3" t="inlineStr">
        <is>
          <t>amount</t>
        </is>
      </c>
      <c r="E264" s="2" t="inlineStr">
        <is>
          <t>unit</t>
        </is>
      </c>
      <c r="F264" s="2" t="inlineStr">
        <is>
          <t>database</t>
        </is>
      </c>
      <c r="G264" s="2" t="inlineStr">
        <is>
          <t>type</t>
        </is>
      </c>
      <c r="H264" s="2" t="inlineStr">
        <is>
          <t>categories</t>
        </is>
      </c>
      <c r="I264" s="2" t="inlineStr">
        <is>
          <t>comment</t>
        </is>
      </c>
    </row>
    <row r="265">
      <c r="A265" t="inlineStr">
        <is>
          <t>etched GaAs wafer production - cleaning, etching</t>
        </is>
      </c>
      <c r="B265" t="inlineStr">
        <is>
          <t>etched GaAs wafer</t>
        </is>
      </c>
      <c r="C265" t="inlineStr">
        <is>
          <t>GLO</t>
        </is>
      </c>
      <c r="D265" s="1">
        <f>B260</f>
        <v>1</v>
      </c>
      <c r="E265" t="inlineStr">
        <is>
          <t>square meter</t>
        </is>
      </c>
      <c r="F265" t="inlineStr">
        <is>
          <t>PV_GaAs</t>
        </is>
      </c>
      <c r="G265" t="inlineStr">
        <is>
          <t>production</t>
        </is>
      </c>
    </row>
    <row r="266">
      <c r="A266" t="inlineStr">
        <is>
          <t>raw GaAs wafer production</t>
        </is>
      </c>
      <c r="B266" s="9" t="inlineStr">
        <is>
          <t>raw GaAs wafer</t>
        </is>
      </c>
      <c r="C266" t="inlineStr">
        <is>
          <t>GLO</t>
        </is>
      </c>
      <c r="D266" s="10" t="n">
        <v>1</v>
      </c>
      <c r="E266" t="inlineStr">
        <is>
          <t>square meter</t>
        </is>
      </c>
      <c r="F266" t="inlineStr">
        <is>
          <t>PV_GaAs</t>
        </is>
      </c>
      <c r="G266" t="inlineStr">
        <is>
          <t>technosphere</t>
        </is>
      </c>
      <c r="I266" s="9" t="n"/>
    </row>
    <row r="267">
      <c r="A267" s="9" t="inlineStr">
        <is>
          <t>water production, ultrapure</t>
        </is>
      </c>
      <c r="B267" s="9" t="inlineStr">
        <is>
          <t>water, ultrapure</t>
        </is>
      </c>
      <c r="C267" t="inlineStr">
        <is>
          <t>RoW</t>
        </is>
      </c>
      <c r="D267" s="10" t="n">
        <v>88.88888900000001</v>
      </c>
      <c r="E267" t="inlineStr">
        <is>
          <t>kilogram</t>
        </is>
      </c>
      <c r="F267" t="inlineStr">
        <is>
          <t>ecoinvent</t>
        </is>
      </c>
      <c r="G267" t="inlineStr">
        <is>
          <t>technosphere</t>
        </is>
      </c>
      <c r="I267" s="9" t="n"/>
    </row>
    <row r="268">
      <c r="A268" s="9" t="inlineStr">
        <is>
          <t>hydrogen peroxide production, product in 50% solution state</t>
        </is>
      </c>
      <c r="B268" s="9" t="inlineStr">
        <is>
          <t>hydrogen peroxide, without water, in 50% solution state</t>
        </is>
      </c>
      <c r="C268" t="inlineStr">
        <is>
          <t>RER</t>
        </is>
      </c>
      <c r="D268" s="10" t="n">
        <v>1.2888889</v>
      </c>
      <c r="E268" t="inlineStr">
        <is>
          <t>kilogram</t>
        </is>
      </c>
      <c r="F268" t="inlineStr">
        <is>
          <t>ecoinvent</t>
        </is>
      </c>
      <c r="G268" t="inlineStr">
        <is>
          <t>technosphere</t>
        </is>
      </c>
      <c r="I268" t="inlineStr">
        <is>
          <t>changed "hydrogen peroxide" to "hydrogen peroxide, without water, in 50% solution state"</t>
        </is>
      </c>
    </row>
    <row r="269">
      <c r="A269" s="9" t="inlineStr">
        <is>
          <t>hydrogen fluoride production</t>
        </is>
      </c>
      <c r="B269" s="9" t="inlineStr">
        <is>
          <t>hydrogen fluoride</t>
        </is>
      </c>
      <c r="C269" t="inlineStr">
        <is>
          <t>RoW</t>
        </is>
      </c>
      <c r="D269" s="10" t="n">
        <v>1.0222222</v>
      </c>
      <c r="E269" t="inlineStr">
        <is>
          <t>kilogram</t>
        </is>
      </c>
      <c r="F269" t="inlineStr">
        <is>
          <t>ecoinvent</t>
        </is>
      </c>
      <c r="G269" t="inlineStr">
        <is>
          <t>technosphere</t>
        </is>
      </c>
      <c r="I269" t="inlineStr">
        <is>
          <t>changed "GLO" to "RoW"</t>
        </is>
      </c>
    </row>
    <row r="270">
      <c r="A270" t="inlineStr">
        <is>
          <t>market group for electricity, low voltage</t>
        </is>
      </c>
      <c r="B270" t="inlineStr">
        <is>
          <t>electricity, low voltage</t>
        </is>
      </c>
      <c r="C270" t="inlineStr">
        <is>
          <t>UCTE</t>
        </is>
      </c>
      <c r="D270" s="10" t="n">
        <v>0.9777778</v>
      </c>
      <c r="E270" s="9" t="inlineStr">
        <is>
          <t>kilowatt hour</t>
        </is>
      </c>
      <c r="F270" t="inlineStr">
        <is>
          <t>ecoinvent</t>
        </is>
      </c>
      <c r="G270" t="inlineStr">
        <is>
          <t>technosphere</t>
        </is>
      </c>
      <c r="I270" t="inlineStr">
        <is>
          <t>changed "electricity (ultrasonic cleaning)" to "electricity, low voltage"</t>
        </is>
      </c>
    </row>
    <row r="271">
      <c r="A271" t="inlineStr">
        <is>
          <t>market group for electricity, low voltage</t>
        </is>
      </c>
      <c r="B271" t="inlineStr">
        <is>
          <t>electricity, low voltage</t>
        </is>
      </c>
      <c r="C271" t="inlineStr">
        <is>
          <t>UCTE</t>
        </is>
      </c>
      <c r="D271" s="10" t="n">
        <v>1.9851852</v>
      </c>
      <c r="E271" s="9" t="inlineStr">
        <is>
          <t>kilowatt hour</t>
        </is>
      </c>
      <c r="F271" t="inlineStr">
        <is>
          <t>ecoinvent</t>
        </is>
      </c>
      <c r="G271" t="inlineStr">
        <is>
          <t>technosphere</t>
        </is>
      </c>
      <c r="I271" t="inlineStr">
        <is>
          <t>changed "electricity (rinse tank)" to "electricity, low voltage"</t>
        </is>
      </c>
    </row>
    <row r="272">
      <c r="A272" s="9" t="inlineStr">
        <is>
          <t>treatment of hazardous waste, underground deposit</t>
        </is>
      </c>
      <c r="B272" s="9" t="inlineStr">
        <is>
          <t>hazardous waste, for underground deposit</t>
        </is>
      </c>
      <c r="C272" t="inlineStr">
        <is>
          <t>RoW</t>
        </is>
      </c>
      <c r="D272" s="14" t="n">
        <v>-0.8888889</v>
      </c>
      <c r="E272" t="inlineStr">
        <is>
          <t>kilogram</t>
        </is>
      </c>
      <c r="F272" t="inlineStr">
        <is>
          <t>ecoinvent</t>
        </is>
      </c>
      <c r="G272" t="inlineStr">
        <is>
          <t>technosphere</t>
        </is>
      </c>
      <c r="I272" t="inlineStr">
        <is>
          <t xml:space="preserve">changed "arsenic (hazardous waste underground deposit)" to "hazardous waste, for underground deposit" </t>
        </is>
      </c>
    </row>
    <row r="273">
      <c r="A273" s="9" t="n"/>
      <c r="B273" s="9" t="n"/>
      <c r="C273" s="13" t="n"/>
      <c r="D273" s="14" t="n"/>
      <c r="E273" s="9" t="n"/>
    </row>
    <row r="274">
      <c r="A274" s="2" t="inlineStr">
        <is>
          <t>Activity</t>
        </is>
      </c>
      <c r="B274" s="11" t="inlineStr">
        <is>
          <t>pre-polished GaAs wafer production</t>
        </is>
      </c>
    </row>
    <row r="275">
      <c r="A275" t="inlineStr">
        <is>
          <t>comment</t>
        </is>
      </c>
      <c r="B275"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76">
      <c r="A276" t="inlineStr">
        <is>
          <t>reference product</t>
        </is>
      </c>
      <c r="B276" s="9" t="inlineStr">
        <is>
          <t>pre-polished GaAs wafer</t>
        </is>
      </c>
    </row>
    <row r="277">
      <c r="A277" t="inlineStr">
        <is>
          <t>code</t>
        </is>
      </c>
      <c r="B277" t="inlineStr">
        <is>
          <t>gaas_11</t>
        </is>
      </c>
    </row>
    <row r="278">
      <c r="A278" t="inlineStr">
        <is>
          <t>location</t>
        </is>
      </c>
      <c r="B278" t="inlineStr">
        <is>
          <t>GLO</t>
        </is>
      </c>
    </row>
    <row r="279">
      <c r="A279" t="inlineStr">
        <is>
          <t>amount</t>
        </is>
      </c>
      <c r="B279" t="n">
        <v>1</v>
      </c>
    </row>
    <row r="280">
      <c r="A280" t="inlineStr">
        <is>
          <t>unit</t>
        </is>
      </c>
      <c r="B280" t="inlineStr">
        <is>
          <t>square meter</t>
        </is>
      </c>
    </row>
    <row r="281">
      <c r="A281" t="inlineStr">
        <is>
          <t>source</t>
        </is>
      </c>
      <c r="B281"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82">
      <c r="A282" s="2" t="inlineStr">
        <is>
          <t>Exchanges</t>
        </is>
      </c>
    </row>
    <row r="283">
      <c r="A283" s="2" t="inlineStr">
        <is>
          <t>name</t>
        </is>
      </c>
      <c r="B283" s="2" t="inlineStr">
        <is>
          <t>reference product</t>
        </is>
      </c>
      <c r="C283" s="2" t="inlineStr">
        <is>
          <t>location</t>
        </is>
      </c>
      <c r="D283" s="3" t="inlineStr">
        <is>
          <t>amount</t>
        </is>
      </c>
      <c r="E283" s="2" t="inlineStr">
        <is>
          <t>unit</t>
        </is>
      </c>
      <c r="F283" s="2" t="inlineStr">
        <is>
          <t>database</t>
        </is>
      </c>
      <c r="G283" s="2" t="inlineStr">
        <is>
          <t>type</t>
        </is>
      </c>
      <c r="H283" s="2" t="inlineStr">
        <is>
          <t>categories</t>
        </is>
      </c>
      <c r="I283" s="2" t="inlineStr">
        <is>
          <t>comment</t>
        </is>
      </c>
    </row>
    <row r="284">
      <c r="A284" t="inlineStr">
        <is>
          <t>pre-polished GaAs wafer production</t>
        </is>
      </c>
      <c r="B284" t="inlineStr">
        <is>
          <t>pre-polished GaAs wafer</t>
        </is>
      </c>
      <c r="C284" t="inlineStr">
        <is>
          <t>GLO</t>
        </is>
      </c>
      <c r="D284" s="1">
        <f>B279</f>
        <v>1</v>
      </c>
      <c r="E284" t="inlineStr">
        <is>
          <t>square meter</t>
        </is>
      </c>
      <c r="F284" t="inlineStr">
        <is>
          <t>PV_GaAs</t>
        </is>
      </c>
      <c r="G284" t="inlineStr">
        <is>
          <t>production</t>
        </is>
      </c>
    </row>
    <row r="285">
      <c r="A285" t="inlineStr">
        <is>
          <t>etched GaAs wafer production - cleaning, etching</t>
        </is>
      </c>
      <c r="B285" s="9" t="inlineStr">
        <is>
          <t>etched GaAs wafer</t>
        </is>
      </c>
      <c r="C285" t="inlineStr">
        <is>
          <t>GLO</t>
        </is>
      </c>
      <c r="D285" s="10" t="n">
        <v>1</v>
      </c>
      <c r="E285" t="inlineStr">
        <is>
          <t>square meter</t>
        </is>
      </c>
      <c r="F285" t="inlineStr">
        <is>
          <t>PV_GaAs</t>
        </is>
      </c>
      <c r="G285" t="inlineStr">
        <is>
          <t>technosphere</t>
        </is>
      </c>
      <c r="I285" s="9" t="n"/>
    </row>
    <row r="286">
      <c r="A286" s="9" t="inlineStr">
        <is>
          <t>polyurethane production, rigid foam</t>
        </is>
      </c>
      <c r="B286" s="9" t="inlineStr">
        <is>
          <t>polyurethane, rigid foam</t>
        </is>
      </c>
      <c r="C286" t="inlineStr">
        <is>
          <t>RER</t>
        </is>
      </c>
      <c r="D286" s="10" t="n">
        <v>0.0093037</v>
      </c>
      <c r="E286" t="inlineStr">
        <is>
          <t>kilogram</t>
        </is>
      </c>
      <c r="F286" t="inlineStr">
        <is>
          <t>ecoinvent</t>
        </is>
      </c>
      <c r="G286" t="inlineStr">
        <is>
          <t>technosphere</t>
        </is>
      </c>
      <c r="I286" s="9" t="inlineStr">
        <is>
          <t>changed "polishing pad (polyurethane rigid foam)" to "polyurethane, rigid foam"</t>
        </is>
      </c>
    </row>
    <row r="287">
      <c r="A287" t="inlineStr">
        <is>
          <t>sawing slurry production</t>
        </is>
      </c>
      <c r="B287" s="9" t="inlineStr">
        <is>
          <t>sawing slurry</t>
        </is>
      </c>
      <c r="C287" t="inlineStr">
        <is>
          <t>GLO</t>
        </is>
      </c>
      <c r="D287" s="10" t="n">
        <v>29.925926</v>
      </c>
      <c r="E287" t="inlineStr">
        <is>
          <t>kilogram</t>
        </is>
      </c>
      <c r="F287" t="inlineStr">
        <is>
          <t>PV_GaAs</t>
        </is>
      </c>
      <c r="G287" t="inlineStr">
        <is>
          <t>technosphere</t>
        </is>
      </c>
      <c r="I287" s="9" t="n"/>
    </row>
    <row r="288">
      <c r="A288" t="inlineStr">
        <is>
          <t>market group for electricity, low voltage</t>
        </is>
      </c>
      <c r="B288" t="inlineStr">
        <is>
          <t>electricity, low voltage</t>
        </is>
      </c>
      <c r="C288" t="inlineStr">
        <is>
          <t>UCTE</t>
        </is>
      </c>
      <c r="D288" s="10" t="n">
        <v>9.777777800000001</v>
      </c>
      <c r="E288" s="9" t="inlineStr">
        <is>
          <t>kilowatt hour</t>
        </is>
      </c>
      <c r="F288" t="inlineStr">
        <is>
          <t>ecoinvent</t>
        </is>
      </c>
      <c r="G288" t="inlineStr">
        <is>
          <t>technosphere</t>
        </is>
      </c>
      <c r="I288" t="inlineStr">
        <is>
          <t>changed "electricity (polishing)" to "electricity, low voltage"</t>
        </is>
      </c>
    </row>
    <row r="289">
      <c r="A289" s="9" t="inlineStr">
        <is>
          <t>treatment of hazardous waste, underground deposit</t>
        </is>
      </c>
      <c r="B289" s="9" t="inlineStr">
        <is>
          <t>hazardous waste, for underground deposit</t>
        </is>
      </c>
      <c r="C289" t="inlineStr">
        <is>
          <t>RoW</t>
        </is>
      </c>
      <c r="D289" s="10" t="n">
        <v>-1.4814815</v>
      </c>
      <c r="E289" t="inlineStr">
        <is>
          <t>kilogram</t>
        </is>
      </c>
      <c r="F289" t="inlineStr">
        <is>
          <t>ecoinvent</t>
        </is>
      </c>
      <c r="G289" t="inlineStr">
        <is>
          <t>technosphere</t>
        </is>
      </c>
      <c r="I289" t="inlineStr">
        <is>
          <t xml:space="preserve">changed "arsenic (hazardous waste underground deposit)" to "hazardous waste, for underground deposit" </t>
        </is>
      </c>
    </row>
    <row r="290">
      <c r="A290" s="9" t="n"/>
      <c r="B290" s="9" t="n"/>
      <c r="C290" s="13" t="n"/>
      <c r="D290" s="14" t="n"/>
      <c r="E290" s="9" t="n"/>
    </row>
    <row r="291">
      <c r="A291" s="2" t="inlineStr">
        <is>
          <t>Activity</t>
        </is>
      </c>
      <c r="B291" s="11" t="inlineStr">
        <is>
          <t>double-polished GaAs wafer production - chemical, mechanical polishing (CMP)</t>
        </is>
      </c>
    </row>
    <row r="292">
      <c r="A292" t="inlineStr">
        <is>
          <t>comment</t>
        </is>
      </c>
      <c r="B292"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93">
      <c r="A293" t="inlineStr">
        <is>
          <t>reference product</t>
        </is>
      </c>
      <c r="B293" s="9" t="inlineStr">
        <is>
          <t>double-polished GaAs wafer</t>
        </is>
      </c>
    </row>
    <row r="294">
      <c r="A294" t="inlineStr">
        <is>
          <t>code</t>
        </is>
      </c>
      <c r="B294" t="inlineStr">
        <is>
          <t>gaas_12</t>
        </is>
      </c>
    </row>
    <row r="295">
      <c r="A295" t="inlineStr">
        <is>
          <t>location</t>
        </is>
      </c>
      <c r="B295" t="inlineStr">
        <is>
          <t>GLO</t>
        </is>
      </c>
    </row>
    <row r="296">
      <c r="A296" t="inlineStr">
        <is>
          <t>amount</t>
        </is>
      </c>
      <c r="B296" t="n">
        <v>1</v>
      </c>
    </row>
    <row r="297">
      <c r="A297" t="inlineStr">
        <is>
          <t>unit</t>
        </is>
      </c>
      <c r="B297" t="inlineStr">
        <is>
          <t>square meter</t>
        </is>
      </c>
    </row>
    <row r="298">
      <c r="A298" t="inlineStr">
        <is>
          <t>source</t>
        </is>
      </c>
      <c r="B298"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299">
      <c r="A299" s="2" t="inlineStr">
        <is>
          <t>Exchanges</t>
        </is>
      </c>
    </row>
    <row r="300">
      <c r="A300" s="2" t="inlineStr">
        <is>
          <t>name</t>
        </is>
      </c>
      <c r="B300" s="2" t="inlineStr">
        <is>
          <t>reference product</t>
        </is>
      </c>
      <c r="C300" s="2" t="inlineStr">
        <is>
          <t>location</t>
        </is>
      </c>
      <c r="D300" s="3" t="inlineStr">
        <is>
          <t>amount</t>
        </is>
      </c>
      <c r="E300" s="2" t="inlineStr">
        <is>
          <t>unit</t>
        </is>
      </c>
      <c r="F300" s="2" t="inlineStr">
        <is>
          <t>database</t>
        </is>
      </c>
      <c r="G300" s="2" t="inlineStr">
        <is>
          <t>type</t>
        </is>
      </c>
      <c r="H300" s="2" t="inlineStr">
        <is>
          <t>categories</t>
        </is>
      </c>
      <c r="I300" s="2" t="inlineStr">
        <is>
          <t>comment</t>
        </is>
      </c>
    </row>
    <row r="301">
      <c r="A301" t="inlineStr">
        <is>
          <t>double-polished GaAs wafer production - chemical, mechanical polishing (CMP)</t>
        </is>
      </c>
      <c r="B301" t="inlineStr">
        <is>
          <t>double-polished GaAs wafer</t>
        </is>
      </c>
      <c r="C301" t="inlineStr">
        <is>
          <t>GLO</t>
        </is>
      </c>
      <c r="D301" s="1">
        <f>B296</f>
        <v>1</v>
      </c>
      <c r="E301" t="inlineStr">
        <is>
          <t>square meter</t>
        </is>
      </c>
      <c r="F301" t="inlineStr">
        <is>
          <t>PV_GaAs</t>
        </is>
      </c>
      <c r="G301" t="inlineStr">
        <is>
          <t>production</t>
        </is>
      </c>
    </row>
    <row r="302">
      <c r="A302" s="9" t="inlineStr">
        <is>
          <t>pre-polished GaAs wafer production</t>
        </is>
      </c>
      <c r="B302" s="9" t="inlineStr">
        <is>
          <t>pre-polished GaAs wafer</t>
        </is>
      </c>
      <c r="C302" t="inlineStr">
        <is>
          <t>GLO</t>
        </is>
      </c>
      <c r="D302" s="10" t="n">
        <v>1</v>
      </c>
      <c r="E302" t="inlineStr">
        <is>
          <t>square meter</t>
        </is>
      </c>
      <c r="F302" t="inlineStr">
        <is>
          <t>PV_GaAs</t>
        </is>
      </c>
      <c r="G302" t="inlineStr">
        <is>
          <t>technosphere</t>
        </is>
      </c>
      <c r="I302" s="9" t="n"/>
    </row>
    <row r="303">
      <c r="A303" s="9" t="inlineStr">
        <is>
          <t>polyurethane production, rigid foam</t>
        </is>
      </c>
      <c r="B303" s="9" t="inlineStr">
        <is>
          <t>polyurethane, rigid foam</t>
        </is>
      </c>
      <c r="C303" t="inlineStr">
        <is>
          <t>RER</t>
        </is>
      </c>
      <c r="D303" s="10" t="n">
        <v>0.0186667</v>
      </c>
      <c r="E303" t="inlineStr">
        <is>
          <t>kilogram</t>
        </is>
      </c>
      <c r="F303" t="inlineStr">
        <is>
          <t>ecoinvent</t>
        </is>
      </c>
      <c r="G303" t="inlineStr">
        <is>
          <t>technosphere</t>
        </is>
      </c>
      <c r="I303" s="9" t="inlineStr">
        <is>
          <t>changed "polishing pad (polyurethane rigid foam)" to "polyurethane, rigid foam"</t>
        </is>
      </c>
    </row>
    <row r="304">
      <c r="A304" s="9" t="inlineStr">
        <is>
          <t>CMP slurry production</t>
        </is>
      </c>
      <c r="B304" s="9" t="inlineStr">
        <is>
          <t>CMP slurry</t>
        </is>
      </c>
      <c r="C304" t="inlineStr">
        <is>
          <t>GLO</t>
        </is>
      </c>
      <c r="D304" s="10" t="n">
        <v>23.703704</v>
      </c>
      <c r="E304" t="inlineStr">
        <is>
          <t>kilogram</t>
        </is>
      </c>
      <c r="F304" t="inlineStr">
        <is>
          <t>PV_GaAs</t>
        </is>
      </c>
      <c r="G304" t="inlineStr">
        <is>
          <t>technosphere</t>
        </is>
      </c>
      <c r="I304" s="9" t="n"/>
    </row>
    <row r="305">
      <c r="A305" t="inlineStr">
        <is>
          <t>market group for electricity, low voltage</t>
        </is>
      </c>
      <c r="B305" t="inlineStr">
        <is>
          <t>electricity, low voltage</t>
        </is>
      </c>
      <c r="C305" t="inlineStr">
        <is>
          <t>UCTE</t>
        </is>
      </c>
      <c r="D305" s="10" t="n">
        <v>48.888889</v>
      </c>
      <c r="E305" s="9" t="inlineStr">
        <is>
          <t>kilowatt hour</t>
        </is>
      </c>
      <c r="F305" t="inlineStr">
        <is>
          <t>ecoinvent</t>
        </is>
      </c>
      <c r="G305" t="inlineStr">
        <is>
          <t>technosphere</t>
        </is>
      </c>
      <c r="I305" t="inlineStr">
        <is>
          <t>changed "electricity (polishing)" to "electricity, low voltage"</t>
        </is>
      </c>
    </row>
    <row r="306">
      <c r="A306" s="9" t="inlineStr">
        <is>
          <t>treatment of hazardous waste, underground deposit</t>
        </is>
      </c>
      <c r="B306" s="9" t="inlineStr">
        <is>
          <t>hazardous waste, for underground deposit</t>
        </is>
      </c>
      <c r="C306" t="inlineStr">
        <is>
          <t>RoW</t>
        </is>
      </c>
      <c r="D306" s="10" t="n">
        <v>-7.4074074</v>
      </c>
      <c r="E306" t="inlineStr">
        <is>
          <t>kilogram</t>
        </is>
      </c>
      <c r="F306" t="inlineStr">
        <is>
          <t>ecoinvent</t>
        </is>
      </c>
      <c r="G306" t="inlineStr">
        <is>
          <t>technosphere</t>
        </is>
      </c>
      <c r="I306" t="inlineStr">
        <is>
          <t xml:space="preserve">changed "arsenic (hazardous waste underground deposit)" to "hazardous waste, for underground deposit" </t>
        </is>
      </c>
    </row>
    <row r="307">
      <c r="A307" s="9" t="n"/>
      <c r="B307" s="9" t="n"/>
      <c r="C307" s="13" t="n"/>
      <c r="D307" s="14" t="n"/>
      <c r="E307" s="9" t="n"/>
    </row>
    <row r="308">
      <c r="A308" s="2" t="inlineStr">
        <is>
          <t>Activity</t>
        </is>
      </c>
      <c r="B308" s="11" t="inlineStr">
        <is>
          <t>CMP slurry production</t>
        </is>
      </c>
    </row>
    <row r="309">
      <c r="A309" t="inlineStr">
        <is>
          <t>comment</t>
        </is>
      </c>
      <c r="B309"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10">
      <c r="A310" t="inlineStr">
        <is>
          <t>reference product</t>
        </is>
      </c>
      <c r="B310" s="9" t="inlineStr">
        <is>
          <t>CMP slurry</t>
        </is>
      </c>
    </row>
    <row r="311">
      <c r="A311" t="inlineStr">
        <is>
          <t>code</t>
        </is>
      </c>
      <c r="B311" t="inlineStr">
        <is>
          <t>gaas_13</t>
        </is>
      </c>
    </row>
    <row r="312">
      <c r="A312" t="inlineStr">
        <is>
          <t>location</t>
        </is>
      </c>
      <c r="B312" t="inlineStr">
        <is>
          <t>GLO</t>
        </is>
      </c>
    </row>
    <row r="313">
      <c r="A313" t="inlineStr">
        <is>
          <t>amount</t>
        </is>
      </c>
      <c r="B313" t="n">
        <v>1</v>
      </c>
    </row>
    <row r="314">
      <c r="A314" t="inlineStr">
        <is>
          <t>unit</t>
        </is>
      </c>
      <c r="B314" t="inlineStr">
        <is>
          <t>kilogram</t>
        </is>
      </c>
    </row>
    <row r="315">
      <c r="A315" t="inlineStr">
        <is>
          <t>source</t>
        </is>
      </c>
      <c r="B315"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16">
      <c r="A316" s="2" t="inlineStr">
        <is>
          <t>Exchanges</t>
        </is>
      </c>
    </row>
    <row r="317">
      <c r="A317" s="2" t="inlineStr">
        <is>
          <t>name</t>
        </is>
      </c>
      <c r="B317" s="2" t="inlineStr">
        <is>
          <t>reference product</t>
        </is>
      </c>
      <c r="C317" s="2" t="inlineStr">
        <is>
          <t>location</t>
        </is>
      </c>
      <c r="D317" s="3" t="inlineStr">
        <is>
          <t>amount</t>
        </is>
      </c>
      <c r="E317" s="2" t="inlineStr">
        <is>
          <t>unit</t>
        </is>
      </c>
      <c r="F317" s="2" t="inlineStr">
        <is>
          <t>database</t>
        </is>
      </c>
      <c r="G317" s="2" t="inlineStr">
        <is>
          <t>type</t>
        </is>
      </c>
      <c r="H317" s="2" t="inlineStr">
        <is>
          <t>categories</t>
        </is>
      </c>
      <c r="I317" s="2" t="inlineStr">
        <is>
          <t>comment</t>
        </is>
      </c>
    </row>
    <row r="318">
      <c r="A318" t="inlineStr">
        <is>
          <t>CMP slurry production</t>
        </is>
      </c>
      <c r="B318" t="inlineStr">
        <is>
          <t>CMP slurry</t>
        </is>
      </c>
      <c r="C318" t="inlineStr">
        <is>
          <t>GLO</t>
        </is>
      </c>
      <c r="D318" s="1">
        <f>B313</f>
        <v>1</v>
      </c>
      <c r="E318" t="inlineStr">
        <is>
          <t>kilogram</t>
        </is>
      </c>
      <c r="F318" t="inlineStr">
        <is>
          <t>PV_GaAs</t>
        </is>
      </c>
      <c r="G318" t="inlineStr">
        <is>
          <t>production</t>
        </is>
      </c>
    </row>
    <row r="319">
      <c r="A319" s="9" t="inlineStr">
        <is>
          <t>silica sand production</t>
        </is>
      </c>
      <c r="B319" s="9" t="inlineStr">
        <is>
          <t>silica sand</t>
        </is>
      </c>
      <c r="C319" t="inlineStr">
        <is>
          <t>RoW</t>
        </is>
      </c>
      <c r="D319" s="10" t="n">
        <v>0.5</v>
      </c>
      <c r="E319" t="inlineStr">
        <is>
          <t>kilogram</t>
        </is>
      </c>
      <c r="F319" t="inlineStr">
        <is>
          <t>ecoinvent</t>
        </is>
      </c>
      <c r="G319" t="inlineStr">
        <is>
          <t>technosphere</t>
        </is>
      </c>
      <c r="I319" s="9" t="inlineStr">
        <is>
          <t xml:space="preserve">changed "silica sand particles" to "silica sand" </t>
        </is>
      </c>
    </row>
    <row r="320">
      <c r="A320" s="9" t="inlineStr">
        <is>
          <t>water production, ultrapure</t>
        </is>
      </c>
      <c r="B320" s="9" t="inlineStr">
        <is>
          <t>water, ultrapure</t>
        </is>
      </c>
      <c r="C320" t="inlineStr">
        <is>
          <t>RoW</t>
        </is>
      </c>
      <c r="D320" s="10" t="n">
        <v>0.25</v>
      </c>
      <c r="E320" t="inlineStr">
        <is>
          <t>kilogram</t>
        </is>
      </c>
      <c r="F320" t="inlineStr">
        <is>
          <t>ecoinvent</t>
        </is>
      </c>
      <c r="G320" t="inlineStr">
        <is>
          <t>technosphere</t>
        </is>
      </c>
      <c r="I320" s="9" t="n"/>
    </row>
    <row r="321">
      <c r="A321" t="inlineStr">
        <is>
          <t>potassium hydroxide production</t>
        </is>
      </c>
      <c r="B321" t="inlineStr">
        <is>
          <t>potassium hydroxide</t>
        </is>
      </c>
      <c r="C321" t="inlineStr">
        <is>
          <t>RER</t>
        </is>
      </c>
      <c r="D321" s="10" t="n">
        <v>0.25</v>
      </c>
      <c r="E321" t="inlineStr">
        <is>
          <t>kilogram</t>
        </is>
      </c>
      <c r="F321" t="inlineStr">
        <is>
          <t>ecoinvent</t>
        </is>
      </c>
      <c r="G321" t="inlineStr">
        <is>
          <t>technosphere</t>
        </is>
      </c>
    </row>
    <row r="322">
      <c r="A322" s="9" t="n"/>
      <c r="B322" s="9" t="n"/>
      <c r="C322" s="13" t="n"/>
      <c r="D322" s="14" t="n"/>
      <c r="E322" s="9" t="n"/>
      <c r="F322" s="9" t="n"/>
      <c r="G322" s="9" t="n"/>
      <c r="H322" s="13" t="n"/>
      <c r="I322" s="9" t="n"/>
    </row>
    <row r="323">
      <c r="A323" s="2" t="inlineStr">
        <is>
          <t>Activity</t>
        </is>
      </c>
      <c r="B323" s="11" t="inlineStr">
        <is>
          <t>GaAs wafer production - cleaning, quality control, packing</t>
        </is>
      </c>
    </row>
    <row r="324">
      <c r="A324" t="inlineStr">
        <is>
          <t>comment</t>
        </is>
      </c>
      <c r="B324"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25">
      <c r="A325" t="inlineStr">
        <is>
          <t>reference product</t>
        </is>
      </c>
      <c r="B325" s="9" t="inlineStr">
        <is>
          <t>GaAs wafer</t>
        </is>
      </c>
    </row>
    <row r="326">
      <c r="A326" t="inlineStr">
        <is>
          <t>code</t>
        </is>
      </c>
      <c r="B326" t="inlineStr">
        <is>
          <t>gaas_14</t>
        </is>
      </c>
    </row>
    <row r="327">
      <c r="A327" t="inlineStr">
        <is>
          <t>location</t>
        </is>
      </c>
      <c r="B327" t="inlineStr">
        <is>
          <t>GLO</t>
        </is>
      </c>
    </row>
    <row r="328">
      <c r="A328" t="inlineStr">
        <is>
          <t>amount</t>
        </is>
      </c>
      <c r="B328" t="n">
        <v>1</v>
      </c>
    </row>
    <row r="329">
      <c r="A329" t="inlineStr">
        <is>
          <t>unit</t>
        </is>
      </c>
      <c r="B329" t="inlineStr">
        <is>
          <t>square meter</t>
        </is>
      </c>
    </row>
    <row r="330">
      <c r="A330" t="inlineStr">
        <is>
          <t>source</t>
        </is>
      </c>
      <c r="B330"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31">
      <c r="A331" s="2" t="inlineStr">
        <is>
          <t>Exchanges</t>
        </is>
      </c>
    </row>
    <row r="332">
      <c r="A332" s="2" t="inlineStr">
        <is>
          <t>name</t>
        </is>
      </c>
      <c r="B332" s="2" t="inlineStr">
        <is>
          <t>reference product</t>
        </is>
      </c>
      <c r="C332" s="2" t="inlineStr">
        <is>
          <t>location</t>
        </is>
      </c>
      <c r="D332" s="3" t="inlineStr">
        <is>
          <t>amount</t>
        </is>
      </c>
      <c r="E332" s="2" t="inlineStr">
        <is>
          <t>unit</t>
        </is>
      </c>
      <c r="F332" s="2" t="inlineStr">
        <is>
          <t>database</t>
        </is>
      </c>
      <c r="G332" s="2" t="inlineStr">
        <is>
          <t>type</t>
        </is>
      </c>
      <c r="H332" s="2" t="inlineStr">
        <is>
          <t>categories</t>
        </is>
      </c>
      <c r="I332" s="2" t="inlineStr">
        <is>
          <t>comment</t>
        </is>
      </c>
    </row>
    <row r="333">
      <c r="A333" t="inlineStr">
        <is>
          <t>GaAs wafer production - cleaning, quality control, packing</t>
        </is>
      </c>
      <c r="B333" t="inlineStr">
        <is>
          <t>GaAs wafer</t>
        </is>
      </c>
      <c r="C333" t="inlineStr">
        <is>
          <t>GLO</t>
        </is>
      </c>
      <c r="D333" s="1">
        <f>B328</f>
        <v>1</v>
      </c>
      <c r="E333" t="inlineStr">
        <is>
          <t>square meter</t>
        </is>
      </c>
      <c r="F333" t="inlineStr">
        <is>
          <t>PV_GaAs</t>
        </is>
      </c>
      <c r="G333" t="inlineStr">
        <is>
          <t>production</t>
        </is>
      </c>
    </row>
    <row r="334">
      <c r="A334" s="9" t="inlineStr">
        <is>
          <t>double-polished GaAs wafer production - chemical, mechanical polishing (CMP)</t>
        </is>
      </c>
      <c r="B334" s="9" t="inlineStr">
        <is>
          <t>double-polished GaAs wafer</t>
        </is>
      </c>
      <c r="C334" t="inlineStr">
        <is>
          <t>GLO</t>
        </is>
      </c>
      <c r="D334" s="10" t="n">
        <v>1</v>
      </c>
      <c r="E334" t="inlineStr">
        <is>
          <t>square meter</t>
        </is>
      </c>
      <c r="F334" t="inlineStr">
        <is>
          <t>PV_GaAs</t>
        </is>
      </c>
      <c r="G334" t="inlineStr">
        <is>
          <t>technosphere</t>
        </is>
      </c>
      <c r="I334" s="9" t="n"/>
    </row>
    <row r="335">
      <c r="A335" s="9" t="inlineStr">
        <is>
          <t>water production, ultrapure</t>
        </is>
      </c>
      <c r="B335" s="9" t="inlineStr">
        <is>
          <t>water, ultrapure</t>
        </is>
      </c>
      <c r="C335" t="inlineStr">
        <is>
          <t>RoW</t>
        </is>
      </c>
      <c r="D335" s="10" t="n">
        <v>88.88888900000001</v>
      </c>
      <c r="E335" t="inlineStr">
        <is>
          <t>kilogram</t>
        </is>
      </c>
      <c r="F335" t="inlineStr">
        <is>
          <t>ecoinvent</t>
        </is>
      </c>
      <c r="G335" t="inlineStr">
        <is>
          <t>technosphere</t>
        </is>
      </c>
      <c r="I335" s="9" t="n"/>
    </row>
    <row r="336">
      <c r="A336" t="inlineStr">
        <is>
          <t>potassium hydroxide production</t>
        </is>
      </c>
      <c r="B336" t="inlineStr">
        <is>
          <t>potassium hydroxide</t>
        </is>
      </c>
      <c r="C336" t="inlineStr">
        <is>
          <t>RER</t>
        </is>
      </c>
      <c r="D336" s="10" t="n">
        <v>5.9555556</v>
      </c>
      <c r="E336" t="inlineStr">
        <is>
          <t>kilogram</t>
        </is>
      </c>
      <c r="F336" t="inlineStr">
        <is>
          <t>ecoinvent</t>
        </is>
      </c>
      <c r="G336" t="inlineStr">
        <is>
          <t>technosphere</t>
        </is>
      </c>
      <c r="I336" s="9" t="n"/>
    </row>
    <row r="337">
      <c r="A337" s="9" t="inlineStr">
        <is>
          <t>polyethylene terephthalate production, granulate, bottle grade</t>
        </is>
      </c>
      <c r="B337" s="9" t="inlineStr">
        <is>
          <t>polyethylene terephthalate, granulate, bottle grade</t>
        </is>
      </c>
      <c r="C337" t="inlineStr">
        <is>
          <t>RER</t>
        </is>
      </c>
      <c r="D337" s="10" t="n">
        <v>0.1226667</v>
      </c>
      <c r="E337" t="inlineStr">
        <is>
          <t>kilogram</t>
        </is>
      </c>
      <c r="F337" t="inlineStr">
        <is>
          <t>ecoinvent</t>
        </is>
      </c>
      <c r="G337" t="inlineStr">
        <is>
          <t>technosphere</t>
        </is>
      </c>
      <c r="I337" t="inlineStr">
        <is>
          <t>changed "plastic cassette (polyethylene terephthalate, granulate , bottle grade)" to "polyethylene terephthalate, granulate, bottle grade"</t>
        </is>
      </c>
    </row>
    <row r="338">
      <c r="A338" s="9" t="inlineStr">
        <is>
          <t>aluminium production, primary, ingot</t>
        </is>
      </c>
      <c r="B338" s="9" t="inlineStr">
        <is>
          <t>aluminium, primary, ingot</t>
        </is>
      </c>
      <c r="C338" t="inlineStr">
        <is>
          <t>IAI Area, EU27 &amp; EFTA</t>
        </is>
      </c>
      <c r="D338" s="10" t="n">
        <v>0.0014222</v>
      </c>
      <c r="E338" t="inlineStr">
        <is>
          <t>kilogram</t>
        </is>
      </c>
      <c r="F338" t="inlineStr">
        <is>
          <t>ecoinvent</t>
        </is>
      </c>
      <c r="G338" t="inlineStr">
        <is>
          <t>technosphere</t>
        </is>
      </c>
      <c r="I338" t="inlineStr">
        <is>
          <t>chaged "foil bag (aluminum primary ingot)" to "aluminium, primary, ingot"</t>
        </is>
      </c>
    </row>
    <row r="339">
      <c r="A339" s="9" t="inlineStr">
        <is>
          <t>packaging film production, low density polyethylene</t>
        </is>
      </c>
      <c r="B339" s="9" t="inlineStr">
        <is>
          <t>packaging film, low density polyethylene</t>
        </is>
      </c>
      <c r="C339" t="inlineStr">
        <is>
          <t>RER</t>
        </is>
      </c>
      <c r="D339" s="10" t="n">
        <v>0.1777778</v>
      </c>
      <c r="E339" t="inlineStr">
        <is>
          <t>kilogram</t>
        </is>
      </c>
      <c r="F339" t="inlineStr">
        <is>
          <t>ecoinvent</t>
        </is>
      </c>
      <c r="G339" t="inlineStr">
        <is>
          <t>technosphere</t>
        </is>
      </c>
      <c r="I339" t="inlineStr">
        <is>
          <t>changed "PET bag (packaging film, low density polyethylene)" to "packaging film, low density polyethylene"</t>
        </is>
      </c>
    </row>
    <row r="340">
      <c r="A340" t="inlineStr">
        <is>
          <t>market group for electricity, low voltage</t>
        </is>
      </c>
      <c r="B340" t="inlineStr">
        <is>
          <t>electricity, low voltage</t>
        </is>
      </c>
      <c r="C340" t="inlineStr">
        <is>
          <t>UCTE</t>
        </is>
      </c>
      <c r="D340" s="10" t="n">
        <v>8.8888889</v>
      </c>
      <c r="E340" t="inlineStr">
        <is>
          <t>kilowatt hour</t>
        </is>
      </c>
      <c r="F340" t="inlineStr">
        <is>
          <t>ecoinvent</t>
        </is>
      </c>
      <c r="G340" t="inlineStr">
        <is>
          <t>technosphere</t>
        </is>
      </c>
      <c r="I340" t="inlineStr">
        <is>
          <t>changed "electricity (QC - flatness)" to "electricity, low voltage"</t>
        </is>
      </c>
    </row>
    <row r="341">
      <c r="A341" t="inlineStr">
        <is>
          <t>market group for electricity, low voltage</t>
        </is>
      </c>
      <c r="B341" t="inlineStr">
        <is>
          <t>electricity, low voltage</t>
        </is>
      </c>
      <c r="C341" t="inlineStr">
        <is>
          <t>UCTE</t>
        </is>
      </c>
      <c r="D341" s="10" t="n">
        <v>8.8888889</v>
      </c>
      <c r="E341" t="inlineStr">
        <is>
          <t>kilowatt hour</t>
        </is>
      </c>
      <c r="F341" t="inlineStr">
        <is>
          <t>ecoinvent</t>
        </is>
      </c>
      <c r="G341" t="inlineStr">
        <is>
          <t>technosphere</t>
        </is>
      </c>
      <c r="I341" t="inlineStr">
        <is>
          <t>changed "electricity (QC - surface)" to "electricity, low voltage"</t>
        </is>
      </c>
    </row>
    <row r="342"/>
    <row r="343">
      <c r="A343" s="2" t="inlineStr">
        <is>
          <t>Activity</t>
        </is>
      </c>
      <c r="B343" s="20" t="inlineStr">
        <is>
          <t>trimethyl aluminum 99% pure production</t>
        </is>
      </c>
    </row>
    <row r="344">
      <c r="A344" t="inlineStr">
        <is>
          <t>comment</t>
        </is>
      </c>
      <c r="B344"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45">
      <c r="A345" t="inlineStr">
        <is>
          <t>reference product</t>
        </is>
      </c>
      <c r="B345" s="8" t="inlineStr">
        <is>
          <t>trimethyl aluminum 99% pure</t>
        </is>
      </c>
    </row>
    <row r="346">
      <c r="A346" t="inlineStr">
        <is>
          <t>code</t>
        </is>
      </c>
      <c r="B346" t="inlineStr">
        <is>
          <t>trimethyl_1</t>
        </is>
      </c>
    </row>
    <row r="347">
      <c r="A347" t="inlineStr">
        <is>
          <t>location</t>
        </is>
      </c>
      <c r="B347" t="inlineStr">
        <is>
          <t>GLO</t>
        </is>
      </c>
    </row>
    <row r="348">
      <c r="A348" t="inlineStr">
        <is>
          <t>amount</t>
        </is>
      </c>
      <c r="B348" t="n">
        <v>1</v>
      </c>
    </row>
    <row r="349">
      <c r="A349" t="inlineStr">
        <is>
          <t>unit</t>
        </is>
      </c>
      <c r="B349" t="inlineStr">
        <is>
          <t xml:space="preserve">kilogram </t>
        </is>
      </c>
    </row>
    <row r="350">
      <c r="A350" t="inlineStr">
        <is>
          <t>source</t>
        </is>
      </c>
      <c r="B350"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51">
      <c r="A351" s="2" t="inlineStr">
        <is>
          <t>Exchanges</t>
        </is>
      </c>
    </row>
    <row r="352">
      <c r="A352" s="2" t="inlineStr">
        <is>
          <t>name</t>
        </is>
      </c>
      <c r="B352" s="2" t="inlineStr">
        <is>
          <t>reference product</t>
        </is>
      </c>
      <c r="C352" s="2" t="inlineStr">
        <is>
          <t>location</t>
        </is>
      </c>
      <c r="D352" s="3" t="inlineStr">
        <is>
          <t>amount</t>
        </is>
      </c>
      <c r="E352" s="2" t="inlineStr">
        <is>
          <t>unit</t>
        </is>
      </c>
      <c r="F352" s="2" t="inlineStr">
        <is>
          <t>database</t>
        </is>
      </c>
      <c r="G352" s="2" t="inlineStr">
        <is>
          <t>type</t>
        </is>
      </c>
      <c r="H352" s="2" t="inlineStr">
        <is>
          <t>categories</t>
        </is>
      </c>
      <c r="I352" s="2" t="inlineStr">
        <is>
          <t>comment</t>
        </is>
      </c>
    </row>
    <row r="353">
      <c r="A353" t="inlineStr">
        <is>
          <t>trimethyl aluminum 99% pure production</t>
        </is>
      </c>
      <c r="B353" t="inlineStr">
        <is>
          <t>trimethyl aluminum 99% pure</t>
        </is>
      </c>
      <c r="C353" t="inlineStr">
        <is>
          <t>GLO</t>
        </is>
      </c>
      <c r="D353" s="1">
        <f>B348</f>
        <v>1</v>
      </c>
      <c r="E353" t="inlineStr">
        <is>
          <t>kilogram</t>
        </is>
      </c>
      <c r="F353" t="inlineStr">
        <is>
          <t>PV_GaAs</t>
        </is>
      </c>
      <c r="G353" t="inlineStr">
        <is>
          <t>production</t>
        </is>
      </c>
    </row>
    <row r="354">
      <c r="A354" s="8" t="inlineStr">
        <is>
          <t>methyl aluminum sesquichloride production</t>
        </is>
      </c>
      <c r="B354" s="8" t="inlineStr">
        <is>
          <t>methyl aluminum sesquichloride</t>
        </is>
      </c>
      <c r="C354" t="inlineStr">
        <is>
          <t>GLO</t>
        </is>
      </c>
      <c r="D354" s="21" t="n">
        <v>2.753</v>
      </c>
      <c r="E354" t="inlineStr">
        <is>
          <t>kilogram</t>
        </is>
      </c>
      <c r="F354" t="inlineStr">
        <is>
          <t>PV_GaAs</t>
        </is>
      </c>
      <c r="G354" t="inlineStr">
        <is>
          <t>technosphere</t>
        </is>
      </c>
      <c r="I354" s="9" t="n"/>
    </row>
    <row r="355">
      <c r="A355" s="8" t="inlineStr">
        <is>
          <t>sodium production, sodium chloride electrolysis, molten salt cell</t>
        </is>
      </c>
      <c r="B355" s="8" t="inlineStr">
        <is>
          <t>sodium</t>
        </is>
      </c>
      <c r="C355" t="inlineStr">
        <is>
          <t>RER</t>
        </is>
      </c>
      <c r="D355" s="21" t="n">
        <v>0.9</v>
      </c>
      <c r="E355" t="inlineStr">
        <is>
          <t>kilogram</t>
        </is>
      </c>
      <c r="F355" t="inlineStr">
        <is>
          <t>ecoinvent</t>
        </is>
      </c>
      <c r="G355" t="inlineStr">
        <is>
          <t>technosphere</t>
        </is>
      </c>
      <c r="I355" s="9" t="n"/>
    </row>
    <row r="356">
      <c r="A356" s="22" t="inlineStr">
        <is>
          <t>market for nitrogen, liquid</t>
        </is>
      </c>
      <c r="B356" s="22" t="inlineStr">
        <is>
          <t>nitrogen, liquid</t>
        </is>
      </c>
      <c r="C356" t="inlineStr">
        <is>
          <t>RER</t>
        </is>
      </c>
      <c r="D356" s="21" t="n">
        <v>0.028</v>
      </c>
      <c r="E356" t="inlineStr">
        <is>
          <t>kilogram</t>
        </is>
      </c>
      <c r="F356" t="inlineStr">
        <is>
          <t>ecoinvent</t>
        </is>
      </c>
      <c r="G356" t="inlineStr">
        <is>
          <t>technosphere</t>
        </is>
      </c>
      <c r="I356" s="9" t="n"/>
    </row>
    <row r="357">
      <c r="A357" s="8" t="inlineStr">
        <is>
          <t>market for xylene, mixed</t>
        </is>
      </c>
      <c r="B357" s="8" t="inlineStr">
        <is>
          <t>xylene, mixed</t>
        </is>
      </c>
      <c r="C357" t="inlineStr">
        <is>
          <t>RER</t>
        </is>
      </c>
      <c r="D357" s="21" t="n">
        <v>5.103</v>
      </c>
      <c r="E357" t="inlineStr">
        <is>
          <t>kilogram</t>
        </is>
      </c>
      <c r="F357" t="inlineStr">
        <is>
          <t>ecoinvent</t>
        </is>
      </c>
      <c r="G357" t="inlineStr">
        <is>
          <t>technosphere</t>
        </is>
      </c>
    </row>
    <row r="358">
      <c r="A358" t="inlineStr">
        <is>
          <t>market group for electricity, low voltage</t>
        </is>
      </c>
      <c r="B358" t="inlineStr">
        <is>
          <t>electricity, low voltage</t>
        </is>
      </c>
      <c r="C358" t="inlineStr">
        <is>
          <t>UCTE</t>
        </is>
      </c>
      <c r="D358" s="21" t="n">
        <v>0.173</v>
      </c>
      <c r="E358" t="inlineStr">
        <is>
          <t>kilowatt hour</t>
        </is>
      </c>
      <c r="F358" t="inlineStr">
        <is>
          <t>ecoinvent</t>
        </is>
      </c>
      <c r="G358" t="inlineStr">
        <is>
          <t>technosphere</t>
        </is>
      </c>
    </row>
    <row r="359">
      <c r="A359" t="inlineStr">
        <is>
          <t>treatment of hazardous waste, hazardous waste incineration</t>
        </is>
      </c>
      <c r="B359" t="inlineStr">
        <is>
          <t>hazardous waste, for incineration</t>
        </is>
      </c>
      <c r="C359" t="inlineStr">
        <is>
          <t>Europe without Switzerland</t>
        </is>
      </c>
      <c r="D359" s="21" t="n">
        <v>-7.57</v>
      </c>
      <c r="E359" t="inlineStr">
        <is>
          <t>kilogram</t>
        </is>
      </c>
      <c r="F359" t="inlineStr">
        <is>
          <t>ecoinvent</t>
        </is>
      </c>
      <c r="G359" t="inlineStr">
        <is>
          <t>technosphere</t>
        </is>
      </c>
      <c r="I359" t="inlineStr">
        <is>
          <t>changed "Hazardous waste" to "hazardous waste, for incineration"</t>
        </is>
      </c>
    </row>
    <row r="360"/>
    <row r="361">
      <c r="A361" s="2" t="inlineStr">
        <is>
          <t>Activity</t>
        </is>
      </c>
      <c r="B361" s="23" t="inlineStr">
        <is>
          <t>methyl aluminum sesquichloride production</t>
        </is>
      </c>
    </row>
    <row r="362">
      <c r="A362" t="inlineStr">
        <is>
          <t>comment</t>
        </is>
      </c>
      <c r="B362"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63">
      <c r="A363" t="inlineStr">
        <is>
          <t>reference product</t>
        </is>
      </c>
      <c r="B363" s="22" t="inlineStr">
        <is>
          <t>methyl aluminum sesquichloride</t>
        </is>
      </c>
    </row>
    <row r="364">
      <c r="A364" t="inlineStr">
        <is>
          <t>code</t>
        </is>
      </c>
      <c r="B364" t="inlineStr">
        <is>
          <t>trimethyl_2</t>
        </is>
      </c>
    </row>
    <row r="365">
      <c r="A365" t="inlineStr">
        <is>
          <t>location</t>
        </is>
      </c>
      <c r="B365" t="inlineStr">
        <is>
          <t>GLO</t>
        </is>
      </c>
    </row>
    <row r="366">
      <c r="A366" t="inlineStr">
        <is>
          <t>amount</t>
        </is>
      </c>
      <c r="B366" t="n">
        <v>1</v>
      </c>
    </row>
    <row r="367">
      <c r="A367" t="inlineStr">
        <is>
          <t>unit</t>
        </is>
      </c>
      <c r="B367" t="inlineStr">
        <is>
          <t>kilogram</t>
        </is>
      </c>
    </row>
    <row r="368">
      <c r="A368" t="inlineStr">
        <is>
          <t>source</t>
        </is>
      </c>
      <c r="B368"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69">
      <c r="A369" s="2" t="inlineStr">
        <is>
          <t>Exchanges</t>
        </is>
      </c>
    </row>
    <row r="370">
      <c r="A370" s="2" t="inlineStr">
        <is>
          <t>name</t>
        </is>
      </c>
      <c r="B370" s="2" t="inlineStr">
        <is>
          <t>reference product</t>
        </is>
      </c>
      <c r="C370" s="2" t="inlineStr">
        <is>
          <t>location</t>
        </is>
      </c>
      <c r="D370" s="3" t="inlineStr">
        <is>
          <t>amount</t>
        </is>
      </c>
      <c r="E370" s="2" t="inlineStr">
        <is>
          <t>unit</t>
        </is>
      </c>
      <c r="F370" s="2" t="inlineStr">
        <is>
          <t>database</t>
        </is>
      </c>
      <c r="G370" s="2" t="inlineStr">
        <is>
          <t>type</t>
        </is>
      </c>
      <c r="H370" s="2" t="inlineStr">
        <is>
          <t>categories</t>
        </is>
      </c>
      <c r="I370" s="2" t="inlineStr">
        <is>
          <t>comment</t>
        </is>
      </c>
    </row>
    <row r="371">
      <c r="A371" t="inlineStr">
        <is>
          <t>methyl aluminum sesquichloride production</t>
        </is>
      </c>
      <c r="B371" t="inlineStr">
        <is>
          <t>methyl aluminum sesquichloride</t>
        </is>
      </c>
      <c r="C371" t="inlineStr">
        <is>
          <t>GLO</t>
        </is>
      </c>
      <c r="D371" s="1">
        <f>B366</f>
        <v>1</v>
      </c>
      <c r="E371" t="inlineStr">
        <is>
          <t>kilogram</t>
        </is>
      </c>
      <c r="F371" t="inlineStr">
        <is>
          <t>PV_GaAs</t>
        </is>
      </c>
      <c r="G371" t="inlineStr">
        <is>
          <t>production</t>
        </is>
      </c>
    </row>
    <row r="372" customFormat="1" s="25">
      <c r="A372" s="22" t="inlineStr">
        <is>
          <t>aluminium chloride production</t>
        </is>
      </c>
      <c r="B372" s="22" t="inlineStr">
        <is>
          <t>aluminium chloride</t>
        </is>
      </c>
      <c r="C372" t="inlineStr">
        <is>
          <t>GLO</t>
        </is>
      </c>
      <c r="D372" s="24" t="n">
        <v>0.016</v>
      </c>
      <c r="E372" t="inlineStr">
        <is>
          <t>kilogram</t>
        </is>
      </c>
      <c r="F372" t="inlineStr">
        <is>
          <t>ecoinvent</t>
        </is>
      </c>
      <c r="G372" t="inlineStr">
        <is>
          <t>technosphere</t>
        </is>
      </c>
      <c r="I372" s="22" t="n"/>
    </row>
    <row r="373">
      <c r="A373" s="22" t="inlineStr">
        <is>
          <t xml:space="preserve">aluminium production, primary, liquid, prebake </t>
        </is>
      </c>
      <c r="B373" s="22" t="inlineStr">
        <is>
          <t>aluminium, primary, liquid</t>
        </is>
      </c>
      <c r="C373" t="inlineStr">
        <is>
          <t>IAI Area, EU27 &amp; EFTA</t>
        </is>
      </c>
      <c r="D373" s="24" t="n">
        <v>0.262</v>
      </c>
      <c r="E373" t="inlineStr">
        <is>
          <t>kilogram</t>
        </is>
      </c>
      <c r="F373" t="inlineStr">
        <is>
          <t>ecoinvent</t>
        </is>
      </c>
      <c r="G373" t="inlineStr">
        <is>
          <t>technosphere</t>
        </is>
      </c>
      <c r="I373" s="22" t="inlineStr">
        <is>
          <t>changed "Aluminium 4N" to "aluminium, primary, liquid"</t>
        </is>
      </c>
    </row>
    <row r="374">
      <c r="A374" s="22" t="inlineStr">
        <is>
          <t>methylchloride production</t>
        </is>
      </c>
      <c r="B374" s="22" t="inlineStr">
        <is>
          <t>methylchloride</t>
        </is>
      </c>
      <c r="C374" t="inlineStr">
        <is>
          <t>WEU</t>
        </is>
      </c>
      <c r="D374" s="24" t="n">
        <v>0.737</v>
      </c>
      <c r="E374" t="inlineStr">
        <is>
          <t>kilogram</t>
        </is>
      </c>
      <c r="F374" t="inlineStr">
        <is>
          <t>ecoinvent</t>
        </is>
      </c>
      <c r="G374" t="inlineStr">
        <is>
          <t>technosphere</t>
        </is>
      </c>
      <c r="I374" s="22" t="n"/>
    </row>
    <row r="375">
      <c r="A375" t="inlineStr">
        <is>
          <t>market group for electricity, low voltage</t>
        </is>
      </c>
      <c r="B375" t="inlineStr">
        <is>
          <t>electricity, low voltage</t>
        </is>
      </c>
      <c r="C375" t="inlineStr">
        <is>
          <t>UCTE</t>
        </is>
      </c>
      <c r="D375" s="24" t="n">
        <v>0.003</v>
      </c>
      <c r="E375" t="inlineStr">
        <is>
          <t>kilowatt hour</t>
        </is>
      </c>
      <c r="F375" t="inlineStr">
        <is>
          <t>ecoinvent</t>
        </is>
      </c>
      <c r="G375" t="inlineStr">
        <is>
          <t>technosphere</t>
        </is>
      </c>
    </row>
    <row r="376" customFormat="1" s="6">
      <c r="A376" s="22" t="inlineStr">
        <is>
          <t>Methane, bromo-, Halon 1001</t>
        </is>
      </c>
      <c r="B376" s="22" t="n"/>
      <c r="D376" s="24" t="n">
        <v>0.023</v>
      </c>
      <c r="E376" t="inlineStr">
        <is>
          <t>kilogram</t>
        </is>
      </c>
      <c r="F376" t="inlineStr">
        <is>
          <t>biosphere3</t>
        </is>
      </c>
      <c r="G376" t="inlineStr">
        <is>
          <t>biosphere</t>
        </is>
      </c>
      <c r="H376" t="inlineStr">
        <is>
          <t xml:space="preserve">air </t>
        </is>
      </c>
      <c r="I376" t="inlineStr">
        <is>
          <t>changed "methane (emissions)" to "Methane, bromo-, Halon 1001"</t>
        </is>
      </c>
    </row>
    <row r="377">
      <c r="A377" s="22" t="inlineStr">
        <is>
          <t>Chlorine</t>
        </is>
      </c>
      <c r="B377" s="22" t="n"/>
      <c r="D377" s="24" t="n">
        <v>0.023</v>
      </c>
      <c r="E377" t="inlineStr">
        <is>
          <t>kilogram</t>
        </is>
      </c>
      <c r="F377" t="inlineStr">
        <is>
          <t>biosphere3</t>
        </is>
      </c>
      <c r="G377" t="inlineStr">
        <is>
          <t>biosphere</t>
        </is>
      </c>
      <c r="H377" t="inlineStr">
        <is>
          <t xml:space="preserve">air </t>
        </is>
      </c>
    </row>
    <row r="378"/>
    <row r="379">
      <c r="A379" s="2" t="inlineStr">
        <is>
          <t>Activity</t>
        </is>
      </c>
      <c r="B379" s="23" t="inlineStr">
        <is>
          <t>trimethyl gallium 99% pure production</t>
        </is>
      </c>
    </row>
    <row r="380">
      <c r="A380" t="inlineStr">
        <is>
          <t>comment</t>
        </is>
      </c>
      <c r="B380"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81">
      <c r="A381" t="inlineStr">
        <is>
          <t>reference product</t>
        </is>
      </c>
      <c r="B381" s="22" t="inlineStr">
        <is>
          <t>trimethyl gallium 99% pure</t>
        </is>
      </c>
    </row>
    <row r="382">
      <c r="A382" t="inlineStr">
        <is>
          <t>code</t>
        </is>
      </c>
      <c r="B382" t="inlineStr">
        <is>
          <t>trimethyl_3</t>
        </is>
      </c>
    </row>
    <row r="383">
      <c r="A383" t="inlineStr">
        <is>
          <t>location</t>
        </is>
      </c>
      <c r="B383" t="inlineStr">
        <is>
          <t>GLO</t>
        </is>
      </c>
    </row>
    <row r="384">
      <c r="A384" t="inlineStr">
        <is>
          <t>amount</t>
        </is>
      </c>
      <c r="B384" t="n">
        <v>1</v>
      </c>
    </row>
    <row r="385">
      <c r="A385" t="inlineStr">
        <is>
          <t>unit</t>
        </is>
      </c>
      <c r="B385" t="inlineStr">
        <is>
          <t>kilogram</t>
        </is>
      </c>
    </row>
    <row r="386">
      <c r="A386" t="inlineStr">
        <is>
          <t>source</t>
        </is>
      </c>
      <c r="B386"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387">
      <c r="A387" s="2" t="inlineStr">
        <is>
          <t>Exchanges</t>
        </is>
      </c>
    </row>
    <row r="388">
      <c r="A388" s="2" t="inlineStr">
        <is>
          <t>name</t>
        </is>
      </c>
      <c r="B388" s="2" t="inlineStr">
        <is>
          <t>reference product</t>
        </is>
      </c>
      <c r="C388" s="2" t="inlineStr">
        <is>
          <t>location</t>
        </is>
      </c>
      <c r="D388" s="3" t="inlineStr">
        <is>
          <t>amount</t>
        </is>
      </c>
      <c r="E388" s="2" t="inlineStr">
        <is>
          <t>unit</t>
        </is>
      </c>
      <c r="F388" s="2" t="inlineStr">
        <is>
          <t>database</t>
        </is>
      </c>
      <c r="G388" s="2" t="inlineStr">
        <is>
          <t>type</t>
        </is>
      </c>
      <c r="H388" s="2" t="inlineStr">
        <is>
          <t>categories</t>
        </is>
      </c>
      <c r="I388" s="2" t="inlineStr">
        <is>
          <t>comment</t>
        </is>
      </c>
    </row>
    <row r="389">
      <c r="A389" t="inlineStr">
        <is>
          <t>trimethyl gallium 99% pure production</t>
        </is>
      </c>
      <c r="B389" t="inlineStr">
        <is>
          <t>trimethyl gallium 99% pure</t>
        </is>
      </c>
      <c r="C389" t="inlineStr">
        <is>
          <t>GLO</t>
        </is>
      </c>
      <c r="D389" s="1">
        <f>B384</f>
        <v>1</v>
      </c>
      <c r="E389" t="inlineStr">
        <is>
          <t>kilogram</t>
        </is>
      </c>
      <c r="F389" t="inlineStr">
        <is>
          <t>PV_GaAs</t>
        </is>
      </c>
      <c r="G389" t="inlineStr">
        <is>
          <t>production</t>
        </is>
      </c>
    </row>
    <row r="390">
      <c r="A390" s="22" t="inlineStr">
        <is>
          <t>gallium chloride production</t>
        </is>
      </c>
      <c r="B390" s="22" t="inlineStr">
        <is>
          <t>gallium chloride</t>
        </is>
      </c>
      <c r="C390" t="inlineStr">
        <is>
          <t>GLO</t>
        </is>
      </c>
      <c r="D390" s="24" t="n">
        <v>1.576</v>
      </c>
      <c r="E390" t="inlineStr">
        <is>
          <t>kilogram</t>
        </is>
      </c>
      <c r="F390" t="inlineStr">
        <is>
          <t>PV_GaAs</t>
        </is>
      </c>
      <c r="G390" t="inlineStr">
        <is>
          <t>technosphere</t>
        </is>
      </c>
      <c r="I390" s="22" t="n"/>
    </row>
    <row r="391">
      <c r="A391" s="22" t="inlineStr">
        <is>
          <t>trimethyl aluminum 99% pure production</t>
        </is>
      </c>
      <c r="B391" s="22" t="inlineStr">
        <is>
          <t>trimethyl aluminum 99% pure</t>
        </is>
      </c>
      <c r="C391" t="inlineStr">
        <is>
          <t>GLO</t>
        </is>
      </c>
      <c r="D391" s="24" t="n">
        <v>1.012</v>
      </c>
      <c r="E391" t="inlineStr">
        <is>
          <t>kilogram</t>
        </is>
      </c>
      <c r="F391" t="inlineStr">
        <is>
          <t>PV_GaAs</t>
        </is>
      </c>
      <c r="G391" t="inlineStr">
        <is>
          <t>technosphere</t>
        </is>
      </c>
      <c r="I391" s="22" t="n"/>
    </row>
    <row r="392">
      <c r="A392" s="22" t="inlineStr">
        <is>
          <t>sodium chloride production, powder</t>
        </is>
      </c>
      <c r="B392" s="22" t="inlineStr">
        <is>
          <t>sodium chloride, powder</t>
        </is>
      </c>
      <c r="C392" t="inlineStr">
        <is>
          <t>RER</t>
        </is>
      </c>
      <c r="D392" s="24" t="n">
        <v>0.8</v>
      </c>
      <c r="E392" t="inlineStr">
        <is>
          <t>kilogram</t>
        </is>
      </c>
      <c r="F392" t="inlineStr">
        <is>
          <t>ecoinvent</t>
        </is>
      </c>
      <c r="G392" t="inlineStr">
        <is>
          <t>technosphere</t>
        </is>
      </c>
      <c r="I392" s="22" t="inlineStr">
        <is>
          <t>changed "sodium chloride" to "sodium chloride, powder"</t>
        </is>
      </c>
    </row>
    <row r="393">
      <c r="A393" t="inlineStr">
        <is>
          <t>market group for electricity, low voltage</t>
        </is>
      </c>
      <c r="B393" t="inlineStr">
        <is>
          <t>electricity, low voltage</t>
        </is>
      </c>
      <c r="C393" t="inlineStr">
        <is>
          <t>UCTE</t>
        </is>
      </c>
      <c r="D393" s="24" t="n">
        <v>0.112</v>
      </c>
      <c r="E393" t="inlineStr">
        <is>
          <t>kilowatt hour</t>
        </is>
      </c>
      <c r="F393" t="inlineStr">
        <is>
          <t>ecoinvent</t>
        </is>
      </c>
      <c r="G393" t="inlineStr">
        <is>
          <t>technosphere</t>
        </is>
      </c>
    </row>
    <row r="394" customFormat="1" s="6">
      <c r="A394" s="22" t="inlineStr">
        <is>
          <t>market for inert waste, for final disposal</t>
        </is>
      </c>
      <c r="B394" s="22" t="inlineStr">
        <is>
          <t>inert waste, for final disposal</t>
        </is>
      </c>
      <c r="C394" t="inlineStr">
        <is>
          <t>RoW</t>
        </is>
      </c>
      <c r="D394" s="24" t="n">
        <v>-2.4</v>
      </c>
      <c r="E394" t="inlineStr">
        <is>
          <t>kilogram</t>
        </is>
      </c>
      <c r="F394" t="inlineStr">
        <is>
          <t>ecoinvent</t>
        </is>
      </c>
      <c r="G394" t="inlineStr">
        <is>
          <t>technosphere</t>
        </is>
      </c>
      <c r="I394" t="inlineStr">
        <is>
          <t>changed "inert waste" to "inert waste, for final disposal"</t>
        </is>
      </c>
    </row>
    <row r="395"/>
    <row r="396">
      <c r="A396" s="2" t="inlineStr">
        <is>
          <t>Activity</t>
        </is>
      </c>
      <c r="B396" s="20" t="inlineStr">
        <is>
          <t>gallium chloride production</t>
        </is>
      </c>
    </row>
    <row r="397">
      <c r="A397" t="inlineStr">
        <is>
          <t>comment</t>
        </is>
      </c>
      <c r="B397" t="inlineStr">
        <is>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98">
      <c r="A398" t="inlineStr">
        <is>
          <t>reference product</t>
        </is>
      </c>
      <c r="B398" s="8" t="inlineStr">
        <is>
          <t>gallium chloride</t>
        </is>
      </c>
    </row>
    <row r="399">
      <c r="A399" t="inlineStr">
        <is>
          <t>code</t>
        </is>
      </c>
      <c r="B399" t="inlineStr">
        <is>
          <t>trimethyl_4</t>
        </is>
      </c>
    </row>
    <row r="400">
      <c r="A400" t="inlineStr">
        <is>
          <t>location</t>
        </is>
      </c>
      <c r="B400" t="inlineStr">
        <is>
          <t>GLO</t>
        </is>
      </c>
    </row>
    <row r="401">
      <c r="A401" t="inlineStr">
        <is>
          <t>amount</t>
        </is>
      </c>
      <c r="B401" t="n">
        <v>1</v>
      </c>
    </row>
    <row r="402">
      <c r="A402" t="inlineStr">
        <is>
          <t>unit</t>
        </is>
      </c>
      <c r="B402" t="inlineStr">
        <is>
          <t>kilogram</t>
        </is>
      </c>
    </row>
    <row r="403">
      <c r="A403" t="inlineStr">
        <is>
          <t>source</t>
        </is>
      </c>
      <c r="B403"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404">
      <c r="A404" s="2" t="inlineStr">
        <is>
          <t>Exchanges</t>
        </is>
      </c>
    </row>
    <row r="405">
      <c r="A405" s="2" t="inlineStr">
        <is>
          <t>name</t>
        </is>
      </c>
      <c r="B405" s="2" t="inlineStr">
        <is>
          <t>reference product</t>
        </is>
      </c>
      <c r="C405" s="2" t="inlineStr">
        <is>
          <t>location</t>
        </is>
      </c>
      <c r="D405" s="3" t="inlineStr">
        <is>
          <t>amount</t>
        </is>
      </c>
      <c r="E405" s="2" t="inlineStr">
        <is>
          <t>unit</t>
        </is>
      </c>
      <c r="F405" s="2" t="inlineStr">
        <is>
          <t>database</t>
        </is>
      </c>
      <c r="G405" s="2" t="inlineStr">
        <is>
          <t>type</t>
        </is>
      </c>
      <c r="H405" s="2" t="inlineStr">
        <is>
          <t>categories</t>
        </is>
      </c>
      <c r="I405" s="2" t="inlineStr">
        <is>
          <t>comment</t>
        </is>
      </c>
    </row>
    <row r="406">
      <c r="A406" t="inlineStr">
        <is>
          <t>gallium chloride production</t>
        </is>
      </c>
      <c r="B406" t="inlineStr">
        <is>
          <t>gallium chloride</t>
        </is>
      </c>
      <c r="C406" t="inlineStr">
        <is>
          <t>GLO</t>
        </is>
      </c>
      <c r="D406" s="1">
        <f>B401</f>
        <v>1</v>
      </c>
      <c r="E406" t="inlineStr">
        <is>
          <t>kilogram</t>
        </is>
      </c>
      <c r="F406" t="inlineStr">
        <is>
          <t>PV_GaAs</t>
        </is>
      </c>
      <c r="G406" t="inlineStr">
        <is>
          <t>production</t>
        </is>
      </c>
    </row>
    <row r="407">
      <c r="A407" s="8" t="inlineStr">
        <is>
          <t>gallium production, semiconductor-grade</t>
        </is>
      </c>
      <c r="B407" s="8" t="inlineStr">
        <is>
          <t>gallium, semiconductor-grade</t>
        </is>
      </c>
      <c r="C407" t="inlineStr">
        <is>
          <t>GLO</t>
        </is>
      </c>
      <c r="D407" s="21" t="n">
        <v>0.396</v>
      </c>
      <c r="E407" t="inlineStr">
        <is>
          <t>kilogram</t>
        </is>
      </c>
      <c r="F407" t="inlineStr">
        <is>
          <t>ecoinvent</t>
        </is>
      </c>
      <c r="G407" t="inlineStr">
        <is>
          <t>technosphere</t>
        </is>
      </c>
      <c r="I407" s="9" t="n"/>
    </row>
    <row r="408">
      <c r="A408" s="8" t="inlineStr">
        <is>
          <t>chlorine production, liquid</t>
        </is>
      </c>
      <c r="B408" s="8" t="inlineStr">
        <is>
          <t>chlorine, liquid</t>
        </is>
      </c>
      <c r="C408" t="inlineStr">
        <is>
          <t>RoW</t>
        </is>
      </c>
      <c r="D408" s="21" t="n">
        <v>0.604</v>
      </c>
      <c r="E408" t="inlineStr">
        <is>
          <t>kilogram</t>
        </is>
      </c>
      <c r="F408" t="inlineStr">
        <is>
          <t>ecoinvent</t>
        </is>
      </c>
      <c r="G408" t="inlineStr">
        <is>
          <t>technosphere</t>
        </is>
      </c>
      <c r="I408" s="9" t="inlineStr">
        <is>
          <t xml:space="preserve">changed "GLO" to "RoW" and "chlorine" to "chlorine, liquid" </t>
        </is>
      </c>
    </row>
    <row r="409">
      <c r="A409" t="inlineStr">
        <is>
          <t>market group for electricity, low voltage</t>
        </is>
      </c>
      <c r="B409" t="inlineStr">
        <is>
          <t>electricity, low voltage</t>
        </is>
      </c>
      <c r="C409" t="inlineStr">
        <is>
          <t>UCTE</t>
        </is>
      </c>
      <c r="D409" s="21" t="n">
        <v>0.284</v>
      </c>
      <c r="E409" t="inlineStr">
        <is>
          <t>kilowatt hour</t>
        </is>
      </c>
      <c r="F409" t="inlineStr">
        <is>
          <t>ecoinvent</t>
        </is>
      </c>
      <c r="G409" t="inlineStr">
        <is>
          <t>technosphere</t>
        </is>
      </c>
      <c r="I409" s="9" t="n"/>
    </row>
    <row r="410">
      <c r="A410" s="8" t="n"/>
      <c r="B410" s="8" t="n"/>
      <c r="C410" s="21" t="n"/>
      <c r="D410" s="26" t="n"/>
      <c r="E410" s="8" t="n"/>
    </row>
    <row r="411">
      <c r="A411" s="2" t="inlineStr">
        <is>
          <t>Activity</t>
        </is>
      </c>
      <c r="B411" s="20" t="inlineStr">
        <is>
          <t>photovoltaic installation, 0.28kWp, GaAs</t>
        </is>
      </c>
    </row>
    <row r="412">
      <c r="A412" t="inlineStr">
        <is>
          <t>comment</t>
        </is>
      </c>
      <c r="B412" t="inlineStr">
        <is>
          <t>Ex-ante LCA. Pallas et al. (2020) Ex ante life cycle assessment of GaAs/Si nanowire–based tandem solar cells: a benchmark for industrialization. The International Journal of Life Cycle Assessment, 25, 1767-1782. https://doi.org/10.1007/s11367-020-01791-z</t>
        </is>
      </c>
    </row>
    <row r="413">
      <c r="A413" t="inlineStr">
        <is>
          <t>reference product</t>
        </is>
      </c>
      <c r="B413" t="inlineStr">
        <is>
          <t>photovoltaic installation, GaAs</t>
        </is>
      </c>
    </row>
    <row r="414">
      <c r="A414" t="inlineStr">
        <is>
          <t>code</t>
        </is>
      </c>
      <c r="B414" t="inlineStr">
        <is>
          <t>installation</t>
        </is>
      </c>
    </row>
    <row r="415">
      <c r="A415" t="inlineStr">
        <is>
          <t>location</t>
        </is>
      </c>
      <c r="B415" t="inlineStr">
        <is>
          <t>GLO</t>
        </is>
      </c>
    </row>
    <row r="416">
      <c r="A416" t="inlineStr">
        <is>
          <t>amount</t>
        </is>
      </c>
      <c r="B416" t="n">
        <v>1</v>
      </c>
    </row>
    <row r="417">
      <c r="A417" t="inlineStr">
        <is>
          <t>unit</t>
        </is>
      </c>
      <c r="B417" t="inlineStr">
        <is>
          <t>unit</t>
        </is>
      </c>
    </row>
    <row r="418">
      <c r="A418" t="inlineStr">
        <is>
          <t>source</t>
        </is>
      </c>
      <c r="B418"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419">
      <c r="A419" s="2" t="inlineStr">
        <is>
          <t>Exchanges</t>
        </is>
      </c>
    </row>
    <row r="420">
      <c r="A420" s="2" t="inlineStr">
        <is>
          <t>name</t>
        </is>
      </c>
      <c r="B420" s="2" t="inlineStr">
        <is>
          <t>reference product</t>
        </is>
      </c>
      <c r="C420" s="2" t="inlineStr">
        <is>
          <t>location</t>
        </is>
      </c>
      <c r="D420" s="3" t="inlineStr">
        <is>
          <t>amount</t>
        </is>
      </c>
      <c r="E420" s="2" t="inlineStr">
        <is>
          <t>unit</t>
        </is>
      </c>
      <c r="F420" s="2" t="inlineStr">
        <is>
          <t>database</t>
        </is>
      </c>
      <c r="G420" s="2" t="inlineStr">
        <is>
          <t>type</t>
        </is>
      </c>
      <c r="H420" s="2" t="inlineStr">
        <is>
          <t>categories</t>
        </is>
      </c>
      <c r="I420" s="2" t="inlineStr">
        <is>
          <t>comment</t>
        </is>
      </c>
    </row>
    <row r="421">
      <c r="A421" t="inlineStr">
        <is>
          <t>photovoltaic installation, 0.28kWp, GaAs</t>
        </is>
      </c>
      <c r="B421" t="inlineStr">
        <is>
          <t>photovoltaic installation, GaAs</t>
        </is>
      </c>
      <c r="C421" t="inlineStr">
        <is>
          <t>GLO</t>
        </is>
      </c>
      <c r="D421" s="1">
        <f>B416</f>
        <v>1</v>
      </c>
      <c r="E421" t="inlineStr">
        <is>
          <t>unit</t>
        </is>
      </c>
      <c r="F421" t="inlineStr">
        <is>
          <t>PV_GaAs</t>
        </is>
      </c>
      <c r="G421" t="inlineStr">
        <is>
          <t>production</t>
        </is>
      </c>
      <c r="I421" t="inlineStr">
        <is>
          <t>Modelled taking as a reference: photovoltaic slanted-roof installation, 3kWp, single-Si, panel, mounted, on roof</t>
        </is>
      </c>
    </row>
    <row r="422">
      <c r="A422" t="inlineStr">
        <is>
          <t>market group for electricity, low voltage</t>
        </is>
      </c>
      <c r="B422" t="inlineStr">
        <is>
          <t>electricity, low voltage</t>
        </is>
      </c>
      <c r="C422" t="inlineStr">
        <is>
          <t>UCTE</t>
        </is>
      </c>
      <c r="D422" s="1">
        <f>0.23/21.429</f>
        <v>1.0733118670959916E-2</v>
      </c>
      <c r="E422" t="inlineStr">
        <is>
          <t>kilowatt hour</t>
        </is>
      </c>
      <c r="F422" t="inlineStr">
        <is>
          <t>ecoinvent</t>
        </is>
      </c>
      <c r="G422" t="inlineStr">
        <is>
          <t>technosphere</t>
        </is>
      </c>
    </row>
    <row r="423">
      <c r="A423" s="8" t="inlineStr">
        <is>
          <t>market for inverter, 2.5kW</t>
        </is>
      </c>
      <c r="B423" s="8" t="inlineStr">
        <is>
          <t>inverter, 2.5kW</t>
        </is>
      </c>
      <c r="C423" t="inlineStr">
        <is>
          <t>GLO</t>
        </is>
      </c>
      <c r="D423" s="1">
        <f>2.4*0.28/3</f>
        <v>0.224</v>
      </c>
      <c r="E423" t="inlineStr">
        <is>
          <t>unit</t>
        </is>
      </c>
      <c r="F423" t="inlineStr">
        <is>
          <t>ecoinvent</t>
        </is>
      </c>
      <c r="G423" t="inlineStr">
        <is>
          <t>technosphere</t>
        </is>
      </c>
      <c r="I423" s="9" t="inlineStr">
        <is>
          <t>Scaled from 3 kWp to 0.28 kWp</t>
        </is>
      </c>
    </row>
    <row r="424">
      <c r="A424" t="inlineStr">
        <is>
          <t>market for photovoltaic mounting system, for slanted-roof installation</t>
        </is>
      </c>
      <c r="B424" t="inlineStr">
        <is>
          <t>photovoltaic mounting system, for slanted-roof installation</t>
        </is>
      </c>
      <c r="C424" t="inlineStr">
        <is>
          <t>GLO</t>
        </is>
      </c>
      <c r="D424" s="1">
        <f>21.429/21.429</f>
        <v>1</v>
      </c>
      <c r="E424" t="inlineStr">
        <is>
          <t>square meter</t>
        </is>
      </c>
      <c r="F424" t="inlineStr">
        <is>
          <t>ecoinvent</t>
        </is>
      </c>
      <c r="G424" t="inlineStr">
        <is>
          <t>technosphere</t>
        </is>
      </c>
      <c r="I424" t="inlineStr">
        <is>
          <t>Value in reference dataset: 21.429m2. They use panels of 156x156cm2 with a capacity of 224 Wp to reach 3kWp. We use 1 square meter, so scale everything to 1 square meter (but the inverter that is scaled according to the power)</t>
        </is>
      </c>
    </row>
    <row r="425">
      <c r="A425" t="inlineStr">
        <is>
          <t>market for photovoltaics, electric installation for 3kWp module, at building</t>
        </is>
      </c>
      <c r="B425" t="inlineStr">
        <is>
          <t>photovoltaics, electric installation for 3kWp module, at building</t>
        </is>
      </c>
      <c r="C425" t="inlineStr">
        <is>
          <t>GLO</t>
        </is>
      </c>
      <c r="D425" s="1">
        <f>1/21.429</f>
        <v>4.6665733351999632E-2</v>
      </c>
      <c r="E425" t="inlineStr">
        <is>
          <t>unit</t>
        </is>
      </c>
      <c r="F425" t="inlineStr">
        <is>
          <t>ecoinvent</t>
        </is>
      </c>
      <c r="G425" t="inlineStr">
        <is>
          <t>technosphere</t>
        </is>
      </c>
    </row>
    <row r="426">
      <c r="A426" s="8" t="inlineStr">
        <is>
          <t>epitaxial lift-off (ELO)</t>
        </is>
      </c>
      <c r="B426" t="inlineStr">
        <is>
          <t>GaAs wafer - re-polished for reuse</t>
        </is>
      </c>
      <c r="C426" t="inlineStr">
        <is>
          <t>GLO</t>
        </is>
      </c>
      <c r="D426" s="33">
        <f>1/100</f>
        <v>0.01</v>
      </c>
      <c r="E426" t="inlineStr">
        <is>
          <t>square meter</t>
        </is>
      </c>
      <c r="F426" t="inlineStr">
        <is>
          <t>GaAs</t>
        </is>
      </c>
      <c r="G426" t="inlineStr">
        <is>
          <t>technosphere</t>
        </is>
      </c>
      <c r="I426" s="28" t="inlineStr">
        <is>
          <t>100 times reused</t>
        </is>
      </c>
    </row>
    <row r="427">
      <c r="A427" t="inlineStr">
        <is>
          <t>market for photovoltaic cell, single-Si wafer</t>
        </is>
      </c>
      <c r="B427" t="inlineStr">
        <is>
          <t>photovoltaic cell, single-Si wafer</t>
        </is>
      </c>
      <c r="C427" t="inlineStr">
        <is>
          <t>GLO</t>
        </is>
      </c>
      <c r="D427" s="1" t="n">
        <v>1</v>
      </c>
      <c r="E427" t="inlineStr">
        <is>
          <t>square meter</t>
        </is>
      </c>
      <c r="F427" t="inlineStr">
        <is>
          <t>ecoinvent</t>
        </is>
      </c>
      <c r="G427" t="inlineStr">
        <is>
          <t>technosphere</t>
        </is>
      </c>
      <c r="I427" s="28" t="n"/>
    </row>
    <row r="428"/>
    <row r="429">
      <c r="A429" s="2" t="inlineStr">
        <is>
          <t>Activity</t>
        </is>
      </c>
      <c r="B429" s="20" t="inlineStr">
        <is>
          <t xml:space="preserve">electricity production, photovoltaic, 0.28kWp, GaAs </t>
        </is>
      </c>
    </row>
    <row r="430">
      <c r="A430" t="inlineStr">
        <is>
          <t>comment</t>
        </is>
      </c>
      <c r="B430" t="inlineStr">
        <is>
          <t>Ex-ante LCA. Pallas et al. (2020) Ex ante life cycle assessment of GaAs/Si nanowire–based tandem solar cells: a benchmark for industrialization. The International Journal of Life Cycle Assessment, 25, 1767-1782. https://doi.org/10.1007/s11367-020-01791-z</t>
        </is>
      </c>
    </row>
    <row r="431">
      <c r="A431" t="inlineStr">
        <is>
          <t>reference product</t>
        </is>
      </c>
      <c r="B431" t="inlineStr">
        <is>
          <t xml:space="preserve">electricity production, photovoltaic, 0.28kWp, GaAs </t>
        </is>
      </c>
    </row>
    <row r="432">
      <c r="A432" t="inlineStr">
        <is>
          <t>code</t>
        </is>
      </c>
      <c r="B432" t="inlineStr">
        <is>
          <t>use_phase</t>
        </is>
      </c>
    </row>
    <row r="433">
      <c r="A433" t="inlineStr">
        <is>
          <t>location</t>
        </is>
      </c>
      <c r="B433" t="inlineStr">
        <is>
          <t>GLO</t>
        </is>
      </c>
    </row>
    <row r="434">
      <c r="A434" t="inlineStr">
        <is>
          <t>amount</t>
        </is>
      </c>
      <c r="B434" t="n">
        <v>1</v>
      </c>
    </row>
    <row r="435">
      <c r="A435" t="inlineStr">
        <is>
          <t>unit</t>
        </is>
      </c>
      <c r="B435" t="inlineStr">
        <is>
          <t>kilowatt hour</t>
        </is>
      </c>
    </row>
    <row r="436">
      <c r="A436" t="inlineStr">
        <is>
          <t>source</t>
        </is>
      </c>
      <c r="B436" t="inlineStr">
        <is>
          <t>Pallas, G., Vijver, M. G., Peijnenburg, W. J., &amp; Guinée, J. (2020). Ex ante life cycle assessment of GaAs/Si nanowire–based tandem solar cells: a benchmark for industrialization. The International Journal of Life Cycle Assessment, 25, 1767-1782. https://doi.org/10.1007/s11367-020-01791-z</t>
        </is>
      </c>
    </row>
    <row r="437">
      <c r="A437" s="2" t="inlineStr">
        <is>
          <t>Exchanges</t>
        </is>
      </c>
    </row>
    <row r="438">
      <c r="A438" s="2" t="inlineStr">
        <is>
          <t>name</t>
        </is>
      </c>
      <c r="B438" s="2" t="inlineStr">
        <is>
          <t>reference product</t>
        </is>
      </c>
      <c r="C438" s="2" t="inlineStr">
        <is>
          <t>location</t>
        </is>
      </c>
      <c r="D438" s="3" t="inlineStr">
        <is>
          <t>amount</t>
        </is>
      </c>
      <c r="E438" s="2" t="inlineStr">
        <is>
          <t>unit</t>
        </is>
      </c>
      <c r="F438" s="2" t="inlineStr">
        <is>
          <t>database</t>
        </is>
      </c>
      <c r="G438" s="2" t="inlineStr">
        <is>
          <t>type</t>
        </is>
      </c>
      <c r="H438" s="2" t="inlineStr">
        <is>
          <t>categories</t>
        </is>
      </c>
      <c r="I438" s="2" t="inlineStr">
        <is>
          <t>comment</t>
        </is>
      </c>
      <c r="J438" s="2" t="inlineStr">
        <is>
          <t>uncertainty type</t>
        </is>
      </c>
      <c r="K438" s="2" t="inlineStr">
        <is>
          <t>loc</t>
        </is>
      </c>
      <c r="L438" s="2" t="inlineStr">
        <is>
          <t>minimum</t>
        </is>
      </c>
      <c r="M438" s="2" t="inlineStr">
        <is>
          <t>maximum</t>
        </is>
      </c>
    </row>
    <row r="439">
      <c r="A439" t="inlineStr">
        <is>
          <t xml:space="preserve">electricity production, photovoltaic, 0.28kWp, GaAs </t>
        </is>
      </c>
      <c r="B439" t="inlineStr">
        <is>
          <t xml:space="preserve">electricity production, photovoltaic, 0.28kWp, GaAs </t>
        </is>
      </c>
      <c r="C439" t="inlineStr">
        <is>
          <t>GLO</t>
        </is>
      </c>
      <c r="D439" s="1">
        <f>B434</f>
        <v>1</v>
      </c>
      <c r="E439" t="inlineStr">
        <is>
          <t>kilowatt hour</t>
        </is>
      </c>
      <c r="F439" t="inlineStr">
        <is>
          <t>PV_GaAs</t>
        </is>
      </c>
      <c r="G439" t="inlineStr">
        <is>
          <t>production</t>
        </is>
      </c>
    </row>
    <row r="440">
      <c r="A440" s="8" t="inlineStr">
        <is>
          <t>photovoltaic installation, 0.28kWp, GaAs</t>
        </is>
      </c>
      <c r="B440" t="inlineStr">
        <is>
          <t>photovoltaic installation, GaAs</t>
        </is>
      </c>
      <c r="C440" t="inlineStr">
        <is>
          <t>GLO</t>
        </is>
      </c>
      <c r="D440" s="27">
        <f>1/0.28/1700/30/0.85</f>
        <v>8.2385895534684459E-5</v>
      </c>
      <c r="E440" s="6" t="inlineStr">
        <is>
          <t>unit</t>
        </is>
      </c>
      <c r="F440" t="inlineStr">
        <is>
          <t>PV_GaAs</t>
        </is>
      </c>
      <c r="G440" t="inlineStr">
        <is>
          <t>technosphere</t>
        </is>
      </c>
      <c r="I440" s="9" t="inlineStr">
        <is>
          <t>Min-max values represent a 20-40 years lifetime.</t>
        </is>
      </c>
      <c r="J440" t="n">
        <v>5</v>
      </c>
      <c r="K440" s="7">
        <f>D440</f>
        <v>8.2385895534684459E-5</v>
      </c>
      <c r="L440">
        <f>1/0.28/1700/40/0.85</f>
        <v>6.1789421651013341E-5</v>
      </c>
      <c r="M440" s="7">
        <f>1/0.28/1700/20/0.85</f>
        <v>1.2357884330202668E-4</v>
      </c>
    </row>
    <row r="441">
      <c r="A441" s="28" t="inlineStr">
        <is>
          <t>market for tap water</t>
        </is>
      </c>
      <c r="B441" s="28" t="inlineStr">
        <is>
          <t>tap water</t>
        </is>
      </c>
      <c r="C441" s="28" t="inlineStr">
        <is>
          <t>Europe without Switzerland</t>
        </is>
      </c>
      <c r="D441" s="29">
        <f>0.00579493511839/0.0000135395680336215*D440</f>
        <v>3.5261163288844939E-2</v>
      </c>
      <c r="E441" s="28" t="inlineStr">
        <is>
          <t>kilogram</t>
        </is>
      </c>
      <c r="F441" s="28" t="inlineStr">
        <is>
          <t>ecoinvent</t>
        </is>
      </c>
      <c r="G441" s="28" t="inlineStr">
        <is>
          <t>technosphere</t>
        </is>
      </c>
      <c r="H441" s="28" t="n"/>
      <c r="I441" s="28" t="inlineStr">
        <is>
          <t>Scaled from: photovoltaic slanted-roof installation, 3kWp, single-Si, panel, mounted, on roof</t>
        </is>
      </c>
    </row>
    <row r="442">
      <c r="A442" s="30" t="inlineStr">
        <is>
          <t>market for wastewater, average</t>
        </is>
      </c>
      <c r="B442" s="28" t="inlineStr">
        <is>
          <t>wastewater, average</t>
        </is>
      </c>
      <c r="C442" s="28" t="inlineStr">
        <is>
          <t>Europe without Switzerland</t>
        </is>
      </c>
      <c r="D442" s="31">
        <f>-0.00000579493511839/0.0000135395680336215*D440</f>
        <v>-3.5261163288844936E-5</v>
      </c>
      <c r="E442" s="28" t="inlineStr">
        <is>
          <t>cubic meter</t>
        </is>
      </c>
      <c r="F442" s="28" t="inlineStr">
        <is>
          <t>ecoinvent</t>
        </is>
      </c>
      <c r="G442" s="28" t="inlineStr">
        <is>
          <t>technosphere</t>
        </is>
      </c>
      <c r="H442" s="28" t="n"/>
      <c r="I442" s="32" t="n"/>
    </row>
    <row r="443">
      <c r="A443" s="28" t="inlineStr">
        <is>
          <t>Water</t>
        </is>
      </c>
      <c r="B443" s="28" t="n"/>
      <c r="C443" s="28" t="n"/>
      <c r="D443" s="29">
        <f>0.0000008692402677585/0.0000135395680336215*D440</f>
        <v>5.2891744933267402E-6</v>
      </c>
      <c r="E443" s="28" t="inlineStr">
        <is>
          <t>cubic meter</t>
        </is>
      </c>
      <c r="F443" s="28" t="inlineStr">
        <is>
          <t>biosphere</t>
        </is>
      </c>
      <c r="G443" s="28" t="inlineStr">
        <is>
          <t>biosphere</t>
        </is>
      </c>
      <c r="H443" s="28" t="inlineStr">
        <is>
          <t>air</t>
        </is>
      </c>
      <c r="I443" s="28" t="n"/>
    </row>
    <row r="444">
      <c r="A444" s="30" t="inlineStr">
        <is>
          <t>Energy, solar, converted</t>
        </is>
      </c>
      <c r="B444" s="28" t="n"/>
      <c r="C444" s="28" t="n"/>
      <c r="D444" s="31" t="n">
        <v>3.8503</v>
      </c>
      <c r="E444" s="28" t="inlineStr">
        <is>
          <t>megajoule</t>
        </is>
      </c>
      <c r="F444" s="28" t="inlineStr">
        <is>
          <t>biosphere</t>
        </is>
      </c>
      <c r="G444" s="28" t="inlineStr">
        <is>
          <t>biosphere</t>
        </is>
      </c>
      <c r="H444" s="28" t="inlineStr">
        <is>
          <t>natural resource::in air</t>
        </is>
      </c>
      <c r="I444" s="32" t="n"/>
    </row>
  </sheetData>
  <autoFilter ref="A1:I444"/>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2015-06-05T18:19:34Z</dcterms:created>
  <dcterms:modified xmlns:dcterms="http://purl.org/dc/terms/" xmlns:xsi="http://www.w3.org/2001/XMLSchema-instance" xsi:type="dcterms:W3CDTF">2026-07-07T14:16:19Z</dcterms:modified>
</cp:coreProperties>
</file>