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filterPrivacy="1"/>
  <xr:revisionPtr revIDLastSave="0" documentId="13_ncr:1_{59BA4066-325E-3C46-A2F7-CE0061120767}" xr6:coauthVersionLast="47" xr6:coauthVersionMax="47" xr10:uidLastSave="{00000000-0000-0000-0000-000000000000}"/>
  <bookViews>
    <workbookView xWindow="0" yWindow="500" windowWidth="29040" windowHeight="15840" xr2:uid="{00000000-000D-0000-FFFF-FFFF00000000}"/>
  </bookViews>
  <sheets>
    <sheet name="PV_GaAs" sheetId="3" r:id="rId1"/>
  </sheets>
  <definedNames>
    <definedName name="_xlnm._FilterDatabase" localSheetId="0" hidden="1">PV_GaAs!$A$1:$I$444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40" i="3" l="1"/>
  <c r="L440" i="3"/>
  <c r="D426" i="3"/>
  <c r="D422" i="3" l="1"/>
  <c r="D425" i="3"/>
  <c r="D424" i="3"/>
  <c r="D440" i="3"/>
  <c r="K440" i="3" l="1"/>
  <c r="D423" i="3"/>
  <c r="D443" i="3"/>
  <c r="E421" i="3"/>
  <c r="A421" i="3"/>
  <c r="B421" i="3"/>
  <c r="D421" i="3"/>
  <c r="D439" i="3"/>
  <c r="B439" i="3"/>
  <c r="A439" i="3"/>
  <c r="B96" i="3"/>
  <c r="B148" i="3"/>
  <c r="D442" i="3" l="1"/>
  <c r="D441" i="3"/>
  <c r="D406" i="3"/>
  <c r="B406" i="3"/>
  <c r="A406" i="3"/>
  <c r="D389" i="3"/>
  <c r="B389" i="3"/>
  <c r="A389" i="3"/>
  <c r="D371" i="3"/>
  <c r="B371" i="3"/>
  <c r="A371" i="3"/>
  <c r="A353" i="3"/>
  <c r="D353" i="3"/>
  <c r="B353" i="3"/>
  <c r="F117" i="3"/>
  <c r="A117" i="3"/>
  <c r="B117" i="3"/>
  <c r="E117" i="3"/>
  <c r="A134" i="3"/>
  <c r="B134" i="3"/>
  <c r="E134" i="3"/>
  <c r="A148" i="3"/>
  <c r="E148" i="3"/>
  <c r="A164" i="3"/>
  <c r="B164" i="3"/>
  <c r="E164" i="3"/>
  <c r="A183" i="3"/>
  <c r="B183" i="3"/>
  <c r="D183" i="3"/>
  <c r="E183" i="3"/>
  <c r="A202" i="3"/>
  <c r="B202" i="3"/>
  <c r="D202" i="3"/>
  <c r="E202" i="3"/>
  <c r="A217" i="3"/>
  <c r="B217" i="3"/>
  <c r="D217" i="3"/>
  <c r="E217" i="3"/>
  <c r="A232" i="3"/>
  <c r="B232" i="3"/>
  <c r="D232" i="3"/>
  <c r="E232" i="3"/>
  <c r="A251" i="3"/>
  <c r="B251" i="3"/>
  <c r="E251" i="3"/>
  <c r="A265" i="3"/>
  <c r="B265" i="3"/>
  <c r="D265" i="3"/>
  <c r="E265" i="3"/>
  <c r="A284" i="3"/>
  <c r="B284" i="3"/>
  <c r="D284" i="3"/>
  <c r="E284" i="3"/>
  <c r="A301" i="3"/>
  <c r="B301" i="3"/>
  <c r="D301" i="3"/>
  <c r="E301" i="3"/>
  <c r="A318" i="3"/>
  <c r="B318" i="3"/>
  <c r="D318" i="3"/>
  <c r="E318" i="3"/>
  <c r="A333" i="3"/>
  <c r="B333" i="3"/>
  <c r="D333" i="3"/>
  <c r="E333" i="3"/>
  <c r="A96" i="3"/>
  <c r="B74" i="3"/>
  <c r="A74" i="3"/>
  <c r="B57" i="3"/>
  <c r="A57" i="3"/>
  <c r="B36" i="3" l="1"/>
  <c r="A36" i="3"/>
  <c r="F15" i="3" l="1"/>
  <c r="E15" i="3"/>
  <c r="B15" i="3"/>
  <c r="A15" i="3"/>
</calcChain>
</file>

<file path=xl/sharedStrings.xml><?xml version="1.0" encoding="utf-8"?>
<sst xmlns="http://schemas.openxmlformats.org/spreadsheetml/2006/main" count="1628" uniqueCount="286">
  <si>
    <t>Activity</t>
  </si>
  <si>
    <t>location</t>
  </si>
  <si>
    <t>reference product</t>
  </si>
  <si>
    <t>type</t>
  </si>
  <si>
    <t>unit</t>
  </si>
  <si>
    <t>kilogram</t>
  </si>
  <si>
    <t>Exchanges</t>
  </si>
  <si>
    <t>name</t>
  </si>
  <si>
    <t>amount</t>
  </si>
  <si>
    <t>categories</t>
  </si>
  <si>
    <t>production</t>
  </si>
  <si>
    <t>biosphere</t>
  </si>
  <si>
    <t>cubic meter</t>
  </si>
  <si>
    <t>database</t>
  </si>
  <si>
    <t>code</t>
  </si>
  <si>
    <t>kilowatt hour</t>
  </si>
  <si>
    <t>technosphere</t>
  </si>
  <si>
    <t>GaAs wafer with resist patterned</t>
  </si>
  <si>
    <t>gaas_1</t>
  </si>
  <si>
    <t>square meter</t>
  </si>
  <si>
    <t xml:space="preserve">GaAs wafer </t>
  </si>
  <si>
    <t>ecoinvent</t>
  </si>
  <si>
    <t>electroplating</t>
  </si>
  <si>
    <t>GaAs wafer with resist and gold particles</t>
  </si>
  <si>
    <t>gaas_2</t>
  </si>
  <si>
    <t xml:space="preserve">gold </t>
  </si>
  <si>
    <t>Wet etching</t>
  </si>
  <si>
    <t>GaAs wafer with gold particles</t>
  </si>
  <si>
    <t>gaas_3</t>
  </si>
  <si>
    <t>gaas_4</t>
  </si>
  <si>
    <t>hydrogen sulfide</t>
  </si>
  <si>
    <t>arsine</t>
  </si>
  <si>
    <t>GaAs wafer with nanowires</t>
  </si>
  <si>
    <t>GaAs wafer - re-polished for reuse</t>
  </si>
  <si>
    <t>gaas_5</t>
  </si>
  <si>
    <t>CMP slurry</t>
  </si>
  <si>
    <t>polycrystalline GaAs boule</t>
  </si>
  <si>
    <t>single-crystal GaAs boule</t>
  </si>
  <si>
    <t>diamond saw</t>
  </si>
  <si>
    <t>single-crystal GaAs ingot</t>
  </si>
  <si>
    <t>synthetic diamond</t>
  </si>
  <si>
    <t>sawing slurry</t>
  </si>
  <si>
    <t>raw GaAs wafer</t>
  </si>
  <si>
    <t>hydrogen fluoride</t>
  </si>
  <si>
    <t>etched GaAs wafer</t>
  </si>
  <si>
    <t>pre-polished GaAs wafer</t>
  </si>
  <si>
    <t>double-polished GaAs wafer</t>
  </si>
  <si>
    <t>potassium hydroxide</t>
  </si>
  <si>
    <t>GaAs wafer</t>
  </si>
  <si>
    <t>transfer_1</t>
  </si>
  <si>
    <t>transfer_2</t>
  </si>
  <si>
    <t>transfer_3</t>
  </si>
  <si>
    <t>transfer_4</t>
  </si>
  <si>
    <t>transfer_5</t>
  </si>
  <si>
    <t xml:space="preserve">7N Gallium </t>
  </si>
  <si>
    <t>gaas_6</t>
  </si>
  <si>
    <t>gaas_7</t>
  </si>
  <si>
    <t>gaas_8</t>
  </si>
  <si>
    <t>gaas_9</t>
  </si>
  <si>
    <t>gaas_10</t>
  </si>
  <si>
    <t>gaas_11</t>
  </si>
  <si>
    <t>gaas_12</t>
  </si>
  <si>
    <t>gaas_13</t>
  </si>
  <si>
    <t>gaas_14</t>
  </si>
  <si>
    <t>methyl aluminum sesquichloride</t>
  </si>
  <si>
    <t>sodium</t>
  </si>
  <si>
    <t>gallium chloride</t>
  </si>
  <si>
    <t>trimethyl aluminum 99% pure</t>
  </si>
  <si>
    <t>trimethyl_1</t>
  </si>
  <si>
    <t>trimethyl_2</t>
  </si>
  <si>
    <t xml:space="preserve">kilogram </t>
  </si>
  <si>
    <t>trimethyl_3</t>
  </si>
  <si>
    <t>trimethyl_4</t>
  </si>
  <si>
    <t>RER</t>
  </si>
  <si>
    <t>isopropanol production</t>
  </si>
  <si>
    <t>isopropanol</t>
  </si>
  <si>
    <t xml:space="preserve">potassium carbonate </t>
  </si>
  <si>
    <t>GLO</t>
  </si>
  <si>
    <t>potassium carbonate production, from potassium hydroxide</t>
  </si>
  <si>
    <t>water, deionised</t>
  </si>
  <si>
    <t>market for water, deionised</t>
  </si>
  <si>
    <t>Europe without Switzerland</t>
  </si>
  <si>
    <t>electricity, medium voltage</t>
  </si>
  <si>
    <t>market group for electricity, medium voltage</t>
  </si>
  <si>
    <t>market for acetone, liquid</t>
  </si>
  <si>
    <t>air</t>
  </si>
  <si>
    <t xml:space="preserve">changed "liquid acetone production" to "market for acetone" </t>
  </si>
  <si>
    <t xml:space="preserve">changed "Water production deionised, from tap water, at user" to "market for water, deionised" </t>
  </si>
  <si>
    <t xml:space="preserve">VOC, volatile organic compounds </t>
  </si>
  <si>
    <t>treatment of hazardous waste, hazardous waste incineration</t>
  </si>
  <si>
    <t>hazardous waste, for incineration</t>
  </si>
  <si>
    <t>changed "liquid waste" to "hazardous waste, for incineration"</t>
  </si>
  <si>
    <t xml:space="preserve">air </t>
  </si>
  <si>
    <t xml:space="preserve">water </t>
  </si>
  <si>
    <t>changed "organic resist" to "chemical, organic"</t>
  </si>
  <si>
    <t>chemical, organic</t>
  </si>
  <si>
    <t>RoW</t>
  </si>
  <si>
    <t>gold-silver mine operation with refinery</t>
  </si>
  <si>
    <t>hydrochloric acid production, from the reaction of hydrogen with chlorine</t>
  </si>
  <si>
    <t>Cyanide</t>
  </si>
  <si>
    <t>changed "remover (potassium hydroxide)" to "potassium hydroxide"</t>
  </si>
  <si>
    <t>potassium hydroxide production</t>
  </si>
  <si>
    <t>biosphere3</t>
  </si>
  <si>
    <t>hydrogen sulfide production</t>
  </si>
  <si>
    <t>chemical production, organic</t>
  </si>
  <si>
    <t>hydrochloric acid, without water, in 30% solution state</t>
  </si>
  <si>
    <t>changed "hydrogen chloride" to "hydrochloric acid, without water, in 30% solution state"</t>
  </si>
  <si>
    <t>arsine production</t>
  </si>
  <si>
    <t xml:space="preserve">changed "diethyl zinc" to "chemical, organic" </t>
  </si>
  <si>
    <t>changed "waste" to "hazardous waste, for incineration"</t>
  </si>
  <si>
    <t>hydrogen fluoride production</t>
  </si>
  <si>
    <t xml:space="preserve">changed "GLO" to "RER" </t>
  </si>
  <si>
    <t>changed "polishing pad: polyurethane rigid foam" to "polyurethane rigid foam"</t>
  </si>
  <si>
    <t>polyurethane production, rigid foam</t>
  </si>
  <si>
    <t>polyethylene terephthalate production, granulate, amorphous</t>
  </si>
  <si>
    <t>polyethylene terephthalate, granulate, amorphous</t>
  </si>
  <si>
    <t>changed "PET handle: polyethylene terephthalate, granulate, amorphous" to "polyethylene terephthalate, granulate, amorphous"</t>
  </si>
  <si>
    <t>electricity, low voltage</t>
  </si>
  <si>
    <t>changed "Electricity (polishing)" to "electricity, low voltage"</t>
  </si>
  <si>
    <t>UCTE</t>
  </si>
  <si>
    <t>market group for electricity, low voltage</t>
  </si>
  <si>
    <t>changed "pBN crucible (boron carbide)" to "boron carbide"</t>
  </si>
  <si>
    <t>boron carbide</t>
  </si>
  <si>
    <t>boron carbide production</t>
  </si>
  <si>
    <t>changed "electricity" to "electricity, low voltage"</t>
  </si>
  <si>
    <t>changed "pBN crucible (hazardous waste underground deposit)" to "hazardous waste, for underground deposit"</t>
  </si>
  <si>
    <t>hazardous waste, for underground deposit</t>
  </si>
  <si>
    <t>treatment of hazardous waste, underground deposit</t>
  </si>
  <si>
    <t>changed "gallium 6N (semiconductor grade)" to "gallium production, semiconductor-grade"</t>
  </si>
  <si>
    <t>gallium production, semiconductor-grade</t>
  </si>
  <si>
    <t>gallium, semiconductor-grade</t>
  </si>
  <si>
    <t>changed "Electricity" to "electricity, low voltage"</t>
  </si>
  <si>
    <t xml:space="preserve">changed "Arsine production [GLO] – 96.1% As in AsH3, results: 1.53 kg AsH3" to  "arsine production" and "arsenic metallic 2N" to "arsine" </t>
  </si>
  <si>
    <t xml:space="preserve">changed "hydrogen" to "hydrogen, liquid" </t>
  </si>
  <si>
    <t>argon production, liquid</t>
  </si>
  <si>
    <t>argon, liquid</t>
  </si>
  <si>
    <t xml:space="preserve">changed "argon" to "argon, liquid" </t>
  </si>
  <si>
    <t>changed "boron oxide (boric oxide)" to boric oxide"</t>
  </si>
  <si>
    <t>boric oxide</t>
  </si>
  <si>
    <t>boric oxide production</t>
  </si>
  <si>
    <t xml:space="preserve">changed "pBN crucible" to "boron carbide" </t>
  </si>
  <si>
    <t xml:space="preserve">changed "pBN crucible (hazardous waste underground deposit)" to "hazardous waste, for underground deposit" </t>
  </si>
  <si>
    <t xml:space="preserve">changed "boron oxide (hazardous waste underground deposit)" to "hazardous waste, for underground deposit" </t>
  </si>
  <si>
    <t xml:space="preserve">changed "7N arsenic (hazardous waste underground deposit)" to "hazardous waste, for underground deposit" </t>
  </si>
  <si>
    <t>wire drawing, steel</t>
  </si>
  <si>
    <t>changed "steel wire (cropping)" to "wire drawing, steel"</t>
  </si>
  <si>
    <t>changed "electricity (x-ray)" to "electricity, low voltage"</t>
  </si>
  <si>
    <t>changed "electricity (cropping)" to "electricity, low voltage"</t>
  </si>
  <si>
    <t>changed "electricity (notch)" to "electricity, low voltage"</t>
  </si>
  <si>
    <t xml:space="preserve">changed "arsenic (hazardous waste underground deposit)" to "hazardous waste, for underground deposit" </t>
  </si>
  <si>
    <t xml:space="preserve">changed "steel" to "steel, unalloyed" </t>
  </si>
  <si>
    <t>steel production, converter, unalloyed</t>
  </si>
  <si>
    <t xml:space="preserve">changed "hydrogen" to "hydrogen, liquid" and "RoW" to "RER" </t>
  </si>
  <si>
    <t>changed "steel wire (wafering)" to "wire drawing, steel"</t>
  </si>
  <si>
    <t>changed "Electricity (wire saw)" to "electricity, low voltage"</t>
  </si>
  <si>
    <t>changed "Electricity (edge saw)" to "electricity, low voltage"</t>
  </si>
  <si>
    <t>silica sand production</t>
  </si>
  <si>
    <t xml:space="preserve">changed "silica sand particles" to "silica sand" </t>
  </si>
  <si>
    <t>silica sand</t>
  </si>
  <si>
    <t>changed "polyethylene glycol (tri-ethylene glycol)" to "diethylene glycol"</t>
  </si>
  <si>
    <t>diethylene glycol</t>
  </si>
  <si>
    <t>changed "electricity (polishing)" to "electricity, low voltage"</t>
  </si>
  <si>
    <t>water production, ultrapure</t>
  </si>
  <si>
    <t>water, ultrapure</t>
  </si>
  <si>
    <t>changed "electricity (QC - flatness)" to "electricity, low voltage"</t>
  </si>
  <si>
    <t>changed "electricity (QC - surface)" to "electricity, low voltage"</t>
  </si>
  <si>
    <t>changed "polishing pad (polyurethane rigid foam)" to "polyurethane, rigid foam"</t>
  </si>
  <si>
    <t>polyurethane, rigid foam</t>
  </si>
  <si>
    <t>changed "electricity (ultrasonic cleaning)" to "electricity, low voltage"</t>
  </si>
  <si>
    <t>changed "electricity (rinse tank)" to "electricity, low voltage"</t>
  </si>
  <si>
    <t>hydrogen peroxide production, product in 50% solution state</t>
  </si>
  <si>
    <t>changed "hydrogen peroxide" to "hydrogen peroxide, without water, in 50% solution state"</t>
  </si>
  <si>
    <t>hydrogen peroxide, without water, in 50% solution state</t>
  </si>
  <si>
    <t>changed "GLO" to "RoW"</t>
  </si>
  <si>
    <t>changed "plastic cassette (polyethylene terephthalate, granulate , bottle grade)" to "polyethylene terephthalate, granulate, bottle grade"</t>
  </si>
  <si>
    <t>polyethylene terephthalate, granulate, bottle grade</t>
  </si>
  <si>
    <t>polyethylene terephthalate production, granulate, bottle grade</t>
  </si>
  <si>
    <t>chaged "foil bag (aluminum primary ingot)" to "aluminium, primary, ingot"</t>
  </si>
  <si>
    <t>aluminium, primary, ingot</t>
  </si>
  <si>
    <t>IAI Area, EU27 &amp; EFTA</t>
  </si>
  <si>
    <t>aluminium production, primary, ingot</t>
  </si>
  <si>
    <t>changed "PET bag (packaging film, low density polyethylene)" to "packaging film, low density polyethylene"</t>
  </si>
  <si>
    <t>packaging film, low density polyethylene</t>
  </si>
  <si>
    <t>packaging film production, low density polyethylene</t>
  </si>
  <si>
    <t>changed "Hazardous waste" to "hazardous waste, for incineration"</t>
  </si>
  <si>
    <t>aluminium chloride production</t>
  </si>
  <si>
    <t>changed "Aluminium 4N" to "aluminium, primary, liquid"</t>
  </si>
  <si>
    <t>aluminium, primary, liquid</t>
  </si>
  <si>
    <t xml:space="preserve">aluminium production, primary, liquid, prebake </t>
  </si>
  <si>
    <t>methylchloride production</t>
  </si>
  <si>
    <t>WEU</t>
  </si>
  <si>
    <t>methylchloride</t>
  </si>
  <si>
    <t>inert waste, for final disposal</t>
  </si>
  <si>
    <t>changed "inert waste" to "inert waste, for final disposal"</t>
  </si>
  <si>
    <t>market for inert waste, for final disposal</t>
  </si>
  <si>
    <t>chlorine, liquid</t>
  </si>
  <si>
    <t xml:space="preserve">changed "GLO" to "RoW" and "chlorine" to "chlorine, liquid" </t>
  </si>
  <si>
    <t>chlorine production, liquid</t>
  </si>
  <si>
    <t>sodium chloride, powder</t>
  </si>
  <si>
    <t>changed "sodium chloride" to "sodium chloride, powder"</t>
  </si>
  <si>
    <t>sodium chloride production, powder</t>
  </si>
  <si>
    <t>nitrogen, liquid</t>
  </si>
  <si>
    <t>Water</t>
  </si>
  <si>
    <t>changed "waste water" to "water"</t>
  </si>
  <si>
    <t>market for natural gas, high pressure</t>
  </si>
  <si>
    <t>changed "Natural gas production" to "market for natural gas, high pressure" and "methane (natural gas)" to "natural gas, high pressure"</t>
  </si>
  <si>
    <t>natural gas, high pressure</t>
  </si>
  <si>
    <t>Methane, bromo-, Halon 1001</t>
  </si>
  <si>
    <t>Chlorine</t>
  </si>
  <si>
    <t>acetone, liquid</t>
  </si>
  <si>
    <t>7N Arsenic</t>
  </si>
  <si>
    <t>7N Gallium</t>
  </si>
  <si>
    <t>steel, unalloyed</t>
  </si>
  <si>
    <t>changed "diamond saw (edge saw)" to "diamond saw"</t>
  </si>
  <si>
    <t>aluminium chloride</t>
  </si>
  <si>
    <t>changed "methane (emissions)" to "Methane, bromo-, Halon 1001"</t>
  </si>
  <si>
    <t xml:space="preserve">We consider the transfer route, because for direct and transfer route, all impacts are in a similar order of magnitude and are only slightly worse for the transfer route. Only ozone depletion potential is way higher for the direct growth route (due to the use of CHF3). We chose the transfer route, because bringing the direct growth inventories into our model may cause an unfair representation of the ozone depletion category. (In Pallas2020, Table4 impacts of the two routes are compared) </t>
  </si>
  <si>
    <t>use_phase</t>
  </si>
  <si>
    <t>PV_GaAs</t>
  </si>
  <si>
    <t>coating, drying, optical lithography</t>
  </si>
  <si>
    <t>photovoltaic installation, GaAs</t>
  </si>
  <si>
    <t>installation</t>
  </si>
  <si>
    <t>inverter, 2.5kW</t>
  </si>
  <si>
    <t>market for inverter, 2.5kW</t>
  </si>
  <si>
    <t>photovoltaics, electric installation for 3kWp module, at building</t>
  </si>
  <si>
    <t>market for photovoltaics, electric installation for 3kWp module, at building</t>
  </si>
  <si>
    <t>Scaled from 3 kWp to 0.28 kWp</t>
  </si>
  <si>
    <t>Modelled taking as a reference: photovoltaic slanted-roof installation, 3kWp, single-Si, panel, mounted, on roof</t>
  </si>
  <si>
    <t>photovoltaic mounting system, for slanted-roof installation</t>
  </si>
  <si>
    <t>market for photovoltaic mounting system, for slanted-roof installation</t>
  </si>
  <si>
    <t>Energy, solar, converted</t>
  </si>
  <si>
    <t>natural resource::in air</t>
  </si>
  <si>
    <t>megajoule</t>
  </si>
  <si>
    <t>Scaled from: photovoltaic slanted-roof installation, 3kWp, single-Si, panel, mounted, on roof</t>
  </si>
  <si>
    <t>tap water</t>
  </si>
  <si>
    <t>market for tap water</t>
  </si>
  <si>
    <t>market for wastewater, average</t>
  </si>
  <si>
    <t>wastewater, average</t>
  </si>
  <si>
    <t>comment</t>
  </si>
  <si>
    <t>source</t>
  </si>
  <si>
    <t>Pallas, G., Vijver, M. G., Peijnenburg, W. J., &amp; Guinée, J. (2020). Ex ante life cycle assessment of GaAs/Si nanowire–based tandem solar cells: a benchmark for industrialization. The International Journal of Life Cycle Assessment, 25, 1767-1782. https://doi.org/10.1007/s11367-020-01791-z</t>
  </si>
  <si>
    <t>Ex-ante LCA. Pallas et al. (2020) Ex ante life cycle assessment of GaAs/Si nanowire–based tandem solar cells: a benchmark for industrialization. The International Journal of Life Cycle Assessment, 25, 1767-1782. https://doi.org/10.1007/s11367-020-01791-z</t>
  </si>
  <si>
    <t>wet etching</t>
  </si>
  <si>
    <t>epitaxial lift-off (ELO)</t>
  </si>
  <si>
    <t>trimethyl gallium 99% pure</t>
  </si>
  <si>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</si>
  <si>
    <t>polycrystalline GaAs boule production</t>
  </si>
  <si>
    <t>7N gallium production</t>
  </si>
  <si>
    <t>7N arsenic production</t>
  </si>
  <si>
    <t>single-crystal GaAs boule production</t>
  </si>
  <si>
    <t>GaAs ingot production - x-ray, cropping, grinding notch</t>
  </si>
  <si>
    <t>diamond saw production</t>
  </si>
  <si>
    <t>synthetic diamond production</t>
  </si>
  <si>
    <t>raw GaAs wafer production</t>
  </si>
  <si>
    <t>sawing slurry production</t>
  </si>
  <si>
    <t>etched GaAs wafer production - cleaning, etching</t>
  </si>
  <si>
    <t>pre-polished GaAs wafer production</t>
  </si>
  <si>
    <t>double-polished GaAs wafer production - chemical, mechanical polishing (CMP)</t>
  </si>
  <si>
    <t>CMP slurry production</t>
  </si>
  <si>
    <t>GaAs wafer production - cleaning, quality control, packing</t>
  </si>
  <si>
    <t>trimethyl aluminum 99% pure production</t>
  </si>
  <si>
    <t>methyl aluminum sesquichloride production</t>
  </si>
  <si>
    <t>trimethyl gallium 99% pure production</t>
  </si>
  <si>
    <t>gallium chloride production</t>
  </si>
  <si>
    <t>market for diethylene glycol</t>
  </si>
  <si>
    <t>Original inventory, "hydrogen cracking, APME", "hydrogen, liquid", has been deleted in EI3.10</t>
  </si>
  <si>
    <t>hydrogen, gaseous, low pressure</t>
  </si>
  <si>
    <t>market for xylene, mixed</t>
  </si>
  <si>
    <t>xylene, mixed</t>
  </si>
  <si>
    <t>market for nitrogen, liquid</t>
  </si>
  <si>
    <t>sodium production, sodium chloride electrolysis, molten salt cell</t>
  </si>
  <si>
    <t xml:space="preserve">electricity production, photovoltaic, 0.28kWp, GaAs </t>
  </si>
  <si>
    <t>photovoltaic installation, 0.28kWp, GaAs</t>
  </si>
  <si>
    <t>market for hydrogen, gaseous, low pressure</t>
  </si>
  <si>
    <t>uncertainty type</t>
  </si>
  <si>
    <t>loc</t>
  </si>
  <si>
    <t>minimum</t>
  </si>
  <si>
    <t>maximum</t>
  </si>
  <si>
    <t>metal organic vapor phase epitaxy (MOVPE), for GaAs photovoltaic panel</t>
  </si>
  <si>
    <t>100 times reused</t>
  </si>
  <si>
    <t>Min-max values represent a 20-40 years lifetime.</t>
  </si>
  <si>
    <t xml:space="preserve">This process produces two outputs, namely "GaAs wafer - re-polished for reuse" (main product) and "membrane with nanowires, 1m2" (by-product). </t>
  </si>
  <si>
    <t>market for photovoltaic cell, single-Si wafer</t>
  </si>
  <si>
    <t>photovoltaic cell, single-Si wafer</t>
  </si>
  <si>
    <t>GaAs</t>
  </si>
  <si>
    <t>Value in reference dataset: 21.429m2. They use panels of 156x156cm2 with a capacity of 224 Wp to reach 3kWp. We use 1 square meter, so scale everything to 1 square meter (but the inverter that is scaled according to the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</si>
</sst>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6"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2"/>
      <color theme="1"/>
      <name val="Calibri"/>
      <family val="2"/>
      <scheme val="minor"/>
    </font>
    <font>
      <sz val="11"/>
      <color rgb="FFFF0000"/>
      <name val="Calibri"/>
      <family val="2"/>
      <scheme val="minor"/>
    </font>
    <font>
      <sz val="11"/>
      <color rgb="FF000000"/>
      <name val="Calibri"/>
      <family val="2"/>
      <scheme val="minor"/>
    </font>
    <font>
      <sz val="11"/>
      <color theme="1"/>
      <name val="Aptos"/>
      <family val="2"/>
    </font>
    <font>
      <b/>
      <sz val="11"/>
      <color rgb="FF000000"/>
      <name val="Calibri"/>
      <family val="2"/>
    </font>
    <font>
      <sz val="11"/>
      <color rgb="FF000000"/>
      <name val="Calibri"/>
      <family val="2"/>
    </font>
    <font>
      <b/>
      <sz val="11"/>
      <color rgb="FF000000"/>
      <name val="Calibri"/>
      <family val="2"/>
      <scheme val="minor"/>
    </font>
    <font>
      <sz val="11"/>
      <color theme="1"/>
      <name val="Calibri"/>
      <family val="2"/>
    </font>
    <font>
      <sz val="11"/>
      <color theme="1"/>
      <name val="Calibri (Textkörper)"/>
    </font>
    <font>
      <sz val="11"/>
      <color rgb="FFFF0000"/>
      <name val="Calibri (Textkörper)"/>
    </font>
    <font>
      <sz val="11"/>
      <name val="Calibri"/>
      <family val="2"/>
      <scheme val="minor"/>
    </font>
    <font>
      <sz val="11"/>
      <name val="Calibri"/>
      <family val="2"/>
    </font>
  </fonts>
  <fills count="2">
    <fill>
      <patternFill patternType="none"/>
    </fill>
    <fill>
      <patternFill patternType="gray125"/>
    </fill>
  </fills>
  <borders count="1">
    <border>
      <left/>
      <right/>
      <top/>
      <bottom/>
      <diagonal/>
    </border>
  </borders>
  <cellStyleXfs count="3">
    <xf numFmtId="0" fontId="0" fillId="0" borderId="0"/>
    <xf numFmtId="0" fontId="4" fillId="0" borderId="0"/>
    <xf numFmtId="43" fontId="2" fillId="0" borderId="0" applyFont="0" applyFill="0" applyBorder="0" applyAlignment="0" applyProtection="0"/>
  </cellStyleXfs>
  <cellXfs count="34">
    <xf numFmtId="0" fontId="0" fillId="0" borderId="0" xfId="0"/>
    <xf numFmtId="2" fontId="0" fillId="0" borderId="0" xfId="0" applyNumberFormat="1"/>
    <xf numFmtId="0" fontId="3" fillId="0" borderId="0" xfId="0" applyFont="1"/>
    <xf numFmtId="2" fontId="3" fillId="0" borderId="0" xfId="0" applyNumberFormat="1" applyFont="1"/>
    <xf numFmtId="0" fontId="1" fillId="0" borderId="0" xfId="0" applyFont="1"/>
    <xf numFmtId="2" fontId="6" fillId="0" borderId="0" xfId="0" applyNumberFormat="1" applyFont="1" applyAlignment="1">
      <alignment horizontal="right" vertical="center"/>
    </xf>
    <xf numFmtId="0" fontId="5" fillId="0" borderId="0" xfId="0" applyFont="1"/>
    <xf numFmtId="11" fontId="0" fillId="0" borderId="0" xfId="0" applyNumberFormat="1"/>
    <xf numFmtId="0" fontId="6" fillId="0" borderId="0" xfId="0" applyFont="1" applyAlignment="1">
      <alignment vertical="center"/>
    </xf>
    <xf numFmtId="0" fontId="9" fillId="0" borderId="0" xfId="0" applyFont="1" applyAlignment="1">
      <alignment vertical="center"/>
    </xf>
    <xf numFmtId="2" fontId="9" fillId="0" borderId="0" xfId="0" applyNumberFormat="1" applyFont="1" applyAlignment="1">
      <alignment horizontal="right" vertical="center"/>
    </xf>
    <xf numFmtId="0" fontId="8" fillId="0" borderId="0" xfId="0" applyFont="1" applyAlignment="1">
      <alignment vertical="center"/>
    </xf>
    <xf numFmtId="2" fontId="8" fillId="0" borderId="0" xfId="0" applyNumberFormat="1" applyFont="1" applyAlignment="1">
      <alignment vertical="center"/>
    </xf>
    <xf numFmtId="0" fontId="9" fillId="0" borderId="0" xfId="0" applyFont="1" applyAlignment="1">
      <alignment horizontal="right" vertical="center"/>
    </xf>
    <xf numFmtId="2" fontId="9" fillId="0" borderId="0" xfId="0" applyNumberFormat="1" applyFont="1" applyAlignment="1">
      <alignment vertical="center"/>
    </xf>
    <xf numFmtId="0" fontId="12" fillId="0" borderId="0" xfId="0" applyFont="1" applyAlignment="1">
      <alignment vertical="center"/>
    </xf>
    <xf numFmtId="0" fontId="12" fillId="0" borderId="0" xfId="0" applyFont="1"/>
    <xf numFmtId="0" fontId="11" fillId="0" borderId="0" xfId="0" applyFont="1" applyAlignment="1">
      <alignment vertical="center"/>
    </xf>
    <xf numFmtId="0" fontId="7" fillId="0" borderId="0" xfId="0" applyFont="1" applyAlignment="1">
      <alignment vertical="center"/>
    </xf>
    <xf numFmtId="0" fontId="6" fillId="0" borderId="0" xfId="0" applyFont="1"/>
    <xf numFmtId="0" fontId="10" fillId="0" borderId="0" xfId="0" applyFont="1" applyAlignment="1">
      <alignment vertical="center"/>
    </xf>
    <xf numFmtId="0" fontId="6" fillId="0" borderId="0" xfId="0" applyFont="1" applyAlignment="1">
      <alignment horizontal="right" vertical="center"/>
    </xf>
    <xf numFmtId="0" fontId="0" fillId="0" borderId="0" xfId="0" applyAlignment="1">
      <alignment vertical="center"/>
    </xf>
    <xf numFmtId="0" fontId="3" fillId="0" borderId="0" xfId="0" applyFont="1" applyAlignment="1">
      <alignment vertical="center"/>
    </xf>
    <xf numFmtId="0" fontId="0" fillId="0" borderId="0" xfId="0" applyAlignment="1">
      <alignment horizontal="right" vertical="center"/>
    </xf>
    <xf numFmtId="0" fontId="13" fillId="0" borderId="0" xfId="0" applyFont="1"/>
    <xf numFmtId="2" fontId="6" fillId="0" borderId="0" xfId="0" applyNumberFormat="1" applyFont="1" applyAlignment="1">
      <alignment vertical="center"/>
    </xf>
    <xf numFmtId="11" fontId="5" fillId="0" borderId="0" xfId="0" applyNumberFormat="1" applyFont="1" applyAlignment="1">
      <alignment horizontal="right" vertical="center"/>
    </xf>
    <xf numFmtId="0" fontId="14" fillId="0" borderId="0" xfId="0" applyFont="1"/>
    <xf numFmtId="11" fontId="14" fillId="0" borderId="0" xfId="0" applyNumberFormat="1" applyFont="1"/>
    <xf numFmtId="0" fontId="14" fillId="0" borderId="0" xfId="0" applyFont="1" applyAlignment="1">
      <alignment vertical="center"/>
    </xf>
    <xf numFmtId="11" fontId="14" fillId="0" borderId="0" xfId="0" applyNumberFormat="1" applyFont="1" applyAlignment="1">
      <alignment horizontal="right" vertical="center"/>
    </xf>
    <xf numFmtId="0" fontId="15" fillId="0" borderId="0" xfId="0" applyFont="1" applyAlignment="1">
      <alignment vertical="center"/>
    </xf>
    <xf numFmtId="2" fontId="0" fillId="0" borderId="0" xfId="0" applyNumberFormat="1" applyAlignment="1">
      <alignment horizontal="right" vertical="center"/>
    </xf>
  </cellXfs>
  <cellStyles count="3">
    <cellStyle name="Comma 2" xfId="2" xr:uid="{00000000-0005-0000-0000-000000000000}"/>
    <cellStyle name="Normal" xfId="0" builtinId="0"/>
    <cellStyle name="Normal 2"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67"/>
  <sheetViews>
    <sheetView tabSelected="1" topLeftCell="B424" zoomScale="108" zoomScaleNormal="94" workbookViewId="0">
      <selection activeCell="I443" sqref="I443"/>
    </sheetView>
  </sheetViews>
  <sheetFormatPr baseColWidth="10" defaultColWidth="8.83203125" defaultRowHeight="15" x14ac:dyDescent="0.2"/>
  <cols>
    <col min="1" max="1" width="71.6640625" customWidth="1"/>
    <col min="2" max="2" width="51.83203125" customWidth="1"/>
    <col min="3" max="3" width="8.1640625" bestFit="1" customWidth="1"/>
    <col min="4" max="4" width="11.1640625" style="1" bestFit="1" customWidth="1"/>
    <col min="5" max="5" width="12.83203125" bestFit="1" customWidth="1"/>
    <col min="6" max="6" width="15.6640625" customWidth="1"/>
    <col min="7" max="7" width="15.83203125" customWidth="1"/>
    <col min="8" max="8" width="18.83203125" customWidth="1"/>
    <col min="9" max="9" width="44.5" bestFit="1" customWidth="1"/>
    <col min="12" max="13" width="11.83203125" bestFit="1" customWidth="1"/>
  </cols>
  <sheetData>
    <row r="1" spans="1:9" x14ac:dyDescent="0.2">
      <c r="A1" t="s">
        <v>13</v>
      </c>
      <c r="B1" t="s">
        <v>218</v>
      </c>
    </row>
    <row r="5" spans="1:9" x14ac:dyDescent="0.2">
      <c r="A5" s="2" t="s">
        <v>0</v>
      </c>
      <c r="B5" s="2" t="s">
        <v>219</v>
      </c>
    </row>
    <row r="6" spans="1:9" x14ac:dyDescent="0.2">
      <c r="A6" t="s">
        <v>238</v>
      </c>
      <c r="B6"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7" spans="1:9" x14ac:dyDescent="0.2">
      <c r="A7" t="s">
        <v>2</v>
      </c>
      <c r="B7" t="s">
        <v>17</v>
      </c>
    </row>
    <row r="8" spans="1:9" x14ac:dyDescent="0.2">
      <c r="A8" t="s">
        <v>14</v>
      </c>
      <c r="B8" t="s">
        <v>49</v>
      </c>
    </row>
    <row r="9" spans="1:9" x14ac:dyDescent="0.2">
      <c r="A9" t="s">
        <v>1</v>
      </c>
      <c r="B9" t="s">
        <v>77</v>
      </c>
    </row>
    <row r="10" spans="1:9" x14ac:dyDescent="0.2">
      <c r="A10" t="s">
        <v>8</v>
      </c>
      <c r="B10">
        <v>1</v>
      </c>
    </row>
    <row r="11" spans="1:9" x14ac:dyDescent="0.2">
      <c r="A11" t="s">
        <v>4</v>
      </c>
      <c r="B11" t="s">
        <v>19</v>
      </c>
    </row>
    <row r="12" spans="1:9" x14ac:dyDescent="0.2">
      <c r="A12" t="s">
        <v>239</v>
      </c>
      <c r="B12" t="s">
        <v>240</v>
      </c>
    </row>
    <row r="13" spans="1:9" x14ac:dyDescent="0.2">
      <c r="A13" s="2" t="s">
        <v>6</v>
      </c>
    </row>
    <row r="14" spans="1:9" x14ac:dyDescent="0.2">
      <c r="A14" s="2" t="s">
        <v>7</v>
      </c>
      <c r="B14" s="2" t="s">
        <v>2</v>
      </c>
      <c r="C14" s="2" t="s">
        <v>1</v>
      </c>
      <c r="D14" s="3" t="s">
        <v>8</v>
      </c>
      <c r="E14" s="2" t="s">
        <v>4</v>
      </c>
      <c r="F14" s="2" t="s">
        <v>13</v>
      </c>
      <c r="G14" s="2" t="s">
        <v>3</v>
      </c>
      <c r="H14" s="2" t="s">
        <v>9</v>
      </c>
      <c r="I14" s="2" t="s">
        <v>238</v>
      </c>
    </row>
    <row r="15" spans="1:9" x14ac:dyDescent="0.2">
      <c r="A15" t="str">
        <f>B5</f>
        <v>coating, drying, optical lithography</v>
      </c>
      <c r="B15" t="str">
        <f>B7</f>
        <v>GaAs wafer with resist patterned</v>
      </c>
      <c r="C15" t="s">
        <v>77</v>
      </c>
      <c r="D15" s="1">
        <v>1</v>
      </c>
      <c r="E15" t="str">
        <f>B11</f>
        <v>square meter</v>
      </c>
      <c r="F15" t="str">
        <f>B1</f>
        <v>PV_GaAs</v>
      </c>
      <c r="G15" t="s">
        <v>10</v>
      </c>
      <c r="I15" t="s">
        <v>216</v>
      </c>
    </row>
    <row r="16" spans="1:9" ht="16" x14ac:dyDescent="0.2">
      <c r="A16" s="4" t="inlineStr">
        <is>
          <t>GaAs substrate manufacture, 100-use attribution reference</t>
        </is>
      </c>
      <c r="B16" t="inlineStr">
        <is>
          <t>GaAs substrate manufacture, 100-use attribution reference</t>
        </is>
      </c>
      <c r="C16" t="inlineStr">
        <is>
          <t>GLO</t>
        </is>
      </c>
      <c r="D16" s="1">
        <v>1</v>
      </c>
      <c r="E16" t="s">
        <v>19</v>
      </c>
      <c r="F16" t="s">
        <v>218</v>
      </c>
      <c r="G16" t="s">
        <v>16</v>
      </c>
    </row>
    <row r="17" spans="1:9" x14ac:dyDescent="0.2">
      <c r="A17" t="s">
        <v>84</v>
      </c>
      <c r="B17" t="s">
        <v>209</v>
      </c>
      <c r="C17" t="s">
        <v>73</v>
      </c>
      <c r="D17" s="5">
        <v>0.06</v>
      </c>
      <c r="E17" t="s">
        <v>5</v>
      </c>
      <c r="F17" t="s">
        <v>21</v>
      </c>
      <c r="G17" t="s">
        <v>16</v>
      </c>
      <c r="I17" t="s">
        <v>86</v>
      </c>
    </row>
    <row r="18" spans="1:9" x14ac:dyDescent="0.2">
      <c r="A18" t="s">
        <v>74</v>
      </c>
      <c r="B18" t="s">
        <v>75</v>
      </c>
      <c r="C18" t="s">
        <v>73</v>
      </c>
      <c r="D18" s="5">
        <v>0.06</v>
      </c>
      <c r="E18" t="s">
        <v>5</v>
      </c>
      <c r="F18" t="s">
        <v>21</v>
      </c>
      <c r="G18" t="s">
        <v>16</v>
      </c>
    </row>
    <row r="19" spans="1:9" x14ac:dyDescent="0.2">
      <c r="A19" t="s">
        <v>104</v>
      </c>
      <c r="B19" t="s">
        <v>95</v>
      </c>
      <c r="C19" t="s">
        <v>77</v>
      </c>
      <c r="D19" s="5">
        <v>5.5999999999999995E-4</v>
      </c>
      <c r="E19" t="s">
        <v>5</v>
      </c>
      <c r="F19" t="s">
        <v>21</v>
      </c>
      <c r="G19" t="s">
        <v>16</v>
      </c>
      <c r="I19" t="s">
        <v>94</v>
      </c>
    </row>
    <row r="20" spans="1:9" x14ac:dyDescent="0.2">
      <c r="A20" t="s">
        <v>78</v>
      </c>
      <c r="B20" t="s">
        <v>76</v>
      </c>
      <c r="C20" t="s">
        <v>77</v>
      </c>
      <c r="D20" s="5">
        <v>0.13</v>
      </c>
      <c r="E20" t="s">
        <v>5</v>
      </c>
      <c r="F20" t="s">
        <v>21</v>
      </c>
      <c r="G20" t="s">
        <v>16</v>
      </c>
    </row>
    <row r="21" spans="1:9" x14ac:dyDescent="0.2">
      <c r="A21" t="s">
        <v>80</v>
      </c>
      <c r="B21" t="s">
        <v>79</v>
      </c>
      <c r="C21" t="s">
        <v>81</v>
      </c>
      <c r="D21" s="1">
        <v>16</v>
      </c>
      <c r="E21" t="s">
        <v>5</v>
      </c>
      <c r="F21" t="s">
        <v>21</v>
      </c>
      <c r="G21" t="s">
        <v>16</v>
      </c>
      <c r="I21" t="s">
        <v>87</v>
      </c>
    </row>
    <row r="22" spans="1:9" x14ac:dyDescent="0.2">
      <c r="A22" t="s">
        <v>83</v>
      </c>
      <c r="B22" t="s">
        <v>82</v>
      </c>
      <c r="C22" t="s">
        <v>73</v>
      </c>
      <c r="D22" s="5">
        <v>13</v>
      </c>
      <c r="E22" t="s">
        <v>15</v>
      </c>
      <c r="F22" t="s">
        <v>21</v>
      </c>
      <c r="G22" t="s">
        <v>16</v>
      </c>
    </row>
    <row r="23" spans="1:9" x14ac:dyDescent="0.2">
      <c r="A23" t="s">
        <v>88</v>
      </c>
      <c r="C23" s="6"/>
      <c r="D23" s="1">
        <v>0.23</v>
      </c>
      <c r="E23" t="s">
        <v>5</v>
      </c>
      <c r="F23" t="s">
        <v>102</v>
      </c>
      <c r="G23" t="s">
        <v>11</v>
      </c>
      <c r="H23" t="s">
        <v>85</v>
      </c>
    </row>
    <row r="24" spans="1:9" x14ac:dyDescent="0.2">
      <c r="A24" t="s">
        <v>89</v>
      </c>
      <c r="B24" t="s">
        <v>90</v>
      </c>
      <c r="C24" t="s">
        <v>81</v>
      </c>
      <c r="D24" s="1">
        <v>-0.25</v>
      </c>
      <c r="E24" t="s">
        <v>5</v>
      </c>
      <c r="F24" t="s">
        <v>21</v>
      </c>
      <c r="G24" t="s">
        <v>16</v>
      </c>
      <c r="I24" t="s">
        <v>91</v>
      </c>
    </row>
    <row r="26" spans="1:9" x14ac:dyDescent="0.2">
      <c r="A26" s="2" t="s">
        <v>0</v>
      </c>
      <c r="B26" s="2" t="s">
        <v>22</v>
      </c>
    </row>
    <row r="27" spans="1:9" x14ac:dyDescent="0.2">
      <c r="A27" t="s">
        <v>238</v>
      </c>
      <c r="B27" t="s">
        <v>241</v>
      </c>
    </row>
    <row r="28" spans="1:9" x14ac:dyDescent="0.2">
      <c r="A28" t="s">
        <v>2</v>
      </c>
      <c r="B28" t="s">
        <v>23</v>
      </c>
    </row>
    <row r="29" spans="1:9" x14ac:dyDescent="0.2">
      <c r="A29" t="s">
        <v>14</v>
      </c>
      <c r="B29" t="s">
        <v>50</v>
      </c>
    </row>
    <row r="30" spans="1:9" x14ac:dyDescent="0.2">
      <c r="A30" t="s">
        <v>1</v>
      </c>
      <c r="B30" t="s">
        <v>77</v>
      </c>
    </row>
    <row r="31" spans="1:9" x14ac:dyDescent="0.2">
      <c r="A31" t="s">
        <v>8</v>
      </c>
      <c r="B31">
        <v>1</v>
      </c>
    </row>
    <row r="32" spans="1:9" x14ac:dyDescent="0.2">
      <c r="A32" t="s">
        <v>4</v>
      </c>
      <c r="B32" t="s">
        <v>19</v>
      </c>
    </row>
    <row r="33" spans="1:9" x14ac:dyDescent="0.2">
      <c r="A33" t="s">
        <v>239</v>
      </c>
      <c r="B33" t="s">
        <v>240</v>
      </c>
    </row>
    <row r="34" spans="1:9" x14ac:dyDescent="0.2">
      <c r="A34" s="2" t="s">
        <v>6</v>
      </c>
    </row>
    <row r="35" spans="1:9" x14ac:dyDescent="0.2">
      <c r="A35" s="2" t="s">
        <v>7</v>
      </c>
      <c r="B35" s="2" t="s">
        <v>2</v>
      </c>
      <c r="C35" s="2" t="s">
        <v>1</v>
      </c>
      <c r="D35" s="3" t="s">
        <v>8</v>
      </c>
      <c r="E35" s="2" t="s">
        <v>4</v>
      </c>
      <c r="F35" s="2" t="s">
        <v>13</v>
      </c>
      <c r="G35" s="2" t="s">
        <v>3</v>
      </c>
      <c r="H35" s="2" t="s">
        <v>9</v>
      </c>
      <c r="I35" s="2" t="s">
        <v>238</v>
      </c>
    </row>
    <row r="36" spans="1:9" x14ac:dyDescent="0.2">
      <c r="A36" t="str">
        <f>B26</f>
        <v>electroplating</v>
      </c>
      <c r="B36" t="str">
        <f>B28</f>
        <v>GaAs wafer with resist and gold particles</v>
      </c>
      <c r="C36" t="s">
        <v>77</v>
      </c>
      <c r="D36" s="1">
        <v>1</v>
      </c>
      <c r="E36" t="s">
        <v>19</v>
      </c>
      <c r="F36" t="s">
        <v>218</v>
      </c>
      <c r="G36" t="s">
        <v>10</v>
      </c>
    </row>
    <row r="37" spans="1:9" x14ac:dyDescent="0.2">
      <c r="A37" t="s">
        <v>219</v>
      </c>
      <c r="B37" t="s">
        <v>17</v>
      </c>
      <c r="C37" t="s">
        <v>77</v>
      </c>
      <c r="D37" s="1">
        <v>1</v>
      </c>
      <c r="E37" t="s">
        <v>19</v>
      </c>
      <c r="F37" t="s">
        <v>218</v>
      </c>
      <c r="G37" t="s">
        <v>16</v>
      </c>
    </row>
    <row r="38" spans="1:9" x14ac:dyDescent="0.2">
      <c r="A38" t="s">
        <v>97</v>
      </c>
      <c r="B38" t="s">
        <v>25</v>
      </c>
      <c r="C38" t="s">
        <v>96</v>
      </c>
      <c r="D38" s="1">
        <v>1.6899999999999999E-4</v>
      </c>
      <c r="E38" t="s">
        <v>5</v>
      </c>
      <c r="F38" t="s">
        <v>21</v>
      </c>
      <c r="G38" t="s">
        <v>16</v>
      </c>
    </row>
    <row r="39" spans="1:9" x14ac:dyDescent="0.2">
      <c r="A39" t="s">
        <v>98</v>
      </c>
      <c r="B39" t="s">
        <v>105</v>
      </c>
      <c r="C39" t="s">
        <v>73</v>
      </c>
      <c r="D39" s="1">
        <v>2.1999999999999999E-2</v>
      </c>
      <c r="E39" t="s">
        <v>5</v>
      </c>
      <c r="F39" t="s">
        <v>21</v>
      </c>
      <c r="G39" t="s">
        <v>16</v>
      </c>
    </row>
    <row r="40" spans="1:9" x14ac:dyDescent="0.2">
      <c r="A40" t="s">
        <v>80</v>
      </c>
      <c r="B40" t="s">
        <v>79</v>
      </c>
      <c r="C40" t="s">
        <v>81</v>
      </c>
      <c r="D40" s="1">
        <v>16</v>
      </c>
      <c r="E40" t="s">
        <v>5</v>
      </c>
      <c r="F40" t="s">
        <v>21</v>
      </c>
      <c r="G40" t="s">
        <v>16</v>
      </c>
      <c r="I40" t="s">
        <v>87</v>
      </c>
    </row>
    <row r="41" spans="1:9" x14ac:dyDescent="0.2">
      <c r="A41" t="s">
        <v>83</v>
      </c>
      <c r="B41" t="s">
        <v>82</v>
      </c>
      <c r="C41" t="s">
        <v>73</v>
      </c>
      <c r="D41" s="1">
        <v>0.7</v>
      </c>
      <c r="E41" t="s">
        <v>15</v>
      </c>
      <c r="F41" t="s">
        <v>21</v>
      </c>
      <c r="G41" t="s">
        <v>16</v>
      </c>
    </row>
    <row r="42" spans="1:9" x14ac:dyDescent="0.2">
      <c r="A42" t="s">
        <v>99</v>
      </c>
      <c r="C42" s="6"/>
      <c r="D42" s="1">
        <v>5.5999999999999999E-5</v>
      </c>
      <c r="E42" t="s">
        <v>5</v>
      </c>
      <c r="F42" t="s">
        <v>102</v>
      </c>
      <c r="G42" t="s">
        <v>11</v>
      </c>
      <c r="H42" t="s">
        <v>92</v>
      </c>
    </row>
    <row r="43" spans="1:9" x14ac:dyDescent="0.2">
      <c r="A43" t="s">
        <v>99</v>
      </c>
      <c r="C43" s="6"/>
      <c r="D43" s="1">
        <v>2.1999999999999999E-5</v>
      </c>
      <c r="E43" t="s">
        <v>5</v>
      </c>
      <c r="F43" t="s">
        <v>102</v>
      </c>
      <c r="G43" t="s">
        <v>11</v>
      </c>
      <c r="H43" t="s">
        <v>93</v>
      </c>
    </row>
    <row r="44" spans="1:9" x14ac:dyDescent="0.2">
      <c r="A44" t="s">
        <v>202</v>
      </c>
      <c r="D44" s="1">
        <v>1.6E-2</v>
      </c>
      <c r="E44" t="s">
        <v>12</v>
      </c>
      <c r="F44" t="s">
        <v>102</v>
      </c>
      <c r="G44" t="s">
        <v>11</v>
      </c>
      <c r="H44" t="s">
        <v>93</v>
      </c>
      <c r="I44" t="s">
        <v>203</v>
      </c>
    </row>
    <row r="45" spans="1:9" x14ac:dyDescent="0.2">
      <c r="A45" t="s">
        <v>89</v>
      </c>
      <c r="B45" t="s">
        <v>90</v>
      </c>
      <c r="C45" t="s">
        <v>81</v>
      </c>
      <c r="D45" s="1">
        <v>-1.6700000000000001E-6</v>
      </c>
      <c r="E45" t="s">
        <v>5</v>
      </c>
      <c r="F45" t="s">
        <v>21</v>
      </c>
      <c r="G45" t="s">
        <v>16</v>
      </c>
      <c r="I45" t="s">
        <v>91</v>
      </c>
    </row>
    <row r="47" spans="1:9" x14ac:dyDescent="0.2">
      <c r="A47" s="2" t="s">
        <v>0</v>
      </c>
      <c r="B47" s="2" t="s">
        <v>242</v>
      </c>
    </row>
    <row r="48" spans="1:9" x14ac:dyDescent="0.2">
      <c r="A48" t="s">
        <v>238</v>
      </c>
      <c r="B48" t="s">
        <v>241</v>
      </c>
    </row>
    <row r="49" spans="1:9" x14ac:dyDescent="0.2">
      <c r="A49" t="s">
        <v>2</v>
      </c>
      <c r="B49" t="s">
        <v>27</v>
      </c>
    </row>
    <row r="50" spans="1:9" x14ac:dyDescent="0.2">
      <c r="A50" t="s">
        <v>14</v>
      </c>
      <c r="B50" t="s">
        <v>51</v>
      </c>
    </row>
    <row r="51" spans="1:9" x14ac:dyDescent="0.2">
      <c r="A51" t="s">
        <v>1</v>
      </c>
      <c r="B51" t="s">
        <v>77</v>
      </c>
    </row>
    <row r="52" spans="1:9" x14ac:dyDescent="0.2">
      <c r="A52" t="s">
        <v>8</v>
      </c>
      <c r="B52">
        <v>1</v>
      </c>
    </row>
    <row r="53" spans="1:9" x14ac:dyDescent="0.2">
      <c r="A53" t="s">
        <v>4</v>
      </c>
      <c r="B53" t="s">
        <v>19</v>
      </c>
    </row>
    <row r="54" spans="1:9" x14ac:dyDescent="0.2">
      <c r="A54" t="s">
        <v>239</v>
      </c>
      <c r="B54" t="s">
        <v>240</v>
      </c>
    </row>
    <row r="55" spans="1:9" x14ac:dyDescent="0.2">
      <c r="A55" s="2" t="s">
        <v>6</v>
      </c>
    </row>
    <row r="56" spans="1:9" x14ac:dyDescent="0.2">
      <c r="A56" s="2" t="s">
        <v>7</v>
      </c>
      <c r="B56" s="2" t="s">
        <v>2</v>
      </c>
      <c r="C56" s="2" t="s">
        <v>1</v>
      </c>
      <c r="D56" s="3" t="s">
        <v>8</v>
      </c>
      <c r="E56" s="2" t="s">
        <v>4</v>
      </c>
      <c r="F56" s="2" t="s">
        <v>13</v>
      </c>
      <c r="G56" s="2" t="s">
        <v>3</v>
      </c>
      <c r="H56" s="2" t="s">
        <v>9</v>
      </c>
      <c r="I56" s="2" t="s">
        <v>238</v>
      </c>
    </row>
    <row r="57" spans="1:9" x14ac:dyDescent="0.2">
      <c r="A57" t="str">
        <f>B47</f>
        <v>wet etching</v>
      </c>
      <c r="B57" t="str">
        <f>B49</f>
        <v>GaAs wafer with gold particles</v>
      </c>
      <c r="C57" t="s">
        <v>77</v>
      </c>
      <c r="D57" s="1">
        <v>1</v>
      </c>
      <c r="E57" t="s">
        <v>19</v>
      </c>
      <c r="F57" t="s">
        <v>218</v>
      </c>
      <c r="G57" t="s">
        <v>10</v>
      </c>
    </row>
    <row r="58" spans="1:9" x14ac:dyDescent="0.2">
      <c r="A58" t="s">
        <v>22</v>
      </c>
      <c r="B58" t="s">
        <v>23</v>
      </c>
      <c r="C58" t="s">
        <v>77</v>
      </c>
      <c r="D58" s="1">
        <v>1</v>
      </c>
      <c r="E58" t="s">
        <v>19</v>
      </c>
      <c r="F58" t="s">
        <v>218</v>
      </c>
      <c r="G58" t="s">
        <v>16</v>
      </c>
    </row>
    <row r="59" spans="1:9" x14ac:dyDescent="0.2">
      <c r="A59" t="s">
        <v>101</v>
      </c>
      <c r="B59" t="s">
        <v>47</v>
      </c>
      <c r="C59" t="s">
        <v>73</v>
      </c>
      <c r="D59" s="7">
        <v>0.36</v>
      </c>
      <c r="E59" t="s">
        <v>5</v>
      </c>
      <c r="F59" t="s">
        <v>21</v>
      </c>
      <c r="G59" t="s">
        <v>16</v>
      </c>
      <c r="I59" t="s">
        <v>100</v>
      </c>
    </row>
    <row r="60" spans="1:9" x14ac:dyDescent="0.2">
      <c r="A60" t="s">
        <v>80</v>
      </c>
      <c r="B60" t="s">
        <v>79</v>
      </c>
      <c r="C60" t="s">
        <v>81</v>
      </c>
      <c r="D60" s="7">
        <v>8</v>
      </c>
      <c r="E60" t="s">
        <v>5</v>
      </c>
      <c r="F60" t="s">
        <v>21</v>
      </c>
      <c r="G60" t="s">
        <v>16</v>
      </c>
      <c r="I60" t="s">
        <v>87</v>
      </c>
    </row>
    <row r="61" spans="1:9" x14ac:dyDescent="0.2">
      <c r="A61" t="s">
        <v>83</v>
      </c>
      <c r="B61" t="s">
        <v>82</v>
      </c>
      <c r="C61" t="s">
        <v>73</v>
      </c>
      <c r="D61" s="7">
        <v>0.64700000000000002</v>
      </c>
      <c r="E61" t="s">
        <v>15</v>
      </c>
      <c r="F61" t="s">
        <v>21</v>
      </c>
      <c r="G61" t="s">
        <v>16</v>
      </c>
    </row>
    <row r="62" spans="1:9" x14ac:dyDescent="0.2">
      <c r="A62" t="s">
        <v>89</v>
      </c>
      <c r="B62" t="s">
        <v>90</v>
      </c>
      <c r="C62" t="s">
        <v>81</v>
      </c>
      <c r="D62" s="7">
        <v>-0.36</v>
      </c>
      <c r="E62" t="s">
        <v>5</v>
      </c>
      <c r="F62" t="s">
        <v>21</v>
      </c>
      <c r="G62" t="s">
        <v>16</v>
      </c>
      <c r="I62" t="s">
        <v>91</v>
      </c>
    </row>
    <row r="64" spans="1:9" x14ac:dyDescent="0.2">
      <c r="A64" s="2" t="s">
        <v>0</v>
      </c>
      <c r="B64" s="2" t="s">
        <v>278</v>
      </c>
    </row>
    <row r="65" spans="1:9" x14ac:dyDescent="0.2">
      <c r="A65" t="s">
        <v>238</v>
      </c>
      <c r="B65"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
PREVIOUS NOTES (retained as history; the correction above takes precedence):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66" spans="1:9" x14ac:dyDescent="0.2">
      <c r="A66" t="s">
        <v>2</v>
      </c>
      <c r="B66" t="s">
        <v>32</v>
      </c>
    </row>
    <row r="67" spans="1:9" x14ac:dyDescent="0.2">
      <c r="A67" t="s">
        <v>14</v>
      </c>
      <c r="B67" t="s">
        <v>52</v>
      </c>
    </row>
    <row r="68" spans="1:9" x14ac:dyDescent="0.2">
      <c r="A68" t="s">
        <v>1</v>
      </c>
      <c r="B68" t="s">
        <v>77</v>
      </c>
    </row>
    <row r="69" spans="1:9" x14ac:dyDescent="0.2">
      <c r="A69" t="s">
        <v>8</v>
      </c>
      <c r="B69">
        <v>1</v>
      </c>
    </row>
    <row r="70" spans="1:9" x14ac:dyDescent="0.2">
      <c r="A70" t="s">
        <v>4</v>
      </c>
      <c r="B70" t="s">
        <v>19</v>
      </c>
    </row>
    <row r="71" spans="1:9" x14ac:dyDescent="0.2">
      <c r="A71" t="s">
        <v>239</v>
      </c>
      <c r="B71" t="s">
        <v>240</v>
      </c>
    </row>
    <row r="72" spans="1:9" x14ac:dyDescent="0.2">
      <c r="A72" s="2" t="s">
        <v>6</v>
      </c>
    </row>
    <row r="73" spans="1:9" x14ac:dyDescent="0.2">
      <c r="A73" s="2" t="s">
        <v>7</v>
      </c>
      <c r="B73" s="2" t="s">
        <v>2</v>
      </c>
      <c r="C73" s="2" t="s">
        <v>1</v>
      </c>
      <c r="D73" s="3" t="s">
        <v>8</v>
      </c>
      <c r="E73" s="2" t="s">
        <v>4</v>
      </c>
      <c r="F73" s="2" t="s">
        <v>13</v>
      </c>
      <c r="G73" s="2" t="s">
        <v>3</v>
      </c>
      <c r="H73" s="2" t="s">
        <v>9</v>
      </c>
      <c r="I73" s="2" t="s">
        <v>238</v>
      </c>
    </row>
    <row r="74" spans="1:9" x14ac:dyDescent="0.2">
      <c r="A74" t="str">
        <f>B64</f>
        <v>metal organic vapor phase epitaxy (MOVPE), for GaAs photovoltaic panel</v>
      </c>
      <c r="B74" t="str">
        <f>B66</f>
        <v>GaAs wafer with nanowires</v>
      </c>
      <c r="C74" t="s">
        <v>77</v>
      </c>
      <c r="D74" s="1">
        <v>1</v>
      </c>
      <c r="E74" t="s">
        <v>19</v>
      </c>
      <c r="F74" t="s">
        <v>218</v>
      </c>
      <c r="G74" t="s">
        <v>10</v>
      </c>
      <c r="I74"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t>
        </is>
      </c>
    </row>
    <row r="75" spans="1:9" x14ac:dyDescent="0.2">
      <c r="A75" t="s">
        <v>26</v>
      </c>
      <c r="B75" t="s">
        <v>27</v>
      </c>
      <c r="C75" t="s">
        <v>77</v>
      </c>
      <c r="D75" s="1">
        <v>1</v>
      </c>
      <c r="E75" t="s">
        <v>19</v>
      </c>
      <c r="F75" t="s">
        <v>218</v>
      </c>
      <c r="G75" t="s">
        <v>16</v>
      </c>
    </row>
    <row r="76" spans="1:9" x14ac:dyDescent="0.2">
      <c r="A76" t="s">
        <v>273</v>
      </c>
      <c r="B76" t="s">
        <v>266</v>
      </c>
      <c r="C76" t="s">
        <v>73</v>
      </c>
      <c r="D76" s="7">
        <v>2.1</v>
      </c>
      <c r="E76" t="s">
        <v>5</v>
      </c>
      <c r="F76" t="s">
        <v>21</v>
      </c>
      <c r="G76" t="s">
        <v>16</v>
      </c>
      <c r="I76" t="s">
        <v>265</v>
      </c>
    </row>
    <row r="77" spans="1:9" x14ac:dyDescent="0.2">
      <c r="A77" t="s">
        <v>103</v>
      </c>
      <c r="B77" t="s">
        <v>30</v>
      </c>
      <c r="C77" t="s">
        <v>73</v>
      </c>
      <c r="D77" s="7">
        <v>8.4999999999999999E-6</v>
      </c>
      <c r="E77" t="s">
        <v>5</v>
      </c>
      <c r="F77" t="s">
        <v>21</v>
      </c>
      <c r="G77" t="s">
        <v>16</v>
      </c>
    </row>
    <row r="78" spans="1:9" x14ac:dyDescent="0.2">
      <c r="A78" t="s">
        <v>98</v>
      </c>
      <c r="B78" t="s">
        <v>105</v>
      </c>
      <c r="C78" t="s">
        <v>73</v>
      </c>
      <c r="D78" s="7">
        <v>8.4999999999999999E-6</v>
      </c>
      <c r="E78" t="s">
        <v>5</v>
      </c>
      <c r="F78" t="s">
        <v>21</v>
      </c>
      <c r="G78" t="s">
        <v>16</v>
      </c>
      <c r="I78" t="s">
        <v>106</v>
      </c>
    </row>
    <row r="79" spans="1:9" x14ac:dyDescent="0.2">
      <c r="A79" s="8" t="s">
        <v>262</v>
      </c>
      <c r="B79" s="8" t="s">
        <v>244</v>
      </c>
      <c r="C79" t="s">
        <v>77</v>
      </c>
      <c r="D79" s="7">
        <v>0.0012670054349421078</v>
      </c>
      <c r="E79" t="s">
        <v>5</v>
      </c>
      <c r="F79" t="s">
        <v>218</v>
      </c>
      <c r="G79" t="s">
        <v>16</v>
      </c>
      <c r="I79"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t>
        </is>
      </c>
    </row>
    <row r="80" spans="1:9" x14ac:dyDescent="0.2">
      <c r="A80" t="s">
        <v>107</v>
      </c>
      <c r="B80" t="s">
        <v>31</v>
      </c>
      <c r="C80" t="s">
        <v>77</v>
      </c>
      <c r="D80" s="7">
        <v>0.002866823785569036</v>
      </c>
      <c r="E80" t="s">
        <v>5</v>
      </c>
      <c r="F80" t="s">
        <v>21</v>
      </c>
      <c r="G80" t="s">
        <v>16</v>
      </c>
      <c r="I80"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t>
        </is>
      </c>
    </row>
    <row r="81" spans="1:9" x14ac:dyDescent="0.2">
      <c r="A81" t="inlineStr">
        <is>
          <t>diethylzinc, organozinc synthesis engineering reference</t>
        </is>
      </c>
      <c r="B81" t="inlineStr">
        <is>
          <t>diethylzinc, organozinc synthesis engineering reference</t>
        </is>
      </c>
      <c r="C81" t="inlineStr">
        <is>
          <t>GLO</t>
        </is>
      </c>
      <c r="D81" s="7">
        <v>8.4999999999999999E-6</v>
      </c>
      <c r="E81" t="s">
        <v>5</v>
      </c>
      <c r="F81" t="s">
        <v>21</v>
      </c>
      <c r="G81" t="s">
        <v>16</v>
      </c>
      <c r="I81"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82" spans="1:9" x14ac:dyDescent="0.2">
      <c r="A82" t="s">
        <v>83</v>
      </c>
      <c r="B82" t="s">
        <v>82</v>
      </c>
      <c r="C82" t="s">
        <v>73</v>
      </c>
      <c r="D82" s="7">
        <v>0.68</v>
      </c>
      <c r="E82" t="s">
        <v>15</v>
      </c>
      <c r="F82" t="s">
        <v>21</v>
      </c>
      <c r="G82" t="s">
        <v>16</v>
      </c>
    </row>
    <row r="83" spans="1:9" x14ac:dyDescent="0.2">
      <c r="A83" t="s">
        <v>89</v>
      </c>
      <c r="B83" t="s">
        <v>90</v>
      </c>
      <c r="C83" t="s">
        <v>81</v>
      </c>
      <c r="D83" s="7">
        <v>-3.3E-3</v>
      </c>
      <c r="E83" t="s">
        <v>5</v>
      </c>
      <c r="F83" t="s">
        <v>21</v>
      </c>
      <c r="G83" t="s">
        <v>16</v>
      </c>
      <c r="I83" t="s">
        <v>109</v>
      </c>
    </row>
    <row r="84" spans="1:9" x14ac:dyDescent="0.2">
      <c r="C84" s="28"/>
      <c r="D84" s="7"/>
      <c r="E84" s="28"/>
      <c r="F84" s="28"/>
      <c r="G84" s="28"/>
    </row>
    <row r="85" spans="1:9" x14ac:dyDescent="0.2">
      <c r="C85" s="28"/>
      <c r="D85" s="7"/>
      <c r="E85" s="28"/>
      <c r="F85" s="28"/>
      <c r="G85" s="28"/>
      <c r="I85" s="28"/>
    </row>
    <row r="86" spans="1:9" x14ac:dyDescent="0.2">
      <c r="A86" s="2" t="s">
        <v>0</v>
      </c>
      <c r="B86" s="2" t="s">
        <v>243</v>
      </c>
    </row>
    <row r="87" spans="1:9" x14ac:dyDescent="0.2">
      <c r="A87" t="s">
        <v>238</v>
      </c>
      <c r="B87"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88" spans="1:9" x14ac:dyDescent="0.2">
      <c r="A88" t="s">
        <v>2</v>
      </c>
      <c r="B88" t="s">
        <v>33</v>
      </c>
    </row>
    <row r="89" spans="1:9" x14ac:dyDescent="0.2">
      <c r="A89" t="s">
        <v>14</v>
      </c>
      <c r="B89" t="s">
        <v>53</v>
      </c>
    </row>
    <row r="90" spans="1:9" x14ac:dyDescent="0.2">
      <c r="A90" t="s">
        <v>1</v>
      </c>
      <c r="B90" t="s">
        <v>77</v>
      </c>
    </row>
    <row r="91" spans="1:9" x14ac:dyDescent="0.2">
      <c r="A91" t="s">
        <v>8</v>
      </c>
      <c r="B91">
        <v>1</v>
      </c>
    </row>
    <row r="92" spans="1:9" x14ac:dyDescent="0.2">
      <c r="A92" t="s">
        <v>4</v>
      </c>
      <c r="B92" t="s">
        <v>19</v>
      </c>
    </row>
    <row r="93" spans="1:9" x14ac:dyDescent="0.2">
      <c r="A93" t="s">
        <v>239</v>
      </c>
      <c r="B93" t="s">
        <v>240</v>
      </c>
    </row>
    <row r="94" spans="1:9" x14ac:dyDescent="0.2">
      <c r="A94" s="2" t="s">
        <v>6</v>
      </c>
    </row>
    <row r="95" spans="1:9" x14ac:dyDescent="0.2">
      <c r="A95" s="2" t="s">
        <v>7</v>
      </c>
      <c r="B95" s="2" t="s">
        <v>2</v>
      </c>
      <c r="C95" s="2" t="s">
        <v>1</v>
      </c>
      <c r="D95" s="3" t="s">
        <v>8</v>
      </c>
      <c r="E95" s="2" t="s">
        <v>4</v>
      </c>
      <c r="F95" s="2" t="s">
        <v>13</v>
      </c>
      <c r="G95" s="2" t="s">
        <v>3</v>
      </c>
      <c r="H95" s="2" t="s">
        <v>9</v>
      </c>
      <c r="I95" s="2" t="s">
        <v>238</v>
      </c>
    </row>
    <row r="96" spans="1:9" x14ac:dyDescent="0.2">
      <c r="A96" t="str">
        <f>B86</f>
        <v>epitaxial lift-off (ELO)</v>
      </c>
      <c r="B96" t="str">
        <f>B88</f>
        <v>GaAs wafer - re-polished for reuse</v>
      </c>
      <c r="C96" t="s">
        <v>77</v>
      </c>
      <c r="D96" s="1">
        <v>1</v>
      </c>
      <c r="E96" t="s">
        <v>19</v>
      </c>
      <c r="F96" t="s">
        <v>218</v>
      </c>
      <c r="G96" t="s">
        <v>10</v>
      </c>
      <c r="I96" s="6" t="s">
        <v>281</v>
      </c>
    </row>
    <row r="97" spans="1:9" x14ac:dyDescent="0.2">
      <c r="A97" t="s">
        <v>278</v>
      </c>
      <c r="B97" t="s">
        <v>32</v>
      </c>
      <c r="C97" t="s">
        <v>77</v>
      </c>
      <c r="D97" s="1">
        <v>1</v>
      </c>
      <c r="E97" t="s">
        <v>19</v>
      </c>
      <c r="F97" t="s">
        <v>218</v>
      </c>
      <c r="G97" t="s">
        <v>16</v>
      </c>
      <c r="I97" s="6"/>
    </row>
    <row r="98" spans="1:9" x14ac:dyDescent="0.2">
      <c r="A98" t="s">
        <v>110</v>
      </c>
      <c r="B98" t="s">
        <v>43</v>
      </c>
      <c r="C98" t="s">
        <v>73</v>
      </c>
      <c r="D98" s="7">
        <v>1.02</v>
      </c>
      <c r="E98" t="s">
        <v>5</v>
      </c>
      <c r="F98" t="s">
        <v>21</v>
      </c>
      <c r="G98" t="s">
        <v>16</v>
      </c>
      <c r="I98" t="s">
        <v>111</v>
      </c>
    </row>
    <row r="99" spans="1:9" x14ac:dyDescent="0.2">
      <c r="A99" t="s">
        <v>84</v>
      </c>
      <c r="B99" t="s">
        <v>209</v>
      </c>
      <c r="C99" t="s">
        <v>73</v>
      </c>
      <c r="D99" s="7">
        <v>0.69299999999999995</v>
      </c>
      <c r="E99" t="s">
        <v>5</v>
      </c>
      <c r="F99" t="s">
        <v>21</v>
      </c>
      <c r="G99" t="s">
        <v>16</v>
      </c>
      <c r="I99" t="s">
        <v>86</v>
      </c>
    </row>
    <row r="100" spans="1:9" x14ac:dyDescent="0.2">
      <c r="A100" t="s">
        <v>74</v>
      </c>
      <c r="B100" t="s">
        <v>75</v>
      </c>
      <c r="C100" t="s">
        <v>73</v>
      </c>
      <c r="D100" s="7">
        <v>0.69799999999999995</v>
      </c>
      <c r="E100" t="s">
        <v>5</v>
      </c>
      <c r="F100" t="s">
        <v>21</v>
      </c>
      <c r="G100" t="s">
        <v>16</v>
      </c>
    </row>
    <row r="101" spans="1:9" x14ac:dyDescent="0.2">
      <c r="A101" t="s">
        <v>113</v>
      </c>
      <c r="B101" t="s">
        <v>167</v>
      </c>
      <c r="C101" t="s">
        <v>73</v>
      </c>
      <c r="D101" s="7">
        <v>0.17199999999999999</v>
      </c>
      <c r="E101" t="s">
        <v>5</v>
      </c>
      <c r="F101" t="s">
        <v>21</v>
      </c>
      <c r="G101" t="s">
        <v>16</v>
      </c>
      <c r="I101" t="s">
        <v>112</v>
      </c>
    </row>
    <row r="102" spans="1:9" x14ac:dyDescent="0.2">
      <c r="A102" s="9" t="s">
        <v>258</v>
      </c>
      <c r="B102" t="s">
        <v>35</v>
      </c>
      <c r="C102" t="s">
        <v>77</v>
      </c>
      <c r="D102" s="7">
        <v>11.6</v>
      </c>
      <c r="E102" t="s">
        <v>5</v>
      </c>
      <c r="F102" t="s">
        <v>21</v>
      </c>
      <c r="G102" t="s">
        <v>16</v>
      </c>
    </row>
    <row r="103" spans="1:9" x14ac:dyDescent="0.2">
      <c r="A103" t="s">
        <v>114</v>
      </c>
      <c r="B103" t="s">
        <v>115</v>
      </c>
      <c r="C103" t="s">
        <v>73</v>
      </c>
      <c r="D103" s="7">
        <v>2.7599999999999999E-3</v>
      </c>
      <c r="E103" t="s">
        <v>5</v>
      </c>
      <c r="F103" t="s">
        <v>21</v>
      </c>
      <c r="G103" t="s">
        <v>16</v>
      </c>
      <c r="I103" t="s">
        <v>116</v>
      </c>
    </row>
    <row r="104" spans="1:9" x14ac:dyDescent="0.2">
      <c r="A104" t="s">
        <v>120</v>
      </c>
      <c r="B104" t="s">
        <v>117</v>
      </c>
      <c r="C104" t="s">
        <v>119</v>
      </c>
      <c r="D104" s="7">
        <v>9.8699999999999992</v>
      </c>
      <c r="E104" t="s">
        <v>15</v>
      </c>
      <c r="F104" t="s">
        <v>21</v>
      </c>
      <c r="G104" t="s">
        <v>16</v>
      </c>
      <c r="I104" t="s">
        <v>118</v>
      </c>
    </row>
    <row r="105" spans="1:9" x14ac:dyDescent="0.2">
      <c r="A105" t="s">
        <v>89</v>
      </c>
      <c r="B105" t="s">
        <v>90</v>
      </c>
      <c r="C105" t="s">
        <v>81</v>
      </c>
      <c r="D105" s="7">
        <v>-2.59</v>
      </c>
      <c r="E105" t="s">
        <v>5</v>
      </c>
      <c r="F105" t="s">
        <v>21</v>
      </c>
      <c r="G105" t="s">
        <v>16</v>
      </c>
      <c r="I105" t="s">
        <v>109</v>
      </c>
    </row>
    <row r="107" spans="1:9" x14ac:dyDescent="0.2">
      <c r="A107" s="2" t="s">
        <v>0</v>
      </c>
      <c r="B107" s="2" t="s">
        <v>246</v>
      </c>
    </row>
    <row r="108" spans="1:9" x14ac:dyDescent="0.2">
      <c r="A108" t="s">
        <v>238</v>
      </c>
      <c r="B108"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09" spans="1:9" x14ac:dyDescent="0.2">
      <c r="A109" t="s">
        <v>2</v>
      </c>
      <c r="B109" s="9" t="s">
        <v>36</v>
      </c>
    </row>
    <row r="110" spans="1:9" x14ac:dyDescent="0.2">
      <c r="A110" t="s">
        <v>14</v>
      </c>
      <c r="B110" t="s">
        <v>18</v>
      </c>
    </row>
    <row r="111" spans="1:9" x14ac:dyDescent="0.2">
      <c r="A111" t="s">
        <v>1</v>
      </c>
      <c r="B111" t="s">
        <v>77</v>
      </c>
    </row>
    <row r="112" spans="1:9" x14ac:dyDescent="0.2">
      <c r="A112" t="s">
        <v>8</v>
      </c>
      <c r="B112">
        <v>1</v>
      </c>
    </row>
    <row r="113" spans="1:9" x14ac:dyDescent="0.2">
      <c r="A113" t="s">
        <v>4</v>
      </c>
      <c r="B113" t="s">
        <v>5</v>
      </c>
    </row>
    <row r="114" spans="1:9" x14ac:dyDescent="0.2">
      <c r="A114" t="s">
        <v>239</v>
      </c>
      <c r="B114" t="s">
        <v>240</v>
      </c>
    </row>
    <row r="115" spans="1:9" x14ac:dyDescent="0.2">
      <c r="A115" s="2" t="s">
        <v>6</v>
      </c>
    </row>
    <row r="116" spans="1:9" x14ac:dyDescent="0.2">
      <c r="A116" s="2" t="s">
        <v>7</v>
      </c>
      <c r="B116" s="2" t="s">
        <v>2</v>
      </c>
      <c r="C116" s="2" t="s">
        <v>1</v>
      </c>
      <c r="D116" s="3" t="s">
        <v>8</v>
      </c>
      <c r="E116" s="2" t="s">
        <v>4</v>
      </c>
      <c r="F116" s="2" t="s">
        <v>13</v>
      </c>
      <c r="G116" s="2" t="s">
        <v>3</v>
      </c>
      <c r="H116" s="2" t="s">
        <v>9</v>
      </c>
      <c r="I116" s="2" t="s">
        <v>238</v>
      </c>
    </row>
    <row r="117" spans="1:9" x14ac:dyDescent="0.2">
      <c r="A117" t="str">
        <f>B107</f>
        <v>polycrystalline GaAs boule production</v>
      </c>
      <c r="B117" t="str">
        <f>B109</f>
        <v>polycrystalline GaAs boule</v>
      </c>
      <c r="C117" t="s">
        <v>77</v>
      </c>
      <c r="D117" s="1">
        <v>1</v>
      </c>
      <c r="E117" t="str">
        <f>B113</f>
        <v>kilogram</v>
      </c>
      <c r="F117" t="str">
        <f>B1</f>
        <v>PV_GaAs</v>
      </c>
      <c r="G117" t="s">
        <v>10</v>
      </c>
    </row>
    <row r="118" spans="1:9" x14ac:dyDescent="0.2">
      <c r="A118" t="s">
        <v>247</v>
      </c>
      <c r="B118" s="9" t="s">
        <v>211</v>
      </c>
      <c r="C118" t="s">
        <v>77</v>
      </c>
      <c r="D118" s="10">
        <v>0.23599999999999999</v>
      </c>
      <c r="E118" t="s">
        <v>5</v>
      </c>
      <c r="F118" t="s">
        <v>218</v>
      </c>
      <c r="G118" t="s">
        <v>16</v>
      </c>
      <c r="I118" s="9"/>
    </row>
    <row r="119" spans="1:9" x14ac:dyDescent="0.2">
      <c r="A119" t="s">
        <v>248</v>
      </c>
      <c r="B119" s="9" t="s">
        <v>210</v>
      </c>
      <c r="C119" t="s">
        <v>77</v>
      </c>
      <c r="D119" s="10">
        <v>0.51600000000000001</v>
      </c>
      <c r="E119" t="s">
        <v>5</v>
      </c>
      <c r="F119" t="s">
        <v>218</v>
      </c>
      <c r="G119" t="s">
        <v>16</v>
      </c>
      <c r="I119" s="9"/>
    </row>
    <row r="120" spans="1:9" x14ac:dyDescent="0.2">
      <c r="A120" s="9" t="s">
        <v>123</v>
      </c>
      <c r="B120" s="9" t="s">
        <v>122</v>
      </c>
      <c r="C120" t="s">
        <v>77</v>
      </c>
      <c r="D120" s="10">
        <v>0.01</v>
      </c>
      <c r="E120" t="s">
        <v>5</v>
      </c>
      <c r="F120" t="s">
        <v>21</v>
      </c>
      <c r="G120" t="s">
        <v>16</v>
      </c>
      <c r="I120" t="s">
        <v>121</v>
      </c>
    </row>
    <row r="121" spans="1:9" x14ac:dyDescent="0.2">
      <c r="A121" t="s">
        <v>120</v>
      </c>
      <c r="B121" t="s">
        <v>117</v>
      </c>
      <c r="C121" t="s">
        <v>119</v>
      </c>
      <c r="D121" s="10">
        <v>50</v>
      </c>
      <c r="E121" t="s">
        <v>15</v>
      </c>
      <c r="F121" t="s">
        <v>21</v>
      </c>
      <c r="G121" t="s">
        <v>16</v>
      </c>
      <c r="I121" t="s">
        <v>124</v>
      </c>
    </row>
    <row r="122" spans="1:9" x14ac:dyDescent="0.2">
      <c r="A122" s="9" t="s">
        <v>127</v>
      </c>
      <c r="B122" s="9" t="s">
        <v>126</v>
      </c>
      <c r="C122" t="s">
        <v>96</v>
      </c>
      <c r="D122" s="10">
        <v>-0.01</v>
      </c>
      <c r="E122" t="s">
        <v>5</v>
      </c>
      <c r="F122" t="s">
        <v>21</v>
      </c>
      <c r="G122" t="s">
        <v>16</v>
      </c>
      <c r="I122" t="s">
        <v>125</v>
      </c>
    </row>
    <row r="123" spans="1:9" x14ac:dyDescent="0.2">
      <c r="C123" s="6"/>
    </row>
    <row r="124" spans="1:9" x14ac:dyDescent="0.2">
      <c r="A124" s="2" t="s">
        <v>0</v>
      </c>
      <c r="B124" s="2" t="s">
        <v>247</v>
      </c>
    </row>
    <row r="125" spans="1:9" x14ac:dyDescent="0.2">
      <c r="A125" t="s">
        <v>238</v>
      </c>
      <c r="B125" t="inlineStr">
        <is>
          <t>APPROVED GALLIUM PURIFICATION REJECT ACCOUNTING, issue 116, 2026-10-19. Pallas et al. (2020), DOI 10.1007/s11367-020-01791-z, supporting information S3, S4 and S6. https://media.springernature.com/full/springer-static/esm/art%3A10.1007%2Fs11367-020-01791-z/MediaObjects/11367_2020_1791_MOESM1_ESM.docx
The inherited 70% purification yield buys 1.4285714 kg semiconductor-grade gallium per 1 kg 7N product. Preserve this gross input and electricity exactly. Assign the remaining 0.42857140000000005 kg to a separately documented hazardous solid/reject collection and underground-disposal reference, with zero recovery credit. This closes the stated mass balance without assuming that missing metal is automatically recycled or buying it twice.
Actual rejects may be recycled gallium-rich cuts, process residues or other forms. The source does not resolve the recycling loop, impurity content or treatment technology. Generic hazardous underground disposal is an explicit conservative fate proxy, not demonstrated industrial gallium waste management. Compare 0-100% recovery with a fully specified recovery burden in a later sensitivity; do not change current primary/secondary shares or reduce gross metal demand in this correction. No additional elemental Ga emission or complete product EOL is added.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26" spans="1:9" x14ac:dyDescent="0.2">
      <c r="A126" t="s">
        <v>2</v>
      </c>
      <c r="B126" s="9" t="s">
        <v>54</v>
      </c>
    </row>
    <row r="127" spans="1:9" x14ac:dyDescent="0.2">
      <c r="A127" t="s">
        <v>14</v>
      </c>
      <c r="B127" t="s">
        <v>24</v>
      </c>
    </row>
    <row r="128" spans="1:9" x14ac:dyDescent="0.2">
      <c r="A128" t="s">
        <v>1</v>
      </c>
      <c r="B128" t="s">
        <v>77</v>
      </c>
    </row>
    <row r="129" spans="1:9" x14ac:dyDescent="0.2">
      <c r="A129" t="s">
        <v>8</v>
      </c>
      <c r="B129">
        <v>1</v>
      </c>
    </row>
    <row r="130" spans="1:9" x14ac:dyDescent="0.2">
      <c r="A130" t="s">
        <v>4</v>
      </c>
      <c r="B130" t="s">
        <v>5</v>
      </c>
    </row>
    <row r="131" spans="1:9" x14ac:dyDescent="0.2">
      <c r="A131" t="s">
        <v>239</v>
      </c>
      <c r="B131" t="s">
        <v>240</v>
      </c>
    </row>
    <row r="132" spans="1:9" x14ac:dyDescent="0.2">
      <c r="A132" s="2" t="s">
        <v>6</v>
      </c>
    </row>
    <row r="133" spans="1:9" x14ac:dyDescent="0.2">
      <c r="A133" s="2" t="s">
        <v>7</v>
      </c>
      <c r="B133" s="2" t="s">
        <v>2</v>
      </c>
      <c r="C133" s="2" t="s">
        <v>1</v>
      </c>
      <c r="D133" s="3" t="s">
        <v>8</v>
      </c>
      <c r="E133" s="2" t="s">
        <v>4</v>
      </c>
      <c r="F133" s="2" t="s">
        <v>13</v>
      </c>
      <c r="G133" s="2" t="s">
        <v>3</v>
      </c>
      <c r="H133" s="2" t="s">
        <v>9</v>
      </c>
      <c r="I133" s="2" t="s">
        <v>238</v>
      </c>
    </row>
    <row r="134" spans="1:9" x14ac:dyDescent="0.2">
      <c r="A134" t="str">
        <f>B124</f>
        <v>7N gallium production</v>
      </c>
      <c r="B134" t="str">
        <f>B126</f>
        <v xml:space="preserve">7N Gallium </v>
      </c>
      <c r="C134" t="s">
        <v>77</v>
      </c>
      <c r="D134" s="1">
        <v>1</v>
      </c>
      <c r="E134" t="str">
        <f>B130</f>
        <v>kilogram</v>
      </c>
      <c r="F134" t="s">
        <v>218</v>
      </c>
      <c r="G134" t="s">
        <v>10</v>
      </c>
      <c r="I134" t="inlineStr">
        <is>
          <t>APPROVED GALLIUM PURIFICATION REJECT ACCOUNTING, issue 116, 2026-10-19. Pallas et al. (2020), DOI 10.1007/s11367-020-01791-z, supporting information S3, S4 and S6. https://media.springernature.com/full/springer-static/esm/art%3A10.1007%2Fs11367-020-01791-z/MediaObjects/11367_2020_1791_MOESM1_ESM.docx
The inherited 70% purification yield buys 1.4285714 kg semiconductor-grade gallium per 1 kg 7N product. Preserve this gross input and electricity exactly. Assign the remaining 0.42857140000000005 kg to a separately documented hazardous solid/reject collection and underground-disposal reference, with zero recovery credit. This closes the stated mass balance without assuming that missing metal is automatically recycled or buying it twice.
Actual rejects may be recycled gallium-rich cuts, process residues or other forms. The source does not resolve the recycling loop, impurity content or treatment technology. Generic hazardous underground disposal is an explicit conservative fate proxy, not demonstrated industrial gallium waste management. Compare 0-100% recovery with a fully specified recovery burden in a later sensitivity; do not change current primary/secondary shares or reduce gross metal demand in this correction. No additional elemental Ga emission or complete product EOL is added.</t>
        </is>
      </c>
    </row>
    <row r="135" spans="1:9" x14ac:dyDescent="0.2">
      <c r="A135" s="9" t="s">
        <v>129</v>
      </c>
      <c r="B135" t="s">
        <v>130</v>
      </c>
      <c r="C135" t="s">
        <v>77</v>
      </c>
      <c r="D135" s="10">
        <v>1.4285714</v>
      </c>
      <c r="E135" t="s">
        <v>5</v>
      </c>
      <c r="F135" t="s">
        <v>21</v>
      </c>
      <c r="G135" t="s">
        <v>16</v>
      </c>
      <c r="I135" s="9" t="s">
        <v>128</v>
      </c>
    </row>
    <row r="136" spans="1:9" x14ac:dyDescent="0.2">
      <c r="A136" t="s">
        <v>120</v>
      </c>
      <c r="B136" t="s">
        <v>117</v>
      </c>
      <c r="C136" t="s">
        <v>119</v>
      </c>
      <c r="D136" s="10">
        <v>5.7142856999999996</v>
      </c>
      <c r="E136" t="s">
        <v>15</v>
      </c>
      <c r="F136" t="s">
        <v>21</v>
      </c>
      <c r="G136" t="s">
        <v>16</v>
      </c>
      <c r="I136" t="s">
        <v>131</v>
      </c>
    </row>
    <row r="137" spans="1:9" x14ac:dyDescent="0.2">
      <c r="A137" s="9" t="inlineStr">
        <is>
          <t>treatment of hazardous waste, underground deposit</t>
        </is>
      </c>
      <c r="B137" s="9" t="inlineStr">
        <is>
          <t>hazardous waste, for underground deposit</t>
        </is>
      </c>
      <c r="C137" s="6" t="inlineStr">
        <is>
          <t>RoW</t>
        </is>
      </c>
      <c r="D137" s="10">
        <v>-0.42857140000000005</v>
      </c>
      <c r="E137" t="inlineStr">
        <is>
          <t>kilogram</t>
        </is>
      </c>
      <c r="G137" t="inlineStr">
        <is>
          <t>technosphere</t>
        </is>
      </c>
      <c r="I137" t="inlineStr">
        <is>
          <t>APPROVED GALLIUM PURIFICATION REJECT ACCOUNTING, issue 116, 2026-10-19. Pallas et al. (2020), DOI 10.1007/s11367-020-01791-z, supporting information S3, S4 and S6. https://media.springernature.com/full/springer-static/esm/art%3A10.1007%2Fs11367-020-01791-z/MediaObjects/11367_2020_1791_MOESM1_ESM.docx
The inherited 70% purification yield buys 1.4285714 kg semiconductor-grade gallium per 1 kg 7N product. Preserve this gross input and electricity exactly. Assign the remaining 0.42857140000000005 kg to a separately documented hazardous solid/reject collection and underground-disposal reference, with zero recovery credit. This closes the stated mass balance without assuming that missing metal is automatically recycled or buying it twice.
Actual rejects may be recycled gallium-rich cuts, process residues or other forms. The source does not resolve the recycling loop, impurity content or treatment technology. Generic hazardous underground disposal is an explicit conservative fate proxy, not demonstrated industrial gallium waste management. Compare 0-100% recovery with a fully specified recovery burden in a later sensitivity; do not change current primary/secondary shares or reduce gross metal demand in this correction. No additional elemental Ga emission or complete product EOL is added.</t>
        </is>
      </c>
    </row>
    <row r="138" spans="1:9" x14ac:dyDescent="0.2">
      <c r="A138" s="2" t="s">
        <v>0</v>
      </c>
      <c r="B138" s="2" t="s">
        <v>248</v>
      </c>
    </row>
    <row r="139" spans="1:9" x14ac:dyDescent="0.2">
      <c r="A139" t="s">
        <v>238</v>
      </c>
      <c r="B13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40" spans="1:9" x14ac:dyDescent="0.2">
      <c r="A140" t="s">
        <v>2</v>
      </c>
      <c r="B140" s="9" t="s">
        <v>210</v>
      </c>
    </row>
    <row r="141" spans="1:9" x14ac:dyDescent="0.2">
      <c r="A141" t="s">
        <v>14</v>
      </c>
      <c r="B141" t="s">
        <v>28</v>
      </c>
    </row>
    <row r="142" spans="1:9" x14ac:dyDescent="0.2">
      <c r="A142" t="s">
        <v>1</v>
      </c>
      <c r="B142" t="s">
        <v>77</v>
      </c>
    </row>
    <row r="143" spans="1:9" x14ac:dyDescent="0.2">
      <c r="A143" t="s">
        <v>8</v>
      </c>
      <c r="B143">
        <v>1</v>
      </c>
    </row>
    <row r="144" spans="1:9" x14ac:dyDescent="0.2">
      <c r="A144" t="s">
        <v>4</v>
      </c>
      <c r="B144" t="s">
        <v>5</v>
      </c>
    </row>
    <row r="145" spans="1:9" x14ac:dyDescent="0.2">
      <c r="A145" t="s">
        <v>239</v>
      </c>
      <c r="B145" t="s">
        <v>240</v>
      </c>
    </row>
    <row r="146" spans="1:9" x14ac:dyDescent="0.2">
      <c r="A146" s="2" t="s">
        <v>6</v>
      </c>
    </row>
    <row r="147" spans="1:9" x14ac:dyDescent="0.2">
      <c r="A147" s="2" t="s">
        <v>7</v>
      </c>
      <c r="B147" s="2" t="s">
        <v>2</v>
      </c>
      <c r="C147" s="2" t="s">
        <v>1</v>
      </c>
      <c r="D147" s="3" t="s">
        <v>8</v>
      </c>
      <c r="E147" s="2" t="s">
        <v>4</v>
      </c>
      <c r="F147" s="2" t="s">
        <v>13</v>
      </c>
      <c r="G147" s="2" t="s">
        <v>3</v>
      </c>
      <c r="H147" s="2" t="s">
        <v>9</v>
      </c>
      <c r="I147" s="2" t="s">
        <v>238</v>
      </c>
    </row>
    <row r="148" spans="1:9" x14ac:dyDescent="0.2">
      <c r="A148" t="str">
        <f>B138</f>
        <v>7N arsenic production</v>
      </c>
      <c r="B148" t="str">
        <f>B140</f>
        <v>7N Arsenic</v>
      </c>
      <c r="C148" t="s">
        <v>77</v>
      </c>
      <c r="D148" s="1">
        <v>1</v>
      </c>
      <c r="E148" t="str">
        <f>B144</f>
        <v>kilogram</v>
      </c>
      <c r="F148" t="s">
        <v>218</v>
      </c>
      <c r="G148" t="s">
        <v>10</v>
      </c>
      <c r="I148"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149" spans="1:9" x14ac:dyDescent="0.2">
      <c r="A149" s="9" t="inlineStr">
        <is>
          <t>arsine-to-arsenic purification, source-yield engineering reference</t>
        </is>
      </c>
      <c r="B149" s="9" t="inlineStr">
        <is>
          <t>arsine-to-arsenic purification, source-yield engineering reference</t>
        </is>
      </c>
      <c r="C149" t="inlineStr">
        <is>
          <t>GLO</t>
        </is>
      </c>
      <c r="D149" s="10">
        <v>1</v>
      </c>
      <c r="E149" t="s">
        <v>5</v>
      </c>
      <c r="F149" t="s">
        <v>21</v>
      </c>
      <c r="G149" t="s">
        <v>16</v>
      </c>
      <c r="I149" s="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150" spans="1:9" x14ac:dyDescent="0.2">
      <c r="A150" t="s">
        <v>273</v>
      </c>
      <c r="B150" t="s">
        <v>266</v>
      </c>
      <c r="C150" t="s">
        <v>73</v>
      </c>
      <c r="D150" s="10">
        <v>9.4117599999999996E-2</v>
      </c>
      <c r="E150" t="s">
        <v>5</v>
      </c>
      <c r="F150" t="s">
        <v>21</v>
      </c>
      <c r="G150" t="s">
        <v>16</v>
      </c>
      <c r="I150" s="9" t="s">
        <v>133</v>
      </c>
    </row>
    <row r="151" spans="1:9" x14ac:dyDescent="0.2">
      <c r="A151" s="9" t="s">
        <v>134</v>
      </c>
      <c r="B151" s="9" t="s">
        <v>135</v>
      </c>
      <c r="C151" t="s">
        <v>73</v>
      </c>
      <c r="D151" s="10">
        <v>4.7058799999999998E-2</v>
      </c>
      <c r="E151" t="s">
        <v>5</v>
      </c>
      <c r="F151" t="s">
        <v>21</v>
      </c>
      <c r="G151" t="s">
        <v>16</v>
      </c>
      <c r="I151" t="s">
        <v>136</v>
      </c>
    </row>
    <row r="152" spans="1:9" x14ac:dyDescent="0.2">
      <c r="A152" t="s">
        <v>120</v>
      </c>
      <c r="B152" t="s">
        <v>117</v>
      </c>
      <c r="C152" t="s">
        <v>119</v>
      </c>
      <c r="D152" s="10">
        <v>8.1176470999999992</v>
      </c>
      <c r="E152" t="s">
        <v>15</v>
      </c>
      <c r="F152" t="s">
        <v>21</v>
      </c>
      <c r="G152" t="s">
        <v>16</v>
      </c>
      <c r="I152" t="s">
        <v>131</v>
      </c>
    </row>
    <row r="153">
      <c r="A153"/>
      <c r="B153"/>
      <c r="C153"/>
      <c r="D153"/>
      <c r="E153"/>
      <c r="G153"/>
      <c r="I153"/>
    </row>
    <row r="154" spans="1:9" x14ac:dyDescent="0.2">
      <c r="A154" s="2" t="s">
        <v>0</v>
      </c>
      <c r="B154" s="2" t="s">
        <v>249</v>
      </c>
    </row>
    <row r="155" spans="1:9" x14ac:dyDescent="0.2">
      <c r="A155" t="s">
        <v>238</v>
      </c>
      <c r="B155"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PREVIOUS NOTES (retained as history; the correction above takes precedence):
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56" spans="1:9" x14ac:dyDescent="0.2">
      <c r="A156" t="s">
        <v>2</v>
      </c>
      <c r="B156" s="9" t="s">
        <v>37</v>
      </c>
    </row>
    <row r="157" spans="1:9" x14ac:dyDescent="0.2">
      <c r="A157" t="s">
        <v>14</v>
      </c>
      <c r="B157" t="s">
        <v>29</v>
      </c>
    </row>
    <row r="158" spans="1:9" x14ac:dyDescent="0.2">
      <c r="A158" t="s">
        <v>1</v>
      </c>
      <c r="B158" t="s">
        <v>77</v>
      </c>
    </row>
    <row r="159" spans="1:9" x14ac:dyDescent="0.2">
      <c r="A159" t="s">
        <v>8</v>
      </c>
      <c r="B159">
        <v>1</v>
      </c>
    </row>
    <row r="160" spans="1:9" x14ac:dyDescent="0.2">
      <c r="A160" t="s">
        <v>4</v>
      </c>
      <c r="B160" t="s">
        <v>5</v>
      </c>
    </row>
    <row r="161" spans="1:9" x14ac:dyDescent="0.2">
      <c r="A161" t="s">
        <v>239</v>
      </c>
      <c r="B161" t="s">
        <v>240</v>
      </c>
    </row>
    <row r="162" spans="1:9" x14ac:dyDescent="0.2">
      <c r="A162" s="2" t="s">
        <v>6</v>
      </c>
    </row>
    <row r="163" spans="1:9" x14ac:dyDescent="0.2">
      <c r="A163" s="2" t="s">
        <v>7</v>
      </c>
      <c r="B163" s="2" t="s">
        <v>2</v>
      </c>
      <c r="C163" s="2" t="s">
        <v>1</v>
      </c>
      <c r="D163" s="3" t="s">
        <v>8</v>
      </c>
      <c r="E163" s="2" t="s">
        <v>4</v>
      </c>
      <c r="F163" s="2" t="s">
        <v>13</v>
      </c>
      <c r="G163" s="2" t="s">
        <v>3</v>
      </c>
      <c r="H163" s="2" t="s">
        <v>9</v>
      </c>
      <c r="I163" s="2" t="s">
        <v>238</v>
      </c>
    </row>
    <row r="164" spans="1:9" x14ac:dyDescent="0.2">
      <c r="A164" t="str">
        <f>B154</f>
        <v>single-crystal GaAs boule production</v>
      </c>
      <c r="B164" t="str">
        <f>B156</f>
        <v>single-crystal GaAs boule</v>
      </c>
      <c r="C164" t="s">
        <v>77</v>
      </c>
      <c r="D164" s="1">
        <v>1</v>
      </c>
      <c r="E164" t="str">
        <f>B160</f>
        <v>kilogram</v>
      </c>
      <c r="F164" t="s">
        <v>218</v>
      </c>
      <c r="G164" t="s">
        <v>10</v>
      </c>
      <c r="I164"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165" spans="1:9" x14ac:dyDescent="0.2">
      <c r="A165" t="inlineStr">
        <is>
          <t>polycrystalline GaAs boule, balanced engineering reference</t>
        </is>
      </c>
      <c r="B165" s="9" t="inlineStr">
        <is>
          <t>polycrystalline GaAs boule, balanced engineering reference</t>
        </is>
      </c>
      <c r="C165" t="inlineStr">
        <is>
          <t>GLO</t>
        </is>
      </c>
      <c r="D165" s="10">
        <v>1.08</v>
      </c>
      <c r="E165" t="s">
        <v>5</v>
      </c>
      <c r="F165" t="s">
        <v>218</v>
      </c>
      <c r="G165" t="s">
        <v>16</v>
      </c>
      <c r="I165" s="9"/>
    </row>
    <row r="166" spans="1:9" x14ac:dyDescent="0.2">
      <c r="A166" s="9" t="s">
        <v>139</v>
      </c>
      <c r="B166" s="9" t="s">
        <v>138</v>
      </c>
      <c r="C166" t="s">
        <v>77</v>
      </c>
      <c r="D166" s="10">
        <v>5.0000000000000001E-3</v>
      </c>
      <c r="E166" t="s">
        <v>5</v>
      </c>
      <c r="F166" t="s">
        <v>21</v>
      </c>
      <c r="G166" t="s">
        <v>16</v>
      </c>
      <c r="I166" s="9" t="s">
        <v>137</v>
      </c>
    </row>
    <row r="167" spans="1:9" x14ac:dyDescent="0.2">
      <c r="A167" s="9" t="inlineStr">
        <is>
          <t>pyrolytic boron nitride crucible, CVD engineering reference</t>
        </is>
      </c>
      <c r="B167" s="9" t="inlineStr">
        <is>
          <t>pyrolytic boron nitride crucible, CVD engineering reference</t>
        </is>
      </c>
      <c r="C167" t="inlineStr">
        <is>
          <t>GLO</t>
        </is>
      </c>
      <c r="D167" s="10">
        <v>0.01</v>
      </c>
      <c r="E167" t="s">
        <v>5</v>
      </c>
      <c r="F167" t="s">
        <v>21</v>
      </c>
      <c r="G167" t="s">
        <v>16</v>
      </c>
      <c r="I167"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168" spans="1:9" x14ac:dyDescent="0.2">
      <c r="A168" t="s">
        <v>120</v>
      </c>
      <c r="B168" t="s">
        <v>117</v>
      </c>
      <c r="C168" t="s">
        <v>119</v>
      </c>
      <c r="D168" s="10">
        <v>160</v>
      </c>
      <c r="E168" t="s">
        <v>15</v>
      </c>
      <c r="F168" t="s">
        <v>21</v>
      </c>
      <c r="G168" t="s">
        <v>16</v>
      </c>
      <c r="I168" t="s">
        <v>131</v>
      </c>
    </row>
    <row r="169" spans="1:9" x14ac:dyDescent="0.2">
      <c r="A169" s="9" t="s">
        <v>127</v>
      </c>
      <c r="B169" s="9" t="s">
        <v>126</v>
      </c>
      <c r="C169" t="s">
        <v>96</v>
      </c>
      <c r="D169" s="10">
        <v>-0.01</v>
      </c>
      <c r="E169" t="s">
        <v>5</v>
      </c>
      <c r="F169" t="s">
        <v>21</v>
      </c>
      <c r="G169" t="s">
        <v>16</v>
      </c>
      <c r="I169" t="s">
        <v>141</v>
      </c>
    </row>
    <row r="170" spans="1:9" x14ac:dyDescent="0.2">
      <c r="A170" s="9" t="s">
        <v>127</v>
      </c>
      <c r="B170" s="9" t="s">
        <v>126</v>
      </c>
      <c r="C170" t="s">
        <v>96</v>
      </c>
      <c r="D170" s="10">
        <v>-5.0000000000000001E-3</v>
      </c>
      <c r="E170" t="s">
        <v>5</v>
      </c>
      <c r="F170" t="s">
        <v>21</v>
      </c>
      <c r="G170" t="s">
        <v>16</v>
      </c>
      <c r="I170" t="s">
        <v>142</v>
      </c>
    </row>
    <row r="171" spans="1:9" x14ac:dyDescent="0.2">
      <c r="A171" s="9" t="s">
        <v>127</v>
      </c>
      <c r="B171" s="9" t="s">
        <v>126</v>
      </c>
      <c r="C171" t="s">
        <v>96</v>
      </c>
      <c r="D171" s="10">
        <v>-0.08</v>
      </c>
      <c r="E171" t="s">
        <v>5</v>
      </c>
      <c r="F171" t="s">
        <v>21</v>
      </c>
      <c r="G171" t="s">
        <v>16</v>
      </c>
      <c r="I171" t="s">
        <v>143</v>
      </c>
    </row>
    <row r="172" spans="1:9" x14ac:dyDescent="0.2">
      <c r="A172" s="11"/>
      <c r="B172" s="11"/>
      <c r="C172" s="11"/>
      <c r="D172" s="12"/>
      <c r="E172" s="11"/>
    </row>
    <row r="173" spans="1:9" x14ac:dyDescent="0.2">
      <c r="A173" s="2" t="s">
        <v>0</v>
      </c>
      <c r="B173" s="2" t="s">
        <v>250</v>
      </c>
    </row>
    <row r="174" spans="1:9" x14ac:dyDescent="0.2">
      <c r="A174" t="s">
        <v>238</v>
      </c>
      <c r="B174" t="s">
        <v>245</v>
      </c>
    </row>
    <row r="175" spans="1:9" x14ac:dyDescent="0.2">
      <c r="A175" t="s">
        <v>2</v>
      </c>
      <c r="B175" s="9" t="s">
        <v>39</v>
      </c>
    </row>
    <row r="176" spans="1:9" x14ac:dyDescent="0.2">
      <c r="A176" t="s">
        <v>14</v>
      </c>
      <c r="B176" t="s">
        <v>34</v>
      </c>
    </row>
    <row r="177" spans="1:9" x14ac:dyDescent="0.2">
      <c r="A177" t="s">
        <v>1</v>
      </c>
      <c r="B177" t="s">
        <v>77</v>
      </c>
    </row>
    <row r="178" spans="1:9" x14ac:dyDescent="0.2">
      <c r="A178" t="s">
        <v>8</v>
      </c>
      <c r="B178">
        <v>1</v>
      </c>
    </row>
    <row r="179" spans="1:9" x14ac:dyDescent="0.2">
      <c r="A179" t="s">
        <v>4</v>
      </c>
      <c r="B179" t="s">
        <v>5</v>
      </c>
    </row>
    <row r="180" spans="1:9" x14ac:dyDescent="0.2">
      <c r="A180" t="s">
        <v>239</v>
      </c>
      <c r="B180" t="s">
        <v>240</v>
      </c>
    </row>
    <row r="181" spans="1:9" x14ac:dyDescent="0.2">
      <c r="A181" s="2" t="s">
        <v>6</v>
      </c>
    </row>
    <row r="182" spans="1:9" x14ac:dyDescent="0.2">
      <c r="A182" s="2" t="s">
        <v>7</v>
      </c>
      <c r="B182" s="2" t="s">
        <v>2</v>
      </c>
      <c r="C182" s="2" t="s">
        <v>1</v>
      </c>
      <c r="D182" s="3" t="s">
        <v>8</v>
      </c>
      <c r="E182" s="2" t="s">
        <v>4</v>
      </c>
      <c r="F182" s="2" t="s">
        <v>13</v>
      </c>
      <c r="G182" s="2" t="s">
        <v>3</v>
      </c>
      <c r="H182" s="2" t="s">
        <v>9</v>
      </c>
      <c r="I182" s="2" t="s">
        <v>238</v>
      </c>
    </row>
    <row r="183" spans="1:9" x14ac:dyDescent="0.2">
      <c r="A183" t="str">
        <f>B173</f>
        <v>GaAs ingot production - x-ray, cropping, grinding notch</v>
      </c>
      <c r="B183" s="9" t="str">
        <f>B175</f>
        <v>single-crystal GaAs ingot</v>
      </c>
      <c r="C183" t="s">
        <v>77</v>
      </c>
      <c r="D183" s="1">
        <f>B178</f>
        <v>1</v>
      </c>
      <c r="E183" t="str">
        <f>B179</f>
        <v>kilogram</v>
      </c>
      <c r="F183" t="s">
        <v>218</v>
      </c>
      <c r="G183" t="s">
        <v>10</v>
      </c>
    </row>
    <row r="184" spans="1:9" x14ac:dyDescent="0.2">
      <c r="A184" t="s">
        <v>249</v>
      </c>
      <c r="B184" s="9" t="s">
        <v>37</v>
      </c>
      <c r="C184" t="s">
        <v>77</v>
      </c>
      <c r="D184" s="10">
        <v>1.0989011</v>
      </c>
      <c r="E184" t="s">
        <v>5</v>
      </c>
      <c r="F184" t="s">
        <v>218</v>
      </c>
      <c r="G184" t="s">
        <v>16</v>
      </c>
      <c r="I184" s="9"/>
    </row>
    <row r="185" spans="1:9" x14ac:dyDescent="0.2">
      <c r="A185" s="9" t="s">
        <v>144</v>
      </c>
      <c r="B185" s="8" t="s">
        <v>144</v>
      </c>
      <c r="C185" t="s">
        <v>73</v>
      </c>
      <c r="D185" s="10">
        <v>5.7140000000000001E-8</v>
      </c>
      <c r="E185" t="s">
        <v>5</v>
      </c>
      <c r="F185" t="s">
        <v>21</v>
      </c>
      <c r="G185" t="s">
        <v>16</v>
      </c>
      <c r="I185" s="9" t="s">
        <v>145</v>
      </c>
    </row>
    <row r="186" spans="1:9" x14ac:dyDescent="0.2">
      <c r="A186" t="s">
        <v>251</v>
      </c>
      <c r="B186" s="9" t="s">
        <v>38</v>
      </c>
      <c r="C186" t="s">
        <v>77</v>
      </c>
      <c r="D186" s="10">
        <v>4.3960000000000001E-4</v>
      </c>
      <c r="E186" t="s">
        <v>4</v>
      </c>
      <c r="F186" t="s">
        <v>218</v>
      </c>
      <c r="G186" t="s">
        <v>16</v>
      </c>
    </row>
    <row r="187" spans="1:9" x14ac:dyDescent="0.2">
      <c r="A187" t="s">
        <v>120</v>
      </c>
      <c r="B187" t="s">
        <v>117</v>
      </c>
      <c r="C187" t="s">
        <v>119</v>
      </c>
      <c r="D187" s="10">
        <v>0.43956040000000002</v>
      </c>
      <c r="E187" t="s">
        <v>15</v>
      </c>
      <c r="F187" t="s">
        <v>21</v>
      </c>
      <c r="G187" t="s">
        <v>16</v>
      </c>
      <c r="I187" t="s">
        <v>146</v>
      </c>
    </row>
    <row r="188" spans="1:9" x14ac:dyDescent="0.2">
      <c r="A188" t="s">
        <v>120</v>
      </c>
      <c r="B188" t="s">
        <v>117</v>
      </c>
      <c r="C188" t="s">
        <v>119</v>
      </c>
      <c r="D188" s="10">
        <v>7.4725299999999995E-2</v>
      </c>
      <c r="E188" t="s">
        <v>15</v>
      </c>
      <c r="F188" t="s">
        <v>21</v>
      </c>
      <c r="G188" t="s">
        <v>16</v>
      </c>
      <c r="I188" t="s">
        <v>147</v>
      </c>
    </row>
    <row r="189" spans="1:9" x14ac:dyDescent="0.2">
      <c r="A189" t="s">
        <v>120</v>
      </c>
      <c r="B189" t="s">
        <v>117</v>
      </c>
      <c r="C189" t="s">
        <v>119</v>
      </c>
      <c r="D189" s="10">
        <v>0.43956040000000002</v>
      </c>
      <c r="E189" t="s">
        <v>15</v>
      </c>
      <c r="F189" t="s">
        <v>21</v>
      </c>
      <c r="G189" t="s">
        <v>16</v>
      </c>
      <c r="I189" t="s">
        <v>148</v>
      </c>
    </row>
    <row r="190" spans="1:9" x14ac:dyDescent="0.2">
      <c r="A190" s="9" t="s">
        <v>127</v>
      </c>
      <c r="B190" s="9" t="s">
        <v>126</v>
      </c>
      <c r="C190" t="s">
        <v>96</v>
      </c>
      <c r="D190" s="10">
        <v>-5.0549499999999997E-2</v>
      </c>
      <c r="E190" t="s">
        <v>5</v>
      </c>
      <c r="F190" t="s">
        <v>21</v>
      </c>
      <c r="G190" t="s">
        <v>16</v>
      </c>
      <c r="I190" t="s">
        <v>149</v>
      </c>
    </row>
    <row r="191" spans="1:9" x14ac:dyDescent="0.2">
      <c r="A191" s="9"/>
      <c r="B191" s="9"/>
      <c r="C191" s="13"/>
      <c r="D191" s="14"/>
      <c r="E191" s="9"/>
    </row>
    <row r="192" spans="1:9" x14ac:dyDescent="0.2">
      <c r="A192" s="2" t="s">
        <v>0</v>
      </c>
      <c r="B192" s="2" t="s">
        <v>251</v>
      </c>
    </row>
    <row r="193" spans="1:9" x14ac:dyDescent="0.2">
      <c r="A193" t="s">
        <v>238</v>
      </c>
      <c r="B193" t="s">
        <v>245</v>
      </c>
    </row>
    <row r="194" spans="1:9" x14ac:dyDescent="0.2">
      <c r="A194" t="s">
        <v>2</v>
      </c>
      <c r="B194" s="9" t="s">
        <v>38</v>
      </c>
    </row>
    <row r="195" spans="1:9" x14ac:dyDescent="0.2">
      <c r="A195" t="s">
        <v>14</v>
      </c>
      <c r="B195" t="s">
        <v>55</v>
      </c>
    </row>
    <row r="196" spans="1:9" x14ac:dyDescent="0.2">
      <c r="A196" t="s">
        <v>1</v>
      </c>
      <c r="B196" t="s">
        <v>77</v>
      </c>
    </row>
    <row r="197" spans="1:9" x14ac:dyDescent="0.2">
      <c r="A197" t="s">
        <v>8</v>
      </c>
      <c r="B197">
        <v>1</v>
      </c>
    </row>
    <row r="198" spans="1:9" x14ac:dyDescent="0.2">
      <c r="A198" t="s">
        <v>4</v>
      </c>
      <c r="B198" t="s">
        <v>4</v>
      </c>
    </row>
    <row r="199" spans="1:9" x14ac:dyDescent="0.2">
      <c r="A199" t="s">
        <v>239</v>
      </c>
      <c r="B199" t="s">
        <v>240</v>
      </c>
    </row>
    <row r="200" spans="1:9" x14ac:dyDescent="0.2">
      <c r="A200" s="2" t="s">
        <v>6</v>
      </c>
    </row>
    <row r="201" spans="1:9" x14ac:dyDescent="0.2">
      <c r="A201" s="2" t="s">
        <v>7</v>
      </c>
      <c r="B201" s="2" t="s">
        <v>2</v>
      </c>
      <c r="C201" s="2" t="s">
        <v>1</v>
      </c>
      <c r="D201" s="3" t="s">
        <v>8</v>
      </c>
      <c r="E201" s="2" t="s">
        <v>4</v>
      </c>
      <c r="F201" s="2" t="s">
        <v>13</v>
      </c>
      <c r="G201" s="2" t="s">
        <v>3</v>
      </c>
      <c r="H201" s="2" t="s">
        <v>9</v>
      </c>
      <c r="I201" s="2" t="s">
        <v>238</v>
      </c>
    </row>
    <row r="202" spans="1:9" x14ac:dyDescent="0.2">
      <c r="A202" t="str">
        <f>B192</f>
        <v>diamond saw production</v>
      </c>
      <c r="B202" s="9" t="str">
        <f>B194</f>
        <v>diamond saw</v>
      </c>
      <c r="C202" t="s">
        <v>77</v>
      </c>
      <c r="D202" s="1">
        <f>B197</f>
        <v>1</v>
      </c>
      <c r="E202" t="str">
        <f>B198</f>
        <v>unit</v>
      </c>
      <c r="F202" t="s">
        <v>218</v>
      </c>
      <c r="G202" t="s">
        <v>10</v>
      </c>
    </row>
    <row r="203" spans="1:9" x14ac:dyDescent="0.2">
      <c r="A203" s="9" t="s">
        <v>151</v>
      </c>
      <c r="B203" s="9" t="s">
        <v>212</v>
      </c>
      <c r="C203" t="s">
        <v>73</v>
      </c>
      <c r="D203" s="10">
        <v>0.02</v>
      </c>
      <c r="E203" t="s">
        <v>5</v>
      </c>
      <c r="F203" t="s">
        <v>21</v>
      </c>
      <c r="G203" t="s">
        <v>16</v>
      </c>
      <c r="I203" s="9" t="s">
        <v>150</v>
      </c>
    </row>
    <row r="204" spans="1:9" x14ac:dyDescent="0.2">
      <c r="A204" t="s">
        <v>252</v>
      </c>
      <c r="B204" s="9" t="s">
        <v>40</v>
      </c>
      <c r="C204" t="s">
        <v>77</v>
      </c>
      <c r="D204" s="10">
        <v>2.0000000000000001E-4</v>
      </c>
      <c r="E204" t="s">
        <v>5</v>
      </c>
      <c r="F204" t="s">
        <v>218</v>
      </c>
      <c r="G204" t="s">
        <v>16</v>
      </c>
      <c r="I204" s="9"/>
    </row>
    <row r="205" spans="1:9" x14ac:dyDescent="0.2">
      <c r="A205" t="s">
        <v>120</v>
      </c>
      <c r="B205" t="s">
        <v>117</v>
      </c>
      <c r="C205" t="s">
        <v>119</v>
      </c>
      <c r="D205" s="10">
        <v>10</v>
      </c>
      <c r="E205" t="s">
        <v>15</v>
      </c>
      <c r="F205" t="s">
        <v>21</v>
      </c>
      <c r="G205" t="s">
        <v>16</v>
      </c>
      <c r="I205" t="s">
        <v>131</v>
      </c>
    </row>
    <row r="206" spans="1:9" x14ac:dyDescent="0.2">
      <c r="A206" s="9"/>
      <c r="B206" s="9"/>
      <c r="C206" s="6"/>
      <c r="D206" s="10"/>
    </row>
    <row r="207" spans="1:9" x14ac:dyDescent="0.2">
      <c r="A207" s="2" t="s">
        <v>0</v>
      </c>
      <c r="B207" s="2" t="s">
        <v>252</v>
      </c>
    </row>
    <row r="208" spans="1:9" x14ac:dyDescent="0.2">
      <c r="A208" t="s">
        <v>238</v>
      </c>
      <c r="B208" t="s">
        <v>245</v>
      </c>
    </row>
    <row r="209" spans="1:9" x14ac:dyDescent="0.2">
      <c r="A209" t="s">
        <v>2</v>
      </c>
      <c r="B209" s="9" t="s">
        <v>40</v>
      </c>
    </row>
    <row r="210" spans="1:9" x14ac:dyDescent="0.2">
      <c r="A210" t="s">
        <v>14</v>
      </c>
      <c r="B210" t="s">
        <v>56</v>
      </c>
    </row>
    <row r="211" spans="1:9" x14ac:dyDescent="0.2">
      <c r="A211" t="s">
        <v>1</v>
      </c>
      <c r="B211" t="s">
        <v>77</v>
      </c>
    </row>
    <row r="212" spans="1:9" x14ac:dyDescent="0.2">
      <c r="A212" t="s">
        <v>8</v>
      </c>
      <c r="B212">
        <v>1</v>
      </c>
    </row>
    <row r="213" spans="1:9" x14ac:dyDescent="0.2">
      <c r="A213" t="s">
        <v>4</v>
      </c>
      <c r="B213" t="s">
        <v>5</v>
      </c>
    </row>
    <row r="214" spans="1:9" x14ac:dyDescent="0.2">
      <c r="A214" t="s">
        <v>239</v>
      </c>
      <c r="B214" t="s">
        <v>240</v>
      </c>
    </row>
    <row r="215" spans="1:9" x14ac:dyDescent="0.2">
      <c r="A215" s="2" t="s">
        <v>6</v>
      </c>
    </row>
    <row r="216" spans="1:9" x14ac:dyDescent="0.2">
      <c r="A216" s="2" t="s">
        <v>7</v>
      </c>
      <c r="B216" s="2" t="s">
        <v>2</v>
      </c>
      <c r="C216" s="2" t="s">
        <v>1</v>
      </c>
      <c r="D216" s="3" t="s">
        <v>8</v>
      </c>
      <c r="E216" s="2" t="s">
        <v>4</v>
      </c>
      <c r="F216" s="2" t="s">
        <v>13</v>
      </c>
      <c r="G216" s="2" t="s">
        <v>3</v>
      </c>
      <c r="H216" s="2" t="s">
        <v>9</v>
      </c>
      <c r="I216" s="2" t="s">
        <v>238</v>
      </c>
    </row>
    <row r="217" spans="1:9" x14ac:dyDescent="0.2">
      <c r="A217" t="str">
        <f>B207</f>
        <v>synthetic diamond production</v>
      </c>
      <c r="B217" s="9" t="str">
        <f>B209</f>
        <v>synthetic diamond</v>
      </c>
      <c r="C217" t="s">
        <v>77</v>
      </c>
      <c r="D217" s="1">
        <f>B212</f>
        <v>1</v>
      </c>
      <c r="E217" t="str">
        <f>B213</f>
        <v>kilogram</v>
      </c>
      <c r="F217" t="s">
        <v>218</v>
      </c>
      <c r="G217" t="s">
        <v>10</v>
      </c>
    </row>
    <row r="218" spans="1:9" x14ac:dyDescent="0.2">
      <c r="A218" s="15" t="s">
        <v>204</v>
      </c>
      <c r="B218" s="15" t="s">
        <v>206</v>
      </c>
      <c r="C218" s="16" t="s">
        <v>96</v>
      </c>
      <c r="D218" s="10">
        <v>14.545455</v>
      </c>
      <c r="E218" t="s">
        <v>12</v>
      </c>
      <c r="F218" t="s">
        <v>21</v>
      </c>
      <c r="G218" t="s">
        <v>16</v>
      </c>
      <c r="I218" s="17" t="s">
        <v>205</v>
      </c>
    </row>
    <row r="219" spans="1:9" x14ac:dyDescent="0.2">
      <c r="A219" t="s">
        <v>273</v>
      </c>
      <c r="B219" t="s">
        <v>266</v>
      </c>
      <c r="C219" t="s">
        <v>73</v>
      </c>
      <c r="D219" s="10">
        <v>3.6363600000000003E-2</v>
      </c>
      <c r="E219" t="s">
        <v>5</v>
      </c>
      <c r="F219" t="s">
        <v>21</v>
      </c>
      <c r="G219" t="s">
        <v>16</v>
      </c>
      <c r="I219" s="9" t="s">
        <v>152</v>
      </c>
    </row>
    <row r="220" spans="1:9" x14ac:dyDescent="0.2">
      <c r="A220" t="s">
        <v>120</v>
      </c>
      <c r="B220" t="s">
        <v>117</v>
      </c>
      <c r="C220" t="s">
        <v>119</v>
      </c>
      <c r="D220" s="10">
        <v>1218181.8</v>
      </c>
      <c r="E220" t="s">
        <v>15</v>
      </c>
      <c r="F220" t="s">
        <v>21</v>
      </c>
      <c r="G220" t="s">
        <v>16</v>
      </c>
      <c r="I220" t="s">
        <v>131</v>
      </c>
    </row>
    <row r="221" spans="1:9" x14ac:dyDescent="0.2">
      <c r="A221" s="18"/>
    </row>
    <row r="222" spans="1:9" x14ac:dyDescent="0.2">
      <c r="A222" s="2" t="s">
        <v>0</v>
      </c>
      <c r="B222" s="2" t="s">
        <v>253</v>
      </c>
    </row>
    <row r="223" spans="1:9" x14ac:dyDescent="0.2">
      <c r="A223" t="s">
        <v>238</v>
      </c>
      <c r="B223" t="s">
        <v>245</v>
      </c>
    </row>
    <row r="224" spans="1:9" x14ac:dyDescent="0.2">
      <c r="A224" t="s">
        <v>2</v>
      </c>
      <c r="B224" s="9" t="s">
        <v>42</v>
      </c>
    </row>
    <row r="225" spans="1:9" x14ac:dyDescent="0.2">
      <c r="A225" t="s">
        <v>14</v>
      </c>
      <c r="B225" t="s">
        <v>57</v>
      </c>
    </row>
    <row r="226" spans="1:9" x14ac:dyDescent="0.2">
      <c r="A226" t="s">
        <v>1</v>
      </c>
      <c r="B226" t="s">
        <v>77</v>
      </c>
    </row>
    <row r="227" spans="1:9" x14ac:dyDescent="0.2">
      <c r="A227" t="s">
        <v>8</v>
      </c>
      <c r="B227">
        <v>1</v>
      </c>
    </row>
    <row r="228" spans="1:9" x14ac:dyDescent="0.2">
      <c r="A228" t="s">
        <v>4</v>
      </c>
      <c r="B228" t="s">
        <v>19</v>
      </c>
    </row>
    <row r="229" spans="1:9" x14ac:dyDescent="0.2">
      <c r="A229" t="s">
        <v>239</v>
      </c>
      <c r="B229" t="s">
        <v>240</v>
      </c>
    </row>
    <row r="230" spans="1:9" x14ac:dyDescent="0.2">
      <c r="A230" s="2" t="s">
        <v>6</v>
      </c>
    </row>
    <row r="231" spans="1:9" x14ac:dyDescent="0.2">
      <c r="A231" s="2" t="s">
        <v>7</v>
      </c>
      <c r="B231" s="2" t="s">
        <v>2</v>
      </c>
      <c r="C231" s="2" t="s">
        <v>1</v>
      </c>
      <c r="D231" s="3" t="s">
        <v>8</v>
      </c>
      <c r="E231" s="2" t="s">
        <v>4</v>
      </c>
      <c r="F231" s="2" t="s">
        <v>13</v>
      </c>
      <c r="G231" s="2" t="s">
        <v>3</v>
      </c>
      <c r="H231" s="2" t="s">
        <v>9</v>
      </c>
      <c r="I231" s="2" t="s">
        <v>238</v>
      </c>
    </row>
    <row r="232" spans="1:9" x14ac:dyDescent="0.2">
      <c r="A232" t="str">
        <f>B222</f>
        <v>raw GaAs wafer production</v>
      </c>
      <c r="B232" s="9" t="str">
        <f>B224</f>
        <v>raw GaAs wafer</v>
      </c>
      <c r="C232" t="s">
        <v>77</v>
      </c>
      <c r="D232" s="1">
        <f>B227</f>
        <v>1</v>
      </c>
      <c r="E232" t="str">
        <f>B228</f>
        <v>square meter</v>
      </c>
      <c r="F232" t="s">
        <v>218</v>
      </c>
      <c r="G232" t="s">
        <v>10</v>
      </c>
    </row>
    <row r="233" spans="1:9" x14ac:dyDescent="0.2">
      <c r="A233" t="s">
        <v>250</v>
      </c>
      <c r="B233" s="9" t="s">
        <v>39</v>
      </c>
      <c r="C233" t="s">
        <v>77</v>
      </c>
      <c r="D233" s="10">
        <v>20.222221999999999</v>
      </c>
      <c r="E233" s="9" t="s">
        <v>5</v>
      </c>
      <c r="F233" t="s">
        <v>218</v>
      </c>
      <c r="G233" t="s">
        <v>16</v>
      </c>
      <c r="I233" s="9"/>
    </row>
    <row r="234" spans="1:9" x14ac:dyDescent="0.2">
      <c r="A234" s="9" t="s">
        <v>144</v>
      </c>
      <c r="B234" s="8" t="s">
        <v>144</v>
      </c>
      <c r="C234" t="s">
        <v>73</v>
      </c>
      <c r="D234" s="10">
        <v>7.8220000000000007E-5</v>
      </c>
      <c r="E234" s="9" t="s">
        <v>5</v>
      </c>
      <c r="F234" t="s">
        <v>21</v>
      </c>
      <c r="G234" t="s">
        <v>16</v>
      </c>
      <c r="I234" s="9" t="s">
        <v>153</v>
      </c>
    </row>
    <row r="235" spans="1:9" x14ac:dyDescent="0.2">
      <c r="A235" s="9" t="s">
        <v>254</v>
      </c>
      <c r="B235" s="9" t="s">
        <v>41</v>
      </c>
      <c r="C235" t="s">
        <v>77</v>
      </c>
      <c r="D235" s="10">
        <v>0.31111109999999997</v>
      </c>
      <c r="E235" s="9" t="s">
        <v>5</v>
      </c>
      <c r="F235" t="s">
        <v>218</v>
      </c>
      <c r="G235" t="s">
        <v>16</v>
      </c>
    </row>
    <row r="236" spans="1:9" x14ac:dyDescent="0.2">
      <c r="A236" t="s">
        <v>251</v>
      </c>
      <c r="B236" s="9" t="s">
        <v>38</v>
      </c>
      <c r="C236" t="s">
        <v>77</v>
      </c>
      <c r="D236" s="10">
        <v>1.77778E-2</v>
      </c>
      <c r="E236" s="9" t="s">
        <v>4</v>
      </c>
      <c r="F236" t="s">
        <v>218</v>
      </c>
      <c r="G236" t="s">
        <v>16</v>
      </c>
      <c r="I236" t="s">
        <v>213</v>
      </c>
    </row>
    <row r="237" spans="1:9" x14ac:dyDescent="0.2">
      <c r="A237" t="s">
        <v>120</v>
      </c>
      <c r="B237" t="s">
        <v>117</v>
      </c>
      <c r="C237" t="s">
        <v>119</v>
      </c>
      <c r="D237" s="10">
        <v>2.9629629999999998</v>
      </c>
      <c r="E237" s="9" t="s">
        <v>15</v>
      </c>
      <c r="F237" t="s">
        <v>21</v>
      </c>
      <c r="G237" t="s">
        <v>16</v>
      </c>
      <c r="I237" t="s">
        <v>154</v>
      </c>
    </row>
    <row r="238" spans="1:9" x14ac:dyDescent="0.2">
      <c r="A238" t="s">
        <v>120</v>
      </c>
      <c r="B238" t="s">
        <v>117</v>
      </c>
      <c r="C238" t="s">
        <v>119</v>
      </c>
      <c r="D238" s="10">
        <v>7.4074074000000003</v>
      </c>
      <c r="E238" s="9" t="s">
        <v>15</v>
      </c>
      <c r="F238" t="s">
        <v>21</v>
      </c>
      <c r="G238" t="s">
        <v>16</v>
      </c>
      <c r="I238" s="19" t="s">
        <v>155</v>
      </c>
    </row>
    <row r="239" spans="1:9" x14ac:dyDescent="0.2">
      <c r="A239" s="9" t="s">
        <v>127</v>
      </c>
      <c r="B239" s="9" t="s">
        <v>126</v>
      </c>
      <c r="C239" t="s">
        <v>96</v>
      </c>
      <c r="D239" s="10">
        <v>-6.0740740999999998</v>
      </c>
      <c r="E239" s="9" t="s">
        <v>5</v>
      </c>
      <c r="F239" t="s">
        <v>21</v>
      </c>
      <c r="G239" t="s">
        <v>16</v>
      </c>
      <c r="I239" t="s">
        <v>149</v>
      </c>
    </row>
    <row r="240" spans="1:9" x14ac:dyDescent="0.2">
      <c r="A240" s="2"/>
      <c r="B240" s="2"/>
      <c r="C240" s="2"/>
      <c r="D240" s="3"/>
      <c r="E240" s="2"/>
      <c r="F240" s="2"/>
      <c r="G240" s="2"/>
      <c r="H240" s="2"/>
      <c r="I240" s="2"/>
    </row>
    <row r="241" spans="1:9" x14ac:dyDescent="0.2">
      <c r="A241" s="2" t="s">
        <v>0</v>
      </c>
      <c r="B241" s="2" t="s">
        <v>254</v>
      </c>
    </row>
    <row r="242" spans="1:9" x14ac:dyDescent="0.2">
      <c r="A242" t="s">
        <v>238</v>
      </c>
      <c r="B242" t="s">
        <v>245</v>
      </c>
    </row>
    <row r="243" spans="1:9" x14ac:dyDescent="0.2">
      <c r="A243" t="s">
        <v>2</v>
      </c>
      <c r="B243" s="9" t="s">
        <v>41</v>
      </c>
    </row>
    <row r="244" spans="1:9" x14ac:dyDescent="0.2">
      <c r="A244" t="s">
        <v>14</v>
      </c>
      <c r="B244" t="s">
        <v>58</v>
      </c>
    </row>
    <row r="245" spans="1:9" x14ac:dyDescent="0.2">
      <c r="A245" t="s">
        <v>1</v>
      </c>
      <c r="B245" t="s">
        <v>77</v>
      </c>
    </row>
    <row r="246" spans="1:9" x14ac:dyDescent="0.2">
      <c r="A246" t="s">
        <v>8</v>
      </c>
      <c r="B246">
        <v>1</v>
      </c>
    </row>
    <row r="247" spans="1:9" x14ac:dyDescent="0.2">
      <c r="A247" t="s">
        <v>4</v>
      </c>
      <c r="B247" t="s">
        <v>5</v>
      </c>
    </row>
    <row r="248" spans="1:9" x14ac:dyDescent="0.2">
      <c r="A248" t="s">
        <v>239</v>
      </c>
      <c r="B248" t="s">
        <v>240</v>
      </c>
    </row>
    <row r="249" spans="1:9" x14ac:dyDescent="0.2">
      <c r="A249" s="2" t="s">
        <v>6</v>
      </c>
    </row>
    <row r="250" spans="1:9" x14ac:dyDescent="0.2">
      <c r="A250" s="2" t="s">
        <v>7</v>
      </c>
      <c r="B250" s="2" t="s">
        <v>2</v>
      </c>
      <c r="C250" s="2" t="s">
        <v>1</v>
      </c>
      <c r="D250" s="3" t="s">
        <v>8</v>
      </c>
      <c r="E250" s="2" t="s">
        <v>4</v>
      </c>
      <c r="F250" s="2" t="s">
        <v>13</v>
      </c>
      <c r="G250" s="2" t="s">
        <v>3</v>
      </c>
      <c r="H250" s="2" t="s">
        <v>9</v>
      </c>
      <c r="I250" s="2" t="s">
        <v>238</v>
      </c>
    </row>
    <row r="251" spans="1:9" x14ac:dyDescent="0.2">
      <c r="A251" t="str">
        <f>B241</f>
        <v>sawing slurry production</v>
      </c>
      <c r="B251" t="str">
        <f>B243</f>
        <v>sawing slurry</v>
      </c>
      <c r="C251" t="s">
        <v>77</v>
      </c>
      <c r="D251" s="1">
        <v>1</v>
      </c>
      <c r="E251" t="str">
        <f>B247</f>
        <v>kilogram</v>
      </c>
      <c r="F251" t="s">
        <v>218</v>
      </c>
      <c r="G251" t="s">
        <v>10</v>
      </c>
    </row>
    <row r="252" spans="1:9" x14ac:dyDescent="0.2">
      <c r="A252" s="9" t="s">
        <v>156</v>
      </c>
      <c r="B252" s="9" t="s">
        <v>158</v>
      </c>
      <c r="C252" t="s">
        <v>96</v>
      </c>
      <c r="D252" s="10">
        <v>0.5</v>
      </c>
      <c r="E252" t="s">
        <v>5</v>
      </c>
      <c r="F252" t="s">
        <v>21</v>
      </c>
      <c r="G252" t="s">
        <v>16</v>
      </c>
      <c r="I252" s="9" t="s">
        <v>157</v>
      </c>
    </row>
    <row r="253" spans="1:9" x14ac:dyDescent="0.2">
      <c r="A253" s="9" t="s">
        <v>264</v>
      </c>
      <c r="B253" s="9" t="s">
        <v>160</v>
      </c>
      <c r="C253" t="s">
        <v>73</v>
      </c>
      <c r="D253" s="10">
        <v>0.5</v>
      </c>
      <c r="E253" t="s">
        <v>5</v>
      </c>
      <c r="F253" t="s">
        <v>21</v>
      </c>
      <c r="G253" t="s">
        <v>16</v>
      </c>
      <c r="I253" s="9" t="s">
        <v>159</v>
      </c>
    </row>
    <row r="254" spans="1:9" x14ac:dyDescent="0.2">
      <c r="B254" s="9"/>
      <c r="C254" s="9"/>
      <c r="D254" s="14"/>
      <c r="E254" s="9"/>
    </row>
    <row r="255" spans="1:9" x14ac:dyDescent="0.2">
      <c r="A255" s="2" t="s">
        <v>0</v>
      </c>
      <c r="B255" s="2" t="s">
        <v>255</v>
      </c>
    </row>
    <row r="256" spans="1:9" x14ac:dyDescent="0.2">
      <c r="A256" t="s">
        <v>238</v>
      </c>
      <c r="B256" t="s">
        <v>245</v>
      </c>
    </row>
    <row r="257" spans="1:9" x14ac:dyDescent="0.2">
      <c r="A257" t="s">
        <v>2</v>
      </c>
      <c r="B257" s="9" t="s">
        <v>44</v>
      </c>
    </row>
    <row r="258" spans="1:9" x14ac:dyDescent="0.2">
      <c r="A258" t="s">
        <v>14</v>
      </c>
      <c r="B258" t="s">
        <v>59</v>
      </c>
    </row>
    <row r="259" spans="1:9" x14ac:dyDescent="0.2">
      <c r="A259" t="s">
        <v>1</v>
      </c>
      <c r="B259" t="s">
        <v>77</v>
      </c>
    </row>
    <row r="260" spans="1:9" x14ac:dyDescent="0.2">
      <c r="A260" t="s">
        <v>8</v>
      </c>
      <c r="B260">
        <v>1</v>
      </c>
    </row>
    <row r="261" spans="1:9" x14ac:dyDescent="0.2">
      <c r="A261" t="s">
        <v>4</v>
      </c>
      <c r="B261" t="s">
        <v>19</v>
      </c>
    </row>
    <row r="262" spans="1:9" x14ac:dyDescent="0.2">
      <c r="A262" t="s">
        <v>239</v>
      </c>
      <c r="B262" t="s">
        <v>240</v>
      </c>
    </row>
    <row r="263" spans="1:9" x14ac:dyDescent="0.2">
      <c r="A263" s="2" t="s">
        <v>6</v>
      </c>
    </row>
    <row r="264" spans="1:9" x14ac:dyDescent="0.2">
      <c r="A264" s="2" t="s">
        <v>7</v>
      </c>
      <c r="B264" s="2" t="s">
        <v>2</v>
      </c>
      <c r="C264" s="2" t="s">
        <v>1</v>
      </c>
      <c r="D264" s="3" t="s">
        <v>8</v>
      </c>
      <c r="E264" s="2" t="s">
        <v>4</v>
      </c>
      <c r="F264" s="2" t="s">
        <v>13</v>
      </c>
      <c r="G264" s="2" t="s">
        <v>3</v>
      </c>
      <c r="H264" s="2" t="s">
        <v>9</v>
      </c>
      <c r="I264" s="2" t="s">
        <v>238</v>
      </c>
    </row>
    <row r="265" spans="1:9" x14ac:dyDescent="0.2">
      <c r="A265" t="str">
        <f>B255</f>
        <v>etched GaAs wafer production - cleaning, etching</v>
      </c>
      <c r="B265" t="str">
        <f>B257</f>
        <v>etched GaAs wafer</v>
      </c>
      <c r="C265" t="s">
        <v>77</v>
      </c>
      <c r="D265" s="1">
        <f>B260</f>
        <v>1</v>
      </c>
      <c r="E265" t="str">
        <f>B261</f>
        <v>square meter</v>
      </c>
      <c r="F265" t="s">
        <v>218</v>
      </c>
      <c r="G265" t="s">
        <v>10</v>
      </c>
    </row>
    <row r="266" spans="1:9" x14ac:dyDescent="0.2">
      <c r="A266" t="s">
        <v>253</v>
      </c>
      <c r="B266" s="9" t="s">
        <v>42</v>
      </c>
      <c r="C266" t="s">
        <v>77</v>
      </c>
      <c r="D266" s="10">
        <v>1</v>
      </c>
      <c r="E266" t="s">
        <v>19</v>
      </c>
      <c r="F266" t="s">
        <v>218</v>
      </c>
      <c r="G266" t="s">
        <v>16</v>
      </c>
      <c r="I266" s="9"/>
    </row>
    <row r="267" spans="1:9" x14ac:dyDescent="0.2">
      <c r="A267" s="9" t="s">
        <v>162</v>
      </c>
      <c r="B267" s="9" t="s">
        <v>163</v>
      </c>
      <c r="C267" t="s">
        <v>96</v>
      </c>
      <c r="D267" s="10">
        <v>88.888889000000006</v>
      </c>
      <c r="E267" t="s">
        <v>5</v>
      </c>
      <c r="F267" t="s">
        <v>21</v>
      </c>
      <c r="G267" t="s">
        <v>16</v>
      </c>
      <c r="I267" s="9"/>
    </row>
    <row r="268" spans="1:9" x14ac:dyDescent="0.2">
      <c r="A268" s="9" t="s">
        <v>170</v>
      </c>
      <c r="B268" s="9" t="s">
        <v>172</v>
      </c>
      <c r="C268" t="s">
        <v>73</v>
      </c>
      <c r="D268" s="10">
        <v>1.2888888999999999</v>
      </c>
      <c r="E268" t="s">
        <v>5</v>
      </c>
      <c r="F268" t="s">
        <v>21</v>
      </c>
      <c r="G268" t="s">
        <v>16</v>
      </c>
      <c r="I268" t="s">
        <v>171</v>
      </c>
    </row>
    <row r="269" spans="1:9" x14ac:dyDescent="0.2">
      <c r="A269" s="9" t="s">
        <v>110</v>
      </c>
      <c r="B269" s="9" t="s">
        <v>43</v>
      </c>
      <c r="C269" t="s">
        <v>96</v>
      </c>
      <c r="D269" s="10">
        <v>1.0222222000000001</v>
      </c>
      <c r="E269" t="s">
        <v>5</v>
      </c>
      <c r="F269" t="s">
        <v>21</v>
      </c>
      <c r="G269" t="s">
        <v>16</v>
      </c>
      <c r="I269" t="s">
        <v>173</v>
      </c>
    </row>
    <row r="270" spans="1:9" x14ac:dyDescent="0.2">
      <c r="A270" t="s">
        <v>120</v>
      </c>
      <c r="B270" t="s">
        <v>117</v>
      </c>
      <c r="C270" t="s">
        <v>119</v>
      </c>
      <c r="D270" s="10">
        <v>0.97777780000000003</v>
      </c>
      <c r="E270" s="9" t="s">
        <v>15</v>
      </c>
      <c r="F270" t="s">
        <v>21</v>
      </c>
      <c r="G270" t="s">
        <v>16</v>
      </c>
      <c r="I270" t="s">
        <v>168</v>
      </c>
    </row>
    <row r="271" spans="1:9" x14ac:dyDescent="0.2">
      <c r="A271" t="s">
        <v>120</v>
      </c>
      <c r="B271" t="s">
        <v>117</v>
      </c>
      <c r="C271" t="s">
        <v>119</v>
      </c>
      <c r="D271" s="10">
        <v>1.9851852000000001</v>
      </c>
      <c r="E271" s="9" t="s">
        <v>15</v>
      </c>
      <c r="F271" t="s">
        <v>21</v>
      </c>
      <c r="G271" t="s">
        <v>16</v>
      </c>
      <c r="I271" t="s">
        <v>169</v>
      </c>
    </row>
    <row r="272" spans="1:9" x14ac:dyDescent="0.2">
      <c r="A272" s="9" t="s">
        <v>127</v>
      </c>
      <c r="B272" s="9" t="s">
        <v>126</v>
      </c>
      <c r="C272" t="s">
        <v>96</v>
      </c>
      <c r="D272" s="14">
        <v>-0.88888889999999998</v>
      </c>
      <c r="E272" t="s">
        <v>5</v>
      </c>
      <c r="F272" t="s">
        <v>21</v>
      </c>
      <c r="G272" t="s">
        <v>16</v>
      </c>
      <c r="I272" t="s">
        <v>149</v>
      </c>
    </row>
    <row r="273" spans="1:9" x14ac:dyDescent="0.2">
      <c r="A273" s="9"/>
      <c r="B273" s="9"/>
      <c r="C273" s="13"/>
      <c r="D273" s="14"/>
      <c r="E273" s="9"/>
    </row>
    <row r="274" spans="1:9" x14ac:dyDescent="0.2">
      <c r="A274" s="2" t="s">
        <v>0</v>
      </c>
      <c r="B274" s="11" t="s">
        <v>256</v>
      </c>
    </row>
    <row r="275" spans="1:9" x14ac:dyDescent="0.2">
      <c r="A275" t="s">
        <v>238</v>
      </c>
      <c r="B275" t="s">
        <v>245</v>
      </c>
    </row>
    <row r="276" spans="1:9" x14ac:dyDescent="0.2">
      <c r="A276" t="s">
        <v>2</v>
      </c>
      <c r="B276" s="9" t="s">
        <v>45</v>
      </c>
    </row>
    <row r="277" spans="1:9" x14ac:dyDescent="0.2">
      <c r="A277" t="s">
        <v>14</v>
      </c>
      <c r="B277" t="s">
        <v>60</v>
      </c>
    </row>
    <row r="278" spans="1:9" x14ac:dyDescent="0.2">
      <c r="A278" t="s">
        <v>1</v>
      </c>
      <c r="B278" t="s">
        <v>77</v>
      </c>
    </row>
    <row r="279" spans="1:9" x14ac:dyDescent="0.2">
      <c r="A279" t="s">
        <v>8</v>
      </c>
      <c r="B279">
        <v>1</v>
      </c>
    </row>
    <row r="280" spans="1:9" x14ac:dyDescent="0.2">
      <c r="A280" t="s">
        <v>4</v>
      </c>
      <c r="B280" t="s">
        <v>19</v>
      </c>
    </row>
    <row r="281" spans="1:9" x14ac:dyDescent="0.2">
      <c r="A281" t="s">
        <v>239</v>
      </c>
      <c r="B281" t="s">
        <v>240</v>
      </c>
    </row>
    <row r="282" spans="1:9" x14ac:dyDescent="0.2">
      <c r="A282" s="2" t="s">
        <v>6</v>
      </c>
    </row>
    <row r="283" spans="1:9" x14ac:dyDescent="0.2">
      <c r="A283" s="2" t="s">
        <v>7</v>
      </c>
      <c r="B283" s="2" t="s">
        <v>2</v>
      </c>
      <c r="C283" s="2" t="s">
        <v>1</v>
      </c>
      <c r="D283" s="3" t="s">
        <v>8</v>
      </c>
      <c r="E283" s="2" t="s">
        <v>4</v>
      </c>
      <c r="F283" s="2" t="s">
        <v>13</v>
      </c>
      <c r="G283" s="2" t="s">
        <v>3</v>
      </c>
      <c r="H283" s="2" t="s">
        <v>9</v>
      </c>
      <c r="I283" s="2" t="s">
        <v>238</v>
      </c>
    </row>
    <row r="284" spans="1:9" x14ac:dyDescent="0.2">
      <c r="A284" t="str">
        <f>B274</f>
        <v>pre-polished GaAs wafer production</v>
      </c>
      <c r="B284" t="str">
        <f>B276</f>
        <v>pre-polished GaAs wafer</v>
      </c>
      <c r="C284" t="s">
        <v>77</v>
      </c>
      <c r="D284" s="1">
        <f>B279</f>
        <v>1</v>
      </c>
      <c r="E284" t="str">
        <f>B280</f>
        <v>square meter</v>
      </c>
      <c r="F284" t="s">
        <v>218</v>
      </c>
      <c r="G284" t="s">
        <v>10</v>
      </c>
    </row>
    <row r="285" spans="1:9" x14ac:dyDescent="0.2">
      <c r="A285" t="s">
        <v>255</v>
      </c>
      <c r="B285" s="9" t="s">
        <v>44</v>
      </c>
      <c r="C285" t="s">
        <v>77</v>
      </c>
      <c r="D285" s="10">
        <v>1</v>
      </c>
      <c r="E285" t="s">
        <v>19</v>
      </c>
      <c r="F285" t="s">
        <v>218</v>
      </c>
      <c r="G285" t="s">
        <v>16</v>
      </c>
      <c r="I285" s="9"/>
    </row>
    <row r="286" spans="1:9" x14ac:dyDescent="0.2">
      <c r="A286" s="9" t="s">
        <v>113</v>
      </c>
      <c r="B286" s="9" t="s">
        <v>167</v>
      </c>
      <c r="C286" t="s">
        <v>73</v>
      </c>
      <c r="D286" s="10">
        <v>9.3036999999999998E-3</v>
      </c>
      <c r="E286" t="s">
        <v>5</v>
      </c>
      <c r="F286" t="s">
        <v>21</v>
      </c>
      <c r="G286" t="s">
        <v>16</v>
      </c>
      <c r="I286" s="9" t="s">
        <v>166</v>
      </c>
    </row>
    <row r="287" spans="1:9" x14ac:dyDescent="0.2">
      <c r="A287" t="s">
        <v>254</v>
      </c>
      <c r="B287" s="9" t="s">
        <v>41</v>
      </c>
      <c r="C287" t="s">
        <v>77</v>
      </c>
      <c r="D287" s="10">
        <v>29.925926</v>
      </c>
      <c r="E287" t="s">
        <v>5</v>
      </c>
      <c r="F287" t="s">
        <v>218</v>
      </c>
      <c r="G287" t="s">
        <v>16</v>
      </c>
      <c r="I287" s="9"/>
    </row>
    <row r="288" spans="1:9" x14ac:dyDescent="0.2">
      <c r="A288" t="s">
        <v>120</v>
      </c>
      <c r="B288" t="s">
        <v>117</v>
      </c>
      <c r="C288" t="s">
        <v>119</v>
      </c>
      <c r="D288" s="10">
        <v>9.7777778000000009</v>
      </c>
      <c r="E288" s="9" t="s">
        <v>15</v>
      </c>
      <c r="F288" t="s">
        <v>21</v>
      </c>
      <c r="G288" t="s">
        <v>16</v>
      </c>
      <c r="I288" t="s">
        <v>161</v>
      </c>
    </row>
    <row r="289" spans="1:9" x14ac:dyDescent="0.2">
      <c r="A289" s="9" t="s">
        <v>127</v>
      </c>
      <c r="B289" s="9" t="s">
        <v>126</v>
      </c>
      <c r="C289" t="s">
        <v>96</v>
      </c>
      <c r="D289" s="10">
        <v>-1.4814814999999999</v>
      </c>
      <c r="E289" t="s">
        <v>5</v>
      </c>
      <c r="F289" t="s">
        <v>21</v>
      </c>
      <c r="G289" t="s">
        <v>16</v>
      </c>
      <c r="I289" t="s">
        <v>149</v>
      </c>
    </row>
    <row r="290" spans="1:9" x14ac:dyDescent="0.2">
      <c r="A290" s="9"/>
      <c r="B290" s="9"/>
      <c r="C290" s="13"/>
      <c r="D290" s="14"/>
      <c r="E290" s="9"/>
    </row>
    <row r="291" spans="1:9" x14ac:dyDescent="0.2">
      <c r="A291" s="2" t="s">
        <v>0</v>
      </c>
      <c r="B291" s="11" t="s">
        <v>257</v>
      </c>
    </row>
    <row r="292" spans="1:9" x14ac:dyDescent="0.2">
      <c r="A292" t="s">
        <v>238</v>
      </c>
      <c r="B292" t="s">
        <v>245</v>
      </c>
    </row>
    <row r="293" spans="1:9" x14ac:dyDescent="0.2">
      <c r="A293" t="s">
        <v>2</v>
      </c>
      <c r="B293" s="9" t="s">
        <v>46</v>
      </c>
    </row>
    <row r="294" spans="1:9" x14ac:dyDescent="0.2">
      <c r="A294" t="s">
        <v>14</v>
      </c>
      <c r="B294" t="s">
        <v>61</v>
      </c>
    </row>
    <row r="295" spans="1:9" x14ac:dyDescent="0.2">
      <c r="A295" t="s">
        <v>1</v>
      </c>
      <c r="B295" t="s">
        <v>77</v>
      </c>
    </row>
    <row r="296" spans="1:9" x14ac:dyDescent="0.2">
      <c r="A296" t="s">
        <v>8</v>
      </c>
      <c r="B296">
        <v>1</v>
      </c>
    </row>
    <row r="297" spans="1:9" x14ac:dyDescent="0.2">
      <c r="A297" t="s">
        <v>4</v>
      </c>
      <c r="B297" t="s">
        <v>19</v>
      </c>
    </row>
    <row r="298" spans="1:9" x14ac:dyDescent="0.2">
      <c r="A298" t="s">
        <v>239</v>
      </c>
      <c r="B298" t="s">
        <v>240</v>
      </c>
    </row>
    <row r="299" spans="1:9" x14ac:dyDescent="0.2">
      <c r="A299" s="2" t="s">
        <v>6</v>
      </c>
    </row>
    <row r="300" spans="1:9" x14ac:dyDescent="0.2">
      <c r="A300" s="2" t="s">
        <v>7</v>
      </c>
      <c r="B300" s="2" t="s">
        <v>2</v>
      </c>
      <c r="C300" s="2" t="s">
        <v>1</v>
      </c>
      <c r="D300" s="3" t="s">
        <v>8</v>
      </c>
      <c r="E300" s="2" t="s">
        <v>4</v>
      </c>
      <c r="F300" s="2" t="s">
        <v>13</v>
      </c>
      <c r="G300" s="2" t="s">
        <v>3</v>
      </c>
      <c r="H300" s="2" t="s">
        <v>9</v>
      </c>
      <c r="I300" s="2" t="s">
        <v>238</v>
      </c>
    </row>
    <row r="301" spans="1:9" x14ac:dyDescent="0.2">
      <c r="A301" t="str">
        <f>B291</f>
        <v>double-polished GaAs wafer production - chemical, mechanical polishing (CMP)</v>
      </c>
      <c r="B301" t="str">
        <f>B293</f>
        <v>double-polished GaAs wafer</v>
      </c>
      <c r="C301" t="s">
        <v>77</v>
      </c>
      <c r="D301" s="1">
        <f>B296</f>
        <v>1</v>
      </c>
      <c r="E301" t="str">
        <f>B297</f>
        <v>square meter</v>
      </c>
      <c r="F301" t="s">
        <v>218</v>
      </c>
      <c r="G301" t="s">
        <v>10</v>
      </c>
    </row>
    <row r="302" spans="1:9" x14ac:dyDescent="0.2">
      <c r="A302" s="9" t="s">
        <v>256</v>
      </c>
      <c r="B302" s="9" t="s">
        <v>45</v>
      </c>
      <c r="C302" t="s">
        <v>77</v>
      </c>
      <c r="D302" s="10">
        <v>1</v>
      </c>
      <c r="E302" t="s">
        <v>19</v>
      </c>
      <c r="F302" t="s">
        <v>218</v>
      </c>
      <c r="G302" t="s">
        <v>16</v>
      </c>
      <c r="I302" s="9"/>
    </row>
    <row r="303" spans="1:9" x14ac:dyDescent="0.2">
      <c r="A303" s="9" t="s">
        <v>113</v>
      </c>
      <c r="B303" s="9" t="s">
        <v>167</v>
      </c>
      <c r="C303" t="s">
        <v>73</v>
      </c>
      <c r="D303" s="10">
        <v>1.8666700000000001E-2</v>
      </c>
      <c r="E303" t="s">
        <v>5</v>
      </c>
      <c r="F303" t="s">
        <v>21</v>
      </c>
      <c r="G303" t="s">
        <v>16</v>
      </c>
      <c r="I303" s="9" t="s">
        <v>166</v>
      </c>
    </row>
    <row r="304" spans="1:9" x14ac:dyDescent="0.2">
      <c r="A304" s="9" t="s">
        <v>258</v>
      </c>
      <c r="B304" s="9" t="s">
        <v>35</v>
      </c>
      <c r="C304" t="s">
        <v>77</v>
      </c>
      <c r="D304" s="10">
        <v>23.703703999999998</v>
      </c>
      <c r="E304" t="s">
        <v>5</v>
      </c>
      <c r="F304" t="s">
        <v>218</v>
      </c>
      <c r="G304" t="s">
        <v>16</v>
      </c>
      <c r="I304" s="9"/>
    </row>
    <row r="305" spans="1:9" x14ac:dyDescent="0.2">
      <c r="A305" t="s">
        <v>120</v>
      </c>
      <c r="B305" t="s">
        <v>117</v>
      </c>
      <c r="C305" t="s">
        <v>119</v>
      </c>
      <c r="D305" s="10">
        <v>48.888888999999999</v>
      </c>
      <c r="E305" s="9" t="s">
        <v>15</v>
      </c>
      <c r="F305" t="s">
        <v>21</v>
      </c>
      <c r="G305" t="s">
        <v>16</v>
      </c>
      <c r="I305" t="s">
        <v>161</v>
      </c>
    </row>
    <row r="306" spans="1:9" x14ac:dyDescent="0.2">
      <c r="A306" s="9" t="s">
        <v>127</v>
      </c>
      <c r="B306" s="9" t="s">
        <v>126</v>
      </c>
      <c r="C306" t="s">
        <v>96</v>
      </c>
      <c r="D306" s="10">
        <v>-7.4074074000000003</v>
      </c>
      <c r="E306" t="s">
        <v>5</v>
      </c>
      <c r="F306" t="s">
        <v>21</v>
      </c>
      <c r="G306" t="s">
        <v>16</v>
      </c>
      <c r="I306" t="s">
        <v>149</v>
      </c>
    </row>
    <row r="307" spans="1:9" x14ac:dyDescent="0.2">
      <c r="A307" s="9"/>
      <c r="B307" s="9"/>
      <c r="C307" s="13"/>
      <c r="D307" s="14"/>
      <c r="E307" s="9"/>
    </row>
    <row r="308" spans="1:9" x14ac:dyDescent="0.2">
      <c r="A308" s="2" t="s">
        <v>0</v>
      </c>
      <c r="B308" s="11" t="s">
        <v>258</v>
      </c>
    </row>
    <row r="309" spans="1:9" x14ac:dyDescent="0.2">
      <c r="A309" t="s">
        <v>238</v>
      </c>
      <c r="B309" t="s">
        <v>245</v>
      </c>
    </row>
    <row r="310" spans="1:9" x14ac:dyDescent="0.2">
      <c r="A310" t="s">
        <v>2</v>
      </c>
      <c r="B310" s="9" t="s">
        <v>35</v>
      </c>
    </row>
    <row r="311" spans="1:9" x14ac:dyDescent="0.2">
      <c r="A311" t="s">
        <v>14</v>
      </c>
      <c r="B311" t="s">
        <v>62</v>
      </c>
    </row>
    <row r="312" spans="1:9" x14ac:dyDescent="0.2">
      <c r="A312" t="s">
        <v>1</v>
      </c>
      <c r="B312" t="s">
        <v>77</v>
      </c>
    </row>
    <row r="313" spans="1:9" x14ac:dyDescent="0.2">
      <c r="A313" t="s">
        <v>8</v>
      </c>
      <c r="B313">
        <v>1</v>
      </c>
    </row>
    <row r="314" spans="1:9" x14ac:dyDescent="0.2">
      <c r="A314" t="s">
        <v>4</v>
      </c>
      <c r="B314" t="s">
        <v>5</v>
      </c>
    </row>
    <row r="315" spans="1:9" x14ac:dyDescent="0.2">
      <c r="A315" t="s">
        <v>239</v>
      </c>
      <c r="B315" t="s">
        <v>240</v>
      </c>
    </row>
    <row r="316" spans="1:9" x14ac:dyDescent="0.2">
      <c r="A316" s="2" t="s">
        <v>6</v>
      </c>
    </row>
    <row r="317" spans="1:9" x14ac:dyDescent="0.2">
      <c r="A317" s="2" t="s">
        <v>7</v>
      </c>
      <c r="B317" s="2" t="s">
        <v>2</v>
      </c>
      <c r="C317" s="2" t="s">
        <v>1</v>
      </c>
      <c r="D317" s="3" t="s">
        <v>8</v>
      </c>
      <c r="E317" s="2" t="s">
        <v>4</v>
      </c>
      <c r="F317" s="2" t="s">
        <v>13</v>
      </c>
      <c r="G317" s="2" t="s">
        <v>3</v>
      </c>
      <c r="H317" s="2" t="s">
        <v>9</v>
      </c>
      <c r="I317" s="2" t="s">
        <v>238</v>
      </c>
    </row>
    <row r="318" spans="1:9" x14ac:dyDescent="0.2">
      <c r="A318" t="str">
        <f>B308</f>
        <v>CMP slurry production</v>
      </c>
      <c r="B318" t="str">
        <f>B310</f>
        <v>CMP slurry</v>
      </c>
      <c r="C318" t="s">
        <v>77</v>
      </c>
      <c r="D318" s="1">
        <f>B313</f>
        <v>1</v>
      </c>
      <c r="E318" t="str">
        <f>B314</f>
        <v>kilogram</v>
      </c>
      <c r="F318" t="s">
        <v>218</v>
      </c>
      <c r="G318" t="s">
        <v>10</v>
      </c>
    </row>
    <row r="319" spans="1:9" x14ac:dyDescent="0.2">
      <c r="A319" s="9" t="s">
        <v>156</v>
      </c>
      <c r="B319" s="9" t="s">
        <v>158</v>
      </c>
      <c r="C319" t="s">
        <v>96</v>
      </c>
      <c r="D319" s="10">
        <v>0.5</v>
      </c>
      <c r="E319" t="s">
        <v>5</v>
      </c>
      <c r="F319" t="s">
        <v>21</v>
      </c>
      <c r="G319" t="s">
        <v>16</v>
      </c>
      <c r="I319" s="9" t="s">
        <v>157</v>
      </c>
    </row>
    <row r="320" spans="1:9" x14ac:dyDescent="0.2">
      <c r="A320" s="9" t="s">
        <v>162</v>
      </c>
      <c r="B320" s="9" t="s">
        <v>163</v>
      </c>
      <c r="C320" t="s">
        <v>96</v>
      </c>
      <c r="D320" s="10">
        <v>0.25</v>
      </c>
      <c r="E320" t="s">
        <v>5</v>
      </c>
      <c r="F320" t="s">
        <v>21</v>
      </c>
      <c r="G320" t="s">
        <v>16</v>
      </c>
      <c r="I320" s="9"/>
    </row>
    <row r="321" spans="1:9" x14ac:dyDescent="0.2">
      <c r="A321" t="s">
        <v>101</v>
      </c>
      <c r="B321" t="s">
        <v>47</v>
      </c>
      <c r="C321" t="s">
        <v>73</v>
      </c>
      <c r="D321" s="10">
        <v>0.25</v>
      </c>
      <c r="E321" t="s">
        <v>5</v>
      </c>
      <c r="F321" t="s">
        <v>21</v>
      </c>
      <c r="G321" t="s">
        <v>16</v>
      </c>
    </row>
    <row r="322" spans="1:9" x14ac:dyDescent="0.2">
      <c r="A322" s="9"/>
      <c r="B322" s="9"/>
      <c r="C322" s="13"/>
      <c r="D322" s="14"/>
      <c r="E322" s="9"/>
      <c r="F322" s="9"/>
      <c r="G322" s="9"/>
      <c r="H322" s="13"/>
      <c r="I322" s="9"/>
    </row>
    <row r="323" spans="1:9" x14ac:dyDescent="0.2">
      <c r="A323" s="2" t="s">
        <v>0</v>
      </c>
      <c r="B323" s="11" t="s">
        <v>259</v>
      </c>
    </row>
    <row r="324" spans="1:9" x14ac:dyDescent="0.2">
      <c r="A324" t="s">
        <v>238</v>
      </c>
      <c r="B324" t="s">
        <v>245</v>
      </c>
    </row>
    <row r="325" spans="1:9" x14ac:dyDescent="0.2">
      <c r="A325" t="s">
        <v>2</v>
      </c>
      <c r="B325" s="9" t="s">
        <v>48</v>
      </c>
    </row>
    <row r="326" spans="1:9" x14ac:dyDescent="0.2">
      <c r="A326" t="s">
        <v>14</v>
      </c>
      <c r="B326" t="s">
        <v>63</v>
      </c>
    </row>
    <row r="327" spans="1:9" x14ac:dyDescent="0.2">
      <c r="A327" t="s">
        <v>1</v>
      </c>
      <c r="B327" t="s">
        <v>77</v>
      </c>
    </row>
    <row r="328" spans="1:9" x14ac:dyDescent="0.2">
      <c r="A328" t="s">
        <v>8</v>
      </c>
      <c r="B328">
        <v>1</v>
      </c>
    </row>
    <row r="329" spans="1:9" x14ac:dyDescent="0.2">
      <c r="A329" t="s">
        <v>4</v>
      </c>
      <c r="B329" t="s">
        <v>19</v>
      </c>
    </row>
    <row r="330" spans="1:9" x14ac:dyDescent="0.2">
      <c r="A330" t="s">
        <v>239</v>
      </c>
      <c r="B330" t="s">
        <v>240</v>
      </c>
    </row>
    <row r="331" spans="1:9" x14ac:dyDescent="0.2">
      <c r="A331" s="2" t="s">
        <v>6</v>
      </c>
    </row>
    <row r="332" spans="1:9" x14ac:dyDescent="0.2">
      <c r="A332" s="2" t="s">
        <v>7</v>
      </c>
      <c r="B332" s="2" t="s">
        <v>2</v>
      </c>
      <c r="C332" s="2" t="s">
        <v>1</v>
      </c>
      <c r="D332" s="3" t="s">
        <v>8</v>
      </c>
      <c r="E332" s="2" t="s">
        <v>4</v>
      </c>
      <c r="F332" s="2" t="s">
        <v>13</v>
      </c>
      <c r="G332" s="2" t="s">
        <v>3</v>
      </c>
      <c r="H332" s="2" t="s">
        <v>9</v>
      </c>
      <c r="I332" s="2" t="s">
        <v>238</v>
      </c>
    </row>
    <row r="333" spans="1:9" x14ac:dyDescent="0.2">
      <c r="A333" t="str">
        <f>B323</f>
        <v>GaAs wafer production - cleaning, quality control, packing</v>
      </c>
      <c r="B333" t="str">
        <f>B325</f>
        <v>GaAs wafer</v>
      </c>
      <c r="C333" t="s">
        <v>77</v>
      </c>
      <c r="D333" s="1">
        <f>B328</f>
        <v>1</v>
      </c>
      <c r="E333" t="str">
        <f>B329</f>
        <v>square meter</v>
      </c>
      <c r="F333" t="s">
        <v>218</v>
      </c>
      <c r="G333" t="s">
        <v>10</v>
      </c>
    </row>
    <row r="334" spans="1:9" x14ac:dyDescent="0.2">
      <c r="A334" s="9" t="s">
        <v>257</v>
      </c>
      <c r="B334" s="9" t="s">
        <v>46</v>
      </c>
      <c r="C334" t="s">
        <v>77</v>
      </c>
      <c r="D334" s="10">
        <v>1</v>
      </c>
      <c r="E334" t="s">
        <v>19</v>
      </c>
      <c r="F334" t="s">
        <v>218</v>
      </c>
      <c r="G334" t="s">
        <v>16</v>
      </c>
      <c r="I334" s="9"/>
    </row>
    <row r="335" spans="1:9" x14ac:dyDescent="0.2">
      <c r="A335" s="9" t="s">
        <v>162</v>
      </c>
      <c r="B335" s="9" t="s">
        <v>163</v>
      </c>
      <c r="C335" t="s">
        <v>96</v>
      </c>
      <c r="D335" s="10">
        <v>88.888889000000006</v>
      </c>
      <c r="E335" t="s">
        <v>5</v>
      </c>
      <c r="F335" t="s">
        <v>21</v>
      </c>
      <c r="G335" t="s">
        <v>16</v>
      </c>
      <c r="I335" s="9"/>
    </row>
    <row r="336" spans="1:9" x14ac:dyDescent="0.2">
      <c r="A336" t="s">
        <v>101</v>
      </c>
      <c r="B336" t="s">
        <v>47</v>
      </c>
      <c r="C336" t="s">
        <v>73</v>
      </c>
      <c r="D336" s="10">
        <v>5.9555556000000003</v>
      </c>
      <c r="E336" t="s">
        <v>5</v>
      </c>
      <c r="F336" t="s">
        <v>21</v>
      </c>
      <c r="G336" t="s">
        <v>16</v>
      </c>
      <c r="I336" s="9"/>
    </row>
    <row r="337" spans="1:9" x14ac:dyDescent="0.2">
      <c r="A337" s="9" t="s">
        <v>176</v>
      </c>
      <c r="B337" s="9" t="s">
        <v>175</v>
      </c>
      <c r="C337" t="s">
        <v>73</v>
      </c>
      <c r="D337" s="10">
        <v>0.1226667</v>
      </c>
      <c r="E337" t="s">
        <v>5</v>
      </c>
      <c r="F337" t="s">
        <v>21</v>
      </c>
      <c r="G337" t="s">
        <v>16</v>
      </c>
      <c r="I337" t="s">
        <v>174</v>
      </c>
    </row>
    <row r="338" spans="1:9" x14ac:dyDescent="0.2">
      <c r="A338" s="9" t="s">
        <v>180</v>
      </c>
      <c r="B338" s="9" t="s">
        <v>178</v>
      </c>
      <c r="C338" t="s">
        <v>179</v>
      </c>
      <c r="D338" s="10">
        <v>1.4222E-3</v>
      </c>
      <c r="E338" t="s">
        <v>5</v>
      </c>
      <c r="F338" t="s">
        <v>21</v>
      </c>
      <c r="G338" t="s">
        <v>16</v>
      </c>
      <c r="I338" t="s">
        <v>177</v>
      </c>
    </row>
    <row r="339" spans="1:9" x14ac:dyDescent="0.2">
      <c r="A339" s="9" t="s">
        <v>183</v>
      </c>
      <c r="B339" s="9" t="s">
        <v>182</v>
      </c>
      <c r="C339" t="s">
        <v>73</v>
      </c>
      <c r="D339" s="10">
        <v>0.17777780000000001</v>
      </c>
      <c r="E339" t="s">
        <v>5</v>
      </c>
      <c r="F339" t="s">
        <v>21</v>
      </c>
      <c r="G339" t="s">
        <v>16</v>
      </c>
      <c r="I339" t="s">
        <v>181</v>
      </c>
    </row>
    <row r="340" spans="1:9" x14ac:dyDescent="0.2">
      <c r="A340" t="s">
        <v>120</v>
      </c>
      <c r="B340" t="s">
        <v>117</v>
      </c>
      <c r="C340" t="s">
        <v>119</v>
      </c>
      <c r="D340" s="10">
        <v>8.8888888999999995</v>
      </c>
      <c r="E340" t="s">
        <v>15</v>
      </c>
      <c r="F340" t="s">
        <v>21</v>
      </c>
      <c r="G340" t="s">
        <v>16</v>
      </c>
      <c r="I340" t="s">
        <v>164</v>
      </c>
    </row>
    <row r="341" spans="1:9" x14ac:dyDescent="0.2">
      <c r="A341" t="s">
        <v>120</v>
      </c>
      <c r="B341" t="s">
        <v>117</v>
      </c>
      <c r="C341" t="s">
        <v>119</v>
      </c>
      <c r="D341" s="10">
        <v>8.8888888999999995</v>
      </c>
      <c r="E341" t="s">
        <v>15</v>
      </c>
      <c r="F341" t="s">
        <v>21</v>
      </c>
      <c r="G341" t="s">
        <v>16</v>
      </c>
      <c r="I341" t="s">
        <v>165</v>
      </c>
    </row>
    <row r="343" spans="1:9" x14ac:dyDescent="0.2">
      <c r="A343" s="2" t="s">
        <v>0</v>
      </c>
      <c r="B343" s="20" t="s">
        <v>260</v>
      </c>
    </row>
    <row r="344" spans="1:9" x14ac:dyDescent="0.2">
      <c r="A344" t="s">
        <v>238</v>
      </c>
      <c r="B344" t="s">
        <v>245</v>
      </c>
    </row>
    <row r="345" spans="1:9" x14ac:dyDescent="0.2">
      <c r="A345" t="s">
        <v>2</v>
      </c>
      <c r="B345" s="8" t="s">
        <v>67</v>
      </c>
    </row>
    <row r="346" spans="1:9" x14ac:dyDescent="0.2">
      <c r="A346" t="s">
        <v>14</v>
      </c>
      <c r="B346" t="s">
        <v>68</v>
      </c>
    </row>
    <row r="347" spans="1:9" x14ac:dyDescent="0.2">
      <c r="A347" t="s">
        <v>1</v>
      </c>
      <c r="B347" t="s">
        <v>77</v>
      </c>
    </row>
    <row r="348" spans="1:9" x14ac:dyDescent="0.2">
      <c r="A348" t="s">
        <v>8</v>
      </c>
      <c r="B348">
        <v>1</v>
      </c>
    </row>
    <row r="349" spans="1:9" x14ac:dyDescent="0.2">
      <c r="A349" t="s">
        <v>4</v>
      </c>
      <c r="B349" t="s">
        <v>70</v>
      </c>
    </row>
    <row r="350" spans="1:9" x14ac:dyDescent="0.2">
      <c r="A350" t="s">
        <v>239</v>
      </c>
      <c r="B350" t="s">
        <v>240</v>
      </c>
    </row>
    <row r="351" spans="1:9" x14ac:dyDescent="0.2">
      <c r="A351" s="2" t="s">
        <v>6</v>
      </c>
    </row>
    <row r="352" spans="1:9" x14ac:dyDescent="0.2">
      <c r="A352" s="2" t="s">
        <v>7</v>
      </c>
      <c r="B352" s="2" t="s">
        <v>2</v>
      </c>
      <c r="C352" s="2" t="s">
        <v>1</v>
      </c>
      <c r="D352" s="3" t="s">
        <v>8</v>
      </c>
      <c r="E352" s="2" t="s">
        <v>4</v>
      </c>
      <c r="F352" s="2" t="s">
        <v>13</v>
      </c>
      <c r="G352" s="2" t="s">
        <v>3</v>
      </c>
      <c r="H352" s="2" t="s">
        <v>9</v>
      </c>
      <c r="I352" s="2" t="s">
        <v>238</v>
      </c>
    </row>
    <row r="353" spans="1:9" x14ac:dyDescent="0.2">
      <c r="A353" t="str">
        <f>B343</f>
        <v>trimethyl aluminum 99% pure production</v>
      </c>
      <c r="B353" t="str">
        <f>B345</f>
        <v>trimethyl aluminum 99% pure</v>
      </c>
      <c r="C353" t="s">
        <v>77</v>
      </c>
      <c r="D353" s="1">
        <f>B348</f>
        <v>1</v>
      </c>
      <c r="E353" t="s">
        <v>5</v>
      </c>
      <c r="F353" t="s">
        <v>218</v>
      </c>
      <c r="G353" t="s">
        <v>10</v>
      </c>
    </row>
    <row r="354" spans="1:9" x14ac:dyDescent="0.2">
      <c r="A354" s="8" t="s">
        <v>261</v>
      </c>
      <c r="B354" s="8" t="s">
        <v>64</v>
      </c>
      <c r="C354" t="s">
        <v>77</v>
      </c>
      <c r="D354" s="21">
        <v>2.7530000000000001</v>
      </c>
      <c r="E354" t="s">
        <v>5</v>
      </c>
      <c r="F354" t="s">
        <v>218</v>
      </c>
      <c r="G354" t="s">
        <v>16</v>
      </c>
      <c r="I354" s="9"/>
    </row>
    <row r="355" spans="1:9" x14ac:dyDescent="0.2">
      <c r="A355" s="8" t="s">
        <v>270</v>
      </c>
      <c r="B355" s="8" t="s">
        <v>65</v>
      </c>
      <c r="C355" t="s">
        <v>73</v>
      </c>
      <c r="D355" s="21">
        <v>0.9</v>
      </c>
      <c r="E355" t="s">
        <v>5</v>
      </c>
      <c r="F355" t="s">
        <v>21</v>
      </c>
      <c r="G355" t="s">
        <v>16</v>
      </c>
      <c r="I355" s="9"/>
    </row>
    <row r="356" spans="1:9" x14ac:dyDescent="0.2">
      <c r="A356" s="22" t="s">
        <v>269</v>
      </c>
      <c r="B356" s="22" t="s">
        <v>201</v>
      </c>
      <c r="C356" t="s">
        <v>73</v>
      </c>
      <c r="D356" s="21">
        <v>2.8000000000000001E-2</v>
      </c>
      <c r="E356" t="s">
        <v>5</v>
      </c>
      <c r="F356" t="s">
        <v>21</v>
      </c>
      <c r="G356" t="s">
        <v>16</v>
      </c>
      <c r="I356" s="9"/>
    </row>
    <row r="357" spans="1:9" x14ac:dyDescent="0.2">
      <c r="A357" s="8" t="s">
        <v>267</v>
      </c>
      <c r="B357" s="8" t="s">
        <v>268</v>
      </c>
      <c r="C357" t="s">
        <v>73</v>
      </c>
      <c r="D357" s="21">
        <v>5.1029999999999998</v>
      </c>
      <c r="E357" t="s">
        <v>5</v>
      </c>
      <c r="F357" t="s">
        <v>21</v>
      </c>
      <c r="G357" t="s">
        <v>16</v>
      </c>
    </row>
    <row r="358" spans="1:9" x14ac:dyDescent="0.2">
      <c r="A358" t="s">
        <v>120</v>
      </c>
      <c r="B358" t="s">
        <v>117</v>
      </c>
      <c r="C358" t="s">
        <v>119</v>
      </c>
      <c r="D358" s="21">
        <v>0.17299999999999999</v>
      </c>
      <c r="E358" t="s">
        <v>15</v>
      </c>
      <c r="F358" t="s">
        <v>21</v>
      </c>
      <c r="G358" t="s">
        <v>16</v>
      </c>
    </row>
    <row r="359" spans="1:9" x14ac:dyDescent="0.2">
      <c r="A359" t="s">
        <v>89</v>
      </c>
      <c r="B359" t="s">
        <v>90</v>
      </c>
      <c r="C359" t="s">
        <v>81</v>
      </c>
      <c r="D359" s="21">
        <v>-7.57</v>
      </c>
      <c r="E359" t="s">
        <v>5</v>
      </c>
      <c r="F359" t="s">
        <v>21</v>
      </c>
      <c r="G359" t="s">
        <v>16</v>
      </c>
      <c r="I359" t="s">
        <v>184</v>
      </c>
    </row>
    <row r="361" spans="1:9" x14ac:dyDescent="0.2">
      <c r="A361" s="2" t="s">
        <v>0</v>
      </c>
      <c r="B361" s="23" t="s">
        <v>261</v>
      </c>
    </row>
    <row r="362" spans="1:9" x14ac:dyDescent="0.2">
      <c r="A362" t="s">
        <v>238</v>
      </c>
      <c r="B362" t="s">
        <v>245</v>
      </c>
    </row>
    <row r="363" spans="1:9" x14ac:dyDescent="0.2">
      <c r="A363" t="s">
        <v>2</v>
      </c>
      <c r="B363" s="22" t="s">
        <v>64</v>
      </c>
    </row>
    <row r="364" spans="1:9" x14ac:dyDescent="0.2">
      <c r="A364" t="s">
        <v>14</v>
      </c>
      <c r="B364" t="s">
        <v>69</v>
      </c>
    </row>
    <row r="365" spans="1:9" x14ac:dyDescent="0.2">
      <c r="A365" t="s">
        <v>1</v>
      </c>
      <c r="B365" t="s">
        <v>77</v>
      </c>
    </row>
    <row r="366" spans="1:9" x14ac:dyDescent="0.2">
      <c r="A366" t="s">
        <v>8</v>
      </c>
      <c r="B366">
        <v>1</v>
      </c>
    </row>
    <row r="367" spans="1:9" x14ac:dyDescent="0.2">
      <c r="A367" t="s">
        <v>4</v>
      </c>
      <c r="B367" t="s">
        <v>5</v>
      </c>
    </row>
    <row r="368" spans="1:9" x14ac:dyDescent="0.2">
      <c r="A368" t="s">
        <v>239</v>
      </c>
      <c r="B368" t="s">
        <v>240</v>
      </c>
    </row>
    <row r="369" spans="1:9" x14ac:dyDescent="0.2">
      <c r="A369" s="2" t="s">
        <v>6</v>
      </c>
    </row>
    <row r="370" spans="1:9" x14ac:dyDescent="0.2">
      <c r="A370" s="2" t="s">
        <v>7</v>
      </c>
      <c r="B370" s="2" t="s">
        <v>2</v>
      </c>
      <c r="C370" s="2" t="s">
        <v>1</v>
      </c>
      <c r="D370" s="3" t="s">
        <v>8</v>
      </c>
      <c r="E370" s="2" t="s">
        <v>4</v>
      </c>
      <c r="F370" s="2" t="s">
        <v>13</v>
      </c>
      <c r="G370" s="2" t="s">
        <v>3</v>
      </c>
      <c r="H370" s="2" t="s">
        <v>9</v>
      </c>
      <c r="I370" s="2" t="s">
        <v>238</v>
      </c>
    </row>
    <row r="371" spans="1:9" x14ac:dyDescent="0.2">
      <c r="A371" t="str">
        <f>B361</f>
        <v>methyl aluminum sesquichloride production</v>
      </c>
      <c r="B371" t="str">
        <f>B363</f>
        <v>methyl aluminum sesquichloride</v>
      </c>
      <c r="C371" t="s">
        <v>77</v>
      </c>
      <c r="D371" s="1">
        <f>B366</f>
        <v>1</v>
      </c>
      <c r="E371" t="s">
        <v>5</v>
      </c>
      <c r="F371" t="s">
        <v>218</v>
      </c>
      <c r="G371" t="s">
        <v>10</v>
      </c>
    </row>
    <row r="372" spans="1:9" s="25" customFormat="1" x14ac:dyDescent="0.2">
      <c r="A372" s="22" t="s">
        <v>185</v>
      </c>
      <c r="B372" s="22" t="s">
        <v>214</v>
      </c>
      <c r="C372" t="s">
        <v>77</v>
      </c>
      <c r="D372" s="24">
        <v>1.6E-2</v>
      </c>
      <c r="E372" t="s">
        <v>5</v>
      </c>
      <c r="F372" t="s">
        <v>21</v>
      </c>
      <c r="G372" t="s">
        <v>16</v>
      </c>
      <c r="H372"/>
      <c r="I372" s="22"/>
    </row>
    <row r="373" spans="1:9" x14ac:dyDescent="0.2">
      <c r="A373" s="22" t="s">
        <v>188</v>
      </c>
      <c r="B373" s="22" t="s">
        <v>187</v>
      </c>
      <c r="C373" t="s">
        <v>179</v>
      </c>
      <c r="D373" s="24">
        <v>0.26200000000000001</v>
      </c>
      <c r="E373" t="s">
        <v>5</v>
      </c>
      <c r="F373" t="s">
        <v>21</v>
      </c>
      <c r="G373" t="s">
        <v>16</v>
      </c>
      <c r="I373" s="22" t="s">
        <v>186</v>
      </c>
    </row>
    <row r="374" spans="1:9" x14ac:dyDescent="0.2">
      <c r="A374" s="22" t="s">
        <v>189</v>
      </c>
      <c r="B374" s="22" t="s">
        <v>191</v>
      </c>
      <c r="C374" t="s">
        <v>190</v>
      </c>
      <c r="D374" s="24">
        <v>0.73699999999999999</v>
      </c>
      <c r="E374" t="s">
        <v>5</v>
      </c>
      <c r="F374" t="s">
        <v>21</v>
      </c>
      <c r="G374" t="s">
        <v>16</v>
      </c>
      <c r="I374" s="22"/>
    </row>
    <row r="375" spans="1:9" x14ac:dyDescent="0.2">
      <c r="A375" t="s">
        <v>120</v>
      </c>
      <c r="B375" t="s">
        <v>117</v>
      </c>
      <c r="C375" t="s">
        <v>119</v>
      </c>
      <c r="D375" s="24">
        <v>3.0000000000000001E-3</v>
      </c>
      <c r="E375" t="s">
        <v>15</v>
      </c>
      <c r="F375" t="s">
        <v>21</v>
      </c>
      <c r="G375" t="s">
        <v>16</v>
      </c>
    </row>
    <row r="376" spans="1:9" s="6" customFormat="1" x14ac:dyDescent="0.2">
      <c r="A376" s="22" t="s">
        <v>207</v>
      </c>
      <c r="B376" s="22"/>
      <c r="C376"/>
      <c r="D376" s="24">
        <v>2.3E-2</v>
      </c>
      <c r="E376" t="s">
        <v>5</v>
      </c>
      <c r="F376" t="s">
        <v>102</v>
      </c>
      <c r="G376" t="s">
        <v>11</v>
      </c>
      <c r="H376" t="s">
        <v>92</v>
      </c>
      <c r="I376" t="s">
        <v>215</v>
      </c>
    </row>
    <row r="377" spans="1:9" x14ac:dyDescent="0.2">
      <c r="A377" s="22" t="s">
        <v>208</v>
      </c>
      <c r="B377" s="22"/>
      <c r="D377" s="24">
        <v>2.3E-2</v>
      </c>
      <c r="E377" t="s">
        <v>5</v>
      </c>
      <c r="F377" t="s">
        <v>102</v>
      </c>
      <c r="G377" t="s">
        <v>11</v>
      </c>
      <c r="H377" t="s">
        <v>92</v>
      </c>
    </row>
    <row r="379" spans="1:9" x14ac:dyDescent="0.2">
      <c r="A379" s="2" t="s">
        <v>0</v>
      </c>
      <c r="B379" s="23" t="s">
        <v>262</v>
      </c>
    </row>
    <row r="380" spans="1:9" x14ac:dyDescent="0.2">
      <c r="A380" t="s">
        <v>238</v>
      </c>
      <c r="B380" t="s">
        <v>245</v>
      </c>
    </row>
    <row r="381" spans="1:9" x14ac:dyDescent="0.2">
      <c r="A381" t="s">
        <v>2</v>
      </c>
      <c r="B381" s="22" t="s">
        <v>244</v>
      </c>
    </row>
    <row r="382" spans="1:9" x14ac:dyDescent="0.2">
      <c r="A382" t="s">
        <v>14</v>
      </c>
      <c r="B382" t="s">
        <v>71</v>
      </c>
    </row>
    <row r="383" spans="1:9" x14ac:dyDescent="0.2">
      <c r="A383" t="s">
        <v>1</v>
      </c>
      <c r="B383" t="s">
        <v>77</v>
      </c>
    </row>
    <row r="384" spans="1:9" x14ac:dyDescent="0.2">
      <c r="A384" t="s">
        <v>8</v>
      </c>
      <c r="B384">
        <v>1</v>
      </c>
    </row>
    <row r="385" spans="1:9" x14ac:dyDescent="0.2">
      <c r="A385" t="s">
        <v>4</v>
      </c>
      <c r="B385" t="s">
        <v>5</v>
      </c>
    </row>
    <row r="386" spans="1:9" x14ac:dyDescent="0.2">
      <c r="A386" t="s">
        <v>239</v>
      </c>
      <c r="B386" t="s">
        <v>240</v>
      </c>
    </row>
    <row r="387" spans="1:9" x14ac:dyDescent="0.2">
      <c r="A387" s="2" t="s">
        <v>6</v>
      </c>
    </row>
    <row r="388" spans="1:9" x14ac:dyDescent="0.2">
      <c r="A388" s="2" t="s">
        <v>7</v>
      </c>
      <c r="B388" s="2" t="s">
        <v>2</v>
      </c>
      <c r="C388" s="2" t="s">
        <v>1</v>
      </c>
      <c r="D388" s="3" t="s">
        <v>8</v>
      </c>
      <c r="E388" s="2" t="s">
        <v>4</v>
      </c>
      <c r="F388" s="2" t="s">
        <v>13</v>
      </c>
      <c r="G388" s="2" t="s">
        <v>3</v>
      </c>
      <c r="H388" s="2" t="s">
        <v>9</v>
      </c>
      <c r="I388" s="2" t="s">
        <v>238</v>
      </c>
    </row>
    <row r="389" spans="1:9" x14ac:dyDescent="0.2">
      <c r="A389" t="str">
        <f>B379</f>
        <v>trimethyl gallium 99% pure production</v>
      </c>
      <c r="B389" t="str">
        <f>B381</f>
        <v>trimethyl gallium 99% pure</v>
      </c>
      <c r="C389" t="s">
        <v>77</v>
      </c>
      <c r="D389" s="1">
        <f>B384</f>
        <v>1</v>
      </c>
      <c r="E389" t="s">
        <v>5</v>
      </c>
      <c r="F389" t="s">
        <v>218</v>
      </c>
      <c r="G389" t="s">
        <v>10</v>
      </c>
    </row>
    <row r="390" spans="1:9" x14ac:dyDescent="0.2">
      <c r="A390" s="22" t="s">
        <v>263</v>
      </c>
      <c r="B390" s="22" t="s">
        <v>66</v>
      </c>
      <c r="C390" t="s">
        <v>77</v>
      </c>
      <c r="D390" s="24">
        <v>1.5760000000000001</v>
      </c>
      <c r="E390" t="s">
        <v>5</v>
      </c>
      <c r="F390" t="s">
        <v>218</v>
      </c>
      <c r="G390" t="s">
        <v>16</v>
      </c>
      <c r="I390" s="22"/>
    </row>
    <row r="391" spans="1:9" x14ac:dyDescent="0.2">
      <c r="A391" s="22" t="s">
        <v>260</v>
      </c>
      <c r="B391" s="22" t="s">
        <v>67</v>
      </c>
      <c r="C391" t="s">
        <v>77</v>
      </c>
      <c r="D391" s="24">
        <v>1.012</v>
      </c>
      <c r="E391" t="s">
        <v>5</v>
      </c>
      <c r="F391" t="s">
        <v>218</v>
      </c>
      <c r="G391" t="s">
        <v>16</v>
      </c>
      <c r="I391" s="22"/>
    </row>
    <row r="392" spans="1:9" x14ac:dyDescent="0.2">
      <c r="A392" s="22" t="s">
        <v>200</v>
      </c>
      <c r="B392" s="22" t="s">
        <v>198</v>
      </c>
      <c r="C392" t="s">
        <v>73</v>
      </c>
      <c r="D392" s="24">
        <v>0.8</v>
      </c>
      <c r="E392" t="s">
        <v>5</v>
      </c>
      <c r="F392" t="s">
        <v>21</v>
      </c>
      <c r="G392" t="s">
        <v>16</v>
      </c>
      <c r="I392" s="22" t="s">
        <v>199</v>
      </c>
    </row>
    <row r="393" spans="1:9" x14ac:dyDescent="0.2">
      <c r="A393" t="s">
        <v>120</v>
      </c>
      <c r="B393" t="s">
        <v>117</v>
      </c>
      <c r="C393" t="s">
        <v>119</v>
      </c>
      <c r="D393" s="24">
        <v>0.112</v>
      </c>
      <c r="E393" t="s">
        <v>15</v>
      </c>
      <c r="F393" t="s">
        <v>21</v>
      </c>
      <c r="G393" t="s">
        <v>16</v>
      </c>
    </row>
    <row r="394" spans="1:9" s="6" customFormat="1" x14ac:dyDescent="0.2">
      <c r="A394" s="22" t="s">
        <v>194</v>
      </c>
      <c r="B394" s="22" t="s">
        <v>192</v>
      </c>
      <c r="C394" t="s">
        <v>96</v>
      </c>
      <c r="D394" s="24">
        <v>-2.4</v>
      </c>
      <c r="E394" t="s">
        <v>5</v>
      </c>
      <c r="F394" t="s">
        <v>21</v>
      </c>
      <c r="G394" t="s">
        <v>16</v>
      </c>
      <c r="H394"/>
      <c r="I394" t="s">
        <v>193</v>
      </c>
    </row>
    <row r="396" spans="1:9" x14ac:dyDescent="0.2">
      <c r="A396" s="2" t="s">
        <v>0</v>
      </c>
      <c r="B396" s="20" t="s">
        <v>263</v>
      </c>
    </row>
    <row r="397" spans="1:9" x14ac:dyDescent="0.2">
      <c r="A397" t="s">
        <v>238</v>
      </c>
      <c r="B397" t="s">
        <v>245</v>
      </c>
    </row>
    <row r="398" spans="1:9" x14ac:dyDescent="0.2">
      <c r="A398" t="s">
        <v>2</v>
      </c>
      <c r="B398" s="8" t="s">
        <v>66</v>
      </c>
    </row>
    <row r="399" spans="1:9" x14ac:dyDescent="0.2">
      <c r="A399" t="s">
        <v>14</v>
      </c>
      <c r="B399" t="s">
        <v>72</v>
      </c>
    </row>
    <row r="400" spans="1:9" x14ac:dyDescent="0.2">
      <c r="A400" t="s">
        <v>1</v>
      </c>
      <c r="B400" t="s">
        <v>77</v>
      </c>
    </row>
    <row r="401" spans="1:9" x14ac:dyDescent="0.2">
      <c r="A401" t="s">
        <v>8</v>
      </c>
      <c r="B401">
        <v>1</v>
      </c>
    </row>
    <row r="402" spans="1:9" x14ac:dyDescent="0.2">
      <c r="A402" t="s">
        <v>4</v>
      </c>
      <c r="B402" t="s">
        <v>5</v>
      </c>
    </row>
    <row r="403" spans="1:9" x14ac:dyDescent="0.2">
      <c r="A403" t="s">
        <v>239</v>
      </c>
      <c r="B403" t="s">
        <v>240</v>
      </c>
    </row>
    <row r="404" spans="1:9" x14ac:dyDescent="0.2">
      <c r="A404" s="2" t="s">
        <v>6</v>
      </c>
    </row>
    <row r="405" spans="1:9" x14ac:dyDescent="0.2">
      <c r="A405" s="2" t="s">
        <v>7</v>
      </c>
      <c r="B405" s="2" t="s">
        <v>2</v>
      </c>
      <c r="C405" s="2" t="s">
        <v>1</v>
      </c>
      <c r="D405" s="3" t="s">
        <v>8</v>
      </c>
      <c r="E405" s="2" t="s">
        <v>4</v>
      </c>
      <c r="F405" s="2" t="s">
        <v>13</v>
      </c>
      <c r="G405" s="2" t="s">
        <v>3</v>
      </c>
      <c r="H405" s="2" t="s">
        <v>9</v>
      </c>
      <c r="I405" s="2" t="s">
        <v>238</v>
      </c>
    </row>
    <row r="406" spans="1:9" x14ac:dyDescent="0.2">
      <c r="A406" t="str">
        <f>B396</f>
        <v>gallium chloride production</v>
      </c>
      <c r="B406" t="str">
        <f>B398</f>
        <v>gallium chloride</v>
      </c>
      <c r="C406" t="s">
        <v>77</v>
      </c>
      <c r="D406" s="1">
        <f>B401</f>
        <v>1</v>
      </c>
      <c r="E406" t="s">
        <v>5</v>
      </c>
      <c r="F406" t="s">
        <v>218</v>
      </c>
      <c r="G406" t="s">
        <v>10</v>
      </c>
    </row>
    <row r="407" spans="1:9" x14ac:dyDescent="0.2">
      <c r="A407" s="8" t="s">
        <v>129</v>
      </c>
      <c r="B407" s="8" t="s">
        <v>130</v>
      </c>
      <c r="C407" t="s">
        <v>77</v>
      </c>
      <c r="D407" s="21">
        <v>0.39600000000000002</v>
      </c>
      <c r="E407" t="s">
        <v>5</v>
      </c>
      <c r="F407" t="s">
        <v>21</v>
      </c>
      <c r="G407" t="s">
        <v>16</v>
      </c>
      <c r="I407" s="9"/>
    </row>
    <row r="408" spans="1:9" x14ac:dyDescent="0.2">
      <c r="A408" s="8" t="s">
        <v>197</v>
      </c>
      <c r="B408" s="8" t="s">
        <v>195</v>
      </c>
      <c r="C408" t="s">
        <v>96</v>
      </c>
      <c r="D408" s="21">
        <v>0.60399999999999998</v>
      </c>
      <c r="E408" t="s">
        <v>5</v>
      </c>
      <c r="F408" t="s">
        <v>21</v>
      </c>
      <c r="G408" t="s">
        <v>16</v>
      </c>
      <c r="I408" s="9" t="s">
        <v>196</v>
      </c>
    </row>
    <row r="409" spans="1:9" x14ac:dyDescent="0.2">
      <c r="A409" t="s">
        <v>120</v>
      </c>
      <c r="B409" t="s">
        <v>117</v>
      </c>
      <c r="C409" t="s">
        <v>119</v>
      </c>
      <c r="D409" s="21">
        <v>0.28399999999999997</v>
      </c>
      <c r="E409" t="s">
        <v>15</v>
      </c>
      <c r="F409" t="s">
        <v>21</v>
      </c>
      <c r="G409" t="s">
        <v>16</v>
      </c>
      <c r="I409" s="9"/>
    </row>
    <row r="410" spans="1:9" x14ac:dyDescent="0.2">
      <c r="A410" s="8"/>
      <c r="B410" s="8"/>
      <c r="C410" s="21"/>
      <c r="D410" s="26"/>
      <c r="E410" s="8"/>
    </row>
    <row r="411" spans="1:9" x14ac:dyDescent="0.2">
      <c r="A411" s="2" t="s">
        <v>0</v>
      </c>
      <c r="B411" s="20" t="s">
        <v>272</v>
      </c>
    </row>
    <row r="412" spans="1:9" x14ac:dyDescent="0.2">
      <c r="A412" t="s">
        <v>238</v>
      </c>
      <c r="B412" t="inlineStr">
        <is>
          <t>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
PREVIOUS NOTES (retained as history; the correction above takes precedence):
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413" spans="1:9" x14ac:dyDescent="0.2">
      <c r="A413" t="s">
        <v>2</v>
      </c>
      <c r="B413" t="s">
        <v>220</v>
      </c>
    </row>
    <row r="414" spans="1:9" x14ac:dyDescent="0.2">
      <c r="A414" t="s">
        <v>14</v>
      </c>
      <c r="B414" t="s">
        <v>221</v>
      </c>
    </row>
    <row r="415" spans="1:9" x14ac:dyDescent="0.2">
      <c r="A415" t="s">
        <v>1</v>
      </c>
      <c r="B415" t="s">
        <v>77</v>
      </c>
    </row>
    <row r="416" spans="1:9" x14ac:dyDescent="0.2">
      <c r="A416" t="s">
        <v>8</v>
      </c>
      <c r="B416">
        <v>1</v>
      </c>
    </row>
    <row r="417" spans="1:9" x14ac:dyDescent="0.2">
      <c r="A417" t="s">
        <v>4</v>
      </c>
      <c r="B417" t="s">
        <v>4</v>
      </c>
    </row>
    <row r="418" spans="1:9" x14ac:dyDescent="0.2">
      <c r="A418" t="s">
        <v>239</v>
      </c>
      <c r="B418" t="s">
        <v>240</v>
      </c>
    </row>
    <row r="419" spans="1:9" x14ac:dyDescent="0.2">
      <c r="A419" s="2" t="s">
        <v>6</v>
      </c>
    </row>
    <row r="420" spans="1:9" x14ac:dyDescent="0.2">
      <c r="A420" s="2" t="s">
        <v>7</v>
      </c>
      <c r="B420" s="2" t="s">
        <v>2</v>
      </c>
      <c r="C420" s="2" t="s">
        <v>1</v>
      </c>
      <c r="D420" s="3" t="s">
        <v>8</v>
      </c>
      <c r="E420" s="2" t="s">
        <v>4</v>
      </c>
      <c r="F420" s="2" t="s">
        <v>13</v>
      </c>
      <c r="G420" s="2" t="s">
        <v>3</v>
      </c>
      <c r="H420" s="2" t="s">
        <v>9</v>
      </c>
      <c r="I420" s="2" t="s">
        <v>238</v>
      </c>
    </row>
    <row r="421" spans="1:9" x14ac:dyDescent="0.2">
      <c r="A421" t="str">
        <f>B411</f>
        <v>photovoltaic installation, 0.28kWp, GaAs</v>
      </c>
      <c r="B421" t="str">
        <f>B413</f>
        <v>photovoltaic installation, GaAs</v>
      </c>
      <c r="C421" t="s">
        <v>77</v>
      </c>
      <c r="D421" s="1">
        <f>B416</f>
        <v>1</v>
      </c>
      <c r="E421" t="str">
        <f>B417</f>
        <v>unit</v>
      </c>
      <c r="F421" t="s">
        <v>218</v>
      </c>
      <c r="G421" t="s">
        <v>10</v>
      </c>
      <c r="I421" t="s">
        <v>227</v>
      </c>
    </row>
    <row r="422" spans="1:9" x14ac:dyDescent="0.2">
      <c r="A422" t="s">
        <v>120</v>
      </c>
      <c r="B422" t="s">
        <v>117</v>
      </c>
      <c r="C422" t="s">
        <v>119</v>
      </c>
      <c r="D422" s="1">
        <f>0.23/21.429</f>
        <v>1.0733118670959916E-2</v>
      </c>
      <c r="E422" t="s">
        <v>15</v>
      </c>
      <c r="F422" t="s">
        <v>21</v>
      </c>
      <c r="G422" t="s">
        <v>16</v>
      </c>
    </row>
    <row r="423" spans="1:9" x14ac:dyDescent="0.2">
      <c r="A423" s="8" t="s">
        <v>223</v>
      </c>
      <c r="B423" s="8" t="s">
        <v>222</v>
      </c>
      <c r="C423" t="s">
        <v>77</v>
      </c>
      <c r="D423" s="1">
        <f>2.4*0.28/3</f>
        <v>0.224</v>
      </c>
      <c r="E423" t="s">
        <v>4</v>
      </c>
      <c r="F423" t="s">
        <v>21</v>
      </c>
      <c r="G423" t="s">
        <v>16</v>
      </c>
      <c r="I423" s="9" t="s">
        <v>226</v>
      </c>
    </row>
    <row r="424" spans="1:9" x14ac:dyDescent="0.2">
      <c r="A424" t="s">
        <v>229</v>
      </c>
      <c r="B424" t="s">
        <v>228</v>
      </c>
      <c r="C424" t="s">
        <v>77</v>
      </c>
      <c r="D424" s="1">
        <f>21.429/21.429</f>
        <v>1</v>
      </c>
      <c r="E424" t="s">
        <v>19</v>
      </c>
      <c r="F424" t="s">
        <v>21</v>
      </c>
      <c r="G424" t="s">
        <v>16</v>
      </c>
      <c r="I424" t="s">
        <v>285</v>
      </c>
    </row>
    <row r="425" spans="1:9" x14ac:dyDescent="0.2">
      <c r="A425" t="s">
        <v>225</v>
      </c>
      <c r="B425" t="s">
        <v>224</v>
      </c>
      <c r="C425" t="s">
        <v>77</v>
      </c>
      <c r="D425" s="1">
        <f>1/21.429</f>
        <v>4.6665733351999632E-2</v>
      </c>
      <c r="E425" t="s">
        <v>4</v>
      </c>
      <c r="F425" t="s">
        <v>21</v>
      </c>
      <c r="G425" t="s">
        <v>16</v>
      </c>
    </row>
    <row r="426" spans="1:9" x14ac:dyDescent="0.2">
      <c r="A426" s="8" t="s">
        <v>243</v>
      </c>
      <c r="B426" t="s">
        <v>33</v>
      </c>
      <c r="C426" t="s">
        <v>77</v>
      </c>
      <c r="D426" s="33">
        <f>1</f>
        <v>1</v>
      </c>
      <c r="E426" t="s">
        <v>19</v>
      </c>
      <c r="F426" t="s">
        <v>284</v>
      </c>
      <c r="G426" t="s">
        <v>16</v>
      </c>
      <c r="I426" s="28" t="s">
        <v>279</v>
      </c>
    </row>
    <row r="427" spans="1:9" x14ac:dyDescent="0.2">
      <c r="A427" t="s">
        <v>282</v>
      </c>
      <c r="B427" t="s">
        <v>283</v>
      </c>
      <c r="C427" t="s">
        <v>77</v>
      </c>
      <c r="D427" s="1">
        <v>1</v>
      </c>
      <c r="E427" t="s">
        <v>19</v>
      </c>
      <c r="F427" t="s">
        <v>21</v>
      </c>
      <c r="G427" t="s">
        <v>16</v>
      </c>
      <c r="I427" s="28"/>
    </row>
    <row r="428">
      <c r="A428" t="inlineStr">
        <is>
          <t>photovoltaic module assembly only, GaAs-Si tandem reference</t>
        </is>
      </c>
      <c r="B428" t="inlineStr">
        <is>
          <t>photovoltaic module assembly only, GaAs-Si tandem reference</t>
        </is>
      </c>
      <c r="C428" t="inlineStr">
        <is>
          <t>RER</t>
        </is>
      </c>
      <c r="D428">
        <v>1</v>
      </c>
      <c r="E428" t="inlineStr">
        <is>
          <t>square meter</t>
        </is>
      </c>
      <c r="G428" t="inlineStr">
        <is>
          <t>technosphere</t>
        </is>
      </c>
    </row>
    <row r="429" spans="1:9" x14ac:dyDescent="0.2">
      <c r="A429" s="2" t="s">
        <v>0</v>
      </c>
      <c r="B429" s="20" t="s">
        <v>271</v>
      </c>
    </row>
    <row r="430" spans="1:9" x14ac:dyDescent="0.2">
      <c r="A430" t="s">
        <v>238</v>
      </c>
      <c r="B430" t="s">
        <v>241</v>
      </c>
    </row>
    <row r="431" spans="1:9" x14ac:dyDescent="0.2">
      <c r="A431" t="s">
        <v>2</v>
      </c>
      <c r="B431" t="s">
        <v>271</v>
      </c>
    </row>
    <row r="432" spans="1:9" x14ac:dyDescent="0.2">
      <c r="A432" t="s">
        <v>14</v>
      </c>
      <c r="B432" t="s">
        <v>217</v>
      </c>
    </row>
    <row r="433" spans="1:13" x14ac:dyDescent="0.2">
      <c r="A433" t="s">
        <v>1</v>
      </c>
      <c r="B433" t="s">
        <v>77</v>
      </c>
    </row>
    <row r="434" spans="1:13" x14ac:dyDescent="0.2">
      <c r="A434" t="s">
        <v>8</v>
      </c>
      <c r="B434">
        <v>1</v>
      </c>
    </row>
    <row r="435" spans="1:13" x14ac:dyDescent="0.2">
      <c r="A435" t="s">
        <v>4</v>
      </c>
      <c r="B435" t="s">
        <v>15</v>
      </c>
    </row>
    <row r="436" spans="1:13" x14ac:dyDescent="0.2">
      <c r="A436" t="s">
        <v>239</v>
      </c>
      <c r="B436" t="s">
        <v>240</v>
      </c>
    </row>
    <row r="437" spans="1:13" x14ac:dyDescent="0.2">
      <c r="A437" s="2" t="s">
        <v>6</v>
      </c>
    </row>
    <row r="438" spans="1:13" x14ac:dyDescent="0.2">
      <c r="A438" s="2" t="s">
        <v>7</v>
      </c>
      <c r="B438" s="2" t="s">
        <v>2</v>
      </c>
      <c r="C438" s="2" t="s">
        <v>1</v>
      </c>
      <c r="D438" s="3" t="s">
        <v>8</v>
      </c>
      <c r="E438" s="2" t="s">
        <v>4</v>
      </c>
      <c r="F438" s="2" t="s">
        <v>13</v>
      </c>
      <c r="G438" s="2" t="s">
        <v>3</v>
      </c>
      <c r="H438" s="2" t="s">
        <v>9</v>
      </c>
      <c r="I438" s="2" t="s">
        <v>238</v>
      </c>
      <c r="J438" s="2" t="s">
        <v>274</v>
      </c>
      <c r="K438" s="2" t="s">
        <v>275</v>
      </c>
      <c r="L438" s="2" t="s">
        <v>276</v>
      </c>
      <c r="M438" s="2" t="s">
        <v>277</v>
      </c>
    </row>
    <row r="439" spans="1:13" x14ac:dyDescent="0.2">
      <c r="A439" t="str">
        <f>B429</f>
        <v xml:space="preserve">electricity production, photovoltaic, 0.28kWp, GaAs </v>
      </c>
      <c r="B439" t="str">
        <f>B431</f>
        <v xml:space="preserve">electricity production, photovoltaic, 0.28kWp, GaAs </v>
      </c>
      <c r="C439" t="s">
        <v>77</v>
      </c>
      <c r="D439" s="1">
        <f>B434</f>
        <v>1</v>
      </c>
      <c r="E439" t="s">
        <v>15</v>
      </c>
      <c r="F439" t="s">
        <v>218</v>
      </c>
      <c r="G439" t="s">
        <v>10</v>
      </c>
    </row>
    <row r="440" spans="1:13" x14ac:dyDescent="0.2">
      <c r="A440" s="8" t="s">
        <v>272</v>
      </c>
      <c r="B440" t="s">
        <v>220</v>
      </c>
      <c r="C440" t="s">
        <v>77</v>
      </c>
      <c r="D440" s="27">
        <f>1/0.28/1700/30/0.85</f>
        <v>8.2385895534684459E-5</v>
      </c>
      <c r="E440" s="6" t="s">
        <v>4</v>
      </c>
      <c r="F440" t="s">
        <v>218</v>
      </c>
      <c r="G440" t="s">
        <v>16</v>
      </c>
      <c r="I440" s="9" t="s">
        <v>280</v>
      </c>
      <c r="J440">
        <v>5</v>
      </c>
      <c r="K440" s="7">
        <f>D440</f>
        <v>8.2385895534684459E-5</v>
      </c>
      <c r="L440">
        <f>1/0.28/1700/40/0.85</f>
        <v>6.1789421651013341E-5</v>
      </c>
      <c r="M440" s="7">
        <f>1/0.28/1700/20/0.85</f>
        <v>1.2357884330202668E-4</v>
      </c>
    </row>
    <row r="441" spans="1:13" x14ac:dyDescent="0.2">
      <c r="A441" s="28" t="s">
        <v>235</v>
      </c>
      <c r="B441" s="28" t="s">
        <v>234</v>
      </c>
      <c r="C441" s="28" t="s">
        <v>81</v>
      </c>
      <c r="D441" s="29">
        <f>0.00579493511839/0.0000135395680336215*D440</f>
        <v>3.5261163288844939E-2</v>
      </c>
      <c r="E441" s="28" t="s">
        <v>5</v>
      </c>
      <c r="F441" s="28" t="s">
        <v>21</v>
      </c>
      <c r="G441" s="28" t="s">
        <v>16</v>
      </c>
      <c r="H441" s="28"/>
      <c r="I441" s="28" t="s">
        <v>233</v>
      </c>
    </row>
    <row r="442" spans="1:13" x14ac:dyDescent="0.2">
      <c r="A442" s="30" t="s">
        <v>236</v>
      </c>
      <c r="B442" s="28" t="s">
        <v>237</v>
      </c>
      <c r="C442" s="28" t="s">
        <v>81</v>
      </c>
      <c r="D442" s="31">
        <f>-0.00000579493511839/0.0000135395680336215*D440</f>
        <v>-3.5261163288844936E-5</v>
      </c>
      <c r="E442" s="28" t="s">
        <v>12</v>
      </c>
      <c r="F442" s="28" t="s">
        <v>21</v>
      </c>
      <c r="G442" s="28" t="s">
        <v>16</v>
      </c>
      <c r="H442" s="28"/>
      <c r="I442" s="32"/>
    </row>
    <row r="443" spans="1:13" x14ac:dyDescent="0.2">
      <c r="A443" s="28" t="s">
        <v>202</v>
      </c>
      <c r="B443" s="28"/>
      <c r="C443" s="28"/>
      <c r="D443" s="29">
        <f>0.0000008692402677585/0.0000135395680336215*D440</f>
        <v>5.2891744933267402E-6</v>
      </c>
      <c r="E443" s="28" t="s">
        <v>12</v>
      </c>
      <c r="F443" s="28" t="s">
        <v>11</v>
      </c>
      <c r="G443" s="28" t="s">
        <v>11</v>
      </c>
      <c r="H443" s="28" t="s">
        <v>85</v>
      </c>
      <c r="I443" s="28"/>
    </row>
    <row r="444" spans="1:13" x14ac:dyDescent="0.2">
      <c r="A444" s="30" t="s">
        <v>230</v>
      </c>
      <c r="B444" s="28"/>
      <c r="C444" s="28"/>
      <c r="D444" s="31">
        <v>3.8502999999999998</v>
      </c>
      <c r="E444" s="28" t="s">
        <v>232</v>
      </c>
      <c r="F444" s="28" t="s">
        <v>11</v>
      </c>
      <c r="G444" s="28" t="s">
        <v>11</v>
      </c>
      <c r="H444" s="28" t="s">
        <v>231</v>
      </c>
      <c r="I444" s="32"/>
    </row>
    <row r="447">
      <c r="A447" t="inlineStr">
        <is>
          <t>Activity</t>
        </is>
      </c>
      <c r="B447" t="inlineStr">
        <is>
          <t>polycrystalline GaAs boule, balanced engineering reference</t>
        </is>
      </c>
    </row>
    <row r="448">
      <c r="A448" t="inlineStr">
        <is>
          <t>location</t>
        </is>
      </c>
      <c r="B448" t="inlineStr">
        <is>
          <t>GLO</t>
        </is>
      </c>
    </row>
    <row r="449">
      <c r="A449" t="inlineStr">
        <is>
          <t>production amount</t>
        </is>
      </c>
      <c r="B449">
        <v>1</v>
      </c>
    </row>
    <row r="450">
      <c r="A450" t="inlineStr">
        <is>
          <t>reference product</t>
        </is>
      </c>
      <c r="B450" t="inlineStr">
        <is>
          <t>polycrystalline GaAs boule, balanced engineering reference</t>
        </is>
      </c>
    </row>
    <row r="451">
      <c r="A451" t="inlineStr">
        <is>
          <t>unit</t>
        </is>
      </c>
      <c r="B451" t="inlineStr">
        <is>
          <t>kilogram</t>
        </is>
      </c>
    </row>
    <row r="452">
      <c r="A452" t="inlineStr">
        <is>
          <t>source</t>
        </is>
      </c>
      <c r="B452" t="inlineStr">
        <is>
          <t>Pallas et al.2020 DOI10.1007/s11367-020-01791-z, public SI S1,S4,S6: https://media.springernature.com/full/springer-static/esm/art%3A10.1007%2Fs11367-020-01791-z/MediaObjects/11367_2020_1791_MOESM1_ESM.docx .</t>
        </is>
      </c>
    </row>
    <row r="453">
      <c r="A453" t="inlineStr">
        <is>
          <t>comment</t>
        </is>
      </c>
      <c r="B453"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PREVIOUS NOTES (retained as history; the correction above takes precedence):
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t>
        </is>
      </c>
    </row>
    <row r="454">
      <c r="A454" t="inlineStr">
        <is>
          <t>Exchanges</t>
        </is>
      </c>
    </row>
    <row r="455">
      <c r="A455" t="inlineStr">
        <is>
          <t>name</t>
        </is>
      </c>
      <c r="B455" t="inlineStr">
        <is>
          <t>amount</t>
        </is>
      </c>
      <c r="C455" t="inlineStr">
        <is>
          <t>location</t>
        </is>
      </c>
      <c r="D455" t="inlineStr">
        <is>
          <t>unit</t>
        </is>
      </c>
      <c r="E455" t="inlineStr">
        <is>
          <t>categories</t>
        </is>
      </c>
      <c r="F455" t="inlineStr">
        <is>
          <t>type</t>
        </is>
      </c>
      <c r="G455" t="inlineStr">
        <is>
          <t>reference product</t>
        </is>
      </c>
      <c r="H455" t="inlineStr">
        <is>
          <t>comment</t>
        </is>
      </c>
      <c r="I455" t="inlineStr">
        <is>
          <t>product</t>
        </is>
      </c>
    </row>
    <row r="456">
      <c r="A456" t="inlineStr">
        <is>
          <t>polycrystalline GaAs boule, balanced engineering reference</t>
        </is>
      </c>
      <c r="B456">
        <v>1</v>
      </c>
      <c r="C456" t="inlineStr">
        <is>
          <t>GLO</t>
        </is>
      </c>
      <c r="D456" t="inlineStr">
        <is>
          <t>kilogram</t>
        </is>
      </c>
      <c r="F456" t="inlineStr">
        <is>
          <t>production</t>
        </is>
      </c>
      <c r="G456" t="inlineStr">
        <is>
          <t>polycrystalline GaAs boule, balanced engineering reference</t>
        </is>
      </c>
      <c r="H456"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c r="I456" t="inlineStr">
        <is>
          <t>polycrystalline GaAs boule, balanced engineering reference</t>
        </is>
      </c>
    </row>
    <row r="457">
      <c r="A457" t="inlineStr">
        <is>
          <t>7N gallium production</t>
        </is>
      </c>
      <c r="B457">
        <v>0.5073997516391634</v>
      </c>
      <c r="C457" t="inlineStr">
        <is>
          <t>GLO</t>
        </is>
      </c>
      <c r="D457" t="inlineStr">
        <is>
          <t>kilogram</t>
        </is>
      </c>
      <c r="F457" t="inlineStr">
        <is>
          <t>technosphere</t>
        </is>
      </c>
      <c r="G457" t="inlineStr">
        <is>
          <t>7N Gallium</t>
        </is>
      </c>
      <c r="I457" t="inlineStr">
        <is>
          <t>7N Gallium</t>
        </is>
      </c>
    </row>
    <row r="458">
      <c r="A458" t="inlineStr">
        <is>
          <t>7N arsenic production</t>
        </is>
      </c>
      <c r="B458">
        <v>0.5452318273082052</v>
      </c>
      <c r="C458" t="inlineStr">
        <is>
          <t>GLO</t>
        </is>
      </c>
      <c r="D458" t="inlineStr">
        <is>
          <t>kilogram</t>
        </is>
      </c>
      <c r="F458" t="inlineStr">
        <is>
          <t>technosphere</t>
        </is>
      </c>
      <c r="G458" t="inlineStr">
        <is>
          <t>7N Arsenic</t>
        </is>
      </c>
      <c r="I458" t="inlineStr">
        <is>
          <t>7N Arsenic</t>
        </is>
      </c>
    </row>
    <row r="459">
      <c r="A459" t="inlineStr">
        <is>
          <t>pyrolytic boron nitride crucible, CVD engineering reference</t>
        </is>
      </c>
      <c r="B459">
        <v>0.01</v>
      </c>
      <c r="C459" t="inlineStr">
        <is>
          <t>GLO</t>
        </is>
      </c>
      <c r="D459" t="inlineStr">
        <is>
          <t>kilogram</t>
        </is>
      </c>
      <c r="F459" t="inlineStr">
        <is>
          <t>technosphere</t>
        </is>
      </c>
      <c r="G459" t="inlineStr">
        <is>
          <t>pyrolytic boron nitride crucible, CVD engineering reference</t>
        </is>
      </c>
      <c r="H459"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c r="I459" t="inlineStr">
        <is>
          <t>pyrolytic boron nitride crucible, CVD engineering reference</t>
        </is>
      </c>
    </row>
    <row r="460">
      <c r="A460" t="inlineStr">
        <is>
          <t>market group for electricity, low voltage</t>
        </is>
      </c>
      <c r="B460">
        <v>50</v>
      </c>
      <c r="C460" t="inlineStr">
        <is>
          <t>UCTE</t>
        </is>
      </c>
      <c r="D460" t="inlineStr">
        <is>
          <t>kilowatt hour</t>
        </is>
      </c>
      <c r="F460" t="inlineStr">
        <is>
          <t>technosphere</t>
        </is>
      </c>
      <c r="G460" t="inlineStr">
        <is>
          <t>electricity, low voltage</t>
        </is>
      </c>
      <c r="I460" t="inlineStr">
        <is>
          <t>electricity, low voltage</t>
        </is>
      </c>
    </row>
    <row r="461">
      <c r="A461" t="inlineStr">
        <is>
          <t>treatment of hazardous waste, underground deposit</t>
        </is>
      </c>
      <c r="B461">
        <v>-0.01</v>
      </c>
      <c r="C461" t="inlineStr">
        <is>
          <t>RoW</t>
        </is>
      </c>
      <c r="D461" t="inlineStr">
        <is>
          <t>kilogram</t>
        </is>
      </c>
      <c r="F461" t="inlineStr">
        <is>
          <t>technosphere</t>
        </is>
      </c>
      <c r="G461" t="inlineStr">
        <is>
          <t>hazardous waste, for underground deposit</t>
        </is>
      </c>
      <c r="I461" t="inlineStr">
        <is>
          <t>hazardous waste, for underground deposit</t>
        </is>
      </c>
    </row>
    <row r="462">
      <c r="A462" t="inlineStr">
        <is>
          <t>treatment of hazardous waste, underground deposit</t>
        </is>
      </c>
      <c r="B462">
        <v>-0.05263157894736836</v>
      </c>
      <c r="C462" t="inlineStr">
        <is>
          <t>RoW</t>
        </is>
      </c>
      <c r="D462" t="inlineStr">
        <is>
          <t>kilogram</t>
        </is>
      </c>
      <c r="F462" t="inlineStr">
        <is>
          <t>technosphere</t>
        </is>
      </c>
      <c r="G462" t="inlineStr">
        <is>
          <t>hazardous waste, for underground deposit</t>
        </is>
      </c>
      <c r="I462" t="inlineStr">
        <is>
          <t>hazardous waste, for underground deposit</t>
        </is>
      </c>
    </row>
    <row r="465">
      <c r="A465" t="inlineStr">
        <is>
          <t>Activity</t>
        </is>
      </c>
      <c r="B465" t="inlineStr">
        <is>
          <t>GaAs substrate manufacture, 100-use attribution reference</t>
        </is>
      </c>
    </row>
    <row r="466">
      <c r="A466" t="inlineStr">
        <is>
          <t>location</t>
        </is>
      </c>
      <c r="B466" t="inlineStr">
        <is>
          <t>GLO</t>
        </is>
      </c>
    </row>
    <row r="467">
      <c r="A467" t="inlineStr">
        <is>
          <t>production amount</t>
        </is>
      </c>
      <c r="B467">
        <v>1</v>
      </c>
    </row>
    <row r="468">
      <c r="A468" t="inlineStr">
        <is>
          <t>reference product</t>
        </is>
      </c>
      <c r="B468" t="inlineStr">
        <is>
          <t>GaAs substrate manufacture, 100-use attribution reference</t>
        </is>
      </c>
    </row>
    <row r="469">
      <c r="A469" t="inlineStr">
        <is>
          <t>unit</t>
        </is>
      </c>
      <c r="B469" t="inlineStr">
        <is>
          <t>square meter</t>
        </is>
      </c>
    </row>
    <row r="470">
      <c r="A470" t="inlineStr">
        <is>
          <t>source</t>
        </is>
      </c>
      <c r="B470" t="inlineStr">
        <is>
          <t>Pallas et al.2020 DOI10.1007/s11367-020-01791-z, public SI S1,S4,S6: https://media.springernature.com/full/springer-static/esm/art%3A10.1007%2Fs11367-020-01791-z/MediaObjects/11367_2020_1791_MOESM1_ESM.docx .</t>
        </is>
      </c>
    </row>
    <row r="471">
      <c r="A471" t="inlineStr">
        <is>
          <t>comment</t>
        </is>
      </c>
      <c r="B471"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t>
        </is>
      </c>
    </row>
    <row r="472">
      <c r="A472" t="inlineStr">
        <is>
          <t>Exchanges</t>
        </is>
      </c>
    </row>
    <row r="473">
      <c r="A473" t="inlineStr">
        <is>
          <t>name</t>
        </is>
      </c>
      <c r="B473" t="inlineStr">
        <is>
          <t>amount</t>
        </is>
      </c>
      <c r="C473" t="inlineStr">
        <is>
          <t>location</t>
        </is>
      </c>
      <c r="D473" t="inlineStr">
        <is>
          <t>unit</t>
        </is>
      </c>
      <c r="E473" t="inlineStr">
        <is>
          <t>categories</t>
        </is>
      </c>
      <c r="F473" t="inlineStr">
        <is>
          <t>type</t>
        </is>
      </c>
      <c r="G473" t="inlineStr">
        <is>
          <t>reference product</t>
        </is>
      </c>
      <c r="H473" t="inlineStr">
        <is>
          <t>comment</t>
        </is>
      </c>
      <c r="I473" t="inlineStr">
        <is>
          <t>product</t>
        </is>
      </c>
    </row>
    <row r="474">
      <c r="A474" t="inlineStr">
        <is>
          <t>GaAs substrate manufacture, 100-use attribution reference</t>
        </is>
      </c>
      <c r="B474">
        <v>1</v>
      </c>
      <c r="C474" t="inlineStr">
        <is>
          <t>GLO</t>
        </is>
      </c>
      <c r="D474" t="inlineStr">
        <is>
          <t>square meter</t>
        </is>
      </c>
      <c r="F474" t="inlineStr">
        <is>
          <t>production</t>
        </is>
      </c>
      <c r="G474" t="inlineStr">
        <is>
          <t>GaAs substrate manufacture, 100-use attribution reference</t>
        </is>
      </c>
      <c r="I474" t="inlineStr">
        <is>
          <t>GaAs substrate manufacture, 100-use attribution reference</t>
        </is>
      </c>
    </row>
    <row r="475">
      <c r="A475" t="inlineStr">
        <is>
          <t>GaAs wafer production - cleaning, quality control, packing</t>
        </is>
      </c>
      <c r="B475">
        <v>0.01</v>
      </c>
      <c r="C475" t="inlineStr">
        <is>
          <t>GLO</t>
        </is>
      </c>
      <c r="D475" t="inlineStr">
        <is>
          <t>square meter</t>
        </is>
      </c>
      <c r="F475" t="inlineStr">
        <is>
          <t>technosphere</t>
        </is>
      </c>
      <c r="G475" t="inlineStr">
        <is>
          <t xml:space="preserve">GaAs wafer </t>
        </is>
      </c>
      <c r="I475" t="inlineStr">
        <is>
          <t xml:space="preserve">GaAs wafer </t>
        </is>
      </c>
    </row>
    <row r="478">
      <c r="A478" t="inlineStr">
        <is>
          <t>Activity</t>
        </is>
      </c>
      <c r="B478" t="inlineStr">
        <is>
          <t>photovoltaic module assembly only, GaAs-Si tandem reference</t>
        </is>
      </c>
    </row>
    <row r="479">
      <c r="A479" t="inlineStr">
        <is>
          <t>location</t>
        </is>
      </c>
      <c r="B479" t="inlineStr">
        <is>
          <t>RER</t>
        </is>
      </c>
    </row>
    <row r="480">
      <c r="A480" t="inlineStr">
        <is>
          <t>production amount</t>
        </is>
      </c>
      <c r="B480">
        <v>1</v>
      </c>
    </row>
    <row r="481">
      <c r="A481" t="inlineStr">
        <is>
          <t>reference product</t>
        </is>
      </c>
      <c r="B481" t="inlineStr">
        <is>
          <t>photovoltaic module assembly only, GaAs-Si tandem reference</t>
        </is>
      </c>
    </row>
    <row r="482">
      <c r="A482" t="inlineStr">
        <is>
          <t>unit</t>
        </is>
      </c>
      <c r="B482" t="inlineStr">
        <is>
          <t>square meter</t>
        </is>
      </c>
    </row>
    <row r="483">
      <c r="A483" t="inlineStr">
        <is>
          <t>source</t>
        </is>
      </c>
      <c r="B483" t="inlineStr">
        <is>
          <t>Pallas et al.2020 DOI10.1007/s11367-020-01791-z, public SI S1,S4,S6: https://media.springernature.com/full/springer-static/esm/art%3A10.1007%2Fs11367-020-01791-z/MediaObjects/11367_2020_1791_MOESM1_ESM.docx .</t>
        </is>
      </c>
    </row>
    <row r="484">
      <c r="A484" t="inlineStr">
        <is>
          <t>comment</t>
        </is>
      </c>
      <c r="B484" t="inlineStr">
        <is>
          <t>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t>
        </is>
      </c>
    </row>
    <row r="485">
      <c r="A485" t="inlineStr">
        <is>
          <t>Exchanges</t>
        </is>
      </c>
    </row>
    <row r="486">
      <c r="A486" t="inlineStr">
        <is>
          <t>name</t>
        </is>
      </c>
      <c r="B486" t="inlineStr">
        <is>
          <t>amount</t>
        </is>
      </c>
      <c r="C486" t="inlineStr">
        <is>
          <t>location</t>
        </is>
      </c>
      <c r="D486" t="inlineStr">
        <is>
          <t>unit</t>
        </is>
      </c>
      <c r="E486" t="inlineStr">
        <is>
          <t>categories</t>
        </is>
      </c>
      <c r="F486" t="inlineStr">
        <is>
          <t>type</t>
        </is>
      </c>
      <c r="G486" t="inlineStr">
        <is>
          <t>reference product</t>
        </is>
      </c>
      <c r="H486" t="inlineStr">
        <is>
          <t>comment</t>
        </is>
      </c>
      <c r="I486" t="inlineStr">
        <is>
          <t>product</t>
        </is>
      </c>
    </row>
    <row r="487">
      <c r="A487" t="inlineStr">
        <is>
          <t>photovoltaic module assembly only, GaAs-Si tandem reference</t>
        </is>
      </c>
      <c r="B487">
        <v>1</v>
      </c>
      <c r="C487" t="inlineStr">
        <is>
          <t>RER</t>
        </is>
      </c>
      <c r="D487" t="inlineStr">
        <is>
          <t>square meter</t>
        </is>
      </c>
      <c r="F487" t="inlineStr">
        <is>
          <t>production</t>
        </is>
      </c>
      <c r="G487" t="inlineStr">
        <is>
          <t>photovoltaic module assembly only, GaAs-Si tandem reference</t>
        </is>
      </c>
      <c r="I487" t="inlineStr">
        <is>
          <t>photovoltaic module assembly only, GaAs-Si tandem reference</t>
        </is>
      </c>
    </row>
    <row r="488">
      <c r="A488" t="inlineStr">
        <is>
          <t>market for 1-propanol</t>
        </is>
      </c>
      <c r="B488">
        <v>0.008138599805533886</v>
      </c>
      <c r="C488" t="inlineStr">
        <is>
          <t>GLO</t>
        </is>
      </c>
      <c r="D488" t="inlineStr">
        <is>
          <t>kilogram</t>
        </is>
      </c>
      <c r="F488" t="inlineStr">
        <is>
          <t>technosphere</t>
        </is>
      </c>
      <c r="G488" t="inlineStr">
        <is>
          <t>1-propanol</t>
        </is>
      </c>
      <c r="I488" t="inlineStr">
        <is>
          <t>1-propanol</t>
        </is>
      </c>
    </row>
    <row r="489">
      <c r="A489" t="inlineStr">
        <is>
          <t>market for acetone, liquid</t>
        </is>
      </c>
      <c r="B489">
        <v>0.01295899972319603</v>
      </c>
      <c r="C489" t="inlineStr">
        <is>
          <t>RER</t>
        </is>
      </c>
      <c r="D489" t="inlineStr">
        <is>
          <t>kilogram</t>
        </is>
      </c>
      <c r="F489" t="inlineStr">
        <is>
          <t>technosphere</t>
        </is>
      </c>
      <c r="G489" t="inlineStr">
        <is>
          <t>acetone, liquid</t>
        </is>
      </c>
      <c r="I489" t="inlineStr">
        <is>
          <t>acetone, liquid</t>
        </is>
      </c>
    </row>
    <row r="490">
      <c r="A490" t="inlineStr">
        <is>
          <t>market for aluminium alloy, AlMg3</t>
        </is>
      </c>
      <c r="B490">
        <v>2.6294000148773193</v>
      </c>
      <c r="C490" t="inlineStr">
        <is>
          <t>GLO</t>
        </is>
      </c>
      <c r="D490" t="inlineStr">
        <is>
          <t>kilogram</t>
        </is>
      </c>
      <c r="F490" t="inlineStr">
        <is>
          <t>technosphere</t>
        </is>
      </c>
      <c r="G490" t="inlineStr">
        <is>
          <t>aluminium alloy, AlMg3</t>
        </is>
      </c>
      <c r="I490" t="inlineStr">
        <is>
          <t>aluminium alloy, AlMg3</t>
        </is>
      </c>
    </row>
    <row r="491">
      <c r="A491" t="inlineStr">
        <is>
          <t>market for brazing solder, cadmium free</t>
        </is>
      </c>
      <c r="B491">
        <v>0.008764700032770634</v>
      </c>
      <c r="C491" t="inlineStr">
        <is>
          <t>GLO</t>
        </is>
      </c>
      <c r="D491" t="inlineStr">
        <is>
          <t>kilogram</t>
        </is>
      </c>
      <c r="F491" t="inlineStr">
        <is>
          <t>technosphere</t>
        </is>
      </c>
      <c r="G491" t="inlineStr">
        <is>
          <t>brazing solder, cadmium free</t>
        </is>
      </c>
      <c r="I491" t="inlineStr">
        <is>
          <t>brazing solder, cadmium free</t>
        </is>
      </c>
    </row>
    <row r="492">
      <c r="A492" t="inlineStr">
        <is>
          <t>market for copper, cathode</t>
        </is>
      </c>
      <c r="B492">
        <v>0.11269000172615051</v>
      </c>
      <c r="C492" t="inlineStr">
        <is>
          <t>GLO</t>
        </is>
      </c>
      <c r="D492" t="inlineStr">
        <is>
          <t>kilogram</t>
        </is>
      </c>
      <c r="F492" t="inlineStr">
        <is>
          <t>technosphere</t>
        </is>
      </c>
      <c r="G492" t="inlineStr">
        <is>
          <t>copper, cathode</t>
        </is>
      </c>
      <c r="I492" t="inlineStr">
        <is>
          <t>copper, cathode</t>
        </is>
      </c>
    </row>
    <row r="493">
      <c r="A493" t="inlineStr">
        <is>
          <t>market for corrugated board box</t>
        </is>
      </c>
      <c r="B493">
        <v>1.0956000089645386</v>
      </c>
      <c r="C493" t="inlineStr">
        <is>
          <t>RER</t>
        </is>
      </c>
      <c r="D493" t="inlineStr">
        <is>
          <t>kilogram</t>
        </is>
      </c>
      <c r="F493" t="inlineStr">
        <is>
          <t>technosphere</t>
        </is>
      </c>
      <c r="G493" t="inlineStr">
        <is>
          <t>corrugated board box</t>
        </is>
      </c>
      <c r="I493" t="inlineStr">
        <is>
          <t>corrugated board box</t>
        </is>
      </c>
    </row>
    <row r="494">
      <c r="A494" t="inlineStr">
        <is>
          <t>market group for electricity, medium voltage</t>
        </is>
      </c>
      <c r="B494">
        <v>4.710700035095215</v>
      </c>
      <c r="C494" t="inlineStr">
        <is>
          <t>RER</t>
        </is>
      </c>
      <c r="D494" t="inlineStr">
        <is>
          <t>kilowatt hour</t>
        </is>
      </c>
      <c r="F494" t="inlineStr">
        <is>
          <t>technosphere</t>
        </is>
      </c>
      <c r="G494" t="inlineStr">
        <is>
          <t>electricity, medium voltage</t>
        </is>
      </c>
      <c r="I494" t="inlineStr">
        <is>
          <t>electricity, medium voltage</t>
        </is>
      </c>
    </row>
    <row r="495">
      <c r="A495" t="inlineStr">
        <is>
          <t>market for ethylvinylacetate, foil</t>
        </is>
      </c>
      <c r="B495">
        <v>1.0017000436782837</v>
      </c>
      <c r="C495" t="inlineStr">
        <is>
          <t>GLO</t>
        </is>
      </c>
      <c r="D495" t="inlineStr">
        <is>
          <t>kilogram</t>
        </is>
      </c>
      <c r="F495" t="inlineStr">
        <is>
          <t>technosphere</t>
        </is>
      </c>
      <c r="G495" t="inlineStr">
        <is>
          <t>ethylvinylacetate, foil</t>
        </is>
      </c>
      <c r="I495" t="inlineStr">
        <is>
          <t>ethylvinylacetate, foil</t>
        </is>
      </c>
    </row>
    <row r="496">
      <c r="A496" t="inlineStr">
        <is>
          <t>market for glass fibre reinforced plastic, polyamide, injection moulded</t>
        </is>
      </c>
      <c r="B496">
        <v>0.1878100037574768</v>
      </c>
      <c r="C496" t="inlineStr">
        <is>
          <t>GLO</t>
        </is>
      </c>
      <c r="D496" t="inlineStr">
        <is>
          <t>kilogram</t>
        </is>
      </c>
      <c r="F496" t="inlineStr">
        <is>
          <t>technosphere</t>
        </is>
      </c>
      <c r="G496" t="inlineStr">
        <is>
          <t>glass fibre reinforced plastic, polyamide, injection moulded</t>
        </is>
      </c>
      <c r="I496" t="inlineStr">
        <is>
          <t>glass fibre reinforced plastic, polyamide, injection moulded</t>
        </is>
      </c>
    </row>
    <row r="497">
      <c r="A497" t="inlineStr">
        <is>
          <t>market group for heat, district or industrial, natural gas</t>
        </is>
      </c>
      <c r="B497">
        <v>4.866390228271484</v>
      </c>
      <c r="C497" t="inlineStr">
        <is>
          <t>RER</t>
        </is>
      </c>
      <c r="D497" t="inlineStr">
        <is>
          <t>megajoule</t>
        </is>
      </c>
      <c r="F497" t="inlineStr">
        <is>
          <t>technosphere</t>
        </is>
      </c>
      <c r="G497" t="inlineStr">
        <is>
          <t>heat, district or industrial, natural gas</t>
        </is>
      </c>
      <c r="I497" t="inlineStr">
        <is>
          <t>heat, district or industrial, natural gas</t>
        </is>
      </c>
    </row>
    <row r="498">
      <c r="A498" t="inlineStr">
        <is>
          <t>market for lubricating oil</t>
        </is>
      </c>
      <c r="B498">
        <v>0.0016069000121206045</v>
      </c>
      <c r="C498" t="inlineStr">
        <is>
          <t>RER</t>
        </is>
      </c>
      <c r="D498" t="inlineStr">
        <is>
          <t>kilogram</t>
        </is>
      </c>
      <c r="F498" t="inlineStr">
        <is>
          <t>technosphere</t>
        </is>
      </c>
      <c r="G498" t="inlineStr">
        <is>
          <t>lubricating oil</t>
        </is>
      </c>
      <c r="I498" t="inlineStr">
        <is>
          <t>lubricating oil</t>
        </is>
      </c>
    </row>
    <row r="499">
      <c r="A499" t="inlineStr">
        <is>
          <t>market for methanol</t>
        </is>
      </c>
      <c r="B499">
        <v>0.0021556001156568527</v>
      </c>
      <c r="C499" t="inlineStr">
        <is>
          <t>RER</t>
        </is>
      </c>
      <c r="D499" t="inlineStr">
        <is>
          <t>kilogram</t>
        </is>
      </c>
      <c r="F499" t="inlineStr">
        <is>
          <t>technosphere</t>
        </is>
      </c>
      <c r="G499" t="inlineStr">
        <is>
          <t>methanol</t>
        </is>
      </c>
      <c r="I499" t="inlineStr">
        <is>
          <t>methanol</t>
        </is>
      </c>
    </row>
    <row r="500">
      <c r="A500" t="inlineStr">
        <is>
          <t>market group for municipal solid waste</t>
        </is>
      </c>
      <c r="B500">
        <v>-0.029999999329447746</v>
      </c>
      <c r="C500" t="inlineStr">
        <is>
          <t>RER</t>
        </is>
      </c>
      <c r="D500" t="inlineStr">
        <is>
          <t>kilogram</t>
        </is>
      </c>
      <c r="F500" t="inlineStr">
        <is>
          <t>technosphere</t>
        </is>
      </c>
      <c r="G500" t="inlineStr">
        <is>
          <t>municipal solid waste</t>
        </is>
      </c>
      <c r="I500" t="inlineStr">
        <is>
          <t>municipal solid waste</t>
        </is>
      </c>
    </row>
    <row r="501">
      <c r="A501" t="inlineStr">
        <is>
          <t>market for nickel, class 1</t>
        </is>
      </c>
      <c r="B501">
        <v>0.00016276999667752534</v>
      </c>
      <c r="C501" t="inlineStr">
        <is>
          <t>GLO</t>
        </is>
      </c>
      <c r="D501" t="inlineStr">
        <is>
          <t>kilogram</t>
        </is>
      </c>
      <c r="F501" t="inlineStr">
        <is>
          <t>technosphere</t>
        </is>
      </c>
      <c r="G501" t="inlineStr">
        <is>
          <t>nickel, class 1</t>
        </is>
      </c>
      <c r="I501" t="inlineStr">
        <is>
          <t>nickel, class 1</t>
        </is>
      </c>
    </row>
    <row r="502">
      <c r="A502" t="inlineStr">
        <is>
          <t>market for photovoltaic panel factory</t>
        </is>
      </c>
      <c r="B502">
        <v>3.999999989900971e-06</v>
      </c>
      <c r="C502" t="inlineStr">
        <is>
          <t>GLO</t>
        </is>
      </c>
      <c r="D502" t="inlineStr">
        <is>
          <t>unit</t>
        </is>
      </c>
      <c r="F502" t="inlineStr">
        <is>
          <t>technosphere</t>
        </is>
      </c>
      <c r="G502" t="inlineStr">
        <is>
          <t>photovoltaic panel factory</t>
        </is>
      </c>
      <c r="I502" t="inlineStr">
        <is>
          <t>photovoltaic panel factory</t>
        </is>
      </c>
    </row>
    <row r="503">
      <c r="A503" t="inlineStr">
        <is>
          <t>market for polyethylene terephthalate, granulate, amorphous</t>
        </is>
      </c>
      <c r="B503">
        <v>0.37297001481056213</v>
      </c>
      <c r="C503" t="inlineStr">
        <is>
          <t>GLO</t>
        </is>
      </c>
      <c r="D503" t="inlineStr">
        <is>
          <t>kilogram</t>
        </is>
      </c>
      <c r="F503" t="inlineStr">
        <is>
          <t>technosphere</t>
        </is>
      </c>
      <c r="G503" t="inlineStr">
        <is>
          <t>polyethylene terephthalate, granulate, amorphous</t>
        </is>
      </c>
      <c r="I503" t="inlineStr">
        <is>
          <t>polyethylene terephthalate, granulate, amorphous</t>
        </is>
      </c>
    </row>
    <row r="504">
      <c r="A504" t="inlineStr">
        <is>
          <t>market for polyvinylfluoride, film</t>
        </is>
      </c>
      <c r="B504">
        <v>0.1103999987244606</v>
      </c>
      <c r="C504" t="inlineStr">
        <is>
          <t>GLO</t>
        </is>
      </c>
      <c r="D504" t="inlineStr">
        <is>
          <t>kilogram</t>
        </is>
      </c>
      <c r="F504" t="inlineStr">
        <is>
          <t>technosphere</t>
        </is>
      </c>
      <c r="G504" t="inlineStr">
        <is>
          <t>polyvinylfluoride, film</t>
        </is>
      </c>
      <c r="I504" t="inlineStr">
        <is>
          <t>polyvinylfluoride, film</t>
        </is>
      </c>
    </row>
    <row r="505">
      <c r="A505" t="inlineStr">
        <is>
          <t>market for silicone product</t>
        </is>
      </c>
      <c r="B505">
        <v>0.12195000052452087</v>
      </c>
      <c r="C505" t="inlineStr">
        <is>
          <t>RER</t>
        </is>
      </c>
      <c r="D505" t="inlineStr">
        <is>
          <t>kilogram</t>
        </is>
      </c>
      <c r="F505" t="inlineStr">
        <is>
          <t>technosphere</t>
        </is>
      </c>
      <c r="G505" t="inlineStr">
        <is>
          <t>silicone product</t>
        </is>
      </c>
      <c r="I505" t="inlineStr">
        <is>
          <t>silicone product</t>
        </is>
      </c>
    </row>
    <row r="506">
      <c r="A506" t="inlineStr">
        <is>
          <t>market for solar glass, low-iron</t>
        </is>
      </c>
      <c r="B506">
        <v>10.079000473022461</v>
      </c>
      <c r="C506" t="inlineStr">
        <is>
          <t>GLO</t>
        </is>
      </c>
      <c r="D506" t="inlineStr">
        <is>
          <t>kilogram</t>
        </is>
      </c>
      <c r="F506" t="inlineStr">
        <is>
          <t>technosphere</t>
        </is>
      </c>
      <c r="G506" t="inlineStr">
        <is>
          <t>solar glass, low-iron</t>
        </is>
      </c>
      <c r="I506" t="inlineStr">
        <is>
          <t>solar glass, low-iron</t>
        </is>
      </c>
    </row>
    <row r="507">
      <c r="A507" t="inlineStr">
        <is>
          <t>market group for tap water</t>
        </is>
      </c>
      <c r="B507">
        <v>21.285999298095703</v>
      </c>
      <c r="C507" t="inlineStr">
        <is>
          <t>RER</t>
        </is>
      </c>
      <c r="D507" t="inlineStr">
        <is>
          <t>kilogram</t>
        </is>
      </c>
      <c r="F507" t="inlineStr">
        <is>
          <t>technosphere</t>
        </is>
      </c>
      <c r="G507" t="inlineStr">
        <is>
          <t>tap water</t>
        </is>
      </c>
      <c r="I507" t="inlineStr">
        <is>
          <t>tap water</t>
        </is>
      </c>
    </row>
    <row r="508">
      <c r="A508" t="inlineStr">
        <is>
          <t>tempering, flat glass</t>
        </is>
      </c>
      <c r="B508">
        <v>10.079000473022461</v>
      </c>
      <c r="C508" t="inlineStr">
        <is>
          <t>RER</t>
        </is>
      </c>
      <c r="D508" t="inlineStr">
        <is>
          <t>kilogram</t>
        </is>
      </c>
      <c r="F508" t="inlineStr">
        <is>
          <t>technosphere</t>
        </is>
      </c>
      <c r="G508" t="inlineStr">
        <is>
          <t>tempering, flat glass</t>
        </is>
      </c>
      <c r="I508" t="inlineStr">
        <is>
          <t>tempering, flat glass</t>
        </is>
      </c>
    </row>
    <row r="509">
      <c r="A509" t="inlineStr">
        <is>
          <t>market for vinyl acetate</t>
        </is>
      </c>
      <c r="B509">
        <v>0.0016434000572189689</v>
      </c>
      <c r="C509" t="inlineStr">
        <is>
          <t>GLO</t>
        </is>
      </c>
      <c r="D509" t="inlineStr">
        <is>
          <t>kilogram</t>
        </is>
      </c>
      <c r="F509" t="inlineStr">
        <is>
          <t>technosphere</t>
        </is>
      </c>
      <c r="G509" t="inlineStr">
        <is>
          <t>vinyl acetate</t>
        </is>
      </c>
      <c r="I509" t="inlineStr">
        <is>
          <t>vinyl acetate</t>
        </is>
      </c>
    </row>
    <row r="510">
      <c r="A510" t="inlineStr">
        <is>
          <t>market for waste mineral oil</t>
        </is>
      </c>
      <c r="B510">
        <v>-0.0015680805081501603</v>
      </c>
      <c r="C510" t="inlineStr">
        <is>
          <t>Europe without Switzerland</t>
        </is>
      </c>
      <c r="D510" t="inlineStr">
        <is>
          <t>kilogram</t>
        </is>
      </c>
      <c r="F510" t="inlineStr">
        <is>
          <t>technosphere</t>
        </is>
      </c>
      <c r="G510" t="inlineStr">
        <is>
          <t>waste mineral oil</t>
        </is>
      </c>
      <c r="I510" t="inlineStr">
        <is>
          <t>waste mineral oil</t>
        </is>
      </c>
    </row>
    <row r="511">
      <c r="A511" t="inlineStr">
        <is>
          <t>market for waste mineral oil</t>
        </is>
      </c>
      <c r="B511">
        <v>-3.8819438486825675e-05</v>
      </c>
      <c r="C511" t="inlineStr">
        <is>
          <t>CH</t>
        </is>
      </c>
      <c r="D511" t="inlineStr">
        <is>
          <t>kilogram</t>
        </is>
      </c>
      <c r="F511" t="inlineStr">
        <is>
          <t>technosphere</t>
        </is>
      </c>
      <c r="G511" t="inlineStr">
        <is>
          <t>waste mineral oil</t>
        </is>
      </c>
      <c r="I511" t="inlineStr">
        <is>
          <t>waste mineral oil</t>
        </is>
      </c>
    </row>
    <row r="512">
      <c r="A512" t="inlineStr">
        <is>
          <t>market group for waste plastic, mixture</t>
        </is>
      </c>
      <c r="B512">
        <v>-1.6861000061035156</v>
      </c>
      <c r="C512" t="inlineStr">
        <is>
          <t>RER</t>
        </is>
      </c>
      <c r="D512" t="inlineStr">
        <is>
          <t>kilogram</t>
        </is>
      </c>
      <c r="F512" t="inlineStr">
        <is>
          <t>technosphere</t>
        </is>
      </c>
      <c r="G512" t="inlineStr">
        <is>
          <t>waste plastic, mixture</t>
        </is>
      </c>
      <c r="I512" t="inlineStr">
        <is>
          <t>waste plastic, mixture</t>
        </is>
      </c>
    </row>
    <row r="513">
      <c r="A513" t="inlineStr">
        <is>
          <t>market for waste polyvinylfluoride</t>
        </is>
      </c>
      <c r="B513">
        <v>-0.1103999987244606</v>
      </c>
      <c r="C513" t="inlineStr">
        <is>
          <t>CH</t>
        </is>
      </c>
      <c r="D513" t="inlineStr">
        <is>
          <t>kilogram</t>
        </is>
      </c>
      <c r="F513" t="inlineStr">
        <is>
          <t>technosphere</t>
        </is>
      </c>
      <c r="G513" t="inlineStr">
        <is>
          <t>waste polyvinylfluoride</t>
        </is>
      </c>
      <c r="I513" t="inlineStr">
        <is>
          <t>waste polyvinylfluoride</t>
        </is>
      </c>
    </row>
    <row r="514">
      <c r="A514" t="inlineStr">
        <is>
          <t>market for wastewater, average</t>
        </is>
      </c>
      <c r="B514">
        <v>-0.020764166489243507</v>
      </c>
      <c r="C514" t="inlineStr">
        <is>
          <t>Europe without Switzerland</t>
        </is>
      </c>
      <c r="D514" t="inlineStr">
        <is>
          <t>cubic meter</t>
        </is>
      </c>
      <c r="F514" t="inlineStr">
        <is>
          <t>technosphere</t>
        </is>
      </c>
      <c r="G514" t="inlineStr">
        <is>
          <t>wastewater, average</t>
        </is>
      </c>
      <c r="I514" t="inlineStr">
        <is>
          <t>wastewater, average</t>
        </is>
      </c>
    </row>
    <row r="515">
      <c r="A515" t="inlineStr">
        <is>
          <t>market for wastewater, average</t>
        </is>
      </c>
      <c r="B515">
        <v>-0.0005218342412263155</v>
      </c>
      <c r="C515" t="inlineStr">
        <is>
          <t>CH</t>
        </is>
      </c>
      <c r="D515" t="inlineStr">
        <is>
          <t>cubic meter</t>
        </is>
      </c>
      <c r="F515" t="inlineStr">
        <is>
          <t>technosphere</t>
        </is>
      </c>
      <c r="G515" t="inlineStr">
        <is>
          <t>wastewater, average</t>
        </is>
      </c>
      <c r="I515" t="inlineStr">
        <is>
          <t>wastewater, average</t>
        </is>
      </c>
    </row>
    <row r="516">
      <c r="A516" t="inlineStr">
        <is>
          <t>wire drawing, copper</t>
        </is>
      </c>
      <c r="B516">
        <v>0.11269000172615051</v>
      </c>
      <c r="C516" t="inlineStr">
        <is>
          <t>RER</t>
        </is>
      </c>
      <c r="D516" t="inlineStr">
        <is>
          <t>kilogram</t>
        </is>
      </c>
      <c r="F516" t="inlineStr">
        <is>
          <t>technosphere</t>
        </is>
      </c>
      <c r="G516" t="inlineStr">
        <is>
          <t>wire drawing, copper</t>
        </is>
      </c>
      <c r="I516" t="inlineStr">
        <is>
          <t>wire drawing, copper</t>
        </is>
      </c>
    </row>
    <row r="517">
      <c r="A517" t="inlineStr">
        <is>
          <t>Water</t>
        </is>
      </c>
      <c r="B517">
        <v>0.0031928999815136194</v>
      </c>
      <c r="D517" t="inlineStr">
        <is>
          <t>cubic meter</t>
        </is>
      </c>
      <c r="E517" t="inlineStr">
        <is>
          <t>air</t>
        </is>
      </c>
      <c r="F517" t="inlineStr">
        <is>
          <t>biosphere</t>
        </is>
      </c>
      <c r="H517" t="inlineStr">
        <is>
          <t/>
        </is>
      </c>
    </row>
    <row r="520">
      <c r="A520" t="inlineStr">
        <is>
          <t>Activity</t>
        </is>
      </c>
      <c r="B520" t="inlineStr">
        <is>
          <t>hydrogen bromide, elemental synthesis engineering reference</t>
        </is>
      </c>
    </row>
    <row r="521">
      <c r="A521" t="inlineStr">
        <is>
          <t>location</t>
        </is>
      </c>
      <c r="B521" t="inlineStr">
        <is>
          <t>GLO</t>
        </is>
      </c>
    </row>
    <row r="522">
      <c r="A522" t="inlineStr">
        <is>
          <t>production amount</t>
        </is>
      </c>
      <c r="B522">
        <v>1</v>
      </c>
    </row>
    <row r="523">
      <c r="A523" t="inlineStr">
        <is>
          <t>reference product</t>
        </is>
      </c>
      <c r="B523" t="inlineStr">
        <is>
          <t>hydrogen bromide, elemental synthesis engineering reference</t>
        </is>
      </c>
    </row>
    <row r="524">
      <c r="A524" t="inlineStr">
        <is>
          <t>unit</t>
        </is>
      </c>
      <c r="B524" t="inlineStr">
        <is>
          <t>kilogram</t>
        </is>
      </c>
    </row>
    <row r="525">
      <c r="A525" t="inlineStr">
        <is>
          <t>source</t>
        </is>
      </c>
      <c r="B525" t="inlineStr">
        <is>
          <t>Pallas2020 SI S4 identifies diethylzinc8.5e-6kg/m2 MOVPE. CN100408584C Example1:600gZn,250mLEtI,250mLEtBr,10gCuI; reported trialyieldabout85%,not a measured semiconductorplant inventory. https://patents.google.com/patent/CN100408584C/en .</t>
        </is>
      </c>
    </row>
    <row r="526">
      <c r="A526" t="inlineStr">
        <is>
          <t>comment</t>
        </is>
      </c>
      <c r="B526"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27">
      <c r="A527" t="inlineStr">
        <is>
          <t>Exchanges</t>
        </is>
      </c>
    </row>
    <row r="528">
      <c r="A528" t="inlineStr">
        <is>
          <t>name</t>
        </is>
      </c>
      <c r="B528" t="inlineStr">
        <is>
          <t>amount</t>
        </is>
      </c>
      <c r="C528" t="inlineStr">
        <is>
          <t>location</t>
        </is>
      </c>
      <c r="D528" t="inlineStr">
        <is>
          <t>unit</t>
        </is>
      </c>
      <c r="E528" t="inlineStr">
        <is>
          <t>categories</t>
        </is>
      </c>
      <c r="F528" t="inlineStr">
        <is>
          <t>type</t>
        </is>
      </c>
      <c r="G528" t="inlineStr">
        <is>
          <t>reference product</t>
        </is>
      </c>
      <c r="H528" t="inlineStr">
        <is>
          <t>comment</t>
        </is>
      </c>
      <c r="I528" t="inlineStr">
        <is>
          <t>product</t>
        </is>
      </c>
    </row>
    <row r="529">
      <c r="A529" t="inlineStr">
        <is>
          <t>hydrogen bromide, elemental synthesis engineering reference</t>
        </is>
      </c>
      <c r="B529">
        <v>1</v>
      </c>
      <c r="C529" t="inlineStr">
        <is>
          <t>GLO</t>
        </is>
      </c>
      <c r="D529" t="inlineStr">
        <is>
          <t>kilogram</t>
        </is>
      </c>
      <c r="F529" t="inlineStr">
        <is>
          <t>production</t>
        </is>
      </c>
      <c r="G529" t="inlineStr">
        <is>
          <t>hydrogen bromide, elemental synthesis engineering reference</t>
        </is>
      </c>
      <c r="I529" t="inlineStr">
        <is>
          <t>hydrogen bromide, elemental synthesis engineering reference</t>
        </is>
      </c>
    </row>
    <row r="530">
      <c r="A530" t="inlineStr">
        <is>
          <t>market for hydrogen, gaseous, low pressure</t>
        </is>
      </c>
      <c r="B530">
        <v>0.012457979038955904</v>
      </c>
      <c r="C530" t="inlineStr">
        <is>
          <t>RER</t>
        </is>
      </c>
      <c r="D530" t="inlineStr">
        <is>
          <t>kilogram</t>
        </is>
      </c>
      <c r="F530" t="inlineStr">
        <is>
          <t>technosphere</t>
        </is>
      </c>
      <c r="G530" t="inlineStr">
        <is>
          <t>hydrogen, gaseous, low pressure</t>
        </is>
      </c>
      <c r="I530" t="inlineStr">
        <is>
          <t>hydrogen, gaseous, low pressure</t>
        </is>
      </c>
    </row>
    <row r="531">
      <c r="A531" t="inlineStr">
        <is>
          <t>market for bromine</t>
        </is>
      </c>
      <c r="B531">
        <v>0.9875420209610442</v>
      </c>
      <c r="C531" t="inlineStr">
        <is>
          <t>GLO</t>
        </is>
      </c>
      <c r="D531" t="inlineStr">
        <is>
          <t>kilogram</t>
        </is>
      </c>
      <c r="F531" t="inlineStr">
        <is>
          <t>technosphere</t>
        </is>
      </c>
      <c r="G531" t="inlineStr">
        <is>
          <t>bromine</t>
        </is>
      </c>
      <c r="I531" t="inlineStr">
        <is>
          <t>bromine</t>
        </is>
      </c>
    </row>
    <row r="532">
      <c r="A532" t="inlineStr">
        <is>
          <t>market group for electricity, medium voltage</t>
        </is>
      </c>
      <c r="B532">
        <v>1</v>
      </c>
      <c r="C532" t="inlineStr">
        <is>
          <t>GLO</t>
        </is>
      </c>
      <c r="D532" t="inlineStr">
        <is>
          <t>kilowatt hour</t>
        </is>
      </c>
      <c r="F532" t="inlineStr">
        <is>
          <t>technosphere</t>
        </is>
      </c>
      <c r="G532" t="inlineStr">
        <is>
          <t>electricity, medium voltage</t>
        </is>
      </c>
      <c r="I532" t="inlineStr">
        <is>
          <t>electricity, medium voltage</t>
        </is>
      </c>
    </row>
    <row r="535">
      <c r="A535" t="inlineStr">
        <is>
          <t>Activity</t>
        </is>
      </c>
      <c r="B535" t="inlineStr">
        <is>
          <t>hydrogen iodide, elemental synthesis engineering reference</t>
        </is>
      </c>
    </row>
    <row r="536">
      <c r="A536" t="inlineStr">
        <is>
          <t>location</t>
        </is>
      </c>
      <c r="B536" t="inlineStr">
        <is>
          <t>GLO</t>
        </is>
      </c>
    </row>
    <row r="537">
      <c r="A537" t="inlineStr">
        <is>
          <t>production amount</t>
        </is>
      </c>
      <c r="B537">
        <v>1</v>
      </c>
    </row>
    <row r="538">
      <c r="A538" t="inlineStr">
        <is>
          <t>reference product</t>
        </is>
      </c>
      <c r="B538" t="inlineStr">
        <is>
          <t>hydrogen iodide, elemental synthesis engineering reference</t>
        </is>
      </c>
    </row>
    <row r="539">
      <c r="A539" t="inlineStr">
        <is>
          <t>unit</t>
        </is>
      </c>
      <c r="B539" t="inlineStr">
        <is>
          <t>kilogram</t>
        </is>
      </c>
    </row>
    <row r="540">
      <c r="A540" t="inlineStr">
        <is>
          <t>source</t>
        </is>
      </c>
      <c r="B540" t="inlineStr">
        <is>
          <t>Pallas2020 SI S4 identifies diethylzinc8.5e-6kg/m2 MOVPE. CN100408584C Example1:600gZn,250mLEtI,250mLEtBr,10gCuI; reported trialyieldabout85%,not a measured semiconductorplant inventory. https://patents.google.com/patent/CN100408584C/en .</t>
        </is>
      </c>
    </row>
    <row r="541">
      <c r="A541" t="inlineStr">
        <is>
          <t>comment</t>
        </is>
      </c>
      <c r="B541"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42">
      <c r="A542" t="inlineStr">
        <is>
          <t>Exchanges</t>
        </is>
      </c>
    </row>
    <row r="543">
      <c r="A543" t="inlineStr">
        <is>
          <t>name</t>
        </is>
      </c>
      <c r="B543" t="inlineStr">
        <is>
          <t>amount</t>
        </is>
      </c>
      <c r="C543" t="inlineStr">
        <is>
          <t>location</t>
        </is>
      </c>
      <c r="D543" t="inlineStr">
        <is>
          <t>unit</t>
        </is>
      </c>
      <c r="E543" t="inlineStr">
        <is>
          <t>categories</t>
        </is>
      </c>
      <c r="F543" t="inlineStr">
        <is>
          <t>type</t>
        </is>
      </c>
      <c r="G543" t="inlineStr">
        <is>
          <t>reference product</t>
        </is>
      </c>
      <c r="H543" t="inlineStr">
        <is>
          <t>comment</t>
        </is>
      </c>
      <c r="I543" t="inlineStr">
        <is>
          <t>product</t>
        </is>
      </c>
    </row>
    <row r="544">
      <c r="A544" t="inlineStr">
        <is>
          <t>hydrogen iodide, elemental synthesis engineering reference</t>
        </is>
      </c>
      <c r="B544">
        <v>1</v>
      </c>
      <c r="C544" t="inlineStr">
        <is>
          <t>GLO</t>
        </is>
      </c>
      <c r="D544" t="inlineStr">
        <is>
          <t>kilogram</t>
        </is>
      </c>
      <c r="F544" t="inlineStr">
        <is>
          <t>production</t>
        </is>
      </c>
      <c r="G544" t="inlineStr">
        <is>
          <t>hydrogen iodide, elemental synthesis engineering reference</t>
        </is>
      </c>
      <c r="I544" t="inlineStr">
        <is>
          <t>hydrogen iodide, elemental synthesis engineering reference</t>
        </is>
      </c>
    </row>
    <row r="545">
      <c r="A545" t="inlineStr">
        <is>
          <t>market for hydrogen, gaseous, low pressure</t>
        </is>
      </c>
      <c r="B545">
        <v>0.007880388831518929</v>
      </c>
      <c r="C545" t="inlineStr">
        <is>
          <t>RER</t>
        </is>
      </c>
      <c r="D545" t="inlineStr">
        <is>
          <t>kilogram</t>
        </is>
      </c>
      <c r="F545" t="inlineStr">
        <is>
          <t>technosphere</t>
        </is>
      </c>
      <c r="G545" t="inlineStr">
        <is>
          <t>hydrogen, gaseous, low pressure</t>
        </is>
      </c>
      <c r="I545" t="inlineStr">
        <is>
          <t>hydrogen, gaseous, low pressure</t>
        </is>
      </c>
    </row>
    <row r="546">
      <c r="A546" t="inlineStr">
        <is>
          <t>market for iodine</t>
        </is>
      </c>
      <c r="B546">
        <v>0.9921196111684811</v>
      </c>
      <c r="C546" t="inlineStr">
        <is>
          <t>GLO</t>
        </is>
      </c>
      <c r="D546" t="inlineStr">
        <is>
          <t>kilogram</t>
        </is>
      </c>
      <c r="F546" t="inlineStr">
        <is>
          <t>technosphere</t>
        </is>
      </c>
      <c r="G546" t="inlineStr">
        <is>
          <t>iodine</t>
        </is>
      </c>
      <c r="I546" t="inlineStr">
        <is>
          <t>iodine</t>
        </is>
      </c>
    </row>
    <row r="547">
      <c r="A547" t="inlineStr">
        <is>
          <t>market group for electricity, medium voltage</t>
        </is>
      </c>
      <c r="B547">
        <v>1</v>
      </c>
      <c r="C547" t="inlineStr">
        <is>
          <t>GLO</t>
        </is>
      </c>
      <c r="D547" t="inlineStr">
        <is>
          <t>kilowatt hour</t>
        </is>
      </c>
      <c r="F547" t="inlineStr">
        <is>
          <t>technosphere</t>
        </is>
      </c>
      <c r="G547" t="inlineStr">
        <is>
          <t>electricity, medium voltage</t>
        </is>
      </c>
      <c r="I547" t="inlineStr">
        <is>
          <t>electricity, medium voltage</t>
        </is>
      </c>
    </row>
    <row r="550">
      <c r="A550" t="inlineStr">
        <is>
          <t>Activity</t>
        </is>
      </c>
      <c r="B550" t="inlineStr">
        <is>
          <t>ethyl bromide, ethanol route engineering reference</t>
        </is>
      </c>
    </row>
    <row r="551">
      <c r="A551" t="inlineStr">
        <is>
          <t>location</t>
        </is>
      </c>
      <c r="B551" t="inlineStr">
        <is>
          <t>GLO</t>
        </is>
      </c>
    </row>
    <row r="552">
      <c r="A552" t="inlineStr">
        <is>
          <t>production amount</t>
        </is>
      </c>
      <c r="B552">
        <v>1</v>
      </c>
    </row>
    <row r="553">
      <c r="A553" t="inlineStr">
        <is>
          <t>reference product</t>
        </is>
      </c>
      <c r="B553" t="inlineStr">
        <is>
          <t>ethyl bromide, ethanol route engineering reference</t>
        </is>
      </c>
    </row>
    <row r="554">
      <c r="A554" t="inlineStr">
        <is>
          <t>unit</t>
        </is>
      </c>
      <c r="B554" t="inlineStr">
        <is>
          <t>kilogram</t>
        </is>
      </c>
    </row>
    <row r="555">
      <c r="A555" t="inlineStr">
        <is>
          <t>source</t>
        </is>
      </c>
      <c r="B555" t="inlineStr">
        <is>
          <t>Pallas2020 SI S4 identifies diethylzinc8.5e-6kg/m2 MOVPE. CN100408584C Example1:600gZn,250mLEtI,250mLEtBr,10gCuI; reported trialyieldabout85%,not a measured semiconductorplant inventory. https://patents.google.com/patent/CN100408584C/en .</t>
        </is>
      </c>
    </row>
    <row r="556">
      <c r="A556" t="inlineStr">
        <is>
          <t>comment</t>
        </is>
      </c>
      <c r="B556"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57">
      <c r="A557" t="inlineStr">
        <is>
          <t>Exchanges</t>
        </is>
      </c>
    </row>
    <row r="558">
      <c r="A558" t="inlineStr">
        <is>
          <t>name</t>
        </is>
      </c>
      <c r="B558" t="inlineStr">
        <is>
          <t>amount</t>
        </is>
      </c>
      <c r="C558" t="inlineStr">
        <is>
          <t>location</t>
        </is>
      </c>
      <c r="D558" t="inlineStr">
        <is>
          <t>unit</t>
        </is>
      </c>
      <c r="E558" t="inlineStr">
        <is>
          <t>categories</t>
        </is>
      </c>
      <c r="F558" t="inlineStr">
        <is>
          <t>type</t>
        </is>
      </c>
      <c r="G558" t="inlineStr">
        <is>
          <t>reference product</t>
        </is>
      </c>
      <c r="H558" t="inlineStr">
        <is>
          <t>comment</t>
        </is>
      </c>
      <c r="I558" t="inlineStr">
        <is>
          <t>product</t>
        </is>
      </c>
    </row>
    <row r="559">
      <c r="A559" t="inlineStr">
        <is>
          <t>ethyl bromide, ethanol route engineering reference</t>
        </is>
      </c>
      <c r="B559">
        <v>1</v>
      </c>
      <c r="C559" t="inlineStr">
        <is>
          <t>GLO</t>
        </is>
      </c>
      <c r="D559" t="inlineStr">
        <is>
          <t>kilogram</t>
        </is>
      </c>
      <c r="F559" t="inlineStr">
        <is>
          <t>production</t>
        </is>
      </c>
      <c r="G559" t="inlineStr">
        <is>
          <t>ethyl bromide, ethanol route engineering reference</t>
        </is>
      </c>
      <c r="I559" t="inlineStr">
        <is>
          <t>ethyl bromide, ethanol route engineering reference</t>
        </is>
      </c>
    </row>
    <row r="560">
      <c r="A560" t="inlineStr">
        <is>
          <t>market for ethanol, without water, in 99.7% solution state, from ethylene</t>
        </is>
      </c>
      <c r="B560">
        <v>0.422783253491915</v>
      </c>
      <c r="C560" t="inlineStr">
        <is>
          <t>RER</t>
        </is>
      </c>
      <c r="D560" t="inlineStr">
        <is>
          <t>kilogram</t>
        </is>
      </c>
      <c r="F560" t="inlineStr">
        <is>
          <t>technosphere</t>
        </is>
      </c>
      <c r="G560" t="inlineStr">
        <is>
          <t>ethanol, without water, in 99.7% solution state, from ethylene</t>
        </is>
      </c>
      <c r="I560" t="inlineStr">
        <is>
          <t>ethanol, without water, in 99.7% solution state, from ethylene</t>
        </is>
      </c>
    </row>
    <row r="561">
      <c r="A561" t="inlineStr">
        <is>
          <t>hydrogen bromide, elemental synthesis engineering reference</t>
        </is>
      </c>
      <c r="B561">
        <v>0.742543545693152</v>
      </c>
      <c r="C561" t="inlineStr">
        <is>
          <t>GLO</t>
        </is>
      </c>
      <c r="D561" t="inlineStr">
        <is>
          <t>kilogram</t>
        </is>
      </c>
      <c r="F561" t="inlineStr">
        <is>
          <t>technosphere</t>
        </is>
      </c>
      <c r="G561" t="inlineStr">
        <is>
          <t>hydrogen bromide, elemental synthesis engineering reference</t>
        </is>
      </c>
      <c r="I561" t="inlineStr">
        <is>
          <t>hydrogen bromide, elemental synthesis engineering reference</t>
        </is>
      </c>
    </row>
    <row r="562">
      <c r="A562" t="inlineStr">
        <is>
          <t>market for wastewater, average</t>
        </is>
      </c>
      <c r="B562">
        <v>-0.0001653267991850669</v>
      </c>
      <c r="C562" t="inlineStr">
        <is>
          <t>RoW</t>
        </is>
      </c>
      <c r="D562" t="inlineStr">
        <is>
          <t>cubic meter</t>
        </is>
      </c>
      <c r="F562" t="inlineStr">
        <is>
          <t>technosphere</t>
        </is>
      </c>
      <c r="G562" t="inlineStr">
        <is>
          <t>wastewater, average</t>
        </is>
      </c>
      <c r="I562" t="inlineStr">
        <is>
          <t>wastewater, average</t>
        </is>
      </c>
    </row>
    <row r="563">
      <c r="A563" t="inlineStr">
        <is>
          <t>market group for electricity, medium voltage</t>
        </is>
      </c>
      <c r="B563">
        <v>0.5</v>
      </c>
      <c r="C563" t="inlineStr">
        <is>
          <t>GLO</t>
        </is>
      </c>
      <c r="D563" t="inlineStr">
        <is>
          <t>kilowatt hour</t>
        </is>
      </c>
      <c r="F563" t="inlineStr">
        <is>
          <t>technosphere</t>
        </is>
      </c>
      <c r="G563" t="inlineStr">
        <is>
          <t>electricity, medium voltage</t>
        </is>
      </c>
      <c r="I563" t="inlineStr">
        <is>
          <t>electricity, medium voltage</t>
        </is>
      </c>
    </row>
    <row r="566">
      <c r="A566" t="inlineStr">
        <is>
          <t>Activity</t>
        </is>
      </c>
      <c r="B566" t="inlineStr">
        <is>
          <t>ethyl iodide, ethanol route engineering reference</t>
        </is>
      </c>
    </row>
    <row r="567">
      <c r="A567" t="inlineStr">
        <is>
          <t>location</t>
        </is>
      </c>
      <c r="B567" t="inlineStr">
        <is>
          <t>GLO</t>
        </is>
      </c>
    </row>
    <row r="568">
      <c r="A568" t="inlineStr">
        <is>
          <t>production amount</t>
        </is>
      </c>
      <c r="B568">
        <v>1</v>
      </c>
    </row>
    <row r="569">
      <c r="A569" t="inlineStr">
        <is>
          <t>reference product</t>
        </is>
      </c>
      <c r="B569" t="inlineStr">
        <is>
          <t>ethyl iodide, ethanol route engineering reference</t>
        </is>
      </c>
    </row>
    <row r="570">
      <c r="A570" t="inlineStr">
        <is>
          <t>unit</t>
        </is>
      </c>
      <c r="B570" t="inlineStr">
        <is>
          <t>kilogram</t>
        </is>
      </c>
    </row>
    <row r="571">
      <c r="A571" t="inlineStr">
        <is>
          <t>source</t>
        </is>
      </c>
      <c r="B571" t="inlineStr">
        <is>
          <t>Pallas2020 SI S4 identifies diethylzinc8.5e-6kg/m2 MOVPE. CN100408584C Example1:600gZn,250mLEtI,250mLEtBr,10gCuI; reported trialyieldabout85%,not a measured semiconductorplant inventory. https://patents.google.com/patent/CN100408584C/en .</t>
        </is>
      </c>
    </row>
    <row r="572">
      <c r="A572" t="inlineStr">
        <is>
          <t>comment</t>
        </is>
      </c>
      <c r="B572"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73">
      <c r="A573" t="inlineStr">
        <is>
          <t>Exchanges</t>
        </is>
      </c>
    </row>
    <row r="574">
      <c r="A574" t="inlineStr">
        <is>
          <t>name</t>
        </is>
      </c>
      <c r="B574" t="inlineStr">
        <is>
          <t>amount</t>
        </is>
      </c>
      <c r="C574" t="inlineStr">
        <is>
          <t>location</t>
        </is>
      </c>
      <c r="D574" t="inlineStr">
        <is>
          <t>unit</t>
        </is>
      </c>
      <c r="E574" t="inlineStr">
        <is>
          <t>categories</t>
        </is>
      </c>
      <c r="F574" t="inlineStr">
        <is>
          <t>type</t>
        </is>
      </c>
      <c r="G574" t="inlineStr">
        <is>
          <t>reference product</t>
        </is>
      </c>
      <c r="H574" t="inlineStr">
        <is>
          <t>comment</t>
        </is>
      </c>
      <c r="I574" t="inlineStr">
        <is>
          <t>product</t>
        </is>
      </c>
    </row>
    <row r="575">
      <c r="A575" t="inlineStr">
        <is>
          <t>ethyl iodide, ethanol route engineering reference</t>
        </is>
      </c>
      <c r="B575">
        <v>1</v>
      </c>
      <c r="C575" t="inlineStr">
        <is>
          <t>GLO</t>
        </is>
      </c>
      <c r="D575" t="inlineStr">
        <is>
          <t>kilogram</t>
        </is>
      </c>
      <c r="F575" t="inlineStr">
        <is>
          <t>production</t>
        </is>
      </c>
      <c r="G575" t="inlineStr">
        <is>
          <t>ethyl iodide, ethanol route engineering reference</t>
        </is>
      </c>
      <c r="I575" t="inlineStr">
        <is>
          <t>ethyl iodide, ethanol route engineering reference</t>
        </is>
      </c>
    </row>
    <row r="576">
      <c r="A576" t="inlineStr">
        <is>
          <t>market for ethanol, without water, in 99.7% solution state, from ethylene</t>
        </is>
      </c>
      <c r="B576">
        <v>0.2953775898114511</v>
      </c>
      <c r="C576" t="inlineStr">
        <is>
          <t>RER</t>
        </is>
      </c>
      <c r="D576" t="inlineStr">
        <is>
          <t>kilogram</t>
        </is>
      </c>
      <c r="F576" t="inlineStr">
        <is>
          <t>technosphere</t>
        </is>
      </c>
      <c r="G576" t="inlineStr">
        <is>
          <t>ethanol, without water, in 99.7% solution state, from ethylene</t>
        </is>
      </c>
      <c r="I576" t="inlineStr">
        <is>
          <t>ethanol, without water, in 99.7% solution state, from ethylene</t>
        </is>
      </c>
    </row>
    <row r="577">
      <c r="A577" t="inlineStr">
        <is>
          <t>hydrogen iodide, elemental synthesis engineering reference</t>
        </is>
      </c>
      <c r="B577">
        <v>0.820128005718152</v>
      </c>
      <c r="C577" t="inlineStr">
        <is>
          <t>GLO</t>
        </is>
      </c>
      <c r="D577" t="inlineStr">
        <is>
          <t>kilogram</t>
        </is>
      </c>
      <c r="F577" t="inlineStr">
        <is>
          <t>technosphere</t>
        </is>
      </c>
      <c r="G577" t="inlineStr">
        <is>
          <t>hydrogen iodide, elemental synthesis engineering reference</t>
        </is>
      </c>
      <c r="I577" t="inlineStr">
        <is>
          <t>hydrogen iodide, elemental synthesis engineering reference</t>
        </is>
      </c>
    </row>
    <row r="578">
      <c r="A578" t="inlineStr">
        <is>
          <t>market for wastewater, average</t>
        </is>
      </c>
      <c r="B578">
        <v>-0.00011550559552960325</v>
      </c>
      <c r="C578" t="inlineStr">
        <is>
          <t>RoW</t>
        </is>
      </c>
      <c r="D578" t="inlineStr">
        <is>
          <t>cubic meter</t>
        </is>
      </c>
      <c r="F578" t="inlineStr">
        <is>
          <t>technosphere</t>
        </is>
      </c>
      <c r="G578" t="inlineStr">
        <is>
          <t>wastewater, average</t>
        </is>
      </c>
      <c r="I578" t="inlineStr">
        <is>
          <t>wastewater, average</t>
        </is>
      </c>
    </row>
    <row r="579">
      <c r="A579" t="inlineStr">
        <is>
          <t>market group for electricity, medium voltage</t>
        </is>
      </c>
      <c r="B579">
        <v>0.5</v>
      </c>
      <c r="C579" t="inlineStr">
        <is>
          <t>GLO</t>
        </is>
      </c>
      <c r="D579" t="inlineStr">
        <is>
          <t>kilowatt hour</t>
        </is>
      </c>
      <c r="F579" t="inlineStr">
        <is>
          <t>technosphere</t>
        </is>
      </c>
      <c r="G579" t="inlineStr">
        <is>
          <t>electricity, medium voltage</t>
        </is>
      </c>
      <c r="I579" t="inlineStr">
        <is>
          <t>electricity, medium voltage</t>
        </is>
      </c>
    </row>
    <row r="582">
      <c r="A582" t="inlineStr">
        <is>
          <t>Activity</t>
        </is>
      </c>
      <c r="B582" t="inlineStr">
        <is>
          <t>copper iodide, catalyst engineering reference</t>
        </is>
      </c>
    </row>
    <row r="583">
      <c r="A583" t="inlineStr">
        <is>
          <t>location</t>
        </is>
      </c>
      <c r="B583" t="inlineStr">
        <is>
          <t>GLO</t>
        </is>
      </c>
    </row>
    <row r="584">
      <c r="A584" t="inlineStr">
        <is>
          <t>production amount</t>
        </is>
      </c>
      <c r="B584">
        <v>1</v>
      </c>
    </row>
    <row r="585">
      <c r="A585" t="inlineStr">
        <is>
          <t>reference product</t>
        </is>
      </c>
      <c r="B585" t="inlineStr">
        <is>
          <t>copper iodide, catalyst engineering reference</t>
        </is>
      </c>
    </row>
    <row r="586">
      <c r="A586" t="inlineStr">
        <is>
          <t>unit</t>
        </is>
      </c>
      <c r="B586" t="inlineStr">
        <is>
          <t>kilogram</t>
        </is>
      </c>
    </row>
    <row r="587">
      <c r="A587" t="inlineStr">
        <is>
          <t>source</t>
        </is>
      </c>
      <c r="B587" t="inlineStr">
        <is>
          <t>Pallas2020 SI S4 identifies diethylzinc8.5e-6kg/m2 MOVPE. CN100408584C Example1:600gZn,250mLEtI,250mLEtBr,10gCuI; reported trialyieldabout85%,not a measured semiconductorplant inventory. https://patents.google.com/patent/CN100408584C/en .</t>
        </is>
      </c>
    </row>
    <row r="588">
      <c r="A588" t="inlineStr">
        <is>
          <t>comment</t>
        </is>
      </c>
      <c r="B588"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89">
      <c r="A589" t="inlineStr">
        <is>
          <t>Exchanges</t>
        </is>
      </c>
    </row>
    <row r="590">
      <c r="A590" t="inlineStr">
        <is>
          <t>name</t>
        </is>
      </c>
      <c r="B590" t="inlineStr">
        <is>
          <t>amount</t>
        </is>
      </c>
      <c r="C590" t="inlineStr">
        <is>
          <t>location</t>
        </is>
      </c>
      <c r="D590" t="inlineStr">
        <is>
          <t>unit</t>
        </is>
      </c>
      <c r="E590" t="inlineStr">
        <is>
          <t>categories</t>
        </is>
      </c>
      <c r="F590" t="inlineStr">
        <is>
          <t>type</t>
        </is>
      </c>
      <c r="G590" t="inlineStr">
        <is>
          <t>reference product</t>
        </is>
      </c>
      <c r="H590" t="inlineStr">
        <is>
          <t>comment</t>
        </is>
      </c>
      <c r="I590" t="inlineStr">
        <is>
          <t>product</t>
        </is>
      </c>
    </row>
    <row r="591">
      <c r="A591" t="inlineStr">
        <is>
          <t>copper iodide, catalyst engineering reference</t>
        </is>
      </c>
      <c r="B591">
        <v>1</v>
      </c>
      <c r="C591" t="inlineStr">
        <is>
          <t>GLO</t>
        </is>
      </c>
      <c r="D591" t="inlineStr">
        <is>
          <t>kilogram</t>
        </is>
      </c>
      <c r="F591" t="inlineStr">
        <is>
          <t>production</t>
        </is>
      </c>
      <c r="G591" t="inlineStr">
        <is>
          <t>copper iodide, catalyst engineering reference</t>
        </is>
      </c>
      <c r="I591" t="inlineStr">
        <is>
          <t>copper iodide, catalyst engineering reference</t>
        </is>
      </c>
    </row>
    <row r="592">
      <c r="A592" t="inlineStr">
        <is>
          <t>market for copper, cathode</t>
        </is>
      </c>
      <c r="B592">
        <v>0.33366155515394635</v>
      </c>
      <c r="C592" t="inlineStr">
        <is>
          <t>GLO</t>
        </is>
      </c>
      <c r="D592" t="inlineStr">
        <is>
          <t>kilogram</t>
        </is>
      </c>
      <c r="F592" t="inlineStr">
        <is>
          <t>technosphere</t>
        </is>
      </c>
      <c r="G592" t="inlineStr">
        <is>
          <t>copper, cathode</t>
        </is>
      </c>
      <c r="I592" t="inlineStr">
        <is>
          <t>copper, cathode</t>
        </is>
      </c>
    </row>
    <row r="593">
      <c r="A593" t="inlineStr">
        <is>
          <t>market for iodine</t>
        </is>
      </c>
      <c r="B593">
        <v>0.6663384448460538</v>
      </c>
      <c r="C593" t="inlineStr">
        <is>
          <t>GLO</t>
        </is>
      </c>
      <c r="D593" t="inlineStr">
        <is>
          <t>kilogram</t>
        </is>
      </c>
      <c r="F593" t="inlineStr">
        <is>
          <t>technosphere</t>
        </is>
      </c>
      <c r="G593" t="inlineStr">
        <is>
          <t>iodine</t>
        </is>
      </c>
      <c r="I593" t="inlineStr">
        <is>
          <t>iodine</t>
        </is>
      </c>
    </row>
    <row r="594">
      <c r="A594" t="inlineStr">
        <is>
          <t>market group for electricity, medium voltage</t>
        </is>
      </c>
      <c r="B594">
        <v>1</v>
      </c>
      <c r="C594" t="inlineStr">
        <is>
          <t>GLO</t>
        </is>
      </c>
      <c r="D594" t="inlineStr">
        <is>
          <t>kilowatt hour</t>
        </is>
      </c>
      <c r="F594" t="inlineStr">
        <is>
          <t>technosphere</t>
        </is>
      </c>
      <c r="G594" t="inlineStr">
        <is>
          <t>electricity, medium voltage</t>
        </is>
      </c>
      <c r="I594" t="inlineStr">
        <is>
          <t>electricity, medium voltage</t>
        </is>
      </c>
    </row>
    <row r="597">
      <c r="A597" t="inlineStr">
        <is>
          <t>Activity</t>
        </is>
      </c>
      <c r="B597" t="inlineStr">
        <is>
          <t>diethylzinc, organozinc synthesis engineering reference</t>
        </is>
      </c>
    </row>
    <row r="598">
      <c r="A598" t="inlineStr">
        <is>
          <t>location</t>
        </is>
      </c>
      <c r="B598" t="inlineStr">
        <is>
          <t>GLO</t>
        </is>
      </c>
    </row>
    <row r="599">
      <c r="A599" t="inlineStr">
        <is>
          <t>production amount</t>
        </is>
      </c>
      <c r="B599">
        <v>1</v>
      </c>
    </row>
    <row r="600">
      <c r="A600" t="inlineStr">
        <is>
          <t>reference product</t>
        </is>
      </c>
      <c r="B600" t="inlineStr">
        <is>
          <t>diethylzinc, organozinc synthesis engineering reference</t>
        </is>
      </c>
    </row>
    <row r="601">
      <c r="A601" t="inlineStr">
        <is>
          <t>unit</t>
        </is>
      </c>
      <c r="B601" t="inlineStr">
        <is>
          <t>kilogram</t>
        </is>
      </c>
    </row>
    <row r="602">
      <c r="A602" t="inlineStr">
        <is>
          <t>source</t>
        </is>
      </c>
      <c r="B602" t="inlineStr">
        <is>
          <t>Pallas2020 SI S4 identifies diethylzinc8.5e-6kg/m2 MOVPE. CN100408584C Example1:600gZn,250mLEtI,250mLEtBr,10gCuI; reported trialyieldabout85%,not a measured semiconductorplant inventory. https://patents.google.com/patent/CN100408584C/en .</t>
        </is>
      </c>
    </row>
    <row r="603">
      <c r="A603" t="inlineStr">
        <is>
          <t>comment</t>
        </is>
      </c>
      <c r="B603"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604">
      <c r="A604" t="inlineStr">
        <is>
          <t>Exchanges</t>
        </is>
      </c>
    </row>
    <row r="605">
      <c r="A605" t="inlineStr">
        <is>
          <t>name</t>
        </is>
      </c>
      <c r="B605" t="inlineStr">
        <is>
          <t>amount</t>
        </is>
      </c>
      <c r="C605" t="inlineStr">
        <is>
          <t>location</t>
        </is>
      </c>
      <c r="D605" t="inlineStr">
        <is>
          <t>unit</t>
        </is>
      </c>
      <c r="E605" t="inlineStr">
        <is>
          <t>categories</t>
        </is>
      </c>
      <c r="F605" t="inlineStr">
        <is>
          <t>type</t>
        </is>
      </c>
      <c r="G605" t="inlineStr">
        <is>
          <t>reference product</t>
        </is>
      </c>
      <c r="H605" t="inlineStr">
        <is>
          <t>comment</t>
        </is>
      </c>
      <c r="I605" t="inlineStr">
        <is>
          <t>product</t>
        </is>
      </c>
    </row>
    <row r="606">
      <c r="A606" t="inlineStr">
        <is>
          <t>diethylzinc, organozinc synthesis engineering reference</t>
        </is>
      </c>
      <c r="B606">
        <v>1</v>
      </c>
      <c r="C606" t="inlineStr">
        <is>
          <t>GLO</t>
        </is>
      </c>
      <c r="D606" t="inlineStr">
        <is>
          <t>kilogram</t>
        </is>
      </c>
      <c r="F606" t="inlineStr">
        <is>
          <t>production</t>
        </is>
      </c>
      <c r="G606" t="inlineStr">
        <is>
          <t>diethylzinc, organozinc synthesis engineering reference</t>
        </is>
      </c>
      <c r="I606" t="inlineStr">
        <is>
          <t>diethylzinc, organozinc synthesis engineering reference</t>
        </is>
      </c>
    </row>
    <row r="607">
      <c r="A607" t="inlineStr">
        <is>
          <t>market for zinc</t>
        </is>
      </c>
      <c r="B607">
        <v>1.7696813421239639</v>
      </c>
      <c r="C607" t="inlineStr">
        <is>
          <t>GLO</t>
        </is>
      </c>
      <c r="D607" t="inlineStr">
        <is>
          <t>kilogram</t>
        </is>
      </c>
      <c r="F607" t="inlineStr">
        <is>
          <t>technosphere</t>
        </is>
      </c>
      <c r="G607" t="inlineStr">
        <is>
          <t>zinc</t>
        </is>
      </c>
      <c r="I607" t="inlineStr">
        <is>
          <t>zinc</t>
        </is>
      </c>
    </row>
    <row r="608">
      <c r="A608" t="inlineStr">
        <is>
          <t>ethyl bromide, ethanol route engineering reference</t>
        </is>
      </c>
      <c r="B608">
        <v>1.076556149792078</v>
      </c>
      <c r="C608" t="inlineStr">
        <is>
          <t>GLO</t>
        </is>
      </c>
      <c r="D608" t="inlineStr">
        <is>
          <t>kilogram</t>
        </is>
      </c>
      <c r="F608" t="inlineStr">
        <is>
          <t>technosphere</t>
        </is>
      </c>
      <c r="G608" t="inlineStr">
        <is>
          <t>ethyl bromide, ethanol route engineering reference</t>
        </is>
      </c>
      <c r="I608" t="inlineStr">
        <is>
          <t>ethyl bromide, ethanol route engineering reference</t>
        </is>
      </c>
    </row>
    <row r="609">
      <c r="A609" t="inlineStr">
        <is>
          <t>ethyl iodide, ethanol route engineering reference</t>
        </is>
      </c>
      <c r="B609">
        <v>1.4304924182168708</v>
      </c>
      <c r="C609" t="inlineStr">
        <is>
          <t>GLO</t>
        </is>
      </c>
      <c r="D609" t="inlineStr">
        <is>
          <t>kilogram</t>
        </is>
      </c>
      <c r="F609" t="inlineStr">
        <is>
          <t>technosphere</t>
        </is>
      </c>
      <c r="G609" t="inlineStr">
        <is>
          <t>ethyl iodide, ethanol route engineering reference</t>
        </is>
      </c>
      <c r="I609" t="inlineStr">
        <is>
          <t>ethyl iodide, ethanol route engineering reference</t>
        </is>
      </c>
    </row>
    <row r="610">
      <c r="A610" t="inlineStr">
        <is>
          <t>copper iodide, catalyst engineering reference</t>
        </is>
      </c>
      <c r="B610">
        <v>0.029494689035399396</v>
      </c>
      <c r="C610" t="inlineStr">
        <is>
          <t>GLO</t>
        </is>
      </c>
      <c r="D610" t="inlineStr">
        <is>
          <t>kilogram</t>
        </is>
      </c>
      <c r="F610" t="inlineStr">
        <is>
          <t>technosphere</t>
        </is>
      </c>
      <c r="G610" t="inlineStr">
        <is>
          <t>copper iodide, catalyst engineering reference</t>
        </is>
      </c>
      <c r="I610" t="inlineStr">
        <is>
          <t>copper iodide, catalyst engineering reference</t>
        </is>
      </c>
    </row>
    <row r="611">
      <c r="A611" t="inlineStr">
        <is>
          <t>market for hazardous waste, for incineration</t>
        </is>
      </c>
      <c r="B611">
        <v>-3.3062245991683117</v>
      </c>
      <c r="C611" t="inlineStr">
        <is>
          <t>RoW</t>
        </is>
      </c>
      <c r="D611" t="inlineStr">
        <is>
          <t>kilogram</t>
        </is>
      </c>
      <c r="F611" t="inlineStr">
        <is>
          <t>technosphere</t>
        </is>
      </c>
      <c r="G611" t="inlineStr">
        <is>
          <t>hazardous waste, for incineration</t>
        </is>
      </c>
      <c r="I611" t="inlineStr">
        <is>
          <t>hazardous waste, for incineration</t>
        </is>
      </c>
    </row>
    <row r="612">
      <c r="A612" t="inlineStr">
        <is>
          <t>market for nitrogen, liquid</t>
        </is>
      </c>
      <c r="B612">
        <v>0.05</v>
      </c>
      <c r="C612" t="inlineStr">
        <is>
          <t>RER</t>
        </is>
      </c>
      <c r="D612" t="inlineStr">
        <is>
          <t>kilogram</t>
        </is>
      </c>
      <c r="F612" t="inlineStr">
        <is>
          <t>technosphere</t>
        </is>
      </c>
      <c r="G612" t="inlineStr">
        <is>
          <t>nitrogen, liquid</t>
        </is>
      </c>
      <c r="I612" t="inlineStr">
        <is>
          <t>nitrogen, liquid</t>
        </is>
      </c>
    </row>
    <row r="613">
      <c r="A613" t="inlineStr">
        <is>
          <t>market for hydrogen, gaseous, low pressure</t>
        </is>
      </c>
      <c r="B613">
        <v>0.01</v>
      </c>
      <c r="C613" t="inlineStr">
        <is>
          <t>RER</t>
        </is>
      </c>
      <c r="D613" t="inlineStr">
        <is>
          <t>kilogram</t>
        </is>
      </c>
      <c r="F613" t="inlineStr">
        <is>
          <t>technosphere</t>
        </is>
      </c>
      <c r="G613" t="inlineStr">
        <is>
          <t>hydrogen, gaseous, low pressure</t>
        </is>
      </c>
      <c r="I613" t="inlineStr">
        <is>
          <t>hydrogen, gaseous, low pressure</t>
        </is>
      </c>
    </row>
    <row r="614">
      <c r="A614" t="inlineStr">
        <is>
          <t>market group for electricity, medium voltage</t>
        </is>
      </c>
      <c r="B614">
        <v>1</v>
      </c>
      <c r="C614" t="inlineStr">
        <is>
          <t>GLO</t>
        </is>
      </c>
      <c r="D614" t="inlineStr">
        <is>
          <t>kilowatt hour</t>
        </is>
      </c>
      <c r="F614" t="inlineStr">
        <is>
          <t>technosphere</t>
        </is>
      </c>
      <c r="G614" t="inlineStr">
        <is>
          <t>electricity, medium voltage</t>
        </is>
      </c>
      <c r="I614" t="inlineStr">
        <is>
          <t>electricity, medium voltage</t>
        </is>
      </c>
    </row>
    <row r="617">
      <c r="A617" t="inlineStr">
        <is>
          <t>Activity</t>
        </is>
      </c>
      <c r="B617" t="inlineStr">
        <is>
          <t>arsine-to-arsenic purification, source-yield engineering reference</t>
        </is>
      </c>
    </row>
    <row r="618">
      <c r="A618" t="inlineStr">
        <is>
          <t>location</t>
        </is>
      </c>
      <c r="B618" t="inlineStr">
        <is>
          <t>GLO</t>
        </is>
      </c>
    </row>
    <row r="619">
      <c r="A619" t="inlineStr">
        <is>
          <t>production amount</t>
        </is>
      </c>
      <c r="B619">
        <v>1</v>
      </c>
    </row>
    <row r="620">
      <c r="A620" t="inlineStr">
        <is>
          <t>reference product</t>
        </is>
      </c>
      <c r="B620" t="inlineStr">
        <is>
          <t>arsine-to-arsenic purification, source-yield engineering reference</t>
        </is>
      </c>
    </row>
    <row r="621">
      <c r="A621" t="inlineStr">
        <is>
          <t>unit</t>
        </is>
      </c>
      <c r="B621" t="inlineStr">
        <is>
          <t>kilogram</t>
        </is>
      </c>
    </row>
    <row r="622">
      <c r="A622" t="inlineStr">
        <is>
          <t>source</t>
        </is>
      </c>
      <c r="B622" t="inlineStr">
        <is>
          <t>Pallas et al.2020, DOI10.1007/s11367-020-01791-z, SI S6. https://media.springernature.com/full/springer-static/esm/art%3A10.1007%2Fs11367-020-01791-z/MediaObjects/11367_2020_1791_MOESM1_ESM.docx .</t>
        </is>
      </c>
    </row>
    <row r="623">
      <c r="A623" t="inlineStr">
        <is>
          <t>comment</t>
        </is>
      </c>
      <c r="B623"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624">
      <c r="A624" t="inlineStr">
        <is>
          <t>Exchanges</t>
        </is>
      </c>
    </row>
    <row r="625">
      <c r="A625" t="inlineStr">
        <is>
          <t>name</t>
        </is>
      </c>
      <c r="B625" t="inlineStr">
        <is>
          <t>amount</t>
        </is>
      </c>
      <c r="C625" t="inlineStr">
        <is>
          <t>location</t>
        </is>
      </c>
      <c r="D625" t="inlineStr">
        <is>
          <t>unit</t>
        </is>
      </c>
      <c r="E625" t="inlineStr">
        <is>
          <t>categories</t>
        </is>
      </c>
      <c r="F625" t="inlineStr">
        <is>
          <t>type</t>
        </is>
      </c>
      <c r="G625" t="inlineStr">
        <is>
          <t>reference product</t>
        </is>
      </c>
      <c r="H625" t="inlineStr">
        <is>
          <t>comment</t>
        </is>
      </c>
      <c r="I625" t="inlineStr">
        <is>
          <t>product</t>
        </is>
      </c>
    </row>
    <row r="626">
      <c r="A626" t="inlineStr">
        <is>
          <t>arsine-to-arsenic purification, source-yield engineering reference</t>
        </is>
      </c>
      <c r="B626">
        <v>1</v>
      </c>
      <c r="C626" t="inlineStr">
        <is>
          <t>GLO</t>
        </is>
      </c>
      <c r="D626" t="inlineStr">
        <is>
          <t>kilogram</t>
        </is>
      </c>
      <c r="F626" t="inlineStr">
        <is>
          <t>production</t>
        </is>
      </c>
      <c r="G626" t="inlineStr">
        <is>
          <t>arsine-to-arsenic purification, source-yield engineering reference</t>
        </is>
      </c>
      <c r="I626" t="inlineStr">
        <is>
          <t>arsine-to-arsenic purification, source-yield engineering reference</t>
        </is>
      </c>
    </row>
    <row r="627">
      <c r="A627" t="inlineStr">
        <is>
          <t>arsine production</t>
        </is>
      </c>
      <c r="B627">
        <v>1.5299443671611501</v>
      </c>
      <c r="C627" t="inlineStr">
        <is>
          <t>GLO</t>
        </is>
      </c>
      <c r="D627" t="inlineStr">
        <is>
          <t>kilogram</t>
        </is>
      </c>
      <c r="F627" t="inlineStr">
        <is>
          <t>technosphere</t>
        </is>
      </c>
      <c r="G627" t="inlineStr">
        <is>
          <t>arsine</t>
        </is>
      </c>
      <c r="I627" t="inlineStr">
        <is>
          <t>arsine</t>
        </is>
      </c>
    </row>
    <row r="628">
      <c r="A628" t="inlineStr">
        <is>
          <t>treatment of hazardous waste, underground deposit</t>
        </is>
      </c>
      <c r="B628">
        <v>-0.4705881999999999</v>
      </c>
      <c r="C628" t="inlineStr">
        <is>
          <t>RoW</t>
        </is>
      </c>
      <c r="D628" t="inlineStr">
        <is>
          <t>kilogram</t>
        </is>
      </c>
      <c r="F628" t="inlineStr">
        <is>
          <t>technosphere</t>
        </is>
      </c>
      <c r="G628" t="inlineStr">
        <is>
          <t>hazardous waste, for underground deposit</t>
        </is>
      </c>
      <c r="I628" t="inlineStr">
        <is>
          <t>hazardous waste, for underground deposit</t>
        </is>
      </c>
    </row>
    <row r="629">
      <c r="A629" t="inlineStr">
        <is>
          <t>Hydrogen</t>
        </is>
      </c>
      <c r="B629">
        <v>0.05935616716115022</v>
      </c>
      <c r="D629" t="inlineStr">
        <is>
          <t>kilogram</t>
        </is>
      </c>
      <c r="E629" t="inlineStr">
        <is>
          <t>air::non-urban air or from high stacks</t>
        </is>
      </c>
      <c r="F629" t="inlineStr">
        <is>
          <t>biosphere</t>
        </is>
      </c>
      <c r="H62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632">
      <c r="A632" t="inlineStr">
        <is>
          <t>Activity</t>
        </is>
      </c>
      <c r="B632" t="inlineStr">
        <is>
          <t>boron trichloride, carbochlorination engineering reference</t>
        </is>
      </c>
    </row>
    <row r="633">
      <c r="A633" t="inlineStr">
        <is>
          <t>location</t>
        </is>
      </c>
      <c r="B633" t="inlineStr">
        <is>
          <t>GLO</t>
        </is>
      </c>
    </row>
    <row r="634">
      <c r="A634" t="inlineStr">
        <is>
          <t>production amount</t>
        </is>
      </c>
      <c r="B634">
        <v>1</v>
      </c>
    </row>
    <row r="635">
      <c r="A635" t="inlineStr">
        <is>
          <t>reference product</t>
        </is>
      </c>
      <c r="B635" t="inlineStr">
        <is>
          <t>boron trichloride, carbochlorination engineering reference</t>
        </is>
      </c>
    </row>
    <row r="636">
      <c r="A636" t="inlineStr">
        <is>
          <t>unit</t>
        </is>
      </c>
      <c r="B636" t="inlineStr">
        <is>
          <t>kilogram</t>
        </is>
      </c>
    </row>
    <row r="637">
      <c r="A637" t="inlineStr">
        <is>
          <t>source</t>
        </is>
      </c>
      <c r="B637" t="inlineStr">
        <is>
          <t>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t>
        </is>
      </c>
    </row>
    <row r="638">
      <c r="A638" t="inlineStr">
        <is>
          <t>comment</t>
        </is>
      </c>
      <c r="B638"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639">
      <c r="A639" t="inlineStr">
        <is>
          <t>Exchanges</t>
        </is>
      </c>
    </row>
    <row r="640">
      <c r="A640" t="inlineStr">
        <is>
          <t>name</t>
        </is>
      </c>
      <c r="B640" t="inlineStr">
        <is>
          <t>amount</t>
        </is>
      </c>
      <c r="C640" t="inlineStr">
        <is>
          <t>location</t>
        </is>
      </c>
      <c r="D640" t="inlineStr">
        <is>
          <t>unit</t>
        </is>
      </c>
      <c r="E640" t="inlineStr">
        <is>
          <t>categories</t>
        </is>
      </c>
      <c r="F640" t="inlineStr">
        <is>
          <t>type</t>
        </is>
      </c>
      <c r="G640" t="inlineStr">
        <is>
          <t>reference product</t>
        </is>
      </c>
      <c r="H640" t="inlineStr">
        <is>
          <t>comment</t>
        </is>
      </c>
      <c r="I640" t="inlineStr">
        <is>
          <t>product</t>
        </is>
      </c>
    </row>
    <row r="641">
      <c r="A641" t="inlineStr">
        <is>
          <t>boron trichloride, carbochlorination engineering reference</t>
        </is>
      </c>
      <c r="B641">
        <v>1</v>
      </c>
      <c r="C641" t="inlineStr">
        <is>
          <t>GLO</t>
        </is>
      </c>
      <c r="D641" t="inlineStr">
        <is>
          <t>kilogram</t>
        </is>
      </c>
      <c r="F641" t="inlineStr">
        <is>
          <t>production</t>
        </is>
      </c>
      <c r="G641" t="inlineStr">
        <is>
          <t>boron trichloride, carbochlorination engineering reference</t>
        </is>
      </c>
      <c r="I641" t="inlineStr">
        <is>
          <t>boron trichloride, carbochlorination engineering reference</t>
        </is>
      </c>
    </row>
    <row r="642">
      <c r="A642" t="inlineStr">
        <is>
          <t>boric oxide production</t>
        </is>
      </c>
      <c r="B642">
        <v>0.29710225332878115</v>
      </c>
      <c r="C642" t="inlineStr">
        <is>
          <t>GLO</t>
        </is>
      </c>
      <c r="D642" t="inlineStr">
        <is>
          <t>kilogram</t>
        </is>
      </c>
      <c r="F642" t="inlineStr">
        <is>
          <t>technosphere</t>
        </is>
      </c>
      <c r="G642" t="inlineStr">
        <is>
          <t>boric oxide</t>
        </is>
      </c>
      <c r="I642" t="inlineStr">
        <is>
          <t>boric oxide</t>
        </is>
      </c>
    </row>
    <row r="643">
      <c r="A643" t="inlineStr">
        <is>
          <t>market for graphite</t>
        </is>
      </c>
      <c r="B643">
        <v>0.15377688630932057</v>
      </c>
      <c r="C643" t="inlineStr">
        <is>
          <t>GLO</t>
        </is>
      </c>
      <c r="D643" t="inlineStr">
        <is>
          <t>kilogram</t>
        </is>
      </c>
      <c r="F643" t="inlineStr">
        <is>
          <t>technosphere</t>
        </is>
      </c>
      <c r="G643" t="inlineStr">
        <is>
          <t>graphite</t>
        </is>
      </c>
      <c r="I643" t="inlineStr">
        <is>
          <t>graphite</t>
        </is>
      </c>
    </row>
    <row r="644">
      <c r="A644" t="inlineStr">
        <is>
          <t>market for chlorine, liquid</t>
        </is>
      </c>
      <c r="B644">
        <v>0.9077330146807784</v>
      </c>
      <c r="C644" t="inlineStr">
        <is>
          <t>RER</t>
        </is>
      </c>
      <c r="D644" t="inlineStr">
        <is>
          <t>kilogram</t>
        </is>
      </c>
      <c r="F644" t="inlineStr">
        <is>
          <t>technosphere</t>
        </is>
      </c>
      <c r="G644" t="inlineStr">
        <is>
          <t>chlorine, liquid</t>
        </is>
      </c>
      <c r="I644" t="inlineStr">
        <is>
          <t>chlorine, liquid</t>
        </is>
      </c>
    </row>
    <row r="645">
      <c r="A645" t="inlineStr">
        <is>
          <t>market group for electricity, medium voltage</t>
        </is>
      </c>
      <c r="B645">
        <v>1</v>
      </c>
      <c r="C645" t="inlineStr">
        <is>
          <t>GLO</t>
        </is>
      </c>
      <c r="D645" t="inlineStr">
        <is>
          <t>kilowatt hour</t>
        </is>
      </c>
      <c r="F645" t="inlineStr">
        <is>
          <t>technosphere</t>
        </is>
      </c>
      <c r="G645" t="inlineStr">
        <is>
          <t>electricity, medium voltage</t>
        </is>
      </c>
      <c r="I645" t="inlineStr">
        <is>
          <t>electricity, medium voltage</t>
        </is>
      </c>
    </row>
    <row r="646">
      <c r="A646" t="inlineStr">
        <is>
          <t>market for heat, district or industrial, natural gas</t>
        </is>
      </c>
      <c r="B646">
        <v>3</v>
      </c>
      <c r="C646" t="inlineStr">
        <is>
          <t>RoW</t>
        </is>
      </c>
      <c r="D646" t="inlineStr">
        <is>
          <t>megajoule</t>
        </is>
      </c>
      <c r="F646" t="inlineStr">
        <is>
          <t>technosphere</t>
        </is>
      </c>
      <c r="G646" t="inlineStr">
        <is>
          <t>heat, district or industrial, natural gas</t>
        </is>
      </c>
      <c r="I646" t="inlineStr">
        <is>
          <t>heat, district or industrial, natural gas</t>
        </is>
      </c>
    </row>
    <row r="647">
      <c r="A647" t="inlineStr">
        <is>
          <t>Carbon monoxide, fossil</t>
        </is>
      </c>
      <c r="B647">
        <v>0.35861215431888016</v>
      </c>
      <c r="D647" t="inlineStr">
        <is>
          <t>kilogram</t>
        </is>
      </c>
      <c r="E647" t="inlineStr">
        <is>
          <t>air::non-urban air or from high stacks</t>
        </is>
      </c>
      <c r="F647" t="inlineStr">
        <is>
          <t>biosphere</t>
        </is>
      </c>
      <c r="H647"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650">
      <c r="A650" t="inlineStr">
        <is>
          <t>Activity</t>
        </is>
      </c>
      <c r="B650" t="inlineStr">
        <is>
          <t>pyrolytic boron nitride crucible, CVD engineering reference</t>
        </is>
      </c>
    </row>
    <row r="651">
      <c r="A651" t="inlineStr">
        <is>
          <t>location</t>
        </is>
      </c>
      <c r="B651" t="inlineStr">
        <is>
          <t>GLO</t>
        </is>
      </c>
    </row>
    <row r="652">
      <c r="A652" t="inlineStr">
        <is>
          <t>production amount</t>
        </is>
      </c>
      <c r="B652">
        <v>1</v>
      </c>
    </row>
    <row r="653">
      <c r="A653" t="inlineStr">
        <is>
          <t>reference product</t>
        </is>
      </c>
      <c r="B653" t="inlineStr">
        <is>
          <t>pyrolytic boron nitride crucible, CVD engineering reference</t>
        </is>
      </c>
    </row>
    <row r="654">
      <c r="A654" t="inlineStr">
        <is>
          <t>unit</t>
        </is>
      </c>
      <c r="B654" t="inlineStr">
        <is>
          <t>kilogram</t>
        </is>
      </c>
    </row>
    <row r="655">
      <c r="A655" t="inlineStr">
        <is>
          <t>source</t>
        </is>
      </c>
      <c r="B655" t="inlineStr">
        <is>
          <t>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t>
        </is>
      </c>
    </row>
    <row r="656">
      <c r="A656" t="inlineStr">
        <is>
          <t>comment</t>
        </is>
      </c>
      <c r="B656"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Feedkg={'BCl3': 9.938857701533118, 'NH3': 5.7790606184639985, 'H2SO4': 2.0798985415345594, 'water': 102.29235901536086, 'graphite': 0.02};brinesoluteskg={'boric_acid': 2.6226080170002315, 'ammonium_chloride': 13.61265516210238, 'ammonium_sulfate': 2.802281118842559};brinemass=119.03754429794517kg;density1100-&gt;0.10821594936176834m3.</t>
        </is>
      </c>
    </row>
    <row r="657">
      <c r="A657" t="inlineStr">
        <is>
          <t>Exchanges</t>
        </is>
      </c>
    </row>
    <row r="658">
      <c r="A658" t="inlineStr">
        <is>
          <t>name</t>
        </is>
      </c>
      <c r="B658" t="inlineStr">
        <is>
          <t>amount</t>
        </is>
      </c>
      <c r="C658" t="inlineStr">
        <is>
          <t>location</t>
        </is>
      </c>
      <c r="D658" t="inlineStr">
        <is>
          <t>unit</t>
        </is>
      </c>
      <c r="E658" t="inlineStr">
        <is>
          <t>categories</t>
        </is>
      </c>
      <c r="F658" t="inlineStr">
        <is>
          <t>type</t>
        </is>
      </c>
      <c r="G658" t="inlineStr">
        <is>
          <t>reference product</t>
        </is>
      </c>
      <c r="H658" t="inlineStr">
        <is>
          <t>comment</t>
        </is>
      </c>
      <c r="I658" t="inlineStr">
        <is>
          <t>product</t>
        </is>
      </c>
    </row>
    <row r="659">
      <c r="A659" t="inlineStr">
        <is>
          <t>pyrolytic boron nitride crucible, CVD engineering reference</t>
        </is>
      </c>
      <c r="B659">
        <v>1</v>
      </c>
      <c r="C659" t="inlineStr">
        <is>
          <t>GLO</t>
        </is>
      </c>
      <c r="D659" t="inlineStr">
        <is>
          <t>kilogram</t>
        </is>
      </c>
      <c r="F659" t="inlineStr">
        <is>
          <t>production</t>
        </is>
      </c>
      <c r="G659" t="inlineStr">
        <is>
          <t>pyrolytic boron nitride crucible, CVD engineering reference</t>
        </is>
      </c>
      <c r="I659" t="inlineStr">
        <is>
          <t>pyrolytic boron nitride crucible, CVD engineering reference</t>
        </is>
      </c>
    </row>
    <row r="660">
      <c r="A660" t="inlineStr">
        <is>
          <t>boron trichloride, carbochlorination engineering reference</t>
        </is>
      </c>
      <c r="B660">
        <v>9.938857701533118</v>
      </c>
      <c r="C660" t="inlineStr">
        <is>
          <t>GLO</t>
        </is>
      </c>
      <c r="D660" t="inlineStr">
        <is>
          <t>kilogram</t>
        </is>
      </c>
      <c r="F660" t="inlineStr">
        <is>
          <t>technosphere</t>
        </is>
      </c>
      <c r="G660" t="inlineStr">
        <is>
          <t>boron trichloride, carbochlorination engineering reference</t>
        </is>
      </c>
      <c r="I660" t="inlineStr">
        <is>
          <t>boron trichloride, carbochlorination engineering reference</t>
        </is>
      </c>
    </row>
    <row r="661">
      <c r="A661" t="inlineStr">
        <is>
          <t>market for ammonia, anhydrous, liquid</t>
        </is>
      </c>
      <c r="B661">
        <v>5.7790606184639985</v>
      </c>
      <c r="C661" t="inlineStr">
        <is>
          <t>RER</t>
        </is>
      </c>
      <c r="D661" t="inlineStr">
        <is>
          <t>kilogram</t>
        </is>
      </c>
      <c r="F661" t="inlineStr">
        <is>
          <t>technosphere</t>
        </is>
      </c>
      <c r="G661" t="inlineStr">
        <is>
          <t>ammonia, anhydrous, liquid</t>
        </is>
      </c>
      <c r="I661" t="inlineStr">
        <is>
          <t>ammonia, anhydrous, liquid</t>
        </is>
      </c>
    </row>
    <row r="662">
      <c r="A662" t="inlineStr">
        <is>
          <t>market for sulfuric acid</t>
        </is>
      </c>
      <c r="B662">
        <v>2.0798985415345594</v>
      </c>
      <c r="C662" t="inlineStr">
        <is>
          <t>RER</t>
        </is>
      </c>
      <c r="D662" t="inlineStr">
        <is>
          <t>kilogram</t>
        </is>
      </c>
      <c r="F662" t="inlineStr">
        <is>
          <t>technosphere</t>
        </is>
      </c>
      <c r="G662" t="inlineStr">
        <is>
          <t>sulfuric acid</t>
        </is>
      </c>
      <c r="I662" t="inlineStr">
        <is>
          <t>sulfuric acid</t>
        </is>
      </c>
    </row>
    <row r="663">
      <c r="A663" t="inlineStr">
        <is>
          <t>market for tap water</t>
        </is>
      </c>
      <c r="B663">
        <v>102.29235901536086</v>
      </c>
      <c r="C663" t="inlineStr">
        <is>
          <t>RoW</t>
        </is>
      </c>
      <c r="D663" t="inlineStr">
        <is>
          <t>kilogram</t>
        </is>
      </c>
      <c r="F663" t="inlineStr">
        <is>
          <t>technosphere</t>
        </is>
      </c>
      <c r="G663" t="inlineStr">
        <is>
          <t>tap water</t>
        </is>
      </c>
      <c r="I663" t="inlineStr">
        <is>
          <t>tap water</t>
        </is>
      </c>
    </row>
    <row r="664">
      <c r="A664" t="inlineStr">
        <is>
          <t>market for graphite</t>
        </is>
      </c>
      <c r="B664">
        <v>0.02</v>
      </c>
      <c r="C664" t="inlineStr">
        <is>
          <t>GLO</t>
        </is>
      </c>
      <c r="D664" t="inlineStr">
        <is>
          <t>kilogram</t>
        </is>
      </c>
      <c r="F664" t="inlineStr">
        <is>
          <t>technosphere</t>
        </is>
      </c>
      <c r="G664" t="inlineStr">
        <is>
          <t>graphite</t>
        </is>
      </c>
      <c r="I664" t="inlineStr">
        <is>
          <t>graphite</t>
        </is>
      </c>
    </row>
    <row r="665">
      <c r="A665" t="inlineStr">
        <is>
          <t>market group for electricity, medium voltage</t>
        </is>
      </c>
      <c r="B665">
        <v>250</v>
      </c>
      <c r="C665" t="inlineStr">
        <is>
          <t>GLO</t>
        </is>
      </c>
      <c r="D665" t="inlineStr">
        <is>
          <t>kilowatt hour</t>
        </is>
      </c>
      <c r="F665" t="inlineStr">
        <is>
          <t>technosphere</t>
        </is>
      </c>
      <c r="G665" t="inlineStr">
        <is>
          <t>electricity, medium voltage</t>
        </is>
      </c>
      <c r="I665" t="inlineStr">
        <is>
          <t>electricity, medium voltage</t>
        </is>
      </c>
    </row>
    <row r="666">
      <c r="A666" t="inlineStr">
        <is>
          <t>market for wastewater, average</t>
        </is>
      </c>
      <c r="B666">
        <v>-0.10821594936176834</v>
      </c>
      <c r="C666" t="inlineStr">
        <is>
          <t>RoW</t>
        </is>
      </c>
      <c r="D666" t="inlineStr">
        <is>
          <t>cubic meter</t>
        </is>
      </c>
      <c r="F666" t="inlineStr">
        <is>
          <t>technosphere</t>
        </is>
      </c>
      <c r="G666" t="inlineStr">
        <is>
          <t>wastewater, average</t>
        </is>
      </c>
      <c r="I666" t="inlineStr">
        <is>
          <t>wastewater, average</t>
        </is>
      </c>
    </row>
    <row r="667">
      <c r="A667" t="inlineStr">
        <is>
          <t>market for inert waste, for final disposal</t>
        </is>
      </c>
      <c r="B667">
        <v>-0.07263157894736837</v>
      </c>
      <c r="C667" t="inlineStr">
        <is>
          <t>RoW</t>
        </is>
      </c>
      <c r="D667" t="inlineStr">
        <is>
          <t>kilogram</t>
        </is>
      </c>
      <c r="F667" t="inlineStr">
        <is>
          <t>technosphere</t>
        </is>
      </c>
      <c r="G667" t="inlineStr">
        <is>
          <t>inert waste, for final disposal</t>
        </is>
      </c>
      <c r="I667" t="inlineStr">
        <is>
          <t>inert waste, for final disposal</t>
        </is>
      </c>
    </row>
  </sheetData>
  <autoFilter ref="A1:I444"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PV_GaAs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2024-08-20T14:30:08Z</dcterms:modified>
</cp:coreProperties>
</file>