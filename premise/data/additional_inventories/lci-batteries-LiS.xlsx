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92ADDE62-F391-1E48-B22D-C70267C828F7}" xr6:coauthVersionLast="47" xr6:coauthVersionMax="47" xr10:uidLastSave="{00000000-0000-0000-0000-000000000000}"/>
  <bookViews>
    <workbookView xWindow="0" yWindow="500" windowWidth="44800" windowHeight="23000" xr2:uid="{00000000-000D-0000-FFFF-FFFF00000000}"/>
  </bookViews>
  <sheets>
    <sheet name="Battery - Li-S" sheetId="1" r:id="rId1"/>
  </sheets>
  <definedNames>
    <definedName name="_xlnm._FilterDatabase" localSheetId="0" hidden="1">'Battery - Li-S'!$A$1:$O$1081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95" i="1" l="1"/>
  <c r="J95" i="1" s="1"/>
  <c r="K95" i="1"/>
  <c r="B458" i="1"/>
  <c r="G518" i="1"/>
  <c r="E518" i="1"/>
  <c r="A518" i="1"/>
  <c r="B830" i="1"/>
  <c r="B829" i="1" l="1"/>
  <c r="B472" i="1" l="1"/>
  <c r="B163" i="1" l="1"/>
  <c r="B471" i="1"/>
  <c r="B981" i="1" l="1"/>
  <c r="B979" i="1"/>
  <c r="B978" i="1"/>
  <c r="B962" i="1" l="1"/>
  <c r="B944" i="1" l="1"/>
  <c r="B845" i="1" l="1"/>
  <c r="B846" i="1"/>
  <c r="B847" i="1"/>
  <c r="B100" i="1"/>
  <c r="B99" i="1"/>
  <c r="B98" i="1"/>
  <c r="B97" i="1"/>
  <c r="B96" i="1"/>
  <c r="B94" i="1"/>
  <c r="B93" i="1"/>
  <c r="B92" i="1"/>
  <c r="B91" i="1"/>
  <c r="B90" i="1"/>
  <c r="B89" i="1"/>
  <c r="B88" i="1"/>
  <c r="B87" i="1"/>
  <c r="B86" i="1"/>
  <c r="B85" i="1"/>
  <c r="B84" i="1"/>
  <c r="B83" i="1"/>
  <c r="B82" i="1"/>
  <c r="B81" i="1"/>
  <c r="B80" i="1"/>
  <c r="B79" i="1"/>
  <c r="B78" i="1"/>
  <c r="B77" i="1"/>
  <c r="B500" i="1" l="1"/>
  <c r="B505" i="1"/>
  <c r="B811" i="1"/>
  <c r="B759" i="1"/>
  <c r="B507" i="1"/>
  <c r="B506" i="1"/>
  <c r="B504" i="1"/>
  <c r="B503" i="1"/>
  <c r="B502" i="1"/>
  <c r="B501" i="1"/>
  <c r="B457" i="1" l="1"/>
  <c r="B456" i="1"/>
  <c r="B455" i="1"/>
  <c r="B454" i="1"/>
  <c r="B453" i="1"/>
  <c r="B452" i="1"/>
  <c r="B451" i="1"/>
  <c r="B450" i="1"/>
  <c r="B449" i="1"/>
  <c r="B831" i="1" l="1"/>
  <c r="B385" i="1"/>
  <c r="B384" i="1"/>
  <c r="B383" i="1"/>
  <c r="B363" i="1"/>
  <c r="B362" i="1"/>
  <c r="B361" i="1"/>
  <c r="B683" i="1"/>
  <c r="B682" i="1"/>
  <c r="B679" i="1"/>
  <c r="B677" i="1"/>
  <c r="B663" i="1"/>
  <c r="B662" i="1"/>
  <c r="B661" i="1"/>
  <c r="B660" i="1"/>
  <c r="B659" i="1"/>
  <c r="B658" i="1"/>
  <c r="B656" i="1"/>
  <c r="B655" i="1"/>
  <c r="B653" i="1"/>
  <c r="B652" i="1"/>
  <c r="B650" i="1"/>
  <c r="B636" i="1"/>
  <c r="B635" i="1"/>
  <c r="B634" i="1"/>
  <c r="B632" i="1"/>
  <c r="B631" i="1"/>
  <c r="B630" i="1"/>
  <c r="B629" i="1"/>
  <c r="B628" i="1"/>
  <c r="B627" i="1"/>
  <c r="B626" i="1"/>
  <c r="B625" i="1"/>
  <c r="B624" i="1"/>
  <c r="B623" i="1"/>
  <c r="B488" i="1"/>
  <c r="B487" i="1"/>
  <c r="B486" i="1"/>
  <c r="B60" i="1"/>
  <c r="B202" i="1"/>
  <c r="B582" i="1" l="1"/>
  <c r="B580" i="1"/>
  <c r="B562" i="1"/>
  <c r="B559" i="1"/>
  <c r="B540" i="1"/>
  <c r="B536" i="1"/>
  <c r="B778" i="1"/>
  <c r="B743" i="1"/>
  <c r="B726" i="1"/>
  <c r="B701" i="1"/>
  <c r="B678" i="1"/>
  <c r="B676" i="1"/>
  <c r="B622" i="1"/>
  <c r="B600" i="1"/>
  <c r="B324" i="1"/>
  <c r="B283" i="1"/>
  <c r="B263" i="1"/>
  <c r="B243" i="1"/>
  <c r="B242" i="1"/>
  <c r="B180" i="1"/>
  <c r="B161" i="1"/>
  <c r="B140" i="1"/>
  <c r="B116" i="1"/>
  <c r="B36" i="1"/>
  <c r="B16" i="1"/>
</calcChain>
</file>

<file path=xl/sharedStrings.xml><?xml version="1.0" encoding="utf-8"?>
<sst xmlns="http://schemas.openxmlformats.org/spreadsheetml/2006/main" count="3170" uniqueCount="464">
  <si>
    <t>Activity</t>
  </si>
  <si>
    <t>comment</t>
  </si>
  <si>
    <t>location</t>
  </si>
  <si>
    <t>GLO</t>
  </si>
  <si>
    <t>production amount</t>
  </si>
  <si>
    <t>reference product</t>
  </si>
  <si>
    <t>unit</t>
  </si>
  <si>
    <t>kilogram</t>
  </si>
  <si>
    <t>source</t>
  </si>
  <si>
    <t>Exchanges</t>
  </si>
  <si>
    <t>name</t>
  </si>
  <si>
    <t>amount</t>
  </si>
  <si>
    <t>type</t>
  </si>
  <si>
    <t>production</t>
  </si>
  <si>
    <t>market for aluminium, wrought alloy</t>
  </si>
  <si>
    <t>technosphere</t>
  </si>
  <si>
    <t>aluminium, wrought alloy</t>
  </si>
  <si>
    <t>RoW</t>
  </si>
  <si>
    <t>market for injection moulding</t>
  </si>
  <si>
    <t>injection moulding</t>
  </si>
  <si>
    <t>market for sheet rolling, aluminium</t>
  </si>
  <si>
    <t>sheet rolling, aluminium</t>
  </si>
  <si>
    <t>market group for electricity, medium voltage</t>
  </si>
  <si>
    <t>kilowatt hour</t>
  </si>
  <si>
    <t>electricity, medium voltage</t>
  </si>
  <si>
    <t>market for metal working factory</t>
  </si>
  <si>
    <t>metal working factory</t>
  </si>
  <si>
    <t>market for polyethylene terephthalate, granulate, amorphous</t>
  </si>
  <si>
    <t>polyethylene terephthalate, granulate, amorphous</t>
  </si>
  <si>
    <t>RER</t>
  </si>
  <si>
    <t>market for nylon 6</t>
  </si>
  <si>
    <t>nylon 6</t>
  </si>
  <si>
    <t>casting, brass</t>
  </si>
  <si>
    <t>market for heat, district or industrial, natural gas</t>
  </si>
  <si>
    <t>megajoule</t>
  </si>
  <si>
    <t>heat, district or industrial, natural gas</t>
  </si>
  <si>
    <t>market for polypropylene, granulate</t>
  </si>
  <si>
    <t>polypropylene, granulate</t>
  </si>
  <si>
    <t>market for chemical factory, organics</t>
  </si>
  <si>
    <t>chemical factory, organics</t>
  </si>
  <si>
    <t>market for polyvinylfluoride</t>
  </si>
  <si>
    <t>polyvinylfluoride</t>
  </si>
  <si>
    <t>categories</t>
  </si>
  <si>
    <t>air</t>
  </si>
  <si>
    <t>biosphere</t>
  </si>
  <si>
    <t>cubic meter</t>
  </si>
  <si>
    <t>sodium hydroxide, without water, in 50% solution state</t>
  </si>
  <si>
    <t>market for ammonia, anhydrous, liquid</t>
  </si>
  <si>
    <t>ammonia, anhydrous, liquid</t>
  </si>
  <si>
    <t>market for wastewater, average</t>
  </si>
  <si>
    <t>wastewater, average</t>
  </si>
  <si>
    <t>market for water, deionised</t>
  </si>
  <si>
    <t>water, deionised</t>
  </si>
  <si>
    <t>market for spent solvent mixture</t>
  </si>
  <si>
    <t>Europe without Switzerland</t>
  </si>
  <si>
    <t>spent solvent mixture</t>
  </si>
  <si>
    <t>market for sulfuric acid</t>
  </si>
  <si>
    <t>sulfuric acid</t>
  </si>
  <si>
    <t>market for aluminium casting facility</t>
  </si>
  <si>
    <t>aluminium casting facility</t>
  </si>
  <si>
    <t>market for phthalic anhydride</t>
  </si>
  <si>
    <t>phthalic anhydride</t>
  </si>
  <si>
    <t>market for silica sand</t>
  </si>
  <si>
    <t>silica sand</t>
  </si>
  <si>
    <t>market for hexafluoroethane</t>
  </si>
  <si>
    <t>hexafluoroethane</t>
  </si>
  <si>
    <t>market for acetone, liquid</t>
  </si>
  <si>
    <t>acetone, liquid</t>
  </si>
  <si>
    <t>market for nitrogen, liquid</t>
  </si>
  <si>
    <t>nitrogen, liquid</t>
  </si>
  <si>
    <t>database</t>
  </si>
  <si>
    <t>aluminium, primary, ingot</t>
  </si>
  <si>
    <t>market for plastic processing factory</t>
  </si>
  <si>
    <t>plastic processing factory</t>
  </si>
  <si>
    <t>batteries</t>
  </si>
  <si>
    <t xml:space="preserve">market for methane sulfonic acid </t>
  </si>
  <si>
    <t>methane sulfonic acid</t>
  </si>
  <si>
    <t>market for hydrogen fluoride</t>
  </si>
  <si>
    <t>hydrogen fluoride</t>
  </si>
  <si>
    <t>CF3SO2NHNa</t>
  </si>
  <si>
    <t>market for cooling energy</t>
  </si>
  <si>
    <t>cooling energy</t>
  </si>
  <si>
    <t>market for methanol</t>
  </si>
  <si>
    <t>methanol</t>
  </si>
  <si>
    <t>market for sodium methoxide</t>
  </si>
  <si>
    <t>sodium methoxide</t>
  </si>
  <si>
    <t>market for steam, in chemical industry</t>
  </si>
  <si>
    <t>steam, in chemical industry</t>
  </si>
  <si>
    <t>(Me3Si)2NH</t>
  </si>
  <si>
    <t>trimethylchlorosilane</t>
  </si>
  <si>
    <t>CF3SO2NNaSiMe3</t>
  </si>
  <si>
    <t>(CF3SO2)2NNa</t>
  </si>
  <si>
    <t>market for tetrahydrofuran</t>
  </si>
  <si>
    <t>tetrahydrofuran</t>
  </si>
  <si>
    <t>market for dichloromethane</t>
  </si>
  <si>
    <t>dichloromethane</t>
  </si>
  <si>
    <t>(CF3SO2)2NH</t>
  </si>
  <si>
    <t>lithium carbonate</t>
  </si>
  <si>
    <t>Pluronic P123</t>
  </si>
  <si>
    <t>market for ethylene oxide</t>
  </si>
  <si>
    <t>ethylene oxide</t>
  </si>
  <si>
    <t>SBA-15</t>
  </si>
  <si>
    <t xml:space="preserve">market for tetraethyl orthosilicate </t>
  </si>
  <si>
    <t xml:space="preserve">tetraethyl orthosilicate </t>
  </si>
  <si>
    <t>market for hydrochloric acid, without water, in 30% solution state</t>
  </si>
  <si>
    <t>hydrochloric acid, without water, in 30% solution state</t>
  </si>
  <si>
    <t>CMK-3</t>
  </si>
  <si>
    <t>market for sugar, from sugar beet</t>
  </si>
  <si>
    <t>sugar, from sugar beet</t>
  </si>
  <si>
    <t>lithium foil</t>
  </si>
  <si>
    <t>electrolysis of lithium chloride</t>
  </si>
  <si>
    <t>lithium</t>
  </si>
  <si>
    <t>separator</t>
  </si>
  <si>
    <t>market for fleece, polyethylene</t>
  </si>
  <si>
    <t>fleece, polyethylene</t>
  </si>
  <si>
    <t>cathode</t>
  </si>
  <si>
    <t>market for sulfur</t>
  </si>
  <si>
    <t>sulfur</t>
  </si>
  <si>
    <t>market for acetonitrile</t>
  </si>
  <si>
    <t>acetonitrile</t>
  </si>
  <si>
    <t>aluminium foil</t>
  </si>
  <si>
    <t>electrolyte</t>
  </si>
  <si>
    <t>DOL</t>
  </si>
  <si>
    <t>ethylene glycol dimethyl ether production</t>
  </si>
  <si>
    <t>ethylene glycol dimethyl ether</t>
  </si>
  <si>
    <t>LiNO3</t>
  </si>
  <si>
    <t>battery pouch</t>
  </si>
  <si>
    <t>negative tab</t>
  </si>
  <si>
    <t>positive tab</t>
  </si>
  <si>
    <t>market for precious metal refinery</t>
  </si>
  <si>
    <t>precious metal refinery</t>
  </si>
  <si>
    <t>market for electronic component factory</t>
  </si>
  <si>
    <t>electronic component factory</t>
  </si>
  <si>
    <t>operating battery factory</t>
  </si>
  <si>
    <t>aluminium busbar</t>
  </si>
  <si>
    <t>bimetallic busbar</t>
  </si>
  <si>
    <t>copper busbar</t>
  </si>
  <si>
    <t>market for steel, low-alloyed</t>
  </si>
  <si>
    <t>steel, low-alloyed</t>
  </si>
  <si>
    <t>market for metal working, average for steel product manufacturing</t>
  </si>
  <si>
    <t>metal working, average for steel product manufacturing</t>
  </si>
  <si>
    <t>BMS</t>
  </si>
  <si>
    <t>high voltage system</t>
  </si>
  <si>
    <t>low voltage system</t>
  </si>
  <si>
    <t>market for acrylonitrile-butadiene-styrene copolymer</t>
  </si>
  <si>
    <t>acrylonitrile-butadiene-styrene copolymer</t>
  </si>
  <si>
    <t>market for brass</t>
  </si>
  <si>
    <t>BMS board, assembled, w/o external connector</t>
  </si>
  <si>
    <t>brass</t>
  </si>
  <si>
    <t>market for casting, brass</t>
  </si>
  <si>
    <t>IBIS fasteners</t>
  </si>
  <si>
    <t>logic board, assembled, with external connector</t>
  </si>
  <si>
    <t>BMS board and devices, unassembled</t>
  </si>
  <si>
    <t>square meter</t>
  </si>
  <si>
    <t>market for capacitor, electrolyte type, &lt; 2cm height</t>
  </si>
  <si>
    <t>capacitor, electrolyte type, &lt; 2cm height</t>
  </si>
  <si>
    <t>market for capacitor, for surface-mounting</t>
  </si>
  <si>
    <t>capacitor, for surface-mounting</t>
  </si>
  <si>
    <t>market for diode, glass-, for surface-mounting</t>
  </si>
  <si>
    <t>diode, glass-, for surface-mounting</t>
  </si>
  <si>
    <t>market for electric connector, wire clamp</t>
  </si>
  <si>
    <t>electric connector, wire clamp</t>
  </si>
  <si>
    <t>market for inductor, low value multilayer chip</t>
  </si>
  <si>
    <t>inductor, low value multilayer chip</t>
  </si>
  <si>
    <t>market for inductor, miniature radio frequency chip</t>
  </si>
  <si>
    <t>inductor, miniature radio frequency chip</t>
  </si>
  <si>
    <t>market for inductor, ring core choke type</t>
  </si>
  <si>
    <t>inductor, ring core choke type</t>
  </si>
  <si>
    <t>market for integrated circuit, logic type</t>
  </si>
  <si>
    <t>integrated circuit, logic type</t>
  </si>
  <si>
    <t>market for integrated circuit, memory type</t>
  </si>
  <si>
    <t>integrated circuit, memory type</t>
  </si>
  <si>
    <t>market for light emitting diode</t>
  </si>
  <si>
    <t>light emitting diode</t>
  </si>
  <si>
    <t>market for resistor, surface-mounted</t>
  </si>
  <si>
    <t>resistor, surface-mounted</t>
  </si>
  <si>
    <t>market for switch, toggle type</t>
  </si>
  <si>
    <t>switch, toggle type</t>
  </si>
  <si>
    <t>market for transistor, surface-mounted</t>
  </si>
  <si>
    <t>transistor, surface-mounted</t>
  </si>
  <si>
    <t>market for [thio]carbamate-compound</t>
  </si>
  <si>
    <t>[thio]carbamate-compound</t>
  </si>
  <si>
    <t>market for butyl acetate</t>
  </si>
  <si>
    <t>butyl acetate</t>
  </si>
  <si>
    <t>market for dipropylene glycol monomethyl ether</t>
  </si>
  <si>
    <t>dipropylene glycol monomethyl ether</t>
  </si>
  <si>
    <t>market for isohexane</t>
  </si>
  <si>
    <t>isohexane</t>
  </si>
  <si>
    <t>market for monoethanolamine</t>
  </si>
  <si>
    <t>monoethanolamine</t>
  </si>
  <si>
    <t>market for solder, paste, Sn95.5Ag3.9Cu0.6, for electronics industry</t>
  </si>
  <si>
    <t>solder, paste, Sn95.5Ag3.9Cu0.6, for electronics industry</t>
  </si>
  <si>
    <t>market for hazardous waste, for incineration</t>
  </si>
  <si>
    <t>hazardous waste, for incineration</t>
  </si>
  <si>
    <t>Ethanol</t>
  </si>
  <si>
    <t>market for adipic acid</t>
  </si>
  <si>
    <t>adipic acid</t>
  </si>
  <si>
    <t>market for aluminium, primary, ingot</t>
  </si>
  <si>
    <t>market for cable, ribbon cable, 20-pin, with plugs</t>
  </si>
  <si>
    <t>cable, ribbon cable, 20-pin, with plugs</t>
  </si>
  <si>
    <t>market for copper scrap, sorted, pressed</t>
  </si>
  <si>
    <t>copper scrap, sorted, pressed</t>
  </si>
  <si>
    <t>market for copper, cathode</t>
  </si>
  <si>
    <t>copper, cathode</t>
  </si>
  <si>
    <t>market for metal working, average for aluminium product manufacturing</t>
  </si>
  <si>
    <t>metal working, average for aluminium product manufacturing</t>
  </si>
  <si>
    <t>metal working, average for copper product manufacturing</t>
  </si>
  <si>
    <t>metal working, average for metal product manufacturing</t>
  </si>
  <si>
    <t>market for nylon 6-6</t>
  </si>
  <si>
    <t>nylon 6-6</t>
  </si>
  <si>
    <t>market for polyphenylene sulfide</t>
  </si>
  <si>
    <t>polyphenylene sulfide</t>
  </si>
  <si>
    <t>market for synthetic rubber</t>
  </si>
  <si>
    <t>synthetic rubber</t>
  </si>
  <si>
    <t>market for tin</t>
  </si>
  <si>
    <t>tin</t>
  </si>
  <si>
    <t>market for electronic component, passive, unspecified</t>
  </si>
  <si>
    <t>electronic component, passive, unspecified</t>
  </si>
  <si>
    <t>battery rack</t>
  </si>
  <si>
    <t>market for cable, unspecified</t>
  </si>
  <si>
    <t>cable, unspecified</t>
  </si>
  <si>
    <t>market for fan, for power supply unit, desktop computer</t>
  </si>
  <si>
    <t>fan, for power supply unit, desktop computer</t>
  </si>
  <si>
    <t>rack housing</t>
  </si>
  <si>
    <t>market for powder coat, steel</t>
  </si>
  <si>
    <t>powder coat, steel</t>
  </si>
  <si>
    <t>fire suppression system</t>
  </si>
  <si>
    <t>carbon dioxide, liquid</t>
  </si>
  <si>
    <t>installation</t>
  </si>
  <si>
    <t>market for intermodal shipping container, 40-foot</t>
  </si>
  <si>
    <t>intermodal shipping container, 40-foot</t>
  </si>
  <si>
    <t>market for inverter, 500kW</t>
  </si>
  <si>
    <t>inverter, 500kW</t>
  </si>
  <si>
    <t>delivered electricity to the grid</t>
  </si>
  <si>
    <t>DE</t>
  </si>
  <si>
    <t>market for sulfur hexafluoride, liquid</t>
  </si>
  <si>
    <t>sulfur hexafluoride, liquid</t>
  </si>
  <si>
    <t>market for transmission network, electricity, medium voltage</t>
  </si>
  <si>
    <t>kilometer</t>
  </si>
  <si>
    <t>transmission network, electricity, medium voltage</t>
  </si>
  <si>
    <t>Sulfur hexafluoride</t>
  </si>
  <si>
    <t>electricity production, wind, 1-3MW turbine, onshore</t>
  </si>
  <si>
    <t>electricity, high voltage</t>
  </si>
  <si>
    <t>disassembled installation</t>
  </si>
  <si>
    <t>disassembled battery module</t>
  </si>
  <si>
    <t>market for aluminium, cast alloy</t>
  </si>
  <si>
    <t>aluminium, cast alloy</t>
  </si>
  <si>
    <t>market for metal working, average for copper product manufacturing</t>
  </si>
  <si>
    <t xml:space="preserve">market for metal working factory </t>
  </si>
  <si>
    <t>deactivated cell</t>
  </si>
  <si>
    <t>market for sodium hydroxide, without water, in 50% solution state</t>
  </si>
  <si>
    <t>market for soda ash, dense</t>
  </si>
  <si>
    <t>soda ash, dense</t>
  </si>
  <si>
    <t>market for nitric acid, without water, in 50% solution state</t>
  </si>
  <si>
    <t>market for hydrogen peroxide, without water, in 50% solution state</t>
  </si>
  <si>
    <t>market for carbon dioxide, in chemical industry</t>
  </si>
  <si>
    <t>carbon dioxide, in chemical industry</t>
  </si>
  <si>
    <t>market for municipal solid waste</t>
  </si>
  <si>
    <t>municipal solid waste</t>
  </si>
  <si>
    <t>market for aluminium scrap, post-consumer</t>
  </si>
  <si>
    <t>aluminium scrap, post-consumer</t>
  </si>
  <si>
    <t>market for scrap copper</t>
  </si>
  <si>
    <t>scrap copper</t>
  </si>
  <si>
    <t>market for scrap steel</t>
  </si>
  <si>
    <t>scrap steel</t>
  </si>
  <si>
    <t>market for electronics scrap</t>
  </si>
  <si>
    <t>electronics scrap</t>
  </si>
  <si>
    <t>market group for heat, district or industrial, natural gas</t>
  </si>
  <si>
    <t>market for heat, from steam, in chemical industry</t>
  </si>
  <si>
    <t>heat, from steam, in chemical industry</t>
  </si>
  <si>
    <t>market for methylchloride</t>
  </si>
  <si>
    <t>methylchloride</t>
  </si>
  <si>
    <t>market for silicon, metallurgical grade</t>
  </si>
  <si>
    <t>silicon, metallurgical grade</t>
  </si>
  <si>
    <t>market group for tap water</t>
  </si>
  <si>
    <t>tap water</t>
  </si>
  <si>
    <t>CH</t>
  </si>
  <si>
    <t>water</t>
  </si>
  <si>
    <t>market for ethylene glycol</t>
  </si>
  <si>
    <t>ethylene glycol</t>
  </si>
  <si>
    <t>market for formaldehyde</t>
  </si>
  <si>
    <t>formaldehyde</t>
  </si>
  <si>
    <t>market for polyethylene, low density, granulate</t>
  </si>
  <si>
    <t>polyethylene, low density, granulate</t>
  </si>
  <si>
    <t>market for lithium hydroxide</t>
  </si>
  <si>
    <t>lithium hydroxide</t>
  </si>
  <si>
    <t>nitric acid, without water, in 50% solution state</t>
  </si>
  <si>
    <t>Carbon dioxide, fossil</t>
  </si>
  <si>
    <t>market for aluminium scrap, new</t>
  </si>
  <si>
    <t>aluminium scrap, new</t>
  </si>
  <si>
    <t>market for sheet rolling, copper</t>
  </si>
  <si>
    <t>sheet rolling, copper</t>
  </si>
  <si>
    <t>Comment</t>
  </si>
  <si>
    <t>trifluoromethanesulphonyl fluoride (CF3SO2F)</t>
  </si>
  <si>
    <t>Originally from  Wickerts et al. (2023). Prospective Life Cycle Assessment of Lithium-Sulfur Batteries for Stationary Energy Storage. ACS Sustainable Chemistry &amp; Engineering. Synthesis from Desmarteau, D. D., &amp; Witz, M. (1991). N-fluoro-bis (trifluoromethanesulfonyl) imide. An improved synthesis. Journal of fluorine chemistry, 52(1), 7-12. Scaled-up production based on Piccinno, F., Hischier, R., Seeger, S., &amp; Som, C. (2016). From laboratory to industrial scale: a scale-up framework for chemical processes in life cycle assessment studies. Journal of Cleaner Production, 135, 1085-1097.</t>
  </si>
  <si>
    <t>natural resource::in water</t>
  </si>
  <si>
    <t>Originally from  Wickerts et al. (2023). Prospective Life Cycle Assessment of Lithium-Sulfur Batteries for Stationary Energy Storage. ACS Sustainable Chemistry &amp; Engineering. Ecoinvent process, modified based on Wickerts et al. (2021). Prospective Life-Cycle Modeling of Quantum Dot Nanoparticles for Use in Photon Upconversion Devices. ACS Sustainable Chemistry &amp; Engineering, 9(14), 5187-5195.</t>
  </si>
  <si>
    <t>water::surface water</t>
  </si>
  <si>
    <t>Originally from  Wickerts et al. (2023). Prospective Life Cycle Assessment of Lithium-Sulfur Batteries for Stationary Energy Storage. ACS Sustainable Chemistry &amp; Engineering.. Based on Deng et al. (2017). Life cycle assessment of lithium sulfur battery for electric vehicles. Journal of Power Sources, 343, 284-295.</t>
  </si>
  <si>
    <t>Originally from  Wickerts et al. (2023). Prospective Life Cycle Assessment of Lithium-Sulfur Batteries for Stationary Energy Storage. ACS Sustainable Chemistry &amp; Engineering. Based on Deng et al. (2017). Life cycle assessment of lithium sulfur battery for electric vehicles. Journal of Power Sources, 343, 284-295.</t>
  </si>
  <si>
    <t>Originally from  Wickerts et al. (2023). Prospective Life Cycle Assessment of Lithium-Sulfur Batteries for Stationary Energy Storage. ACS Sustainable Chemistry &amp; Engineering. General polymerization reaction from Moulijn et al. (2013), reaction temperature from Noshay and McGrath (1977), upscaling based on Piccinno et al. (2016)</t>
  </si>
  <si>
    <t>Originally from  Wickerts et al. (2023). Prospective Life Cycle Assessment of Lithium-Sulfur Batteries for Stationary Energy Storage. ACS Sustainable Chemistry &amp; Engineering. Synthesis from Jun et al., upscaling based on Piccinno et al. (2016)</t>
  </si>
  <si>
    <t>Originally from  Wickerts et al. (2023). Prospective Life Cycle Assessment of Lithium-Sulfur Batteries for Stationary Energy Storage. ACS Sustainable Chemistry &amp; Engineering. Based on data and descriptions from Deng et al. (2017), Chordia et al. (2021), Heimes et al. (2018) and Schnell et al. (2018)</t>
  </si>
  <si>
    <t>Originally from  Wickerts et al. (2023). Prospective Life Cycle Assessment of Lithium-Sulfur Batteries for Stationary Energy Storage. ACS Sustainable Chemistry &amp; Engineering. Based on Li et al. (2014)</t>
  </si>
  <si>
    <t>Originally from  Wickerts et al. (2023). Prospective Life Cycle Assessment of Lithium-Sulfur Batteries for Stationary Energy Storage. ACS Sustainable Chemistry &amp; Engineering.. Obtained from Chordia et al. (2021)</t>
  </si>
  <si>
    <t>Originally from  Wickerts et al. (2023). Prospective Life Cycle Assessment of Lithium-Sulfur Batteries for Stationary Energy Storage. ACS Sustainable Chemistry &amp; Engineering. Based on Arvidsson et al. (2018) and Kolosnitsyn and Karaseva (2015)</t>
  </si>
  <si>
    <t>Originally from  Wickerts et al. (2023). Prospective Life Cycle Assessment of Lithium-Sulfur Batteries for Stationary Energy Storage. ACS Sustainable Chemistry &amp; Engineering. Based on Chordia et al. (2021)</t>
  </si>
  <si>
    <t>Originally from  Wickerts et al. (2023). Prospective Life Cycle Assessment of Lithium-Sulfur Batteries for Stationary Energy Storage. ACS Sustainable Chemistry &amp; Engineering. Based on Ellingsen et al. (2014)</t>
  </si>
  <si>
    <t>Originally from  Wickerts et al. (2023). Prospective Life Cycle Assessment of Lithium-Sulfur Batteries for Stationary Energy Storage. ACS Sustainable Chemistry &amp; Engineering. Adapted from Chordia et al. (2021)</t>
  </si>
  <si>
    <t>Originally from  Wickerts et al. (2023). Prospective Life Cycle Assessment of Lithium-Sulfur Batteries for Stationary Energy Storage. ACS Sustainable Chemistry &amp; Engineering. Obtained from Chordia et al. (2021)</t>
  </si>
  <si>
    <t>Originally from  Wickerts et al. (2023). Prospective Life Cycle Assessment of Lithium-Sulfur Batteries for Stationary Energy Storage. ACS Sustainable Chemistry &amp; Engineering. Based on Ainsworth (2016), Peters and Weil (2017), Ellingsen et al. (2014)</t>
  </si>
  <si>
    <t>Originally from  Wickerts et al. (2023). Prospective Life Cycle Assessment of Lithium-Sulfur Batteries for Stationary Energy Storage. ACS Sustainable Chemistry &amp; Engineering. Obtained from Ellingsen et al. (2014)</t>
  </si>
  <si>
    <t>Originally from  Wickerts et al. (2023). Prospective Life Cycle Assessment of Lithium-Sulfur Batteries for Stationary Energy Storage. ACS Sustainable Chemistry &amp; Engineering. Production of the BMS components is based on Nordelöf and Alatalo (2018), and Ellingsen et al. (2014)</t>
  </si>
  <si>
    <t>Originally from  Wickerts et al. (2023). Prospective Life Cycle Assessment of Lithium-Sulfur Batteries for Stationary Energy Storage. ACS Sustainable Chemistry &amp; Engineering. Obtained from first author of Nordelöf and Alatalo (2018), Nordelöf et al. (2019) and Nordelöf (2019)</t>
  </si>
  <si>
    <t>NMVOC, non-methane volatile organic compounds</t>
  </si>
  <si>
    <t>Originally from  Wickerts et al. (2023). Prospective Life Cycle Assessment of Lithium-Sulfur Batteries for Stationary Energy Storage. ACS Sustainable Chemistry &amp; Engineering. Based on data from Peters and Weil (2017), Ainsworth (2016), Ellingsen et al. (2014), Pellow et al. (2020)</t>
  </si>
  <si>
    <t>Originally from  Wickerts et al. (2023). Prospective Life Cycle Assessment of Lithium-Sulfur Batteries for Stationary Energy Storage. ACS Sustainable Chemistry &amp; Engineering. Based on data from Peters and Weil (2017)</t>
  </si>
  <si>
    <t>Originally from  Wickerts et al. (2023). Prospective Life Cycle Assessment of Lithium-Sulfur Batteries for Stationary Energy Storage. ACS Sustainable Chemistry &amp; Engineering. Based on data from Pellow et al. (2020)</t>
  </si>
  <si>
    <t>Originally from  Wickerts et al. (2023). Prospective Life Cycle Assessment of Lithium-Sulfur Batteries for Stationary Energy Storage. ACS Sustainable Chemistry &amp; Engineering. Based on proxies from Pellow et al. (2020)</t>
  </si>
  <si>
    <t>Originally from  Wickerts et al. (2023). Prospective Life Cycle Assessment of Lithium-Sulfur Batteries for Stationary Energy Storage. ACS Sustainable Chemistry &amp; Engineering.</t>
  </si>
  <si>
    <t>trifluoromethanesulphonyl fluoride (CF3SO2F) production, for LiS battery</t>
  </si>
  <si>
    <t>CF3SO2NHNa production, for LiS battery</t>
  </si>
  <si>
    <r>
      <t>(Me</t>
    </r>
    <r>
      <rPr>
        <b/>
        <vertAlign val="subscript"/>
        <sz val="12"/>
        <color theme="1"/>
        <rFont val="Calibri"/>
        <family val="2"/>
        <scheme val="minor"/>
      </rPr>
      <t>3</t>
    </r>
    <r>
      <rPr>
        <b/>
        <sz val="12"/>
        <color theme="1"/>
        <rFont val="Calibri"/>
        <family val="2"/>
        <scheme val="minor"/>
      </rPr>
      <t>Si)</t>
    </r>
    <r>
      <rPr>
        <b/>
        <vertAlign val="subscript"/>
        <sz val="12"/>
        <color theme="1"/>
        <rFont val="Calibri"/>
        <family val="2"/>
        <scheme val="minor"/>
      </rPr>
      <t>2</t>
    </r>
    <r>
      <rPr>
        <b/>
        <sz val="12"/>
        <color theme="1"/>
        <rFont val="Calibri"/>
        <family val="2"/>
        <scheme val="minor"/>
      </rPr>
      <t>NH production, for LiS battery</t>
    </r>
  </si>
  <si>
    <t>(Me3Si)2NH production, for LiS battery</t>
  </si>
  <si>
    <t>trimethylchlorosilane production, for LiS battery</t>
  </si>
  <si>
    <r>
      <t>CF</t>
    </r>
    <r>
      <rPr>
        <b/>
        <vertAlign val="subscript"/>
        <sz val="12"/>
        <color rgb="FF000000"/>
        <rFont val="Calibri"/>
        <family val="2"/>
        <scheme val="minor"/>
      </rPr>
      <t>3</t>
    </r>
    <r>
      <rPr>
        <b/>
        <sz val="12"/>
        <color rgb="FF000000"/>
        <rFont val="Calibri"/>
        <family val="2"/>
        <scheme val="minor"/>
      </rPr>
      <t>SO</t>
    </r>
    <r>
      <rPr>
        <b/>
        <vertAlign val="subscript"/>
        <sz val="12"/>
        <color rgb="FF000000"/>
        <rFont val="Calibri"/>
        <family val="2"/>
        <scheme val="minor"/>
      </rPr>
      <t>2</t>
    </r>
    <r>
      <rPr>
        <b/>
        <sz val="12"/>
        <color rgb="FF000000"/>
        <rFont val="Calibri"/>
        <family val="2"/>
        <scheme val="minor"/>
      </rPr>
      <t>NNaSiMe</t>
    </r>
    <r>
      <rPr>
        <b/>
        <vertAlign val="subscript"/>
        <sz val="12"/>
        <color rgb="FF000000"/>
        <rFont val="Calibri"/>
        <family val="2"/>
        <scheme val="minor"/>
      </rPr>
      <t>3</t>
    </r>
    <r>
      <rPr>
        <b/>
        <sz val="12"/>
        <color rgb="FF000000"/>
        <rFont val="Calibri"/>
        <family val="2"/>
        <scheme val="minor"/>
      </rPr>
      <t xml:space="preserve"> </t>
    </r>
    <r>
      <rPr>
        <b/>
        <sz val="12"/>
        <color theme="1"/>
        <rFont val="Calibri"/>
        <family val="2"/>
        <scheme val="minor"/>
      </rPr>
      <t>production</t>
    </r>
    <r>
      <rPr>
        <b/>
        <sz val="12"/>
        <color rgb="FF000000"/>
        <rFont val="Calibri"/>
        <family val="2"/>
        <scheme val="minor"/>
      </rPr>
      <t>, for LiS battery</t>
    </r>
  </si>
  <si>
    <t>CF3SO2NNaSiMe3 production, for LiS battery</t>
  </si>
  <si>
    <t>(CF3SO2)2NNa production, for LiS battery</t>
  </si>
  <si>
    <t>(CF3SO2)2NH production, for LiS battery</t>
  </si>
  <si>
    <t>DOL production, for LiS battery</t>
  </si>
  <si>
    <t>LiNO3 production, for LiS battery</t>
  </si>
  <si>
    <t>Pluronic P123 production, for LiS battery</t>
  </si>
  <si>
    <t>SBA-15 production, for LiS battery</t>
  </si>
  <si>
    <t>CMK-3 production, for LiS battery</t>
  </si>
  <si>
    <t>lithium foil production, for LiS battery</t>
  </si>
  <si>
    <t>separator production, for LiS battery</t>
  </si>
  <si>
    <t>aluminium foil production, for LiS battery</t>
  </si>
  <si>
    <t>cathode production, for LiS battery</t>
  </si>
  <si>
    <t>electrolyte mixing and feeding, for LiS battery</t>
  </si>
  <si>
    <t>battery pouch production, for LiS battery</t>
  </si>
  <si>
    <t>positive tab production, for LiS battery</t>
  </si>
  <si>
    <t>negative tab production, for LiS battery</t>
  </si>
  <si>
    <t>factory construction and operation, for LiS battery</t>
  </si>
  <si>
    <t>battery module production, for LiS battery</t>
  </si>
  <si>
    <t>aluminium busbar production, for LiS battery</t>
  </si>
  <si>
    <t>bimetallic busbar production, for LiS battery</t>
  </si>
  <si>
    <t>copper busbar production, for LiS battery</t>
  </si>
  <si>
    <t>BMS production, for LiS battery</t>
  </si>
  <si>
    <t>high voltage system production, for LiS battery</t>
  </si>
  <si>
    <t>IBIS fasteners production, for LiS battery</t>
  </si>
  <si>
    <t>selective soldering for mounting larger external connector on BMS board, for LiS battery</t>
  </si>
  <si>
    <t>low voltage system production, for LiS battery</t>
  </si>
  <si>
    <t>Board components and panel input to logic board, for LiS battery</t>
  </si>
  <si>
    <t>board components and panel input to logic board, for LiS battery</t>
  </si>
  <si>
    <t>printed circuit board assembly, for LiS battery</t>
  </si>
  <si>
    <t>battery rack production, for LiS battery</t>
  </si>
  <si>
    <t>rack housing production, for LiS battery</t>
  </si>
  <si>
    <t>fire suppression system production, for LiS battery</t>
  </si>
  <si>
    <t>installation production, for LiS battery</t>
  </si>
  <si>
    <t>market for electricity, medium voltage, for LiS battery</t>
  </si>
  <si>
    <t>electricity voltage transformation from high to medium voltage, for LiS battery</t>
  </si>
  <si>
    <t>installation disassembly, for LiS battery</t>
  </si>
  <si>
    <t>battery module disassembly, for LiS battery</t>
  </si>
  <si>
    <t>battery cell deactivation, for LiS battery</t>
  </si>
  <si>
    <t>cell separation and grinding, for LiS battery</t>
  </si>
  <si>
    <t>hydrometallurgical recycling, for LiS battery</t>
  </si>
  <si>
    <t>LiTFSi, (CF3SO2)2NLi, production, for LiS battery</t>
  </si>
  <si>
    <t>LiTFSi, (CF3SO2)2NLi</t>
  </si>
  <si>
    <t>Multiplied by 10e6 to convert from gwh to kwh</t>
  </si>
  <si>
    <t>Multiplied by 10e6 to convert from TJ to MJ</t>
  </si>
  <si>
    <t>Location changed from "GLO" to "RoW". There is no GLO market for this activity</t>
  </si>
  <si>
    <t>Reference product was corrected</t>
  </si>
  <si>
    <t>Multiplied by 10e-3 to convert from kg to cubic meter</t>
  </si>
  <si>
    <t>propylene oxide, liquid</t>
  </si>
  <si>
    <t>use phase, for LiS battery</t>
  </si>
  <si>
    <t>market for propylene oxide, liquid</t>
  </si>
  <si>
    <t>note that this process is adjusted to have a lithium input instead of a aluminium input</t>
  </si>
  <si>
    <t>Multiplied by 10e-3 to convert from gram to kg</t>
  </si>
  <si>
    <t>Multiplied by 10e- to convert from gram to kg</t>
  </si>
  <si>
    <t>Multiplied by 10e3 as reference unit was changed from grams to kg</t>
  </si>
  <si>
    <t>Location changed from RoW to GLO</t>
  </si>
  <si>
    <t>Multiplied by 10e6 to convert from TJ to MJ. Location changed from GLO to RoW</t>
  </si>
  <si>
    <t>mounting, surface mount technology, Pb-free solder</t>
  </si>
  <si>
    <t>market for mounting, surface mount technology, Pb-free solder</t>
  </si>
  <si>
    <t>Activity name and product changed to match EI</t>
  </si>
  <si>
    <t>Location changed from GLO to RoW</t>
  </si>
  <si>
    <t>market for carbon dioxide, liquid</t>
  </si>
  <si>
    <t>market for concrete, normal strength</t>
  </si>
  <si>
    <t>concrete, normal strength</t>
  </si>
  <si>
    <t>Added 'strength' to match EI</t>
  </si>
  <si>
    <t>Original values in SI have been corrected. Additionally, unit changed from MWh to kWh</t>
  </si>
  <si>
    <t>heat production, natural gas, at industrial furnace &gt;100kW</t>
  </si>
  <si>
    <t>Reference product changed to match EI</t>
  </si>
  <si>
    <t>hydrogen peroxide, without water, in 50% solution state</t>
  </si>
  <si>
    <t>Multiplied by 10e-3 to convert from kilogram to cubic meter</t>
  </si>
  <si>
    <t>market for lithium carbonate, battery grade</t>
  </si>
  <si>
    <t>Changed to generic market to make it compatible with metals work</t>
  </si>
  <si>
    <t>lithium carbonate, battery grade</t>
  </si>
  <si>
    <t>Water, cooling, unspecified natural origin</t>
  </si>
  <si>
    <t>Water, river</t>
  </si>
  <si>
    <t>Methane, monochloro-, R-40</t>
  </si>
  <si>
    <t>Dimethyldichlorosilane</t>
  </si>
  <si>
    <t>Water, well, in ground</t>
  </si>
  <si>
    <t>Nitrogen</t>
  </si>
  <si>
    <t>Silicon</t>
  </si>
  <si>
    <t>Water</t>
  </si>
  <si>
    <t>Multiplied by 10e-3 to convert from gram to kg. Then multiplied by (1/0.046) to convert from unit of cell to kg of cell</t>
  </si>
  <si>
    <t>battery cell, LiS</t>
  </si>
  <si>
    <t>Source: Wickerts et al. (2023). Prospective Life Cycle Assessment of Lithium-Sulfur Batteries for Stationary Energy Storage. ACS Sustainable Chemistry &amp; Engineering. https://doi.org/10.1021/acssuschemeng.3c00141</t>
  </si>
  <si>
    <t>This is the functional unit for the cradle-to-grave boundary. Note that we have modified  "market for electricity, medium voltage". The upstream processes are provided below. See more details in the SI of the published paper. Source: Wickerts et al. (2023). Prospective Life Cycle Assessment of Lithium-Sulfur Batteries for Stationary Energy Storage. ACS Sustainable Chemistry &amp; Engineering. https://doi.org/10.1021/acssuschemeng.3c00141</t>
  </si>
  <si>
    <r>
      <t xml:space="preserve">This activity is aggregated to match the requirements of one battery rack, as it is modelled in the lithium-sulfur study. This includes both the BMS on a module level as well as on the rack level. BMS=battery management system. PCB=printed circut board. </t>
    </r>
    <r>
      <rPr>
        <b/>
        <sz val="11"/>
        <color theme="1"/>
        <rFont val="Calibri"/>
        <family val="2"/>
        <scheme val="minor"/>
      </rPr>
      <t>Source: Wickerts et al. (2023). Prospective Life Cycle Assessment of Lithium-Sulfur Batteries for Stationary Energy Storage. ACS Sustainable Chemistry &amp; Engineering. https://doi.org/10.1021/acssuschemeng.3c00141</t>
    </r>
  </si>
  <si>
    <t>Note that this is the updated dataset obtained from the published correction from Chordia et al. (2021) (which was not used in our published study). Source: Wickerts et al. (2023). Prospective Life Cycle Assessment of Lithium-Sulfur Batteries for Stationary Energy Storage. ACS Sustainable Chemistry &amp; Engineering. https://doi.org/10.1021/acssuschemeng.3c00141</t>
  </si>
  <si>
    <t>this is LiTFSI. Source: Wickerts et al. (2023). Prospective Life Cycle Assessment of Lithium-Sulfur Batteries for Stationary Energy Storage. ACS Sustainable Chemistry &amp; Engineering. https://doi.org/10.1021/acssuschemeng.3c00141</t>
  </si>
  <si>
    <t>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</si>
  <si>
    <t>battery, LiS module</t>
  </si>
  <si>
    <t>Original value multiplied by 0.03 to solve mass-allocation - and then divided by 0.03 to scale it to the production of 1 kg</t>
  </si>
  <si>
    <t>Original values in SI have been corrected. The specific electricity market that was created for the paper has been deleted and unified under the conventional market in Ecoinvent</t>
  </si>
  <si>
    <t>multiplied by (1/0.046) to convert from unit of cell to kg of cell</t>
  </si>
  <si>
    <t>Converted from battery unit to kilogram of battery. The size (41 litre) and total weight (25 kg) of a battery module, as well as the total battery cell weight in one module (19 kg), are obtained from Ainsworth</t>
  </si>
  <si>
    <t>converted from unit to kilogram</t>
  </si>
  <si>
    <t>converted from 'unit' to 'kilogram'</t>
  </si>
  <si>
    <t>Changed to negative</t>
  </si>
  <si>
    <t>EoL phase was not being considered</t>
  </si>
  <si>
    <t>cells to deactivation</t>
  </si>
  <si>
    <t>market for waste plastic, consumer electronics</t>
  </si>
  <si>
    <t>waste plastic, consumer electronics</t>
  </si>
  <si>
    <t>shredding and sorting, cell, for LiS battery</t>
  </si>
  <si>
    <t>shredded and sorted cell components</t>
  </si>
  <si>
    <t xml:space="preserve">shredded and sorted cell components </t>
  </si>
  <si>
    <t xml:space="preserve">shredded and sorted module components </t>
  </si>
  <si>
    <t>shredded and sorted module components</t>
  </si>
  <si>
    <t>shredding and sorting, module, for LiS battery</t>
  </si>
  <si>
    <t>shredding and sorting, installation, for LiS battery</t>
  </si>
  <si>
    <t xml:space="preserve">shredded and sorted installation components </t>
  </si>
  <si>
    <t>Market for aluminium or steel? Original inventory was not consistent</t>
  </si>
  <si>
    <t>Multiplied by 10e-3 to convert from kg to cubic meter. This should be negative, right?</t>
  </si>
  <si>
    <t>Should be negative</t>
  </si>
  <si>
    <t>Should be negative?</t>
  </si>
  <si>
    <t>market for extrusion, plastic film</t>
  </si>
  <si>
    <t>extrusion, plastic film</t>
  </si>
  <si>
    <t>battery cell production, Li-S</t>
  </si>
  <si>
    <t>battery cell</t>
  </si>
  <si>
    <t>A cell weight of 46 g is modeled, due to the slight difference in cell weight of the different cell compositions. The number of formed cells required to provide the function depends on the specific energy density. Consequently, fewer cells are required in the technical performance and combined scenarios because of the higher specific energy density considered in those scenarios. SI. S3.6.6. Source: Wickerts et al. (2023). Prospective Life Cycle Assessment of Lithium-Sulfur Batteries for Stationary Energy Storage. ACS Sustainable Chemistry &amp; Engineering. https://doi.org/10.1021/acssuschemeng.3c00141</t>
  </si>
  <si>
    <t>battery cell assembly, Li-S</t>
  </si>
  <si>
    <t>Originally from  Wickerts et al. (2023). Prospective Life Cycle Assessment of Lithium-Sulfur Batteries for Stationary Energy Storage. ACS Sustainable Chemistry &amp; Engineering. Based on Chordia et al. (2021).</t>
  </si>
  <si>
    <t>Source: Wickerts et al. (2023). Prospective Life Cycle Assessment of Lithium-Sulfur Batteries for Stationary Energy Storage. ACS Sustainable Chemistry &amp; Engineering. https://doi.org/10.1021/acssuschemeng.3c00141. Manufacturing of Li-S cells was based on the work by Chordia, M.; Nordelöf, A.; Ellingsen, L. A.-W. Environmental life cycle implications of upscaling lithium-ion battery production. Int. J. Life Cycle Assess. 2021, 26, 2024– 2039,  DOI: 10.1007/s11367-021-01976-0 8. Note that the factory construction and operation is included in this activity, and not in the "1 kWh storage capacity" as it is in the supporting information.</t>
  </si>
  <si>
    <t>Battery system mass: 321 kg</t>
  </si>
  <si>
    <t>market group for transport, freight train</t>
  </si>
  <si>
    <t>ton kilometer</t>
  </si>
  <si>
    <t>transport, freight train</t>
  </si>
  <si>
    <t>market group for transport, freight, inland waterways, barge</t>
  </si>
  <si>
    <t>transport, freight, inland waterways, barge</t>
  </si>
  <si>
    <t>market group for transport, freight, lorry, unspecified</t>
  </si>
  <si>
    <t>transport, freight, lorry, unspecified</t>
  </si>
  <si>
    <t>market for transport, freight, sea, container ship</t>
  </si>
  <si>
    <t>transport, freight, sea, container ship</t>
  </si>
  <si>
    <t>market for battery, Li-sulfur, Li-S</t>
  </si>
  <si>
    <t>battery, Li-S</t>
  </si>
  <si>
    <t>uncertainty type</t>
  </si>
  <si>
    <t>loc</t>
  </si>
  <si>
    <t>minimum</t>
  </si>
  <si>
    <t>maximum</t>
  </si>
  <si>
    <t>Original value in Wickerts et al., 2023 of 0.0412, representing a 4.5% leakage rate. This was reduced to 0.5% leakage rate. According to https://www.chlorinated-solvents.eu/wp-content/uploads/2021/05/Dichloromethane-paper.pdf, current leakage rate in the EU is 0.06%.</t>
  </si>
  <si>
    <t>This is a multi-output process, which produces dimethylchlorosilane (97%) but also trimethylchlorosilane (3%). The ecoinvent dataset for trimethylchlorosilane has been re-allocated to produce a proxy for dimethylchlorosilane production, based on a mass allocation. Note that, compared to the original values in ecoinvent and also Wickerts et al., 2023, we have reduced the emission of methyl chloride, a potent ozone-depleting gas, to 0.5%, instead of 4.5%, with a min-max of 0.06%-4.1%, as it seems to ignore current efforts in limiting venting of such gases and promoting recovery instead. According to this report (https://www.chlorinated-solvents.eu/wp-content/uploads/2021/05/Dichloromethane-paper.pdf), the current leak rate in the EU is about 0.06%. Source for Li-S battery: Wickerts et al. (2023). Prospective Life Cycle Assessment of Lithium-Sulfur Batteries for Stationary Energy Storage. ACS Sustainable Chemistry &amp; Engineering. https://doi.org/10.1021/acssuschemeng.3c00141. Source for trimethylchlorosilane: https://pubs.acs.org/doi/10.1021/acssuschemeng.1c00376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</si>
</sst>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00"/>
    <numFmt numFmtId="165" formatCode="0.000"/>
    <numFmt numFmtId="166" formatCode="0.0"/>
    <numFmt numFmtId="167" formatCode="0E+00"/>
    <numFmt numFmtId="168" formatCode="0.0E+00"/>
    <numFmt numFmtId="169" formatCode="0.00000"/>
    <numFmt numFmtId="170" formatCode="0.000000"/>
  </numFmts>
  <fonts count="1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
      <sz val="12"/>
      <color theme="1"/>
      <name val="Calibri"/>
      <family val="2"/>
      <scheme val="minor"/>
    </font>
    <font>
      <sz val="12"/>
      <color theme="1"/>
      <name val="Times New Roman"/>
      <family val="1"/>
    </font>
    <font>
      <b/>
      <vertAlign val="subscript"/>
      <sz val="12"/>
      <color theme="1"/>
      <name val="Calibri"/>
      <family val="2"/>
      <scheme val="minor"/>
    </font>
    <font>
      <b/>
      <sz val="12"/>
      <color rgb="FF000000"/>
      <name val="Calibri"/>
      <family val="2"/>
      <scheme val="minor"/>
    </font>
    <font>
      <b/>
      <vertAlign val="subscript"/>
      <sz val="12"/>
      <color rgb="FF000000"/>
      <name val="Calibri"/>
      <family val="2"/>
      <scheme val="minor"/>
    </font>
    <font>
      <sz val="11"/>
      <color theme="1"/>
      <name val="Calibri (Body)"/>
    </font>
    <font>
      <sz val="11"/>
      <color rgb="FF000000"/>
      <name val="Calibri"/>
      <family val="2"/>
      <scheme val="minor"/>
    </font>
    <font>
      <b/>
      <sz val="11"/>
      <color rgb="FF000000"/>
      <name val="Calibri"/>
      <family val="2"/>
      <scheme val="minor"/>
    </font>
    <font>
      <sz val="12"/>
      <color rgb="FF000000"/>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0" fontId="6" fillId="0" borderId="0"/>
    <xf numFmtId="9" fontId="6" fillId="0" borderId="0" applyFont="0" applyFill="0" applyBorder="0" applyAlignment="0" applyProtection="0"/>
  </cellStyleXfs>
  <cellXfs count="29">
    <xf numFmtId="0" fontId="0" fillId="0" borderId="0" xfId="0"/>
    <xf numFmtId="0" fontId="8" fillId="0" borderId="0" xfId="0" applyFont="1"/>
    <xf numFmtId="0" fontId="7" fillId="0" borderId="0" xfId="0" applyFont="1"/>
    <xf numFmtId="11" fontId="0" fillId="0" borderId="0" xfId="0" applyNumberFormat="1"/>
    <xf numFmtId="165" fontId="0" fillId="0" borderId="0" xfId="0" applyNumberFormat="1"/>
    <xf numFmtId="2" fontId="0" fillId="0" borderId="0" xfId="0" applyNumberFormat="1"/>
    <xf numFmtId="0" fontId="9" fillId="0" borderId="0" xfId="0" applyFont="1"/>
    <xf numFmtId="166" fontId="0" fillId="0" borderId="0" xfId="0" applyNumberFormat="1"/>
    <xf numFmtId="164" fontId="0" fillId="0" borderId="0" xfId="0" applyNumberFormat="1"/>
    <xf numFmtId="0" fontId="10" fillId="0" borderId="0" xfId="0" applyFont="1"/>
    <xf numFmtId="0" fontId="0" fillId="2" borderId="0" xfId="0" applyFill="1"/>
    <xf numFmtId="0" fontId="12" fillId="0" borderId="0" xfId="0" applyFont="1"/>
    <xf numFmtId="167" fontId="0" fillId="0" borderId="0" xfId="0" applyNumberFormat="1"/>
    <xf numFmtId="168" fontId="0" fillId="0" borderId="0" xfId="0" applyNumberFormat="1"/>
    <xf numFmtId="0" fontId="14" fillId="0" borderId="0" xfId="0" applyFont="1"/>
    <xf numFmtId="0" fontId="15" fillId="0" borderId="0" xfId="0" applyFont="1"/>
    <xf numFmtId="0" fontId="5" fillId="0" borderId="0" xfId="0" applyFont="1"/>
    <xf numFmtId="169" fontId="0" fillId="0" borderId="0" xfId="0" applyNumberFormat="1"/>
    <xf numFmtId="1" fontId="0" fillId="0" borderId="0" xfId="0" applyNumberFormat="1"/>
    <xf numFmtId="0" fontId="16" fillId="0" borderId="0" xfId="0" applyFont="1"/>
    <xf numFmtId="2" fontId="15" fillId="0" borderId="0" xfId="0" applyNumberFormat="1" applyFont="1"/>
    <xf numFmtId="11" fontId="15" fillId="0" borderId="0" xfId="0" applyNumberFormat="1" applyFont="1"/>
    <xf numFmtId="0" fontId="17" fillId="0" borderId="0" xfId="0" applyFont="1"/>
    <xf numFmtId="170" fontId="0" fillId="0" borderId="0" xfId="0" applyNumberFormat="1"/>
    <xf numFmtId="165" fontId="15" fillId="0" borderId="0" xfId="0" applyNumberFormat="1" applyFont="1"/>
    <xf numFmtId="0" fontId="4" fillId="0" borderId="0" xfId="0" applyFont="1"/>
    <xf numFmtId="0" fontId="3" fillId="0" borderId="0" xfId="0" applyFont="1"/>
    <xf numFmtId="0" fontId="2" fillId="0" borderId="0" xfId="0" applyFont="1"/>
    <xf numFmtId="0" fontId="1" fillId="0" borderId="0" xfId="0" applyFont="1"/>
  </cellXfs>
  <cellStyles count="3">
    <cellStyle name="Normal" xfId="0" builtinId="0"/>
    <cellStyle name="Normal 2" xfId="1" xr:uid="{0E23583C-AEE8-A14E-BBED-EFF8448F4281}"/>
    <cellStyle name="Per cent 2" xfId="2" xr:uid="{D55BF8F8-B642-CC4D-B89F-8E306054978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682"/>
  <sheetViews>
    <sheetView tabSelected="1" topLeftCell="A58" zoomScale="91" zoomScaleNormal="100" workbookViewId="0">
      <selection activeCell="B68" sqref="B68"/>
    </sheetView>
  </sheetViews>
  <sheetFormatPr baseColWidth="10" defaultColWidth="8.83203125" defaultRowHeight="15" x14ac:dyDescent="0.2"/>
  <cols>
    <col min="1" max="1" width="67.1640625" bestFit="1" customWidth="1"/>
    <col min="2" max="2" width="13.6640625" bestFit="1" customWidth="1"/>
    <col min="3" max="3" width="14.1640625" customWidth="1"/>
    <col min="4" max="5" width="26.1640625" bestFit="1" customWidth="1"/>
    <col min="6" max="6" width="36.5" customWidth="1"/>
    <col min="7" max="7" width="37.6640625" customWidth="1"/>
    <col min="9" max="9" width="9.5" bestFit="1" customWidth="1"/>
  </cols>
  <sheetData>
    <row r="1" spans="1:8" x14ac:dyDescent="0.2">
      <c r="A1" s="2" t="s">
        <v>70</v>
      </c>
      <c r="B1" t="s">
        <v>74</v>
      </c>
    </row>
    <row r="2" spans="1:8" x14ac:dyDescent="0.2">
      <c r="A2" s="2"/>
    </row>
    <row r="3" spans="1:8" x14ac:dyDescent="0.2">
      <c r="A3" s="2"/>
    </row>
    <row r="4" spans="1:8" ht="16" x14ac:dyDescent="0.2">
      <c r="A4" s="1" t="s">
        <v>0</v>
      </c>
      <c r="B4" s="1" t="s">
        <v>320</v>
      </c>
    </row>
    <row r="5" spans="1:8" ht="16" x14ac:dyDescent="0.2">
      <c r="A5" s="16" t="s">
        <v>1</v>
      </c>
      <c r="B5" s="16" t="inlineStr">
        <is>
          <t>APPROVED LI-S CF3SO2F SOURCE WASTE-DOSE ALIGNMENT, 2026-10-18. Wickerts et al., Prospective Life Cycle Assessment of Lithium-Sulfur Batteries for Stationary Energy Storage, DOI 10.1021/acssuschemeng.3c00141; supporting information Table S2, printed page S7 (PDF page 10), in the updated supporting file https://doi.org/10.1021/acssuschemeng.4c01782.s001. The table specifies 2.1E-1 kg organic waste sent to the market for spent solvent mixture, RoW, per 1 kg CF3SO2F output. Align the workbook treatment purchase from -0.22 to -0.21 kg/kg, retaining the negative waste-consumer sign. The source rounded material inputs 0.66 kg methanesulfonic acid plus 0.55 kg hydrogen fluoride minus 1 kg product also give 0.21 kg residual; this aggregate check is NOT an element-balanced reaction or validation of actual waste composition, water/hydrogen fates or industrial yield. The historical reason for the workbook value 0.22 is not established. Do not attribute this discrepancy to the 2024 published erratum: that correction concerns end-of-life tables S35/S36/S38, results S41 and Figure S17. The source generic 95 percent reaction yield, electricity proxy and spent-solvent treatment are retained modelling assumptions, not validated current industrial measurements. Keep all other material doses, 30 kWh electricity, chemical-factory formula/cache, supplier/product/geography, one-kg reference output, other chemical recipes and downstream battery capacity, density, cycle life and lifetime/per-MJ allocations unchanged. No new treatment route, recovery credit, primary/secondary share or global recipe renormalization is introduced. This is a small source-table alignment, not a demonstrated major critical-metal driver. The larger Li-S recipe/density, LiTFSI yield and silica template issues remain unresolved. Current net system metal effects remain unquantified without a full rebuild.
PREVIOUS SOURCE NOTES:
Source: Wickerts et al. (2023). Prospective Life Cycle Assessment of Lithium-Sulfur Batteries for Stationary Energy Storage. ACS Sustainable Chemistry &amp; Engineering. https://doi.org/10.1021/acssuschemeng.3c00141</t>
        </is>
      </c>
    </row>
    <row r="6" spans="1:8" x14ac:dyDescent="0.2">
      <c r="A6" t="s">
        <v>2</v>
      </c>
      <c r="B6" t="s">
        <v>3</v>
      </c>
    </row>
    <row r="7" spans="1:8" x14ac:dyDescent="0.2">
      <c r="A7" t="s">
        <v>4</v>
      </c>
      <c r="B7">
        <v>1</v>
      </c>
    </row>
    <row r="8" spans="1:8" x14ac:dyDescent="0.2">
      <c r="A8" t="s">
        <v>5</v>
      </c>
      <c r="B8" t="s">
        <v>293</v>
      </c>
    </row>
    <row r="9" spans="1:8" x14ac:dyDescent="0.2">
      <c r="A9" t="s">
        <v>6</v>
      </c>
      <c r="B9" t="s">
        <v>7</v>
      </c>
    </row>
    <row r="10" spans="1:8" x14ac:dyDescent="0.2">
      <c r="A10" t="s">
        <v>8</v>
      </c>
      <c r="B10" t="s">
        <v>294</v>
      </c>
    </row>
    <row r="11" spans="1:8" x14ac:dyDescent="0.2">
      <c r="A11" s="2" t="s">
        <v>9</v>
      </c>
    </row>
    <row r="12" spans="1:8" x14ac:dyDescent="0.2">
      <c r="A12" t="s">
        <v>10</v>
      </c>
      <c r="B12" t="s">
        <v>11</v>
      </c>
      <c r="C12" t="s">
        <v>6</v>
      </c>
      <c r="D12" t="s">
        <v>42</v>
      </c>
      <c r="E12" t="s">
        <v>2</v>
      </c>
      <c r="F12" t="s">
        <v>12</v>
      </c>
      <c r="G12" t="s">
        <v>5</v>
      </c>
      <c r="H12" t="s">
        <v>1</v>
      </c>
    </row>
    <row r="13" spans="1:8" x14ac:dyDescent="0.2">
      <c r="A13" t="s">
        <v>320</v>
      </c>
      <c r="B13">
        <v>1</v>
      </c>
      <c r="C13" t="s">
        <v>7</v>
      </c>
      <c r="E13" t="s">
        <v>3</v>
      </c>
      <c r="F13" t="s">
        <v>13</v>
      </c>
      <c r="G13" t="s">
        <v>293</v>
      </c>
    </row>
    <row r="14" spans="1:8" ht="16" x14ac:dyDescent="0.2">
      <c r="A14" s="9" t="s">
        <v>75</v>
      </c>
      <c r="B14" s="5">
        <v>0.66</v>
      </c>
      <c r="C14" t="s">
        <v>7</v>
      </c>
      <c r="E14" t="s">
        <v>3</v>
      </c>
      <c r="F14" t="s">
        <v>15</v>
      </c>
      <c r="G14" t="s">
        <v>76</v>
      </c>
    </row>
    <row r="15" spans="1:8" x14ac:dyDescent="0.2">
      <c r="A15" t="s">
        <v>77</v>
      </c>
      <c r="B15" s="5">
        <v>0.55000000000000004</v>
      </c>
      <c r="C15" t="s">
        <v>7</v>
      </c>
      <c r="E15" t="s">
        <v>17</v>
      </c>
      <c r="F15" t="s">
        <v>15</v>
      </c>
      <c r="G15" t="s">
        <v>78</v>
      </c>
    </row>
    <row r="16" spans="1:8" x14ac:dyDescent="0.2">
      <c r="A16" t="s">
        <v>38</v>
      </c>
      <c r="B16">
        <f>4*10^-10</f>
        <v>4.0000000000000001E-10</v>
      </c>
      <c r="C16" t="s">
        <v>6</v>
      </c>
      <c r="E16" t="s">
        <v>3</v>
      </c>
      <c r="F16" t="s">
        <v>15</v>
      </c>
      <c r="G16" t="s">
        <v>39</v>
      </c>
    </row>
    <row r="17" spans="1:7" x14ac:dyDescent="0.2">
      <c r="A17" t="s">
        <v>22</v>
      </c>
      <c r="B17" s="18">
        <v>30</v>
      </c>
      <c r="C17" t="s">
        <v>23</v>
      </c>
      <c r="E17" t="s">
        <v>54</v>
      </c>
      <c r="F17" t="s">
        <v>15</v>
      </c>
      <c r="G17" t="s">
        <v>24</v>
      </c>
    </row>
    <row r="18" spans="1:7" x14ac:dyDescent="0.2">
      <c r="A18" t="s">
        <v>53</v>
      </c>
      <c r="B18" s="5">
        <v>-0.21</v>
      </c>
      <c r="C18" t="s">
        <v>7</v>
      </c>
      <c r="E18" t="s">
        <v>17</v>
      </c>
      <c r="F18" t="s">
        <v>15</v>
      </c>
      <c r="G18" t="s">
        <v>55</v>
      </c>
    </row>
    <row r="19" spans="1:7" x14ac:dyDescent="0.2">
      <c r="B19" s="8"/>
    </row>
    <row r="20" spans="1:7" x14ac:dyDescent="0.2">
      <c r="B20" s="8"/>
    </row>
    <row r="22" spans="1:7" ht="16" x14ac:dyDescent="0.2">
      <c r="A22" s="1" t="s">
        <v>0</v>
      </c>
      <c r="B22" s="1" t="s">
        <v>321</v>
      </c>
    </row>
    <row r="23" spans="1:7" ht="16" x14ac:dyDescent="0.2">
      <c r="A23" s="16" t="s">
        <v>1</v>
      </c>
      <c r="B23" s="16" t="s">
        <v>408</v>
      </c>
    </row>
    <row r="24" spans="1:7" x14ac:dyDescent="0.2">
      <c r="A24" t="s">
        <v>2</v>
      </c>
      <c r="B24" t="s">
        <v>3</v>
      </c>
    </row>
    <row r="25" spans="1:7" x14ac:dyDescent="0.2">
      <c r="A25" t="s">
        <v>4</v>
      </c>
      <c r="B25">
        <v>1</v>
      </c>
    </row>
    <row r="26" spans="1:7" x14ac:dyDescent="0.2">
      <c r="A26" t="s">
        <v>5</v>
      </c>
      <c r="B26" t="s">
        <v>79</v>
      </c>
    </row>
    <row r="27" spans="1:7" x14ac:dyDescent="0.2">
      <c r="A27" t="s">
        <v>6</v>
      </c>
      <c r="B27" t="s">
        <v>7</v>
      </c>
    </row>
    <row r="28" spans="1:7" x14ac:dyDescent="0.2">
      <c r="A28" t="s">
        <v>8</v>
      </c>
      <c r="B28" t="s">
        <v>294</v>
      </c>
    </row>
    <row r="29" spans="1:7" x14ac:dyDescent="0.2">
      <c r="A29" s="2" t="s">
        <v>9</v>
      </c>
    </row>
    <row r="30" spans="1:7" x14ac:dyDescent="0.2">
      <c r="A30" t="s">
        <v>10</v>
      </c>
      <c r="B30" t="s">
        <v>11</v>
      </c>
      <c r="C30" t="s">
        <v>6</v>
      </c>
      <c r="D30" t="s">
        <v>42</v>
      </c>
      <c r="E30" t="s">
        <v>2</v>
      </c>
      <c r="F30" t="s">
        <v>12</v>
      </c>
      <c r="G30" t="s">
        <v>5</v>
      </c>
    </row>
    <row r="31" spans="1:7" x14ac:dyDescent="0.2">
      <c r="A31" t="s">
        <v>321</v>
      </c>
      <c r="B31">
        <v>1</v>
      </c>
      <c r="C31" t="s">
        <v>7</v>
      </c>
      <c r="E31" t="s">
        <v>3</v>
      </c>
      <c r="F31" t="s">
        <v>13</v>
      </c>
      <c r="G31" t="s">
        <v>79</v>
      </c>
    </row>
    <row r="32" spans="1:7" x14ac:dyDescent="0.2">
      <c r="A32" t="s">
        <v>47</v>
      </c>
      <c r="B32" s="7">
        <v>5</v>
      </c>
      <c r="C32" t="s">
        <v>7</v>
      </c>
      <c r="E32" t="s">
        <v>17</v>
      </c>
      <c r="F32" t="s">
        <v>15</v>
      </c>
      <c r="G32" t="s">
        <v>48</v>
      </c>
    </row>
    <row r="33" spans="1:7" x14ac:dyDescent="0.2">
      <c r="A33" t="s">
        <v>82</v>
      </c>
      <c r="B33" s="7">
        <v>1.6</v>
      </c>
      <c r="C33" t="s">
        <v>7</v>
      </c>
      <c r="E33" t="s">
        <v>3</v>
      </c>
      <c r="F33" t="s">
        <v>15</v>
      </c>
      <c r="G33" t="s">
        <v>83</v>
      </c>
    </row>
    <row r="34" spans="1:7" x14ac:dyDescent="0.2">
      <c r="A34" t="s">
        <v>84</v>
      </c>
      <c r="B34" s="5">
        <v>0.66</v>
      </c>
      <c r="C34" t="s">
        <v>7</v>
      </c>
      <c r="E34" t="s">
        <v>3</v>
      </c>
      <c r="F34" t="s">
        <v>15</v>
      </c>
      <c r="G34" t="s">
        <v>85</v>
      </c>
    </row>
    <row r="35" spans="1:7" x14ac:dyDescent="0.2">
      <c r="A35" t="s">
        <v>320</v>
      </c>
      <c r="B35" s="5">
        <v>0.94</v>
      </c>
      <c r="C35" t="s">
        <v>7</v>
      </c>
      <c r="E35" t="s">
        <v>3</v>
      </c>
      <c r="F35" t="s">
        <v>15</v>
      </c>
      <c r="G35" t="s">
        <v>293</v>
      </c>
    </row>
    <row r="36" spans="1:7" x14ac:dyDescent="0.2">
      <c r="A36" t="s">
        <v>38</v>
      </c>
      <c r="B36" s="12">
        <f>4*10^-10</f>
        <v>4.0000000000000001E-10</v>
      </c>
      <c r="C36" t="s">
        <v>6</v>
      </c>
      <c r="E36" t="s">
        <v>3</v>
      </c>
      <c r="F36" t="s">
        <v>15</v>
      </c>
      <c r="G36" t="s">
        <v>39</v>
      </c>
    </row>
    <row r="37" spans="1:7" x14ac:dyDescent="0.2">
      <c r="A37" t="s">
        <v>80</v>
      </c>
      <c r="B37" s="7">
        <v>5.9</v>
      </c>
      <c r="C37" t="s">
        <v>34</v>
      </c>
      <c r="E37" t="s">
        <v>3</v>
      </c>
      <c r="F37" t="s">
        <v>15</v>
      </c>
      <c r="G37" t="s">
        <v>81</v>
      </c>
    </row>
    <row r="38" spans="1:7" x14ac:dyDescent="0.2">
      <c r="A38" t="s">
        <v>22</v>
      </c>
      <c r="B38" s="8">
        <v>1.2999999999999999E-3</v>
      </c>
      <c r="C38" t="s">
        <v>23</v>
      </c>
      <c r="E38" t="s">
        <v>54</v>
      </c>
      <c r="F38" t="s">
        <v>15</v>
      </c>
      <c r="G38" t="s">
        <v>24</v>
      </c>
    </row>
    <row r="39" spans="1:7" x14ac:dyDescent="0.2">
      <c r="A39" t="s">
        <v>86</v>
      </c>
      <c r="B39" s="7">
        <v>7.8</v>
      </c>
      <c r="C39" t="s">
        <v>7</v>
      </c>
      <c r="E39" t="s">
        <v>17</v>
      </c>
      <c r="F39" t="s">
        <v>15</v>
      </c>
      <c r="G39" t="s">
        <v>87</v>
      </c>
    </row>
    <row r="40" spans="1:7" x14ac:dyDescent="0.2">
      <c r="A40" t="s">
        <v>53</v>
      </c>
      <c r="B40" s="7">
        <v>-2.2999999999999998</v>
      </c>
      <c r="C40" t="s">
        <v>7</v>
      </c>
      <c r="E40" t="s">
        <v>17</v>
      </c>
      <c r="F40" t="s">
        <v>15</v>
      </c>
      <c r="G40" t="s">
        <v>55</v>
      </c>
    </row>
    <row r="41" spans="1:7" x14ac:dyDescent="0.2">
      <c r="A41" t="s">
        <v>49</v>
      </c>
      <c r="B41" s="5">
        <v>-0.13</v>
      </c>
      <c r="C41" t="s">
        <v>45</v>
      </c>
      <c r="E41" t="s">
        <v>17</v>
      </c>
      <c r="F41" t="s">
        <v>15</v>
      </c>
      <c r="G41" t="s">
        <v>50</v>
      </c>
    </row>
    <row r="42" spans="1:7" x14ac:dyDescent="0.2">
      <c r="A42" t="s">
        <v>398</v>
      </c>
      <c r="B42" s="5">
        <v>0.13</v>
      </c>
      <c r="C42" t="s">
        <v>45</v>
      </c>
      <c r="D42" t="s">
        <v>295</v>
      </c>
      <c r="F42" t="s">
        <v>44</v>
      </c>
    </row>
    <row r="43" spans="1:7" x14ac:dyDescent="0.2">
      <c r="B43" s="8"/>
    </row>
    <row r="44" spans="1:7" x14ac:dyDescent="0.2">
      <c r="B44" s="8"/>
    </row>
    <row r="46" spans="1:7" ht="18" x14ac:dyDescent="0.25">
      <c r="A46" s="1" t="s">
        <v>0</v>
      </c>
      <c r="B46" s="1" t="s">
        <v>322</v>
      </c>
    </row>
    <row r="47" spans="1:7" ht="16" x14ac:dyDescent="0.2">
      <c r="A47" s="16" t="s">
        <v>1</v>
      </c>
      <c r="B47" s="16" t="s">
        <v>408</v>
      </c>
    </row>
    <row r="48" spans="1:7" x14ac:dyDescent="0.2">
      <c r="A48" t="s">
        <v>2</v>
      </c>
      <c r="B48" t="s">
        <v>3</v>
      </c>
    </row>
    <row r="49" spans="1:8" x14ac:dyDescent="0.2">
      <c r="A49" t="s">
        <v>4</v>
      </c>
      <c r="B49">
        <v>1</v>
      </c>
    </row>
    <row r="50" spans="1:8" x14ac:dyDescent="0.2">
      <c r="A50" t="s">
        <v>5</v>
      </c>
      <c r="B50" t="s">
        <v>88</v>
      </c>
    </row>
    <row r="51" spans="1:8" x14ac:dyDescent="0.2">
      <c r="A51" t="s">
        <v>6</v>
      </c>
      <c r="B51" t="s">
        <v>7</v>
      </c>
    </row>
    <row r="52" spans="1:8" x14ac:dyDescent="0.2">
      <c r="A52" t="s">
        <v>8</v>
      </c>
      <c r="B52" t="s">
        <v>294</v>
      </c>
    </row>
    <row r="53" spans="1:8" x14ac:dyDescent="0.2">
      <c r="A53" s="2" t="s">
        <v>9</v>
      </c>
    </row>
    <row r="54" spans="1:8" x14ac:dyDescent="0.2">
      <c r="A54" t="s">
        <v>10</v>
      </c>
      <c r="B54" t="s">
        <v>11</v>
      </c>
      <c r="C54" t="s">
        <v>6</v>
      </c>
      <c r="D54" t="s">
        <v>42</v>
      </c>
      <c r="E54" t="s">
        <v>2</v>
      </c>
      <c r="F54" t="s">
        <v>12</v>
      </c>
      <c r="G54" t="s">
        <v>5</v>
      </c>
      <c r="H54" t="s">
        <v>292</v>
      </c>
    </row>
    <row r="55" spans="1:8" x14ac:dyDescent="0.2">
      <c r="A55" t="s">
        <v>323</v>
      </c>
      <c r="B55">
        <v>1</v>
      </c>
      <c r="C55" t="s">
        <v>7</v>
      </c>
      <c r="E55" t="s">
        <v>3</v>
      </c>
      <c r="F55" t="s">
        <v>13</v>
      </c>
      <c r="G55" t="s">
        <v>88</v>
      </c>
    </row>
    <row r="56" spans="1:8" x14ac:dyDescent="0.2">
      <c r="A56" t="s">
        <v>324</v>
      </c>
      <c r="B56" s="7">
        <v>2.6</v>
      </c>
      <c r="C56" t="s">
        <v>7</v>
      </c>
      <c r="E56" t="s">
        <v>3</v>
      </c>
      <c r="F56" t="s">
        <v>15</v>
      </c>
      <c r="G56" t="s">
        <v>89</v>
      </c>
    </row>
    <row r="57" spans="1:8" x14ac:dyDescent="0.2">
      <c r="A57" t="s">
        <v>47</v>
      </c>
      <c r="B57" s="5">
        <v>0.64</v>
      </c>
      <c r="C57" t="s">
        <v>7</v>
      </c>
      <c r="E57" t="s">
        <v>17</v>
      </c>
      <c r="F57" t="s">
        <v>15</v>
      </c>
      <c r="G57" t="s">
        <v>48</v>
      </c>
      <c r="H57" t="s">
        <v>370</v>
      </c>
    </row>
    <row r="58" spans="1:8" x14ac:dyDescent="0.2">
      <c r="A58" t="s">
        <v>22</v>
      </c>
      <c r="B58" s="8">
        <v>3.5999999999999999E-3</v>
      </c>
      <c r="C58" t="s">
        <v>23</v>
      </c>
      <c r="E58" t="s">
        <v>54</v>
      </c>
      <c r="F58" t="s">
        <v>15</v>
      </c>
      <c r="G58" t="s">
        <v>24</v>
      </c>
    </row>
    <row r="59" spans="1:8" x14ac:dyDescent="0.2">
      <c r="A59" t="s">
        <v>86</v>
      </c>
      <c r="B59" s="7">
        <v>5.4</v>
      </c>
      <c r="C59" t="s">
        <v>7</v>
      </c>
      <c r="E59" t="s">
        <v>17</v>
      </c>
      <c r="F59" t="s">
        <v>15</v>
      </c>
      <c r="G59" t="s">
        <v>87</v>
      </c>
    </row>
    <row r="60" spans="1:8" x14ac:dyDescent="0.2">
      <c r="A60" t="s">
        <v>38</v>
      </c>
      <c r="B60" s="3">
        <f>0.0000000004</f>
        <v>4.0000000000000001E-10</v>
      </c>
      <c r="C60" t="s">
        <v>6</v>
      </c>
      <c r="E60" t="s">
        <v>3</v>
      </c>
      <c r="F60" t="s">
        <v>15</v>
      </c>
      <c r="G60" t="s">
        <v>39</v>
      </c>
    </row>
    <row r="61" spans="1:8" x14ac:dyDescent="0.2">
      <c r="A61" t="s">
        <v>53</v>
      </c>
      <c r="B61" s="7">
        <v>-2.2000000000000002</v>
      </c>
      <c r="C61" t="s">
        <v>7</v>
      </c>
      <c r="E61" t="s">
        <v>17</v>
      </c>
      <c r="F61" t="s">
        <v>15</v>
      </c>
      <c r="G61" t="s">
        <v>55</v>
      </c>
    </row>
    <row r="62" spans="1:8" x14ac:dyDescent="0.2">
      <c r="A62" t="s">
        <v>49</v>
      </c>
      <c r="B62" s="4">
        <v>-9.5000000000000001E-2</v>
      </c>
      <c r="C62" t="s">
        <v>45</v>
      </c>
      <c r="E62" t="s">
        <v>17</v>
      </c>
      <c r="F62" t="s">
        <v>15</v>
      </c>
      <c r="G62" t="s">
        <v>50</v>
      </c>
    </row>
    <row r="63" spans="1:8" x14ac:dyDescent="0.2">
      <c r="A63" t="s">
        <v>398</v>
      </c>
      <c r="B63" s="4">
        <v>9.5000000000000001E-2</v>
      </c>
      <c r="C63" t="s">
        <v>45</v>
      </c>
      <c r="D63" t="s">
        <v>295</v>
      </c>
      <c r="F63" t="s">
        <v>44</v>
      </c>
    </row>
    <row r="64" spans="1:8" x14ac:dyDescent="0.2">
      <c r="B64" s="8"/>
    </row>
    <row r="65" spans="1:12" x14ac:dyDescent="0.2">
      <c r="B65" s="8"/>
    </row>
    <row r="66" spans="1:12" x14ac:dyDescent="0.2">
      <c r="B66" s="8"/>
    </row>
    <row r="67" spans="1:12" ht="16" x14ac:dyDescent="0.2">
      <c r="A67" s="1" t="s">
        <v>0</v>
      </c>
      <c r="B67" s="1" t="s">
        <v>324</v>
      </c>
    </row>
    <row r="68" spans="1:12" x14ac:dyDescent="0.2">
      <c r="A68" t="s">
        <v>1</v>
      </c>
      <c r="B68" t="s">
        <v>463</v>
      </c>
    </row>
    <row r="69" spans="1:12" x14ac:dyDescent="0.2">
      <c r="A69" t="s">
        <v>2</v>
      </c>
      <c r="B69" t="s">
        <v>3</v>
      </c>
    </row>
    <row r="70" spans="1:12" x14ac:dyDescent="0.2">
      <c r="A70" t="s">
        <v>4</v>
      </c>
      <c r="B70">
        <v>1</v>
      </c>
    </row>
    <row r="71" spans="1:12" x14ac:dyDescent="0.2">
      <c r="A71" t="s">
        <v>5</v>
      </c>
      <c r="B71" t="s">
        <v>89</v>
      </c>
    </row>
    <row r="72" spans="1:12" x14ac:dyDescent="0.2">
      <c r="A72" t="s">
        <v>6</v>
      </c>
      <c r="B72" t="s">
        <v>7</v>
      </c>
    </row>
    <row r="73" spans="1:12" x14ac:dyDescent="0.2">
      <c r="A73" t="s">
        <v>8</v>
      </c>
      <c r="B73" t="s">
        <v>296</v>
      </c>
    </row>
    <row r="74" spans="1:12" x14ac:dyDescent="0.2">
      <c r="A74" s="2" t="s">
        <v>9</v>
      </c>
    </row>
    <row r="75" spans="1:12" x14ac:dyDescent="0.2">
      <c r="A75" t="s">
        <v>10</v>
      </c>
      <c r="B75" t="s">
        <v>11</v>
      </c>
      <c r="C75" t="s">
        <v>6</v>
      </c>
      <c r="D75" t="s">
        <v>42</v>
      </c>
      <c r="E75" t="s">
        <v>2</v>
      </c>
      <c r="F75" t="s">
        <v>12</v>
      </c>
      <c r="G75" t="s">
        <v>5</v>
      </c>
      <c r="H75" t="s">
        <v>1</v>
      </c>
      <c r="I75" t="s">
        <v>458</v>
      </c>
      <c r="J75" t="s">
        <v>459</v>
      </c>
      <c r="K75" t="s">
        <v>460</v>
      </c>
      <c r="L75" t="s">
        <v>461</v>
      </c>
    </row>
    <row r="76" spans="1:12" x14ac:dyDescent="0.2">
      <c r="A76" t="s">
        <v>324</v>
      </c>
      <c r="B76">
        <v>1</v>
      </c>
      <c r="C76" t="s">
        <v>7</v>
      </c>
      <c r="E76" t="s">
        <v>3</v>
      </c>
      <c r="F76" t="s">
        <v>13</v>
      </c>
      <c r="G76" t="s">
        <v>89</v>
      </c>
    </row>
    <row r="77" spans="1:12" x14ac:dyDescent="0.2">
      <c r="A77" t="s">
        <v>38</v>
      </c>
      <c r="B77">
        <f>0.0000000004</f>
        <v>4.0000000000000001E-10</v>
      </c>
      <c r="C77" t="s">
        <v>6</v>
      </c>
      <c r="E77" t="s">
        <v>3</v>
      </c>
      <c r="F77" t="s">
        <v>15</v>
      </c>
      <c r="G77" t="s">
        <v>39</v>
      </c>
      <c r="H77" t="s">
        <v>415</v>
      </c>
    </row>
    <row r="78" spans="1:12" x14ac:dyDescent="0.2">
      <c r="A78" t="s">
        <v>22</v>
      </c>
      <c r="B78" s="5">
        <f>0.416</f>
        <v>0.41599999999999998</v>
      </c>
      <c r="C78" t="s">
        <v>23</v>
      </c>
      <c r="E78" t="s">
        <v>3</v>
      </c>
      <c r="F78" t="s">
        <v>15</v>
      </c>
      <c r="G78" t="s">
        <v>24</v>
      </c>
    </row>
    <row r="79" spans="1:12" x14ac:dyDescent="0.2">
      <c r="A79" t="s">
        <v>267</v>
      </c>
      <c r="B79" s="7">
        <f>2.15</f>
        <v>2.15</v>
      </c>
      <c r="C79" t="s">
        <v>34</v>
      </c>
      <c r="E79" t="s">
        <v>3</v>
      </c>
      <c r="F79" t="s">
        <v>15</v>
      </c>
      <c r="G79" t="s">
        <v>35</v>
      </c>
    </row>
    <row r="80" spans="1:12" x14ac:dyDescent="0.2">
      <c r="A80" t="s">
        <v>268</v>
      </c>
      <c r="B80" s="4">
        <f>0.02998</f>
        <v>2.998E-2</v>
      </c>
      <c r="C80" t="s">
        <v>34</v>
      </c>
      <c r="E80" t="s">
        <v>29</v>
      </c>
      <c r="F80" t="s">
        <v>15</v>
      </c>
      <c r="G80" t="s">
        <v>269</v>
      </c>
    </row>
    <row r="81" spans="1:12" x14ac:dyDescent="0.2">
      <c r="A81" t="s">
        <v>268</v>
      </c>
      <c r="B81" s="5">
        <f>0.17002</f>
        <v>0.17002</v>
      </c>
      <c r="C81" t="s">
        <v>34</v>
      </c>
      <c r="E81" t="s">
        <v>17</v>
      </c>
      <c r="F81" t="s">
        <v>15</v>
      </c>
      <c r="G81" t="s">
        <v>269</v>
      </c>
    </row>
    <row r="82" spans="1:12" x14ac:dyDescent="0.2">
      <c r="A82" t="s">
        <v>270</v>
      </c>
      <c r="B82" s="5">
        <f>0.70572</f>
        <v>0.70572000000000001</v>
      </c>
      <c r="C82" t="s">
        <v>7</v>
      </c>
      <c r="E82" t="s">
        <v>17</v>
      </c>
      <c r="F82" t="s">
        <v>15</v>
      </c>
      <c r="G82" t="s">
        <v>271</v>
      </c>
    </row>
    <row r="83" spans="1:12" x14ac:dyDescent="0.2">
      <c r="A83" t="s">
        <v>270</v>
      </c>
      <c r="B83" s="5">
        <f>0.12023</f>
        <v>0.12023</v>
      </c>
      <c r="C83" t="s">
        <v>7</v>
      </c>
      <c r="E83" t="s">
        <v>29</v>
      </c>
      <c r="F83" t="s">
        <v>15</v>
      </c>
      <c r="G83" t="s">
        <v>271</v>
      </c>
    </row>
    <row r="84" spans="1:12" x14ac:dyDescent="0.2">
      <c r="A84" t="s">
        <v>68</v>
      </c>
      <c r="B84" s="4">
        <f>0.01491</f>
        <v>1.491E-2</v>
      </c>
      <c r="C84" t="s">
        <v>7</v>
      </c>
      <c r="E84" t="s">
        <v>17</v>
      </c>
      <c r="F84" t="s">
        <v>15</v>
      </c>
      <c r="G84" t="s">
        <v>69</v>
      </c>
    </row>
    <row r="85" spans="1:12" x14ac:dyDescent="0.2">
      <c r="A85" t="s">
        <v>68</v>
      </c>
      <c r="B85" s="8">
        <f>0.00409</f>
        <v>4.0899999999999999E-3</v>
      </c>
      <c r="C85" t="s">
        <v>7</v>
      </c>
      <c r="E85" t="s">
        <v>29</v>
      </c>
      <c r="F85" t="s">
        <v>15</v>
      </c>
      <c r="G85" t="s">
        <v>69</v>
      </c>
    </row>
    <row r="86" spans="1:12" x14ac:dyDescent="0.2">
      <c r="A86" t="s">
        <v>272</v>
      </c>
      <c r="B86" s="5">
        <f>0.22973</f>
        <v>0.22972999999999999</v>
      </c>
      <c r="C86" t="s">
        <v>7</v>
      </c>
      <c r="E86" t="s">
        <v>3</v>
      </c>
      <c r="F86" t="s">
        <v>15</v>
      </c>
      <c r="G86" t="s">
        <v>273</v>
      </c>
    </row>
    <row r="87" spans="1:12" x14ac:dyDescent="0.2">
      <c r="A87" t="s">
        <v>274</v>
      </c>
      <c r="B87">
        <f>0.026</f>
        <v>2.5999999999999999E-2</v>
      </c>
      <c r="C87" t="s">
        <v>7</v>
      </c>
      <c r="E87" t="s">
        <v>3</v>
      </c>
      <c r="F87" t="s">
        <v>15</v>
      </c>
      <c r="G87" t="s">
        <v>275</v>
      </c>
    </row>
    <row r="88" spans="1:12" x14ac:dyDescent="0.2">
      <c r="A88" t="s">
        <v>398</v>
      </c>
      <c r="B88" s="4">
        <f>0.0164</f>
        <v>1.6400000000000001E-2</v>
      </c>
      <c r="C88" t="s">
        <v>45</v>
      </c>
      <c r="D88" t="s">
        <v>295</v>
      </c>
      <c r="F88" t="s">
        <v>44</v>
      </c>
    </row>
    <row r="89" spans="1:12" x14ac:dyDescent="0.2">
      <c r="A89" t="s">
        <v>399</v>
      </c>
      <c r="B89">
        <f>0.00086</f>
        <v>8.5999999999999998E-4</v>
      </c>
      <c r="C89" t="s">
        <v>45</v>
      </c>
      <c r="D89" t="s">
        <v>295</v>
      </c>
      <c r="F89" t="s">
        <v>44</v>
      </c>
    </row>
    <row r="90" spans="1:12" x14ac:dyDescent="0.2">
      <c r="A90" t="s">
        <v>402</v>
      </c>
      <c r="B90">
        <f>0.00083</f>
        <v>8.3000000000000001E-4</v>
      </c>
      <c r="C90" t="s">
        <v>45</v>
      </c>
      <c r="D90" t="s">
        <v>295</v>
      </c>
      <c r="F90" t="s">
        <v>44</v>
      </c>
    </row>
    <row r="91" spans="1:12" x14ac:dyDescent="0.2">
      <c r="A91" t="s">
        <v>49</v>
      </c>
      <c r="B91" s="13">
        <f>(-0.00000176509)</f>
        <v>-1.76509E-6</v>
      </c>
      <c r="C91" t="s">
        <v>45</v>
      </c>
      <c r="E91" t="s">
        <v>17</v>
      </c>
      <c r="F91" t="s">
        <v>15</v>
      </c>
      <c r="G91" t="s">
        <v>50</v>
      </c>
    </row>
    <row r="92" spans="1:12" x14ac:dyDescent="0.2">
      <c r="A92" t="s">
        <v>49</v>
      </c>
      <c r="B92" s="13">
        <f>-0.000000091266</f>
        <v>-9.1266000000000005E-8</v>
      </c>
      <c r="C92" t="s">
        <v>45</v>
      </c>
      <c r="E92" t="s">
        <v>276</v>
      </c>
      <c r="F92" t="s">
        <v>15</v>
      </c>
      <c r="G92" t="s">
        <v>50</v>
      </c>
    </row>
    <row r="93" spans="1:12" x14ac:dyDescent="0.2">
      <c r="A93" t="s">
        <v>49</v>
      </c>
      <c r="B93" s="13">
        <f>-0.000000843646</f>
        <v>-8.4364599999999996E-7</v>
      </c>
      <c r="C93" t="s">
        <v>45</v>
      </c>
      <c r="E93" t="s">
        <v>54</v>
      </c>
      <c r="F93" t="s">
        <v>15</v>
      </c>
      <c r="G93" t="s">
        <v>50</v>
      </c>
    </row>
    <row r="94" spans="1:12" x14ac:dyDescent="0.2">
      <c r="A94" t="s">
        <v>401</v>
      </c>
      <c r="B94" s="13">
        <f>0.00289</f>
        <v>2.8900000000000002E-3</v>
      </c>
      <c r="C94" t="s">
        <v>7</v>
      </c>
      <c r="D94" t="s">
        <v>43</v>
      </c>
      <c r="F94" t="s">
        <v>44</v>
      </c>
    </row>
    <row r="95" spans="1:12" x14ac:dyDescent="0.2">
      <c r="A95" t="s">
        <v>400</v>
      </c>
      <c r="B95" s="13">
        <f>0.005*SUM(B82:B83)</f>
        <v>4.1297499999999997E-3</v>
      </c>
      <c r="C95" t="s">
        <v>7</v>
      </c>
      <c r="D95" t="s">
        <v>43</v>
      </c>
      <c r="F95" t="s">
        <v>44</v>
      </c>
      <c r="H95" t="s">
        <v>462</v>
      </c>
      <c r="I95">
        <v>5</v>
      </c>
      <c r="J95" s="13">
        <f>B95</f>
        <v>4.1297499999999997E-3</v>
      </c>
      <c r="K95">
        <f>0.0006*SUM(B82:B83)</f>
        <v>4.9556999999999997E-4</v>
      </c>
      <c r="L95">
        <v>4.1300000000000003E-2</v>
      </c>
    </row>
    <row r="96" spans="1:12" x14ac:dyDescent="0.2">
      <c r="A96" t="s">
        <v>403</v>
      </c>
      <c r="B96" s="13">
        <f>0.019</f>
        <v>1.9E-2</v>
      </c>
      <c r="C96" t="s">
        <v>7</v>
      </c>
      <c r="D96" t="s">
        <v>43</v>
      </c>
      <c r="F96" t="s">
        <v>44</v>
      </c>
    </row>
    <row r="97" spans="1:7" x14ac:dyDescent="0.2">
      <c r="A97" t="s">
        <v>404</v>
      </c>
      <c r="B97" s="13">
        <f>0.01091</f>
        <v>1.091E-2</v>
      </c>
      <c r="C97" t="s">
        <v>7</v>
      </c>
      <c r="D97" t="s">
        <v>297</v>
      </c>
      <c r="F97" t="s">
        <v>44</v>
      </c>
    </row>
    <row r="98" spans="1:7" x14ac:dyDescent="0.2">
      <c r="A98" t="s">
        <v>404</v>
      </c>
      <c r="B98" s="13">
        <f>0.00057</f>
        <v>5.6999999999999998E-4</v>
      </c>
      <c r="C98" t="s">
        <v>7</v>
      </c>
      <c r="D98" t="s">
        <v>277</v>
      </c>
      <c r="F98" t="s">
        <v>44</v>
      </c>
    </row>
    <row r="99" spans="1:7" x14ac:dyDescent="0.2">
      <c r="A99" t="s">
        <v>405</v>
      </c>
      <c r="B99" s="13">
        <f>0.03*0.001</f>
        <v>3.0000000000000001E-5</v>
      </c>
      <c r="C99" t="s">
        <v>45</v>
      </c>
      <c r="D99" t="s">
        <v>43</v>
      </c>
      <c r="F99" t="s">
        <v>44</v>
      </c>
    </row>
    <row r="100" spans="1:7" x14ac:dyDescent="0.2">
      <c r="A100" t="s">
        <v>405</v>
      </c>
      <c r="B100" s="13">
        <f>0.0167</f>
        <v>1.67E-2</v>
      </c>
      <c r="C100" t="s">
        <v>45</v>
      </c>
      <c r="D100" t="s">
        <v>277</v>
      </c>
      <c r="F100" t="s">
        <v>44</v>
      </c>
    </row>
    <row r="101" spans="1:7" x14ac:dyDescent="0.2">
      <c r="B101" s="3"/>
    </row>
    <row r="102" spans="1:7" x14ac:dyDescent="0.2">
      <c r="B102" s="3"/>
    </row>
    <row r="104" spans="1:7" ht="18" x14ac:dyDescent="0.25">
      <c r="A104" s="1" t="s">
        <v>0</v>
      </c>
      <c r="B104" s="11" t="s">
        <v>325</v>
      </c>
    </row>
    <row r="105" spans="1:7" ht="16" x14ac:dyDescent="0.2">
      <c r="A105" s="16" t="s">
        <v>1</v>
      </c>
      <c r="B105" s="22" t="s">
        <v>408</v>
      </c>
    </row>
    <row r="106" spans="1:7" x14ac:dyDescent="0.2">
      <c r="A106" t="s">
        <v>2</v>
      </c>
      <c r="B106" t="s">
        <v>3</v>
      </c>
    </row>
    <row r="107" spans="1:7" x14ac:dyDescent="0.2">
      <c r="A107" t="s">
        <v>4</v>
      </c>
      <c r="B107">
        <v>1</v>
      </c>
    </row>
    <row r="108" spans="1:7" x14ac:dyDescent="0.2">
      <c r="A108" t="s">
        <v>5</v>
      </c>
      <c r="B108" t="s">
        <v>90</v>
      </c>
    </row>
    <row r="109" spans="1:7" x14ac:dyDescent="0.2">
      <c r="A109" t="s">
        <v>6</v>
      </c>
      <c r="B109" t="s">
        <v>7</v>
      </c>
    </row>
    <row r="110" spans="1:7" x14ac:dyDescent="0.2">
      <c r="A110" t="s">
        <v>8</v>
      </c>
      <c r="B110" t="s">
        <v>294</v>
      </c>
    </row>
    <row r="111" spans="1:7" x14ac:dyDescent="0.2">
      <c r="A111" s="2" t="s">
        <v>9</v>
      </c>
    </row>
    <row r="112" spans="1:7" x14ac:dyDescent="0.2">
      <c r="A112" t="s">
        <v>10</v>
      </c>
      <c r="B112" t="s">
        <v>11</v>
      </c>
      <c r="C112" t="s">
        <v>6</v>
      </c>
      <c r="D112" t="s">
        <v>42</v>
      </c>
      <c r="E112" t="s">
        <v>2</v>
      </c>
      <c r="F112" t="s">
        <v>12</v>
      </c>
      <c r="G112" t="s">
        <v>5</v>
      </c>
    </row>
    <row r="113" spans="1:7" x14ac:dyDescent="0.2">
      <c r="A113" t="s">
        <v>326</v>
      </c>
      <c r="B113">
        <v>1</v>
      </c>
      <c r="C113" t="s">
        <v>7</v>
      </c>
      <c r="E113" t="s">
        <v>3</v>
      </c>
      <c r="F113" t="s">
        <v>13</v>
      </c>
      <c r="G113" t="s">
        <v>90</v>
      </c>
    </row>
    <row r="114" spans="1:7" x14ac:dyDescent="0.2">
      <c r="A114" t="s">
        <v>323</v>
      </c>
      <c r="B114">
        <v>2.2000000000000002</v>
      </c>
      <c r="C114" t="s">
        <v>7</v>
      </c>
      <c r="E114" t="s">
        <v>3</v>
      </c>
      <c r="F114" t="s">
        <v>15</v>
      </c>
      <c r="G114" t="s">
        <v>88</v>
      </c>
    </row>
    <row r="115" spans="1:7" x14ac:dyDescent="0.2">
      <c r="A115" t="s">
        <v>321</v>
      </c>
      <c r="B115">
        <v>0.76</v>
      </c>
      <c r="C115" t="s">
        <v>7</v>
      </c>
      <c r="E115" t="s">
        <v>3</v>
      </c>
      <c r="F115" t="s">
        <v>15</v>
      </c>
      <c r="G115" t="s">
        <v>79</v>
      </c>
    </row>
    <row r="116" spans="1:7" x14ac:dyDescent="0.2">
      <c r="A116" t="s">
        <v>38</v>
      </c>
      <c r="B116">
        <f>4*10^-10</f>
        <v>4.0000000000000001E-10</v>
      </c>
      <c r="C116" t="s">
        <v>6</v>
      </c>
      <c r="E116" t="s">
        <v>3</v>
      </c>
      <c r="F116" t="s">
        <v>15</v>
      </c>
      <c r="G116" t="s">
        <v>39</v>
      </c>
    </row>
    <row r="117" spans="1:7" x14ac:dyDescent="0.2">
      <c r="A117" t="s">
        <v>22</v>
      </c>
      <c r="B117">
        <v>2.3E-2</v>
      </c>
      <c r="C117" t="s">
        <v>23</v>
      </c>
      <c r="E117" t="s">
        <v>54</v>
      </c>
      <c r="F117" t="s">
        <v>15</v>
      </c>
      <c r="G117" t="s">
        <v>24</v>
      </c>
    </row>
    <row r="118" spans="1:7" x14ac:dyDescent="0.2">
      <c r="A118" t="s">
        <v>86</v>
      </c>
      <c r="B118">
        <v>16</v>
      </c>
      <c r="C118" t="s">
        <v>7</v>
      </c>
      <c r="E118" t="s">
        <v>17</v>
      </c>
      <c r="F118" t="s">
        <v>15</v>
      </c>
      <c r="G118" t="s">
        <v>87</v>
      </c>
    </row>
    <row r="119" spans="1:7" x14ac:dyDescent="0.2">
      <c r="A119" t="s">
        <v>53</v>
      </c>
      <c r="B119" s="7">
        <v>-2</v>
      </c>
      <c r="C119" t="s">
        <v>7</v>
      </c>
      <c r="E119" t="s">
        <v>17</v>
      </c>
      <c r="F119" t="s">
        <v>15</v>
      </c>
      <c r="G119" t="s">
        <v>55</v>
      </c>
    </row>
    <row r="120" spans="1:7" x14ac:dyDescent="0.2">
      <c r="A120" t="s">
        <v>49</v>
      </c>
      <c r="B120">
        <v>-0.28000000000000003</v>
      </c>
      <c r="C120" t="s">
        <v>45</v>
      </c>
      <c r="E120" t="s">
        <v>17</v>
      </c>
      <c r="F120" t="s">
        <v>15</v>
      </c>
      <c r="G120" t="s">
        <v>50</v>
      </c>
    </row>
    <row r="121" spans="1:7" x14ac:dyDescent="0.2">
      <c r="A121" t="s">
        <v>398</v>
      </c>
      <c r="B121">
        <v>0.28000000000000003</v>
      </c>
      <c r="C121" t="s">
        <v>45</v>
      </c>
      <c r="D121" t="s">
        <v>295</v>
      </c>
      <c r="F121" t="s">
        <v>44</v>
      </c>
    </row>
    <row r="125" spans="1:7" ht="16" x14ac:dyDescent="0.2">
      <c r="A125" s="1" t="s">
        <v>0</v>
      </c>
      <c r="B125" s="1" t="s">
        <v>327</v>
      </c>
    </row>
    <row r="126" spans="1:7" ht="16" x14ac:dyDescent="0.2">
      <c r="A126" s="16" t="s">
        <v>1</v>
      </c>
      <c r="B126" s="16" t="s">
        <v>408</v>
      </c>
    </row>
    <row r="127" spans="1:7" x14ac:dyDescent="0.2">
      <c r="A127" t="s">
        <v>2</v>
      </c>
      <c r="B127" t="s">
        <v>3</v>
      </c>
    </row>
    <row r="128" spans="1:7" x14ac:dyDescent="0.2">
      <c r="A128" t="s">
        <v>4</v>
      </c>
      <c r="B128">
        <v>1</v>
      </c>
    </row>
    <row r="129" spans="1:7" x14ac:dyDescent="0.2">
      <c r="A129" t="s">
        <v>5</v>
      </c>
      <c r="B129" t="s">
        <v>91</v>
      </c>
    </row>
    <row r="130" spans="1:7" x14ac:dyDescent="0.2">
      <c r="A130" t="s">
        <v>6</v>
      </c>
      <c r="B130" t="s">
        <v>7</v>
      </c>
    </row>
    <row r="131" spans="1:7" x14ac:dyDescent="0.2">
      <c r="A131" t="s">
        <v>8</v>
      </c>
      <c r="B131" t="s">
        <v>294</v>
      </c>
    </row>
    <row r="132" spans="1:7" x14ac:dyDescent="0.2">
      <c r="A132" s="2" t="s">
        <v>9</v>
      </c>
    </row>
    <row r="133" spans="1:7" x14ac:dyDescent="0.2">
      <c r="A133" t="s">
        <v>10</v>
      </c>
      <c r="B133" t="s">
        <v>11</v>
      </c>
      <c r="C133" t="s">
        <v>6</v>
      </c>
      <c r="D133" t="s">
        <v>42</v>
      </c>
      <c r="E133" t="s">
        <v>2</v>
      </c>
      <c r="F133" t="s">
        <v>12</v>
      </c>
      <c r="G133" t="s">
        <v>5</v>
      </c>
    </row>
    <row r="134" spans="1:7" x14ac:dyDescent="0.2">
      <c r="A134" t="s">
        <v>327</v>
      </c>
      <c r="B134">
        <v>1</v>
      </c>
      <c r="C134" t="s">
        <v>7</v>
      </c>
      <c r="E134" t="s">
        <v>3</v>
      </c>
      <c r="F134" t="s">
        <v>13</v>
      </c>
      <c r="G134" t="s">
        <v>91</v>
      </c>
    </row>
    <row r="135" spans="1:7" x14ac:dyDescent="0.2">
      <c r="A135" t="s">
        <v>326</v>
      </c>
      <c r="B135">
        <v>0.82</v>
      </c>
      <c r="C135" t="s">
        <v>7</v>
      </c>
      <c r="E135" t="s">
        <v>3</v>
      </c>
      <c r="F135" t="s">
        <v>15</v>
      </c>
      <c r="G135" t="s">
        <v>90</v>
      </c>
    </row>
    <row r="136" spans="1:7" x14ac:dyDescent="0.2">
      <c r="A136" t="s">
        <v>320</v>
      </c>
      <c r="B136">
        <v>0.52</v>
      </c>
      <c r="C136" t="s">
        <v>7</v>
      </c>
      <c r="E136" t="s">
        <v>3</v>
      </c>
      <c r="F136" t="s">
        <v>15</v>
      </c>
      <c r="G136" t="s">
        <v>293</v>
      </c>
    </row>
    <row r="137" spans="1:7" x14ac:dyDescent="0.2">
      <c r="A137" t="s">
        <v>92</v>
      </c>
      <c r="B137">
        <v>0.65</v>
      </c>
      <c r="C137" t="s">
        <v>7</v>
      </c>
      <c r="E137" t="s">
        <v>3</v>
      </c>
      <c r="F137" t="s">
        <v>15</v>
      </c>
      <c r="G137" t="s">
        <v>93</v>
      </c>
    </row>
    <row r="138" spans="1:7" x14ac:dyDescent="0.2">
      <c r="A138" t="s">
        <v>94</v>
      </c>
      <c r="B138">
        <v>1.3</v>
      </c>
      <c r="C138" t="s">
        <v>7</v>
      </c>
      <c r="E138" t="s">
        <v>17</v>
      </c>
      <c r="F138" t="s">
        <v>15</v>
      </c>
      <c r="G138" t="s">
        <v>95</v>
      </c>
    </row>
    <row r="139" spans="1:7" x14ac:dyDescent="0.2">
      <c r="A139" t="s">
        <v>51</v>
      </c>
      <c r="B139">
        <v>3.1</v>
      </c>
      <c r="C139" t="s">
        <v>7</v>
      </c>
      <c r="E139" t="s">
        <v>17</v>
      </c>
      <c r="F139" t="s">
        <v>15</v>
      </c>
      <c r="G139" t="s">
        <v>52</v>
      </c>
    </row>
    <row r="140" spans="1:7" x14ac:dyDescent="0.2">
      <c r="A140" t="s">
        <v>38</v>
      </c>
      <c r="B140">
        <f>4*10^-10</f>
        <v>4.0000000000000001E-10</v>
      </c>
      <c r="C140" t="s">
        <v>6</v>
      </c>
      <c r="E140" t="s">
        <v>3</v>
      </c>
      <c r="F140" t="s">
        <v>15</v>
      </c>
      <c r="G140" t="s">
        <v>39</v>
      </c>
    </row>
    <row r="141" spans="1:7" x14ac:dyDescent="0.2">
      <c r="A141" t="s">
        <v>22</v>
      </c>
      <c r="B141">
        <v>0.44</v>
      </c>
      <c r="C141" t="s">
        <v>23</v>
      </c>
      <c r="E141" t="s">
        <v>54</v>
      </c>
      <c r="F141" t="s">
        <v>15</v>
      </c>
      <c r="G141" t="s">
        <v>24</v>
      </c>
    </row>
    <row r="142" spans="1:7" x14ac:dyDescent="0.2">
      <c r="A142" t="s">
        <v>86</v>
      </c>
      <c r="B142">
        <v>26</v>
      </c>
      <c r="C142" t="s">
        <v>7</v>
      </c>
      <c r="E142" t="s">
        <v>17</v>
      </c>
      <c r="F142" t="s">
        <v>15</v>
      </c>
      <c r="G142" t="s">
        <v>87</v>
      </c>
    </row>
    <row r="143" spans="1:7" x14ac:dyDescent="0.2">
      <c r="A143" t="s">
        <v>53</v>
      </c>
      <c r="B143">
        <v>-5.4</v>
      </c>
      <c r="C143" t="s">
        <v>7</v>
      </c>
      <c r="E143" t="s">
        <v>17</v>
      </c>
      <c r="F143" t="s">
        <v>15</v>
      </c>
      <c r="G143" t="s">
        <v>55</v>
      </c>
    </row>
    <row r="144" spans="1:7" x14ac:dyDescent="0.2">
      <c r="A144" t="s">
        <v>49</v>
      </c>
      <c r="B144">
        <v>-0.38</v>
      </c>
      <c r="C144" t="s">
        <v>45</v>
      </c>
      <c r="E144" t="s">
        <v>17</v>
      </c>
      <c r="F144" t="s">
        <v>15</v>
      </c>
      <c r="G144" t="s">
        <v>50</v>
      </c>
    </row>
    <row r="145" spans="1:7" x14ac:dyDescent="0.2">
      <c r="A145" t="s">
        <v>398</v>
      </c>
      <c r="B145">
        <v>0.38</v>
      </c>
      <c r="C145" t="s">
        <v>45</v>
      </c>
      <c r="D145" t="s">
        <v>295</v>
      </c>
      <c r="F145" t="s">
        <v>44</v>
      </c>
    </row>
    <row r="149" spans="1:7" ht="16" x14ac:dyDescent="0.2">
      <c r="A149" s="1" t="s">
        <v>0</v>
      </c>
      <c r="B149" s="1" t="s">
        <v>328</v>
      </c>
    </row>
    <row r="150" spans="1:7" ht="16" x14ac:dyDescent="0.2">
      <c r="A150" s="16" t="s">
        <v>1</v>
      </c>
      <c r="B150" s="16" t="s">
        <v>408</v>
      </c>
    </row>
    <row r="151" spans="1:7" x14ac:dyDescent="0.2">
      <c r="A151" t="s">
        <v>2</v>
      </c>
      <c r="B151" t="s">
        <v>3</v>
      </c>
    </row>
    <row r="152" spans="1:7" x14ac:dyDescent="0.2">
      <c r="A152" t="s">
        <v>4</v>
      </c>
      <c r="B152">
        <v>1</v>
      </c>
    </row>
    <row r="153" spans="1:7" x14ac:dyDescent="0.2">
      <c r="A153" t="s">
        <v>5</v>
      </c>
      <c r="B153" t="s">
        <v>96</v>
      </c>
    </row>
    <row r="154" spans="1:7" x14ac:dyDescent="0.2">
      <c r="A154" t="s">
        <v>6</v>
      </c>
      <c r="B154" t="s">
        <v>7</v>
      </c>
    </row>
    <row r="155" spans="1:7" x14ac:dyDescent="0.2">
      <c r="A155" t="s">
        <v>8</v>
      </c>
      <c r="B155" t="s">
        <v>294</v>
      </c>
    </row>
    <row r="156" spans="1:7" x14ac:dyDescent="0.2">
      <c r="A156" s="2" t="s">
        <v>9</v>
      </c>
    </row>
    <row r="157" spans="1:7" x14ac:dyDescent="0.2">
      <c r="A157" t="s">
        <v>10</v>
      </c>
      <c r="B157" t="s">
        <v>11</v>
      </c>
      <c r="C157" t="s">
        <v>6</v>
      </c>
      <c r="D157" t="s">
        <v>2</v>
      </c>
      <c r="E157" t="s">
        <v>12</v>
      </c>
      <c r="F157" t="s">
        <v>5</v>
      </c>
      <c r="G157" t="s">
        <v>1</v>
      </c>
    </row>
    <row r="158" spans="1:7" x14ac:dyDescent="0.2">
      <c r="A158" t="s">
        <v>328</v>
      </c>
      <c r="B158">
        <v>1</v>
      </c>
      <c r="C158" t="s">
        <v>7</v>
      </c>
      <c r="D158" t="s">
        <v>3</v>
      </c>
      <c r="E158" t="s">
        <v>13</v>
      </c>
      <c r="F158" t="s">
        <v>96</v>
      </c>
    </row>
    <row r="159" spans="1:7" x14ac:dyDescent="0.2">
      <c r="A159" t="s">
        <v>327</v>
      </c>
      <c r="B159" s="8">
        <v>1.2</v>
      </c>
      <c r="C159" t="s">
        <v>7</v>
      </c>
      <c r="D159" t="s">
        <v>3</v>
      </c>
      <c r="E159" t="s">
        <v>15</v>
      </c>
      <c r="F159" t="s">
        <v>91</v>
      </c>
    </row>
    <row r="160" spans="1:7" x14ac:dyDescent="0.2">
      <c r="A160" t="s">
        <v>56</v>
      </c>
      <c r="B160" s="8">
        <v>2.5</v>
      </c>
      <c r="C160" t="s">
        <v>7</v>
      </c>
      <c r="D160" t="s">
        <v>17</v>
      </c>
      <c r="E160" t="s">
        <v>15</v>
      </c>
      <c r="F160" t="s">
        <v>57</v>
      </c>
    </row>
    <row r="161" spans="1:8" x14ac:dyDescent="0.2">
      <c r="A161" t="s">
        <v>38</v>
      </c>
      <c r="B161">
        <f>4*10^-10</f>
        <v>4.0000000000000001E-10</v>
      </c>
      <c r="C161" t="s">
        <v>6</v>
      </c>
      <c r="D161" t="s">
        <v>3</v>
      </c>
      <c r="E161" t="s">
        <v>15</v>
      </c>
      <c r="F161" t="s">
        <v>39</v>
      </c>
    </row>
    <row r="162" spans="1:8" x14ac:dyDescent="0.2">
      <c r="A162" t="s">
        <v>86</v>
      </c>
      <c r="B162" s="8">
        <v>0.12</v>
      </c>
      <c r="C162" t="s">
        <v>7</v>
      </c>
      <c r="D162" t="s">
        <v>17</v>
      </c>
      <c r="E162" t="s">
        <v>15</v>
      </c>
      <c r="F162" t="s">
        <v>87</v>
      </c>
    </row>
    <row r="163" spans="1:8" x14ac:dyDescent="0.2">
      <c r="A163" t="s">
        <v>49</v>
      </c>
      <c r="B163" s="8">
        <f>-2.7/1000</f>
        <v>-2.7000000000000001E-3</v>
      </c>
      <c r="C163" t="s">
        <v>45</v>
      </c>
      <c r="D163" t="s">
        <v>17</v>
      </c>
      <c r="E163" t="s">
        <v>15</v>
      </c>
      <c r="F163" t="s">
        <v>50</v>
      </c>
      <c r="G163" t="s">
        <v>435</v>
      </c>
    </row>
    <row r="164" spans="1:8" x14ac:dyDescent="0.2">
      <c r="B164" s="8"/>
    </row>
    <row r="165" spans="1:8" x14ac:dyDescent="0.2">
      <c r="B165" s="8"/>
    </row>
    <row r="167" spans="1:8" ht="16" x14ac:dyDescent="0.2">
      <c r="A167" s="1" t="s">
        <v>0</v>
      </c>
      <c r="B167" s="1" t="s">
        <v>366</v>
      </c>
    </row>
    <row r="168" spans="1:8" x14ac:dyDescent="0.2">
      <c r="A168" t="s">
        <v>1</v>
      </c>
      <c r="B168" t="inlineStr">
        <is>
          <t>APPROVED SALT-SPECIFIC ENGINEERING REFERENCE, item16, 2026-10-18. CN112536014B Example3 https://patents.google.com/patent/CN112536014B/en reports water:HTFSI:Li2CO3=2.8:7.54-7.56:1,110-115C neutralization, spray drying and99.1percent isolated LiTFSI yield. Adopt midpoint7.55, pure HTFSI and battery-grade carbonate as acid-limited feeds; consistent atomic masses Li6.94,H1.008,C12.011,F18.998403,N14.007,O15.999,S32.06g/mol. Perkg isolated salt: HTFSI=0.988230515068844, carbonate=0.13089145894951576, addedwater=0.3664960850586441kg. Assume complete acid conversion before0.9percent isolation loss: CO2=0.0773467098163841kg; excess carbonate=0.0010318008133847756kg and lost LiTFSI=0.00908173562058523kg. Filter residue and salt loss are routed to existing generic wastewater as an explicit hazardous-salt fate proxy, not credited recovery; wastewater inventory does not resolve fluorinated chemistry. Assume0.1kWh/kg auxiliaries, heat=((feedwater+neutralizationwater)*(4.18kJ/kg/K*75K+2.26MJ/kg)+0.5MJ)/0.70=2.1780844732991187MJ/kg; this is an engineering drying estimate, not measured patent utility data. Assume drying water is condensed and collected with salt losses/excess carbonate: the wastewater mass includes feedwater, stoichiometric neutralization water and residues at1000kg/m3. No additional dilution water is invented. Condensate collection and generic wastewater are fate proxies; dedicated fluorinated-salt treatment remains unrepresented. Preserve factory proxy4e-10unit/kg. Upstream HTFSI multistep synthesis remains an inherited source/proxy uncertainty; this corrects the final salt route without transferring unrelated LiPF6 yield. Sensitivities:95-99.1percent isolation yield,50-90percent thermal efficiency; patent scale-up, purification utilities and emissions remain gaps.
PREVIOUS NOTES (retained as history; the correction above takes precedence):
this is LiTFSI. Source: Wickerts et al. (2023). Prospective Life Cycle Assessment of Lithium-Sulfur Batteries for Stationary Energy Storage. ACS Sustainable Chemistry &amp; Engineering. https://doi.org/10.1021/acssuschemeng.3c00141</t>
        </is>
      </c>
    </row>
    <row r="169" spans="1:8" x14ac:dyDescent="0.2">
      <c r="A169" t="s">
        <v>2</v>
      </c>
      <c r="B169" t="s">
        <v>3</v>
      </c>
    </row>
    <row r="170" spans="1:8" x14ac:dyDescent="0.2">
      <c r="A170" t="s">
        <v>4</v>
      </c>
      <c r="B170">
        <v>1</v>
      </c>
    </row>
    <row r="171" spans="1:8" x14ac:dyDescent="0.2">
      <c r="A171" t="s">
        <v>5</v>
      </c>
      <c r="B171" t="s">
        <v>367</v>
      </c>
    </row>
    <row r="172" spans="1:8" x14ac:dyDescent="0.2">
      <c r="A172" t="s">
        <v>6</v>
      </c>
      <c r="B172" t="s">
        <v>7</v>
      </c>
    </row>
    <row r="173" spans="1:8" x14ac:dyDescent="0.2">
      <c r="A173" t="s">
        <v>8</v>
      </c>
      <c r="B173" t="s">
        <v>294</v>
      </c>
    </row>
    <row r="174" spans="1:8" x14ac:dyDescent="0.2">
      <c r="A174" s="2" t="s">
        <v>9</v>
      </c>
    </row>
    <row r="175" spans="1:8" x14ac:dyDescent="0.2">
      <c r="A175" t="s">
        <v>10</v>
      </c>
      <c r="B175" t="s">
        <v>11</v>
      </c>
      <c r="C175" t="s">
        <v>6</v>
      </c>
      <c r="D175" t="s">
        <v>42</v>
      </c>
      <c r="E175" t="s">
        <v>2</v>
      </c>
      <c r="F175" t="s">
        <v>12</v>
      </c>
      <c r="G175" t="s">
        <v>5</v>
      </c>
      <c r="H175" t="s">
        <v>1</v>
      </c>
    </row>
    <row r="176" spans="1:8" ht="16" x14ac:dyDescent="0.2">
      <c r="A176" s="16" t="s">
        <v>366</v>
      </c>
      <c r="B176">
        <v>1</v>
      </c>
      <c r="C176" t="s">
        <v>7</v>
      </c>
      <c r="E176" t="s">
        <v>3</v>
      </c>
      <c r="F176" t="s">
        <v>13</v>
      </c>
      <c r="G176" t="s">
        <v>367</v>
      </c>
    </row>
    <row r="177" spans="1:8" x14ac:dyDescent="0.2">
      <c r="A177" t="s">
        <v>328</v>
      </c>
      <c r="B177" s="7">
        <v>0.988230515068844</v>
      </c>
      <c r="C177" t="s">
        <v>7</v>
      </c>
      <c r="E177" t="s">
        <v>3</v>
      </c>
      <c r="F177" t="s">
        <v>15</v>
      </c>
      <c r="G177" t="s">
        <v>96</v>
      </c>
    </row>
    <row r="178" spans="1:8" x14ac:dyDescent="0.2">
      <c r="A178" t="s">
        <v>395</v>
      </c>
      <c r="B178" s="5">
        <v>0.13089145894951576</v>
      </c>
      <c r="C178" t="s">
        <v>7</v>
      </c>
      <c r="E178" t="s">
        <v>3</v>
      </c>
      <c r="F178" t="s">
        <v>15</v>
      </c>
      <c r="G178" t="s">
        <v>397</v>
      </c>
      <c r="H178" t="s">
        <v>396</v>
      </c>
    </row>
    <row r="179" spans="1:8" x14ac:dyDescent="0.2">
      <c r="A179" t="s">
        <v>51</v>
      </c>
      <c r="B179" s="18">
        <v>0.3664960850586441</v>
      </c>
      <c r="C179" t="s">
        <v>7</v>
      </c>
      <c r="E179" t="s">
        <v>17</v>
      </c>
      <c r="F179" t="s">
        <v>15</v>
      </c>
      <c r="G179" t="s">
        <v>52</v>
      </c>
    </row>
    <row r="180" spans="1:8" x14ac:dyDescent="0.2">
      <c r="A180" t="s">
        <v>38</v>
      </c>
      <c r="B180">
        <f>4*10^-10</f>
        <v>4.0000000000000001E-10</v>
      </c>
      <c r="C180" t="s">
        <v>6</v>
      </c>
      <c r="E180" t="s">
        <v>3</v>
      </c>
      <c r="F180" t="s">
        <v>15</v>
      </c>
      <c r="G180" t="s">
        <v>39</v>
      </c>
    </row>
    <row r="181" spans="1:8" x14ac:dyDescent="0.2">
      <c r="A181" t="s">
        <v>22</v>
      </c>
      <c r="B181" s="7">
        <v>0.1</v>
      </c>
      <c r="C181" t="s">
        <v>23</v>
      </c>
      <c r="E181" t="s">
        <v>54</v>
      </c>
      <c r="F181" t="s">
        <v>15</v>
      </c>
      <c r="G181" t="s">
        <v>24</v>
      </c>
    </row>
    <row r="182" spans="1:8" x14ac:dyDescent="0.2">
      <c r="A182" t="inlineStr">
        <is>
          <t>market for heat, district or industrial, natural gas</t>
        </is>
      </c>
      <c r="B182" s="7">
        <v>2.1780844732991187</v>
      </c>
      <c r="C182" t="inlineStr">
        <is>
          <t>megajoule</t>
        </is>
      </c>
      <c r="E182" t="s">
        <v>17</v>
      </c>
      <c r="F182" t="s">
        <v>15</v>
      </c>
      <c r="G182" t="inlineStr">
        <is>
          <t>heat, district or industrial, natural gas</t>
        </is>
      </c>
    </row>
    <row r="183" spans="1:8" x14ac:dyDescent="0.2">
      <c r="A183" t="s">
        <v>49</v>
      </c>
      <c r="B183" s="4">
        <v>-0.00040827134926061976</v>
      </c>
      <c r="C183" t="s">
        <v>45</v>
      </c>
      <c r="E183" t="s">
        <v>17</v>
      </c>
      <c r="F183" t="s">
        <v>15</v>
      </c>
      <c r="G183" t="s">
        <v>50</v>
      </c>
      <c r="H183" t="s">
        <v>436</v>
      </c>
    </row>
    <row r="184" spans="1:8" x14ac:dyDescent="0.2">
      <c r="A184" t="s">
        <v>287</v>
      </c>
      <c r="B184" s="4">
        <v>0.0773467098163841</v>
      </c>
      <c r="C184" t="s">
        <v>7</v>
      </c>
      <c r="D184" t="s">
        <v>43</v>
      </c>
      <c r="F184" t="s">
        <v>44</v>
      </c>
    </row>
    <row r="185" spans="1:8" x14ac:dyDescent="0.2">
      <c r="B185" s="8"/>
    </row>
    <row r="186" spans="1:8" x14ac:dyDescent="0.2">
      <c r="B186" s="8"/>
    </row>
    <row r="187" spans="1:8" x14ac:dyDescent="0.2">
      <c r="B187" s="8"/>
    </row>
    <row r="188" spans="1:8" ht="16" x14ac:dyDescent="0.2">
      <c r="A188" s="1" t="s">
        <v>0</v>
      </c>
      <c r="B188" s="1" t="s">
        <v>329</v>
      </c>
    </row>
    <row r="189" spans="1:8" ht="16" x14ac:dyDescent="0.2">
      <c r="A189" s="16" t="s">
        <v>1</v>
      </c>
      <c r="B189" s="16" t="s">
        <v>408</v>
      </c>
    </row>
    <row r="190" spans="1:8" x14ac:dyDescent="0.2">
      <c r="A190" t="s">
        <v>2</v>
      </c>
      <c r="B190" t="s">
        <v>3</v>
      </c>
    </row>
    <row r="191" spans="1:8" x14ac:dyDescent="0.2">
      <c r="A191" t="s">
        <v>4</v>
      </c>
      <c r="B191">
        <v>1</v>
      </c>
    </row>
    <row r="192" spans="1:8" x14ac:dyDescent="0.2">
      <c r="A192" t="s">
        <v>5</v>
      </c>
      <c r="B192" t="s">
        <v>122</v>
      </c>
    </row>
    <row r="193" spans="1:7" x14ac:dyDescent="0.2">
      <c r="A193" t="s">
        <v>6</v>
      </c>
      <c r="B193" t="s">
        <v>7</v>
      </c>
    </row>
    <row r="194" spans="1:7" x14ac:dyDescent="0.2">
      <c r="A194" t="s">
        <v>8</v>
      </c>
      <c r="B194" t="s">
        <v>298</v>
      </c>
    </row>
    <row r="195" spans="1:7" x14ac:dyDescent="0.2">
      <c r="A195" s="2" t="s">
        <v>9</v>
      </c>
    </row>
    <row r="196" spans="1:7" x14ac:dyDescent="0.2">
      <c r="A196" t="s">
        <v>10</v>
      </c>
      <c r="B196" t="s">
        <v>11</v>
      </c>
      <c r="C196" t="s">
        <v>6</v>
      </c>
      <c r="D196" t="s">
        <v>42</v>
      </c>
      <c r="E196" t="s">
        <v>2</v>
      </c>
      <c r="F196" t="s">
        <v>12</v>
      </c>
      <c r="G196" t="s">
        <v>5</v>
      </c>
    </row>
    <row r="197" spans="1:7" x14ac:dyDescent="0.2">
      <c r="A197" t="s">
        <v>329</v>
      </c>
      <c r="B197">
        <v>1</v>
      </c>
      <c r="C197" t="s">
        <v>7</v>
      </c>
      <c r="E197" t="s">
        <v>3</v>
      </c>
      <c r="F197" t="s">
        <v>13</v>
      </c>
      <c r="G197" t="s">
        <v>122</v>
      </c>
    </row>
    <row r="198" spans="1:7" x14ac:dyDescent="0.2">
      <c r="A198" t="s">
        <v>278</v>
      </c>
      <c r="B198" s="5">
        <v>0.874</v>
      </c>
      <c r="C198" t="s">
        <v>7</v>
      </c>
      <c r="E198" t="s">
        <v>3</v>
      </c>
      <c r="F198" t="s">
        <v>15</v>
      </c>
      <c r="G198" t="s">
        <v>279</v>
      </c>
    </row>
    <row r="199" spans="1:7" x14ac:dyDescent="0.2">
      <c r="A199" t="s">
        <v>280</v>
      </c>
      <c r="B199" s="5">
        <v>0.42299999999999999</v>
      </c>
      <c r="C199" t="s">
        <v>7</v>
      </c>
      <c r="E199" t="s">
        <v>17</v>
      </c>
      <c r="F199" t="s">
        <v>15</v>
      </c>
      <c r="G199" t="s">
        <v>281</v>
      </c>
    </row>
    <row r="200" spans="1:7" x14ac:dyDescent="0.2">
      <c r="A200" t="s">
        <v>86</v>
      </c>
      <c r="B200">
        <v>5.0999999999999996</v>
      </c>
      <c r="C200" t="s">
        <v>7</v>
      </c>
      <c r="E200" t="s">
        <v>17</v>
      </c>
      <c r="F200" t="s">
        <v>15</v>
      </c>
      <c r="G200" t="s">
        <v>87</v>
      </c>
    </row>
    <row r="201" spans="1:7" x14ac:dyDescent="0.2">
      <c r="A201" t="s">
        <v>274</v>
      </c>
      <c r="B201">
        <v>0.72</v>
      </c>
      <c r="C201" t="s">
        <v>7</v>
      </c>
      <c r="E201" t="s">
        <v>3</v>
      </c>
      <c r="F201" t="s">
        <v>15</v>
      </c>
      <c r="G201" t="s">
        <v>275</v>
      </c>
    </row>
    <row r="202" spans="1:7" x14ac:dyDescent="0.2">
      <c r="A202" t="s">
        <v>38</v>
      </c>
      <c r="B202">
        <f>0.0000000004</f>
        <v>4.0000000000000001E-10</v>
      </c>
      <c r="C202" t="s">
        <v>6</v>
      </c>
      <c r="E202" t="s">
        <v>3</v>
      </c>
      <c r="F202" t="s">
        <v>15</v>
      </c>
      <c r="G202" t="s">
        <v>39</v>
      </c>
    </row>
    <row r="203" spans="1:7" x14ac:dyDescent="0.2">
      <c r="A203" t="s">
        <v>22</v>
      </c>
      <c r="B203" s="5">
        <v>0.24199999999999999</v>
      </c>
      <c r="C203" t="s">
        <v>23</v>
      </c>
      <c r="E203" t="s">
        <v>54</v>
      </c>
      <c r="F203" t="s">
        <v>15</v>
      </c>
      <c r="G203" t="s">
        <v>24</v>
      </c>
    </row>
    <row r="204" spans="1:7" x14ac:dyDescent="0.2">
      <c r="A204" t="s">
        <v>53</v>
      </c>
      <c r="B204" s="7">
        <v>-1.02</v>
      </c>
      <c r="C204" t="s">
        <v>7</v>
      </c>
      <c r="E204" t="s">
        <v>17</v>
      </c>
      <c r="F204" t="s">
        <v>15</v>
      </c>
      <c r="G204" t="s">
        <v>55</v>
      </c>
    </row>
    <row r="208" spans="1:7" ht="16" x14ac:dyDescent="0.2">
      <c r="A208" s="1" t="s">
        <v>0</v>
      </c>
      <c r="B208" s="1" t="s">
        <v>330</v>
      </c>
    </row>
    <row r="209" spans="1:8" ht="16" x14ac:dyDescent="0.2">
      <c r="A209" s="16" t="s">
        <v>1</v>
      </c>
      <c r="B209" s="16" t="s">
        <v>408</v>
      </c>
    </row>
    <row r="210" spans="1:8" x14ac:dyDescent="0.2">
      <c r="A210" t="s">
        <v>2</v>
      </c>
      <c r="B210" t="s">
        <v>3</v>
      </c>
    </row>
    <row r="211" spans="1:8" x14ac:dyDescent="0.2">
      <c r="A211" t="s">
        <v>4</v>
      </c>
      <c r="B211">
        <v>1</v>
      </c>
    </row>
    <row r="212" spans="1:8" x14ac:dyDescent="0.2">
      <c r="A212" t="s">
        <v>5</v>
      </c>
      <c r="B212" t="s">
        <v>125</v>
      </c>
    </row>
    <row r="213" spans="1:8" x14ac:dyDescent="0.2">
      <c r="A213" t="s">
        <v>6</v>
      </c>
      <c r="B213" t="s">
        <v>7</v>
      </c>
    </row>
    <row r="214" spans="1:8" x14ac:dyDescent="0.2">
      <c r="A214" t="s">
        <v>8</v>
      </c>
      <c r="B214" t="s">
        <v>299</v>
      </c>
    </row>
    <row r="215" spans="1:8" x14ac:dyDescent="0.2">
      <c r="A215" s="2" t="s">
        <v>9</v>
      </c>
    </row>
    <row r="216" spans="1:8" x14ac:dyDescent="0.2">
      <c r="A216" t="s">
        <v>10</v>
      </c>
      <c r="B216" t="s">
        <v>11</v>
      </c>
      <c r="C216" t="s">
        <v>6</v>
      </c>
      <c r="D216" t="s">
        <v>42</v>
      </c>
      <c r="E216" t="s">
        <v>2</v>
      </c>
      <c r="F216" t="s">
        <v>12</v>
      </c>
      <c r="G216" t="s">
        <v>5</v>
      </c>
      <c r="H216" t="s">
        <v>1</v>
      </c>
    </row>
    <row r="217" spans="1:8" x14ac:dyDescent="0.2">
      <c r="A217" t="s">
        <v>330</v>
      </c>
      <c r="B217" s="8">
        <v>1</v>
      </c>
      <c r="C217" t="s">
        <v>7</v>
      </c>
      <c r="E217" t="s">
        <v>3</v>
      </c>
      <c r="F217" t="s">
        <v>13</v>
      </c>
      <c r="G217" t="s">
        <v>125</v>
      </c>
    </row>
    <row r="218" spans="1:8" x14ac:dyDescent="0.2">
      <c r="A218" t="s">
        <v>38</v>
      </c>
      <c r="B218" s="3">
        <v>4.0000000000000001E-10</v>
      </c>
      <c r="C218" t="s">
        <v>6</v>
      </c>
      <c r="E218" t="s">
        <v>3</v>
      </c>
      <c r="F218" t="s">
        <v>15</v>
      </c>
      <c r="G218" t="s">
        <v>39</v>
      </c>
    </row>
    <row r="219" spans="1:8" x14ac:dyDescent="0.2">
      <c r="A219" t="s">
        <v>22</v>
      </c>
      <c r="B219" s="8">
        <v>0.25</v>
      </c>
      <c r="C219" t="s">
        <v>23</v>
      </c>
      <c r="E219" t="s">
        <v>54</v>
      </c>
      <c r="F219" t="s">
        <v>15</v>
      </c>
      <c r="G219" t="s">
        <v>24</v>
      </c>
    </row>
    <row r="220" spans="1:8" x14ac:dyDescent="0.2">
      <c r="A220" t="s">
        <v>395</v>
      </c>
      <c r="B220" s="8">
        <v>0.48</v>
      </c>
      <c r="C220" t="s">
        <v>7</v>
      </c>
      <c r="E220" t="s">
        <v>3</v>
      </c>
      <c r="F220" t="s">
        <v>15</v>
      </c>
      <c r="G220" t="s">
        <v>397</v>
      </c>
      <c r="H220" t="s">
        <v>396</v>
      </c>
    </row>
    <row r="221" spans="1:8" x14ac:dyDescent="0.2">
      <c r="A221" t="s">
        <v>284</v>
      </c>
      <c r="B221" s="8">
        <v>3.3000000000000002E-2</v>
      </c>
      <c r="C221" t="s">
        <v>7</v>
      </c>
      <c r="E221" t="s">
        <v>3</v>
      </c>
      <c r="F221" t="s">
        <v>15</v>
      </c>
      <c r="G221" t="s">
        <v>285</v>
      </c>
    </row>
    <row r="222" spans="1:8" x14ac:dyDescent="0.2">
      <c r="A222" t="s">
        <v>253</v>
      </c>
      <c r="B222" s="8">
        <v>0.91</v>
      </c>
      <c r="C222" t="s">
        <v>7</v>
      </c>
      <c r="E222" t="s">
        <v>17</v>
      </c>
      <c r="F222" t="s">
        <v>15</v>
      </c>
      <c r="G222" t="s">
        <v>286</v>
      </c>
    </row>
    <row r="223" spans="1:8" x14ac:dyDescent="0.2">
      <c r="A223" t="s">
        <v>86</v>
      </c>
      <c r="B223" s="8">
        <v>0.7</v>
      </c>
      <c r="C223" t="s">
        <v>7</v>
      </c>
      <c r="E223" t="s">
        <v>17</v>
      </c>
      <c r="F223" t="s">
        <v>15</v>
      </c>
      <c r="G223" t="s">
        <v>87</v>
      </c>
    </row>
    <row r="224" spans="1:8" x14ac:dyDescent="0.2">
      <c r="A224" t="s">
        <v>274</v>
      </c>
      <c r="B224" s="8">
        <v>0.91</v>
      </c>
      <c r="C224" t="s">
        <v>7</v>
      </c>
      <c r="E224" t="s">
        <v>3</v>
      </c>
      <c r="F224" t="s">
        <v>15</v>
      </c>
      <c r="G224" t="s">
        <v>275</v>
      </c>
    </row>
    <row r="225" spans="1:7" x14ac:dyDescent="0.2">
      <c r="A225" t="s">
        <v>49</v>
      </c>
      <c r="B225" s="8">
        <v>-1E-3</v>
      </c>
      <c r="C225" t="s">
        <v>45</v>
      </c>
      <c r="E225" t="s">
        <v>17</v>
      </c>
      <c r="F225" t="s">
        <v>15</v>
      </c>
      <c r="G225" t="s">
        <v>50</v>
      </c>
    </row>
    <row r="226" spans="1:7" x14ac:dyDescent="0.2">
      <c r="A226" t="s">
        <v>287</v>
      </c>
      <c r="B226" s="8">
        <v>0.3</v>
      </c>
      <c r="C226" t="s">
        <v>7</v>
      </c>
      <c r="D226" t="s">
        <v>43</v>
      </c>
      <c r="F226" t="s">
        <v>44</v>
      </c>
    </row>
    <row r="227" spans="1:7" x14ac:dyDescent="0.2">
      <c r="B227" s="8"/>
    </row>
    <row r="228" spans="1:7" x14ac:dyDescent="0.2">
      <c r="B228" s="8"/>
    </row>
    <row r="229" spans="1:7" x14ac:dyDescent="0.2">
      <c r="B229" s="8"/>
    </row>
    <row r="230" spans="1:7" ht="16" x14ac:dyDescent="0.2">
      <c r="A230" s="1" t="s">
        <v>0</v>
      </c>
      <c r="B230" s="1" t="s">
        <v>331</v>
      </c>
    </row>
    <row r="231" spans="1:7" ht="16" x14ac:dyDescent="0.2">
      <c r="A231" s="16" t="s">
        <v>1</v>
      </c>
      <c r="B231" s="16" t="s">
        <v>408</v>
      </c>
    </row>
    <row r="232" spans="1:7" x14ac:dyDescent="0.2">
      <c r="A232" t="s">
        <v>2</v>
      </c>
      <c r="B232" t="s">
        <v>3</v>
      </c>
    </row>
    <row r="233" spans="1:7" x14ac:dyDescent="0.2">
      <c r="A233" t="s">
        <v>4</v>
      </c>
      <c r="B233">
        <v>1</v>
      </c>
    </row>
    <row r="234" spans="1:7" x14ac:dyDescent="0.2">
      <c r="A234" t="s">
        <v>5</v>
      </c>
      <c r="B234" t="s">
        <v>98</v>
      </c>
    </row>
    <row r="235" spans="1:7" x14ac:dyDescent="0.2">
      <c r="A235" t="s">
        <v>6</v>
      </c>
      <c r="B235" t="s">
        <v>7</v>
      </c>
    </row>
    <row r="236" spans="1:7" x14ac:dyDescent="0.2">
      <c r="A236" t="s">
        <v>8</v>
      </c>
      <c r="B236" t="s">
        <v>300</v>
      </c>
    </row>
    <row r="237" spans="1:7" x14ac:dyDescent="0.2">
      <c r="A237" s="2" t="s">
        <v>9</v>
      </c>
    </row>
    <row r="238" spans="1:7" x14ac:dyDescent="0.2">
      <c r="A238" t="s">
        <v>10</v>
      </c>
      <c r="B238" t="s">
        <v>11</v>
      </c>
      <c r="C238" t="s">
        <v>6</v>
      </c>
      <c r="D238" t="s">
        <v>2</v>
      </c>
      <c r="E238" t="s">
        <v>12</v>
      </c>
      <c r="F238" t="s">
        <v>5</v>
      </c>
      <c r="G238" t="s">
        <v>292</v>
      </c>
    </row>
    <row r="239" spans="1:7" x14ac:dyDescent="0.2">
      <c r="A239" t="s">
        <v>331</v>
      </c>
      <c r="B239">
        <v>1</v>
      </c>
      <c r="C239" t="s">
        <v>7</v>
      </c>
      <c r="D239" t="s">
        <v>3</v>
      </c>
      <c r="E239" t="s">
        <v>13</v>
      </c>
      <c r="F239" t="s">
        <v>98</v>
      </c>
    </row>
    <row r="240" spans="1:7" x14ac:dyDescent="0.2">
      <c r="A240" t="s">
        <v>99</v>
      </c>
      <c r="B240" s="5">
        <v>0.32</v>
      </c>
      <c r="C240" t="s">
        <v>7</v>
      </c>
      <c r="D240" t="s">
        <v>17</v>
      </c>
      <c r="E240" t="s">
        <v>15</v>
      </c>
      <c r="F240" t="s">
        <v>100</v>
      </c>
    </row>
    <row r="241" spans="1:7" x14ac:dyDescent="0.2">
      <c r="A241" t="s">
        <v>375</v>
      </c>
      <c r="B241" s="5">
        <v>0.74</v>
      </c>
      <c r="C241" t="s">
        <v>7</v>
      </c>
      <c r="D241" t="s">
        <v>17</v>
      </c>
      <c r="E241" t="s">
        <v>15</v>
      </c>
      <c r="F241" t="s">
        <v>373</v>
      </c>
      <c r="G241" t="s">
        <v>371</v>
      </c>
    </row>
    <row r="242" spans="1:7" x14ac:dyDescent="0.2">
      <c r="A242" t="s">
        <v>38</v>
      </c>
      <c r="B242">
        <f>4*10^-10</f>
        <v>4.0000000000000001E-10</v>
      </c>
      <c r="C242" t="s">
        <v>6</v>
      </c>
      <c r="D242" t="s">
        <v>3</v>
      </c>
      <c r="E242" t="s">
        <v>15</v>
      </c>
      <c r="F242" t="s">
        <v>39</v>
      </c>
    </row>
    <row r="243" spans="1:7" x14ac:dyDescent="0.2">
      <c r="A243" t="s">
        <v>22</v>
      </c>
      <c r="B243" s="13">
        <f>2.1*10^-7</f>
        <v>2.1E-7</v>
      </c>
      <c r="C243" t="s">
        <v>23</v>
      </c>
      <c r="D243" t="s">
        <v>54</v>
      </c>
      <c r="E243" t="s">
        <v>15</v>
      </c>
      <c r="F243" t="s">
        <v>24</v>
      </c>
    </row>
    <row r="244" spans="1:7" x14ac:dyDescent="0.2">
      <c r="A244" t="s">
        <v>86</v>
      </c>
      <c r="B244" s="5">
        <v>0.11</v>
      </c>
      <c r="C244" t="s">
        <v>7</v>
      </c>
      <c r="D244" t="s">
        <v>17</v>
      </c>
      <c r="E244" t="s">
        <v>15</v>
      </c>
      <c r="F244" t="s">
        <v>87</v>
      </c>
    </row>
    <row r="245" spans="1:7" x14ac:dyDescent="0.2">
      <c r="A245" t="s">
        <v>53</v>
      </c>
      <c r="B245" s="4">
        <v>-0.06</v>
      </c>
      <c r="C245" t="s">
        <v>7</v>
      </c>
      <c r="D245" t="s">
        <v>17</v>
      </c>
      <c r="E245" t="s">
        <v>15</v>
      </c>
      <c r="F245" t="s">
        <v>55</v>
      </c>
      <c r="G245" t="s">
        <v>437</v>
      </c>
    </row>
    <row r="246" spans="1:7" x14ac:dyDescent="0.2">
      <c r="B246" s="8"/>
    </row>
    <row r="247" spans="1:7" x14ac:dyDescent="0.2">
      <c r="B247" s="8"/>
    </row>
    <row r="249" spans="1:7" ht="16" x14ac:dyDescent="0.2">
      <c r="A249" s="1" t="s">
        <v>0</v>
      </c>
      <c r="B249" s="1" t="s">
        <v>332</v>
      </c>
    </row>
    <row r="250" spans="1:7" ht="16" x14ac:dyDescent="0.2">
      <c r="A250" s="16" t="s">
        <v>1</v>
      </c>
      <c r="B250" s="16" t="inlineStr">
        <is>
          <t>APPROVED ELEMENT-BALANCED TEMPLATE ENGINEERING REFERENCE, item17, 2026-10-18. Wickerts corrected SI DOI10.1021/acssuschemeng.4c01782.s001 Tables S15/S16 inherits Jun etal DOI10.1021/ja002261e. Original1.1kg TEOS cannot supply1kg drySiO2: theoretical1.1*60.0843/208.328kg. Treat the reported recipe as a batch and assume95percent isolated silicon yield, giving0.3013905643984486kg SBA15. Scale ALL batch reagents, electricity and factory together by3.3179539047478803perkg drySBA15. This95percent yield is an engineering assumption, not a reported measurement; morphology/wash losses/calcination are not fully resolved. CMK3 original2.1kg sucrose contains less than1kgcarbon; assume95percent carbon retention after pyrolysis, giving0.8400417182179777kg drycarbon per originalbatch. Scale template, sucrose, sulfuricacid,water,electricity,factory together by1.190417068953849. HF must dissolve SiO2: SiO2+6HF-&gt;H2SiF6+2H2O; use5percent molar excess, 2.0977184056400757kgHF/kgtemplate before carbon-batch normalization. No template/solvent recovery credit. Future energy efficiency, actual carbon retention, calcination emissions, alcohol/acid washes and fluorosilicate treatment remain coverage gaps; omitted flows are not zero emissions. Source factory/energy remain batch proxies rather than measured scale-up utilities. Sensitivities: silicon isolation80-100percent; carbon retention50-100percent; HF excess0-20percent. This is joint mass/energy normalization, not an isolated TEOS adjustment.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251" spans="1:7" x14ac:dyDescent="0.2">
      <c r="A251" t="s">
        <v>2</v>
      </c>
      <c r="B251" t="s">
        <v>3</v>
      </c>
    </row>
    <row r="252" spans="1:7" x14ac:dyDescent="0.2">
      <c r="A252" t="s">
        <v>4</v>
      </c>
      <c r="B252">
        <v>1</v>
      </c>
    </row>
    <row r="253" spans="1:7" x14ac:dyDescent="0.2">
      <c r="A253" t="s">
        <v>5</v>
      </c>
      <c r="B253" t="s">
        <v>101</v>
      </c>
    </row>
    <row r="254" spans="1:7" x14ac:dyDescent="0.2">
      <c r="A254" t="s">
        <v>6</v>
      </c>
      <c r="B254" t="s">
        <v>7</v>
      </c>
    </row>
    <row r="255" spans="1:7" x14ac:dyDescent="0.2">
      <c r="A255" t="s">
        <v>8</v>
      </c>
      <c r="B255" t="s">
        <v>301</v>
      </c>
    </row>
    <row r="256" spans="1:7" x14ac:dyDescent="0.2">
      <c r="A256" s="2" t="s">
        <v>9</v>
      </c>
    </row>
    <row r="257" spans="1:7" x14ac:dyDescent="0.2">
      <c r="A257" t="s">
        <v>10</v>
      </c>
      <c r="B257" t="s">
        <v>11</v>
      </c>
      <c r="C257" t="s">
        <v>6</v>
      </c>
      <c r="D257" t="s">
        <v>42</v>
      </c>
      <c r="E257" t="s">
        <v>2</v>
      </c>
      <c r="F257" t="s">
        <v>12</v>
      </c>
      <c r="G257" t="s">
        <v>5</v>
      </c>
    </row>
    <row r="258" spans="1:7" x14ac:dyDescent="0.2">
      <c r="A258" t="s">
        <v>332</v>
      </c>
      <c r="B258">
        <v>1</v>
      </c>
      <c r="C258" t="s">
        <v>7</v>
      </c>
      <c r="E258" t="s">
        <v>3</v>
      </c>
      <c r="F258" t="s">
        <v>13</v>
      </c>
      <c r="G258" t="s">
        <v>101</v>
      </c>
    </row>
    <row r="259" spans="1:7" x14ac:dyDescent="0.2">
      <c r="A259" t="s">
        <v>331</v>
      </c>
      <c r="B259" s="5">
        <v>1.7253360304688978</v>
      </c>
      <c r="C259" t="s">
        <v>7</v>
      </c>
      <c r="E259" t="s">
        <v>3</v>
      </c>
      <c r="F259" t="s">
        <v>15</v>
      </c>
      <c r="G259" t="s">
        <v>98</v>
      </c>
    </row>
    <row r="260" spans="1:7" x14ac:dyDescent="0.2">
      <c r="A260" s="14" t="s">
        <v>102</v>
      </c>
      <c r="B260" s="7">
        <v>3.6497492952226684</v>
      </c>
      <c r="C260" t="s">
        <v>7</v>
      </c>
      <c r="E260" t="s">
        <v>3</v>
      </c>
      <c r="F260" t="s">
        <v>15</v>
      </c>
      <c r="G260" t="s">
        <v>103</v>
      </c>
    </row>
    <row r="261" spans="1:7" x14ac:dyDescent="0.2">
      <c r="A261" t="s">
        <v>51</v>
      </c>
      <c r="B261" s="18">
        <v>59.72317028546185</v>
      </c>
      <c r="C261" t="s">
        <v>7</v>
      </c>
      <c r="E261" t="s">
        <v>17</v>
      </c>
      <c r="F261" t="s">
        <v>15</v>
      </c>
      <c r="G261" t="s">
        <v>52</v>
      </c>
    </row>
    <row r="262" spans="1:7" x14ac:dyDescent="0.2">
      <c r="A262" t="s">
        <v>104</v>
      </c>
      <c r="B262" s="7">
        <v>3.6497492952226684</v>
      </c>
      <c r="C262" t="s">
        <v>7</v>
      </c>
      <c r="E262" t="s">
        <v>17</v>
      </c>
      <c r="F262" t="s">
        <v>15</v>
      </c>
      <c r="G262" t="s">
        <v>105</v>
      </c>
    </row>
    <row r="263" spans="1:7" x14ac:dyDescent="0.2">
      <c r="A263" t="s">
        <v>38</v>
      </c>
      <c r="B263">
        <f>1.3271815618991522e-09</f>
        <v>1.3271815618991522e-09</v>
      </c>
      <c r="C263" t="s">
        <v>6</v>
      </c>
      <c r="E263" t="s">
        <v>3</v>
      </c>
      <c r="F263" t="s">
        <v>15</v>
      </c>
      <c r="G263" t="s">
        <v>39</v>
      </c>
    </row>
    <row r="264" spans="1:7" x14ac:dyDescent="0.2">
      <c r="A264" t="s">
        <v>22</v>
      </c>
      <c r="B264" s="18">
        <v>56.405216380713966</v>
      </c>
      <c r="C264" t="s">
        <v>23</v>
      </c>
      <c r="E264" t="s">
        <v>54</v>
      </c>
      <c r="F264" t="s">
        <v>15</v>
      </c>
      <c r="G264" t="s">
        <v>24</v>
      </c>
    </row>
    <row r="265" spans="1:7" x14ac:dyDescent="0.2">
      <c r="B265" s="4"/>
    </row>
    <row r="266" spans="1:7" x14ac:dyDescent="0.2">
      <c r="B266" s="3"/>
    </row>
    <row r="267" spans="1:7" x14ac:dyDescent="0.2">
      <c r="G267" s="3"/>
    </row>
    <row r="268" spans="1:7" ht="16" x14ac:dyDescent="0.2">
      <c r="A268" s="1" t="s">
        <v>0</v>
      </c>
      <c r="B268" s="1" t="s">
        <v>333</v>
      </c>
    </row>
    <row r="269" spans="1:7" ht="16" x14ac:dyDescent="0.2">
      <c r="A269" s="16" t="s">
        <v>1</v>
      </c>
      <c r="B269" s="16" t="inlineStr">
        <is>
          <t>APPROVED ELEMENT-BALANCED TEMPLATE ENGINEERING REFERENCE, item17, 2026-10-18. Wickerts corrected SI DOI10.1021/acssuschemeng.4c01782.s001 Tables S15/S16 inherits Jun etal DOI10.1021/ja002261e. Original1.1kg TEOS cannot supply1kg drySiO2: theoretical1.1*60.0843/208.328kg. Treat the reported recipe as a batch and assume95percent isolated silicon yield, giving0.3013905643984486kg SBA15. Scale ALL batch reagents, electricity and factory together by3.3179539047478803perkg drySBA15. This95percent yield is an engineering assumption, not a reported measurement; morphology/wash losses/calcination are not fully resolved. CMK3 original2.1kg sucrose contains less than1kgcarbon; assume95percent carbon retention after pyrolysis, giving0.8400417182179777kg drycarbon per originalbatch. Scale template, sucrose, sulfuricacid,water,electricity,factory together by1.190417068953849. HF must dissolve SiO2: SiO2+6HF-&gt;H2SiF6+2H2O; use5percent molar excess, 2.0977184056400757kgHF/kgtemplate before carbon-batch normalization. No template/solvent recovery credit. Future energy efficiency, actual carbon retention, calcination emissions, alcohol/acid washes and fluorosilicate treatment remain coverage gaps; omitted flows are not zero emissions. Source factory/energy remain batch proxies rather than measured scale-up utilities. Sensitivities: silicon isolation80-100percent; carbon retention50-100percent; HF excess0-20percent. This is joint mass/energy normalization, not an isolated TEOS adjustment.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270" spans="1:7" x14ac:dyDescent="0.2">
      <c r="A270" t="s">
        <v>2</v>
      </c>
      <c r="B270" t="s">
        <v>3</v>
      </c>
    </row>
    <row r="271" spans="1:7" x14ac:dyDescent="0.2">
      <c r="A271" t="s">
        <v>4</v>
      </c>
      <c r="B271">
        <v>1</v>
      </c>
    </row>
    <row r="272" spans="1:7" x14ac:dyDescent="0.2">
      <c r="A272" t="s">
        <v>5</v>
      </c>
      <c r="B272" t="s">
        <v>106</v>
      </c>
    </row>
    <row r="273" spans="1:7" x14ac:dyDescent="0.2">
      <c r="A273" t="s">
        <v>6</v>
      </c>
      <c r="B273" t="s">
        <v>7</v>
      </c>
    </row>
    <row r="274" spans="1:7" x14ac:dyDescent="0.2">
      <c r="A274" t="s">
        <v>8</v>
      </c>
      <c r="B274" t="s">
        <v>301</v>
      </c>
    </row>
    <row r="275" spans="1:7" x14ac:dyDescent="0.2">
      <c r="A275" s="2" t="s">
        <v>9</v>
      </c>
    </row>
    <row r="276" spans="1:7" x14ac:dyDescent="0.2">
      <c r="A276" t="s">
        <v>10</v>
      </c>
      <c r="B276" t="s">
        <v>11</v>
      </c>
      <c r="C276" t="s">
        <v>6</v>
      </c>
      <c r="D276" t="s">
        <v>42</v>
      </c>
      <c r="E276" t="s">
        <v>2</v>
      </c>
      <c r="F276" t="s">
        <v>12</v>
      </c>
      <c r="G276" t="s">
        <v>5</v>
      </c>
    </row>
    <row r="277" spans="1:7" x14ac:dyDescent="0.2">
      <c r="A277" t="s">
        <v>333</v>
      </c>
      <c r="B277">
        <v>1</v>
      </c>
      <c r="C277" t="s">
        <v>7</v>
      </c>
      <c r="E277" t="s">
        <v>3</v>
      </c>
      <c r="F277" t="s">
        <v>13</v>
      </c>
      <c r="G277" t="s">
        <v>106</v>
      </c>
    </row>
    <row r="278" spans="1:7" x14ac:dyDescent="0.2">
      <c r="A278" t="s">
        <v>332</v>
      </c>
      <c r="B278">
        <v>1.190417068953849</v>
      </c>
      <c r="C278" t="s">
        <v>7</v>
      </c>
      <c r="E278" t="s">
        <v>3</v>
      </c>
      <c r="F278" t="s">
        <v>15</v>
      </c>
      <c r="G278" t="s">
        <v>101</v>
      </c>
    </row>
    <row r="279" spans="1:7" x14ac:dyDescent="0.2">
      <c r="A279" t="s">
        <v>107</v>
      </c>
      <c r="B279" s="7">
        <v>2.499875844803083</v>
      </c>
      <c r="C279" t="s">
        <v>7</v>
      </c>
      <c r="E279" t="s">
        <v>3</v>
      </c>
      <c r="F279" t="s">
        <v>15</v>
      </c>
      <c r="G279" t="s">
        <v>108</v>
      </c>
    </row>
    <row r="280" spans="1:7" x14ac:dyDescent="0.2">
      <c r="A280" t="s">
        <v>56</v>
      </c>
      <c r="B280" s="5">
        <v>0.2737959258593853</v>
      </c>
      <c r="C280" t="s">
        <v>7</v>
      </c>
      <c r="E280" t="s">
        <v>17</v>
      </c>
      <c r="F280" t="s">
        <v>15</v>
      </c>
      <c r="G280" t="s">
        <v>57</v>
      </c>
    </row>
    <row r="281" spans="1:7" x14ac:dyDescent="0.2">
      <c r="A281" t="s">
        <v>77</v>
      </c>
      <c r="B281" s="7">
        <v>2.4971597959326</v>
      </c>
      <c r="C281" t="s">
        <v>7</v>
      </c>
      <c r="E281" t="s">
        <v>17</v>
      </c>
      <c r="F281" t="s">
        <v>15</v>
      </c>
      <c r="G281" t="s">
        <v>78</v>
      </c>
    </row>
    <row r="282" spans="1:7" x14ac:dyDescent="0.2">
      <c r="A282" t="s">
        <v>51</v>
      </c>
      <c r="B282" s="18">
        <v>11.90417068953849</v>
      </c>
      <c r="C282" t="s">
        <v>7</v>
      </c>
      <c r="E282" t="s">
        <v>17</v>
      </c>
      <c r="F282" t="s">
        <v>15</v>
      </c>
      <c r="G282" t="s">
        <v>52</v>
      </c>
    </row>
    <row r="283" spans="1:7" x14ac:dyDescent="0.2">
      <c r="A283" t="s">
        <v>38</v>
      </c>
      <c r="B283">
        <f>4.761668275815395e-10</f>
        <v>4.761668275815395e-10</v>
      </c>
      <c r="C283" t="s">
        <v>6</v>
      </c>
      <c r="E283" t="s">
        <v>3</v>
      </c>
      <c r="F283" t="s">
        <v>15</v>
      </c>
      <c r="G283" t="s">
        <v>39</v>
      </c>
    </row>
    <row r="284" spans="1:7" x14ac:dyDescent="0.2">
      <c r="A284" t="s">
        <v>22</v>
      </c>
      <c r="B284" s="18">
        <v>28.570009654892374</v>
      </c>
      <c r="C284" t="s">
        <v>23</v>
      </c>
      <c r="E284" t="s">
        <v>54</v>
      </c>
      <c r="F284" t="s">
        <v>15</v>
      </c>
      <c r="G284" t="s">
        <v>24</v>
      </c>
    </row>
    <row r="285" spans="1:7" x14ac:dyDescent="0.2">
      <c r="B285" s="8"/>
    </row>
    <row r="286" spans="1:7" x14ac:dyDescent="0.2">
      <c r="B286" s="8"/>
    </row>
    <row r="288" spans="1:7" ht="16" x14ac:dyDescent="0.2">
      <c r="A288" s="1" t="s">
        <v>0</v>
      </c>
      <c r="B288" s="1" t="s">
        <v>334</v>
      </c>
    </row>
    <row r="289" spans="1:17" ht="16" x14ac:dyDescent="0.2">
      <c r="A289" s="16" t="s">
        <v>1</v>
      </c>
      <c r="B289" s="16" t="inlineStr">
        <is>
          <t>APPROVED LITHIUM-FOIL ROLLING ENGINEERING REFERENCE, item31, 2026-10-18. Wickerts corrected SI DOI10.1021/acssuschemeng.4c01782.s001 TableS17 requires lithium-adapted rolling; processing assumptions below are an engineering completion, not reported measurements. Replace the ordinary aluminium-specific rolling service at4.95kgprocessed/kgfinishedLi foil by a dedicated material-neutral mechanical rolling service. Assume0.5kWh electricity perkg rolling throughput, hence2.475kWh perkgfinishedfoil additionally to source2.1kWh generalprocess electricity,4.2MJ cooling and5MJheat retained once. This represents4.95kg cumulative rolling throughput, NOT4.95kg retained lithium or a measured pass count. Assume98percent final lithium retention:1/0.98=1.0204081632653061kg Li from source electrolysis perkgfoil;0.02040816326530612kg process loss. No aluminium feed or aluminium scrap is inherited; ordinary Al rolling elsewhere unchanged. Treat loss through existing hazardous-waste incineration as an explicit reactive-lithium fate proxy; real inert handling/passivation and associated emissions are not modeled. No lithium recovery/secondary-supply credit. Source/reference utilities are engineering proxies; atmosphere/inert gas, lubrication, facility and practical rolling yield/energy remain gaps. Sensitivities90-100percent yield and0.1-1kWh/kg throughput; energy does not scale with yield here because throughput is declared perkgfinishedfoil. No source-specific measured yield is claimed.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290" spans="1:17" x14ac:dyDescent="0.2">
      <c r="A290" t="s">
        <v>2</v>
      </c>
      <c r="B290" t="s">
        <v>3</v>
      </c>
    </row>
    <row r="291" spans="1:17" x14ac:dyDescent="0.2">
      <c r="A291" t="s">
        <v>4</v>
      </c>
      <c r="B291">
        <v>1</v>
      </c>
    </row>
    <row r="292" spans="1:17" x14ac:dyDescent="0.2">
      <c r="A292" t="s">
        <v>5</v>
      </c>
      <c r="B292" t="s">
        <v>109</v>
      </c>
    </row>
    <row r="293" spans="1:17" x14ac:dyDescent="0.2">
      <c r="A293" t="s">
        <v>6</v>
      </c>
      <c r="B293" t="s">
        <v>7</v>
      </c>
    </row>
    <row r="294" spans="1:17" x14ac:dyDescent="0.2">
      <c r="A294" t="s">
        <v>8</v>
      </c>
      <c r="B294" t="s">
        <v>302</v>
      </c>
    </row>
    <row r="295" spans="1:17" x14ac:dyDescent="0.2">
      <c r="A295" s="2" t="s">
        <v>9</v>
      </c>
    </row>
    <row r="296" spans="1:17" x14ac:dyDescent="0.2">
      <c r="A296" t="s">
        <v>10</v>
      </c>
      <c r="B296" t="s">
        <v>11</v>
      </c>
      <c r="C296" t="s">
        <v>6</v>
      </c>
      <c r="D296" t="s">
        <v>42</v>
      </c>
      <c r="E296" t="s">
        <v>2</v>
      </c>
      <c r="F296" t="s">
        <v>12</v>
      </c>
      <c r="G296" t="s">
        <v>5</v>
      </c>
      <c r="H296" t="s">
        <v>292</v>
      </c>
    </row>
    <row r="297" spans="1:17" x14ac:dyDescent="0.2">
      <c r="A297" t="s">
        <v>334</v>
      </c>
      <c r="B297" s="5">
        <v>1</v>
      </c>
      <c r="C297" t="s">
        <v>7</v>
      </c>
      <c r="E297" t="s">
        <v>3</v>
      </c>
      <c r="F297" t="s">
        <v>13</v>
      </c>
      <c r="G297" t="s">
        <v>109</v>
      </c>
    </row>
    <row r="298" spans="1:17" x14ac:dyDescent="0.2">
      <c r="A298" t="s">
        <v>80</v>
      </c>
      <c r="B298" s="5">
        <v>4.2</v>
      </c>
      <c r="C298" t="s">
        <v>34</v>
      </c>
      <c r="E298" t="s">
        <v>3</v>
      </c>
      <c r="F298" t="s">
        <v>15</v>
      </c>
      <c r="G298" t="s">
        <v>81</v>
      </c>
    </row>
    <row r="299" spans="1:17" x14ac:dyDescent="0.2">
      <c r="A299" t="inlineStr">
        <is>
          <t xml:space="preserve">lithium foil rolling</t>
        </is>
      </c>
      <c r="B299" s="5">
        <v>4.95</v>
      </c>
      <c r="C299" t="s">
        <v>7</v>
      </c>
      <c r="E299" t="inlineStr">
        <is>
          <t>GLO</t>
        </is>
      </c>
      <c r="F299" t="s">
        <v>15</v>
      </c>
      <c r="G299" t="inlineStr">
        <is>
          <t xml:space="preserve">lithium foil rolling</t>
        </is>
      </c>
      <c r="H299" s="10" t="inlineStr">
        <is>
          <t>APPROVED LITHIUM-FOIL ROLLING ENGINEERING REFERENCE, item31, 2026-10-18. Wickerts corrected SI DOI10.1021/acssuschemeng.4c01782.s001 TableS17 requires lithium-adapted rolling; processing assumptions below are an engineering completion, not reported measurements. Replace the ordinary aluminium-specific rolling service at4.95kgprocessed/kgfinishedLi foil by a dedicated material-neutral mechanical rolling service. Assume0.5kWh electricity perkg rolling throughput, hence2.475kWh perkgfinishedfoil additionally to source2.1kWh generalprocess electricity,4.2MJ cooling and5MJheat retained once. This represents4.95kg cumulative rolling throughput, NOT4.95kg retained lithium or a measured pass count. Assume98percent final lithium retention:1/0.98=1.0204081632653061kg Li from source electrolysis perkgfoil;0.02040816326530612kg process loss. No aluminium feed or aluminium scrap is inherited; ordinary Al rolling elsewhere unchanged. Treat loss through existing hazardous-waste incineration as an explicit reactive-lithium fate proxy; real inert handling/passivation and associated emissions are not modeled. No lithium recovery/secondary-supply credit. Source/reference utilities are engineering proxies; atmosphere/inert gas, lubrication, facility and practical rolling yield/energy remain gaps. Sensitivities90-100percent yield and0.1-1kWh/kg throughput; energy does not scale with yield here because throughput is declared perkgfinishedfoil. No source-specific measured yield is claimed.</t>
        </is>
      </c>
      <c r="K299" s="10"/>
      <c r="L299" s="10"/>
      <c r="M299" s="10"/>
      <c r="N299" s="10"/>
      <c r="O299" s="10"/>
      <c r="P299" s="10"/>
      <c r="Q299" s="10"/>
    </row>
    <row r="300" spans="1:17" x14ac:dyDescent="0.2">
      <c r="A300" t="s">
        <v>22</v>
      </c>
      <c r="B300" s="5">
        <v>2.1</v>
      </c>
      <c r="C300" t="s">
        <v>23</v>
      </c>
      <c r="E300" t="s">
        <v>54</v>
      </c>
      <c r="F300" t="s">
        <v>15</v>
      </c>
      <c r="G300" t="s">
        <v>24</v>
      </c>
    </row>
    <row r="301" spans="1:17" x14ac:dyDescent="0.2">
      <c r="A301" t="s">
        <v>33</v>
      </c>
      <c r="B301" s="5">
        <v>5</v>
      </c>
      <c r="C301" t="s">
        <v>34</v>
      </c>
      <c r="E301" t="s">
        <v>17</v>
      </c>
      <c r="F301" t="s">
        <v>15</v>
      </c>
      <c r="G301" t="s">
        <v>35</v>
      </c>
    </row>
    <row r="302" spans="1:17" x14ac:dyDescent="0.2">
      <c r="A302" t="s">
        <v>110</v>
      </c>
      <c r="B302" s="5">
        <v>1.0204081632653061</v>
      </c>
      <c r="C302" t="s">
        <v>7</v>
      </c>
      <c r="E302" t="s">
        <v>3</v>
      </c>
      <c r="F302" t="s">
        <v>15</v>
      </c>
      <c r="G302" t="s">
        <v>111</v>
      </c>
    </row>
    <row r="303">
      <c r="A303" t="inlineStr">
        <is>
          <t>market for hazardous waste, for incineration</t>
        </is>
      </c>
      <c r="B303">
        <v>-0.020408163265306145</v>
      </c>
      <c r="C303" t="inlineStr">
        <is>
          <t>kilogram</t>
        </is>
      </c>
      <c r="E303" t="inlineStr">
        <is>
          <t>RoW</t>
        </is>
      </c>
      <c r="F303" t="inlineStr">
        <is>
          <t>technosphere</t>
        </is>
      </c>
      <c r="G303" t="inlineStr">
        <is>
          <t>hazardous waste, for incineration</t>
        </is>
      </c>
      <c r="H303" t="inlineStr">
        <is>
          <t>Assumed2percent lithium loss; reactive-metal fate proxy, not validated safe disposal or recovery.</t>
        </is>
      </c>
    </row>
    <row r="304" spans="1:17" x14ac:dyDescent="0.2">
      <c r="B304" s="4"/>
    </row>
    <row r="305" spans="1:7" x14ac:dyDescent="0.2">
      <c r="B305" s="4"/>
    </row>
    <row r="306" spans="1:7" ht="16" x14ac:dyDescent="0.2">
      <c r="A306" s="1" t="s">
        <v>0</v>
      </c>
      <c r="B306" s="1" t="s">
        <v>335</v>
      </c>
    </row>
    <row r="307" spans="1:7" ht="16" x14ac:dyDescent="0.2">
      <c r="A307" s="16" t="s">
        <v>1</v>
      </c>
      <c r="B307" s="16" t="s">
        <v>408</v>
      </c>
    </row>
    <row r="308" spans="1:7" x14ac:dyDescent="0.2">
      <c r="A308" t="s">
        <v>2</v>
      </c>
      <c r="B308" t="s">
        <v>3</v>
      </c>
    </row>
    <row r="309" spans="1:7" x14ac:dyDescent="0.2">
      <c r="A309" t="s">
        <v>4</v>
      </c>
      <c r="B309">
        <v>1</v>
      </c>
    </row>
    <row r="310" spans="1:7" x14ac:dyDescent="0.2">
      <c r="A310" t="s">
        <v>5</v>
      </c>
      <c r="B310" t="s">
        <v>112</v>
      </c>
    </row>
    <row r="311" spans="1:7" x14ac:dyDescent="0.2">
      <c r="A311" t="s">
        <v>6</v>
      </c>
      <c r="B311" t="s">
        <v>7</v>
      </c>
    </row>
    <row r="312" spans="1:7" x14ac:dyDescent="0.2">
      <c r="A312" t="s">
        <v>8</v>
      </c>
      <c r="B312" t="s">
        <v>303</v>
      </c>
    </row>
    <row r="313" spans="1:7" x14ac:dyDescent="0.2">
      <c r="A313" s="2" t="s">
        <v>9</v>
      </c>
    </row>
    <row r="314" spans="1:7" x14ac:dyDescent="0.2">
      <c r="A314" t="s">
        <v>10</v>
      </c>
      <c r="B314" t="s">
        <v>11</v>
      </c>
      <c r="C314" t="s">
        <v>6</v>
      </c>
      <c r="D314" t="s">
        <v>42</v>
      </c>
      <c r="E314" t="s">
        <v>2</v>
      </c>
      <c r="F314" t="s">
        <v>12</v>
      </c>
      <c r="G314" t="s">
        <v>5</v>
      </c>
    </row>
    <row r="315" spans="1:7" x14ac:dyDescent="0.2">
      <c r="A315" t="s">
        <v>335</v>
      </c>
      <c r="B315">
        <v>1</v>
      </c>
      <c r="C315" t="s">
        <v>7</v>
      </c>
      <c r="E315" t="s">
        <v>3</v>
      </c>
      <c r="F315" t="s">
        <v>13</v>
      </c>
      <c r="G315" t="s">
        <v>112</v>
      </c>
    </row>
    <row r="316" spans="1:7" x14ac:dyDescent="0.2">
      <c r="A316" t="s">
        <v>66</v>
      </c>
      <c r="B316" s="3">
        <v>0.14000000000000001</v>
      </c>
      <c r="C316" t="s">
        <v>7</v>
      </c>
      <c r="E316" t="s">
        <v>17</v>
      </c>
      <c r="F316" t="s">
        <v>15</v>
      </c>
      <c r="G316" t="s">
        <v>67</v>
      </c>
    </row>
    <row r="317" spans="1:7" x14ac:dyDescent="0.2">
      <c r="A317" t="s">
        <v>113</v>
      </c>
      <c r="B317">
        <v>0.12</v>
      </c>
      <c r="C317" t="s">
        <v>7</v>
      </c>
      <c r="E317" t="s">
        <v>3</v>
      </c>
      <c r="F317" t="s">
        <v>15</v>
      </c>
      <c r="G317" t="s">
        <v>114</v>
      </c>
    </row>
    <row r="318" spans="1:7" x14ac:dyDescent="0.2">
      <c r="A318" t="s">
        <v>64</v>
      </c>
      <c r="B318">
        <v>2.5999999999999999E-2</v>
      </c>
      <c r="C318" t="s">
        <v>7</v>
      </c>
      <c r="E318" t="s">
        <v>3</v>
      </c>
      <c r="F318" t="s">
        <v>15</v>
      </c>
      <c r="G318" t="s">
        <v>65</v>
      </c>
    </row>
    <row r="319" spans="1:7" x14ac:dyDescent="0.2">
      <c r="A319" t="s">
        <v>60</v>
      </c>
      <c r="B319">
        <v>0.28999999999999998</v>
      </c>
      <c r="C319" t="s">
        <v>7</v>
      </c>
      <c r="E319" t="s">
        <v>3</v>
      </c>
      <c r="F319" t="s">
        <v>15</v>
      </c>
      <c r="G319" t="s">
        <v>61</v>
      </c>
    </row>
    <row r="320" spans="1:7" x14ac:dyDescent="0.2">
      <c r="A320" t="s">
        <v>36</v>
      </c>
      <c r="B320" s="7">
        <v>1</v>
      </c>
      <c r="C320" t="s">
        <v>7</v>
      </c>
      <c r="E320" t="s">
        <v>3</v>
      </c>
      <c r="F320" t="s">
        <v>15</v>
      </c>
      <c r="G320" t="s">
        <v>37</v>
      </c>
    </row>
    <row r="321" spans="1:7" x14ac:dyDescent="0.2">
      <c r="A321" t="s">
        <v>40</v>
      </c>
      <c r="B321">
        <v>0.19</v>
      </c>
      <c r="C321" t="s">
        <v>7</v>
      </c>
      <c r="E321" t="s">
        <v>3</v>
      </c>
      <c r="F321" t="s">
        <v>15</v>
      </c>
      <c r="G321" t="s">
        <v>41</v>
      </c>
    </row>
    <row r="322" spans="1:7" x14ac:dyDescent="0.2">
      <c r="A322" t="s">
        <v>62</v>
      </c>
      <c r="B322">
        <v>0.22</v>
      </c>
      <c r="C322" t="s">
        <v>7</v>
      </c>
      <c r="E322" t="s">
        <v>3</v>
      </c>
      <c r="F322" t="s">
        <v>15</v>
      </c>
      <c r="G322" t="s">
        <v>63</v>
      </c>
    </row>
    <row r="323" spans="1:7" x14ac:dyDescent="0.2">
      <c r="A323" t="s">
        <v>282</v>
      </c>
      <c r="B323">
        <v>0.39</v>
      </c>
      <c r="C323" t="s">
        <v>7</v>
      </c>
      <c r="E323" t="s">
        <v>3</v>
      </c>
      <c r="F323" t="s">
        <v>15</v>
      </c>
      <c r="G323" t="s">
        <v>283</v>
      </c>
    </row>
    <row r="324" spans="1:7" x14ac:dyDescent="0.2">
      <c r="A324" t="s">
        <v>38</v>
      </c>
      <c r="B324">
        <f>4*10^-10</f>
        <v>4.0000000000000001E-10</v>
      </c>
      <c r="C324" t="s">
        <v>6</v>
      </c>
      <c r="E324" t="s">
        <v>3</v>
      </c>
      <c r="F324" t="s">
        <v>15</v>
      </c>
      <c r="G324" t="s">
        <v>39</v>
      </c>
    </row>
    <row r="325" spans="1:7" x14ac:dyDescent="0.2">
      <c r="A325" t="s">
        <v>22</v>
      </c>
      <c r="B325">
        <v>5.8000000000000003E-2</v>
      </c>
      <c r="C325" t="s">
        <v>23</v>
      </c>
      <c r="E325" t="s">
        <v>54</v>
      </c>
      <c r="F325" t="s">
        <v>15</v>
      </c>
      <c r="G325" t="s">
        <v>24</v>
      </c>
    </row>
    <row r="326" spans="1:7" x14ac:dyDescent="0.2">
      <c r="A326" t="s">
        <v>391</v>
      </c>
      <c r="B326">
        <v>0.19</v>
      </c>
      <c r="C326" t="s">
        <v>34</v>
      </c>
      <c r="E326" t="s">
        <v>17</v>
      </c>
      <c r="F326" t="s">
        <v>15</v>
      </c>
      <c r="G326" t="s">
        <v>35</v>
      </c>
    </row>
    <row r="327" spans="1:7" x14ac:dyDescent="0.2">
      <c r="A327" t="s">
        <v>53</v>
      </c>
      <c r="B327">
        <v>-1.4</v>
      </c>
      <c r="C327" t="s">
        <v>7</v>
      </c>
      <c r="E327" t="s">
        <v>17</v>
      </c>
      <c r="F327" t="s">
        <v>15</v>
      </c>
      <c r="G327" t="s">
        <v>55</v>
      </c>
    </row>
    <row r="331" spans="1:7" ht="16" x14ac:dyDescent="0.2">
      <c r="A331" s="1" t="s">
        <v>0</v>
      </c>
      <c r="B331" s="1" t="s">
        <v>336</v>
      </c>
    </row>
    <row r="332" spans="1:7" ht="16" x14ac:dyDescent="0.2">
      <c r="A332" s="16" t="s">
        <v>1</v>
      </c>
      <c r="B332" s="16" t="s">
        <v>408</v>
      </c>
    </row>
    <row r="333" spans="1:7" x14ac:dyDescent="0.2">
      <c r="A333" t="s">
        <v>2</v>
      </c>
      <c r="B333" t="s">
        <v>3</v>
      </c>
    </row>
    <row r="334" spans="1:7" x14ac:dyDescent="0.2">
      <c r="A334" t="s">
        <v>4</v>
      </c>
      <c r="B334">
        <v>1</v>
      </c>
    </row>
    <row r="335" spans="1:7" x14ac:dyDescent="0.2">
      <c r="A335" t="s">
        <v>5</v>
      </c>
      <c r="B335" t="s">
        <v>120</v>
      </c>
    </row>
    <row r="336" spans="1:7" x14ac:dyDescent="0.2">
      <c r="A336" t="s">
        <v>6</v>
      </c>
      <c r="B336" t="s">
        <v>7</v>
      </c>
    </row>
    <row r="337" spans="1:7" x14ac:dyDescent="0.2">
      <c r="A337" t="s">
        <v>8</v>
      </c>
      <c r="B337" t="s">
        <v>304</v>
      </c>
    </row>
    <row r="338" spans="1:7" x14ac:dyDescent="0.2">
      <c r="A338" s="2" t="s">
        <v>9</v>
      </c>
    </row>
    <row r="339" spans="1:7" x14ac:dyDescent="0.2">
      <c r="A339" t="s">
        <v>10</v>
      </c>
      <c r="B339" t="s">
        <v>11</v>
      </c>
      <c r="C339" t="s">
        <v>6</v>
      </c>
      <c r="D339" t="s">
        <v>42</v>
      </c>
      <c r="E339" t="s">
        <v>2</v>
      </c>
      <c r="F339" t="s">
        <v>12</v>
      </c>
      <c r="G339" t="s">
        <v>5</v>
      </c>
    </row>
    <row r="340" spans="1:7" x14ac:dyDescent="0.2">
      <c r="A340" t="s">
        <v>336</v>
      </c>
      <c r="B340">
        <v>1</v>
      </c>
      <c r="C340" t="s">
        <v>7</v>
      </c>
      <c r="E340" t="s">
        <v>3</v>
      </c>
      <c r="F340" t="s">
        <v>13</v>
      </c>
      <c r="G340" t="s">
        <v>120</v>
      </c>
    </row>
    <row r="341" spans="1:7" x14ac:dyDescent="0.2">
      <c r="A341" t="s">
        <v>14</v>
      </c>
      <c r="B341">
        <v>1</v>
      </c>
      <c r="C341" t="s">
        <v>7</v>
      </c>
      <c r="E341" t="s">
        <v>3</v>
      </c>
      <c r="F341" t="s">
        <v>15</v>
      </c>
      <c r="G341" t="s">
        <v>16</v>
      </c>
    </row>
    <row r="342" spans="1:7" x14ac:dyDescent="0.2">
      <c r="A342" t="s">
        <v>20</v>
      </c>
      <c r="B342">
        <v>1</v>
      </c>
      <c r="C342" t="s">
        <v>7</v>
      </c>
      <c r="E342" t="s">
        <v>3</v>
      </c>
      <c r="F342" t="s">
        <v>15</v>
      </c>
      <c r="G342" t="s">
        <v>21</v>
      </c>
    </row>
    <row r="346" spans="1:7" ht="16" x14ac:dyDescent="0.2">
      <c r="A346" s="1" t="s">
        <v>0</v>
      </c>
      <c r="B346" s="1" t="s">
        <v>337</v>
      </c>
    </row>
    <row r="347" spans="1:7" ht="16" x14ac:dyDescent="0.2">
      <c r="A347" s="16" t="s">
        <v>1</v>
      </c>
      <c r="B347" s="1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348" spans="1:7" x14ac:dyDescent="0.2">
      <c r="A348" t="s">
        <v>2</v>
      </c>
      <c r="B348" t="s">
        <v>3</v>
      </c>
    </row>
    <row r="349" spans="1:7" x14ac:dyDescent="0.2">
      <c r="A349" t="s">
        <v>4</v>
      </c>
      <c r="B349">
        <v>1</v>
      </c>
    </row>
    <row r="350" spans="1:7" x14ac:dyDescent="0.2">
      <c r="A350" t="s">
        <v>5</v>
      </c>
      <c r="B350" t="s">
        <v>115</v>
      </c>
    </row>
    <row r="351" spans="1:7" x14ac:dyDescent="0.2">
      <c r="A351" t="s">
        <v>6</v>
      </c>
      <c r="B351" t="s">
        <v>7</v>
      </c>
    </row>
    <row r="352" spans="1:7" x14ac:dyDescent="0.2">
      <c r="A352" t="s">
        <v>8</v>
      </c>
      <c r="B352" t="s">
        <v>305</v>
      </c>
    </row>
    <row r="353" spans="1:8" x14ac:dyDescent="0.2">
      <c r="A353" s="2" t="s">
        <v>9</v>
      </c>
    </row>
    <row r="354" spans="1:8" x14ac:dyDescent="0.2">
      <c r="A354" t="s">
        <v>10</v>
      </c>
      <c r="B354" t="s">
        <v>11</v>
      </c>
      <c r="C354" t="s">
        <v>6</v>
      </c>
      <c r="D354" t="s">
        <v>42</v>
      </c>
      <c r="E354" t="s">
        <v>2</v>
      </c>
      <c r="F354" t="s">
        <v>12</v>
      </c>
      <c r="G354" t="s">
        <v>5</v>
      </c>
      <c r="H354" t="s">
        <v>1</v>
      </c>
    </row>
    <row r="355" spans="1:8" x14ac:dyDescent="0.2">
      <c r="A355" t="s">
        <v>337</v>
      </c>
      <c r="B355">
        <v>1</v>
      </c>
      <c r="C355" t="s">
        <v>7</v>
      </c>
      <c r="E355" t="s">
        <v>3</v>
      </c>
      <c r="F355" t="s">
        <v>13</v>
      </c>
      <c r="G355" t="s">
        <v>115</v>
      </c>
    </row>
    <row r="356" spans="1:8" x14ac:dyDescent="0.2">
      <c r="A356" t="s">
        <v>116</v>
      </c>
      <c r="B356" s="5">
        <v>0.28</v>
      </c>
      <c r="C356" t="s">
        <v>7</v>
      </c>
      <c r="E356" t="s">
        <v>3</v>
      </c>
      <c r="F356" t="s">
        <v>15</v>
      </c>
      <c r="G356" t="s">
        <v>117</v>
      </c>
    </row>
    <row r="357" spans="1:8" x14ac:dyDescent="0.2">
      <c r="A357" t="s">
        <v>40</v>
      </c>
      <c r="B357" s="5">
        <v>0.13</v>
      </c>
      <c r="C357" t="s">
        <v>7</v>
      </c>
      <c r="E357" t="s">
        <v>3</v>
      </c>
      <c r="F357" t="s">
        <v>15</v>
      </c>
      <c r="G357" t="s">
        <v>41</v>
      </c>
    </row>
    <row r="358" spans="1:8" x14ac:dyDescent="0.2">
      <c r="A358" t="s">
        <v>118</v>
      </c>
      <c r="B358" s="4">
        <v>0.044</v>
      </c>
      <c r="C358" t="s">
        <v>7</v>
      </c>
      <c r="E358" t="s">
        <v>3</v>
      </c>
      <c r="F358" t="s">
        <v>15</v>
      </c>
      <c r="G358" t="s">
        <v>119</v>
      </c>
    </row>
    <row r="359" spans="1:8" x14ac:dyDescent="0.2">
      <c r="A359" t="s">
        <v>336</v>
      </c>
      <c r="B359" s="5">
        <v>0.38</v>
      </c>
      <c r="C359" t="s">
        <v>7</v>
      </c>
      <c r="E359" t="s">
        <v>3</v>
      </c>
      <c r="F359" t="s">
        <v>15</v>
      </c>
      <c r="G359" t="s">
        <v>120</v>
      </c>
    </row>
    <row r="360" spans="1:8" x14ac:dyDescent="0.2">
      <c r="A360" t="s">
        <v>333</v>
      </c>
      <c r="B360" s="5">
        <v>0.22</v>
      </c>
      <c r="C360" t="s">
        <v>7</v>
      </c>
      <c r="E360" t="s">
        <v>3</v>
      </c>
      <c r="F360" t="s">
        <v>15</v>
      </c>
      <c r="G360" t="s">
        <v>106</v>
      </c>
    </row>
    <row r="361" spans="1:8" x14ac:dyDescent="0.2">
      <c r="A361" t="s">
        <v>22</v>
      </c>
      <c r="B361" s="8">
        <f>0.00629*1000</f>
        <v>6.2899999999999991</v>
      </c>
      <c r="C361" t="s">
        <v>23</v>
      </c>
      <c r="E361" t="s">
        <v>54</v>
      </c>
      <c r="F361" t="s">
        <v>15</v>
      </c>
      <c r="G361" t="s">
        <v>24</v>
      </c>
      <c r="H361" t="s">
        <v>379</v>
      </c>
    </row>
    <row r="362" spans="1:8" x14ac:dyDescent="0.2">
      <c r="A362" t="s">
        <v>33</v>
      </c>
      <c r="B362" s="3">
        <f>0.00049*1000</f>
        <v>0.49</v>
      </c>
      <c r="C362" t="s">
        <v>34</v>
      </c>
      <c r="E362" t="s">
        <v>17</v>
      </c>
      <c r="F362" t="s">
        <v>15</v>
      </c>
      <c r="G362" t="s">
        <v>35</v>
      </c>
      <c r="H362" t="s">
        <v>379</v>
      </c>
    </row>
    <row r="363" spans="1:8" x14ac:dyDescent="0.2">
      <c r="A363" t="s">
        <v>80</v>
      </c>
      <c r="B363" s="4">
        <f>0.0164*1000</f>
        <v>16.400000000000002</v>
      </c>
      <c r="C363" t="s">
        <v>34</v>
      </c>
      <c r="E363" t="s">
        <v>3</v>
      </c>
      <c r="F363" t="s">
        <v>15</v>
      </c>
      <c r="G363" t="s">
        <v>81</v>
      </c>
      <c r="H363" t="s">
        <v>379</v>
      </c>
    </row>
    <row r="364" spans="1:8" x14ac:dyDescent="0.2">
      <c r="A364" t="s">
        <v>53</v>
      </c>
      <c r="B364" s="4">
        <v>-0.054</v>
      </c>
      <c r="C364" t="s">
        <v>7</v>
      </c>
      <c r="E364" t="s">
        <v>17</v>
      </c>
      <c r="F364" t="s">
        <v>15</v>
      </c>
      <c r="G364" t="s">
        <v>55</v>
      </c>
    </row>
    <row r="365" spans="1:8" x14ac:dyDescent="0.2">
      <c r="B365" s="8"/>
    </row>
    <row r="366" spans="1:8" x14ac:dyDescent="0.2">
      <c r="B366" s="8"/>
    </row>
    <row r="368" spans="1:8" ht="16" x14ac:dyDescent="0.2">
      <c r="A368" s="1" t="s">
        <v>0</v>
      </c>
      <c r="B368" s="1" t="s">
        <v>338</v>
      </c>
    </row>
    <row r="369" spans="1:8" ht="16" x14ac:dyDescent="0.2">
      <c r="A369" s="16" t="s">
        <v>1</v>
      </c>
      <c r="B369" s="16" t="s">
        <v>408</v>
      </c>
    </row>
    <row r="370" spans="1:8" x14ac:dyDescent="0.2">
      <c r="A370" t="s">
        <v>2</v>
      </c>
      <c r="B370" t="s">
        <v>3</v>
      </c>
    </row>
    <row r="371" spans="1:8" x14ac:dyDescent="0.2">
      <c r="A371" t="s">
        <v>4</v>
      </c>
      <c r="B371">
        <v>1</v>
      </c>
    </row>
    <row r="372" spans="1:8" x14ac:dyDescent="0.2">
      <c r="A372" t="s">
        <v>5</v>
      </c>
      <c r="B372" t="s">
        <v>121</v>
      </c>
    </row>
    <row r="373" spans="1:8" x14ac:dyDescent="0.2">
      <c r="A373" t="s">
        <v>6</v>
      </c>
      <c r="B373" t="s">
        <v>7</v>
      </c>
    </row>
    <row r="374" spans="1:8" x14ac:dyDescent="0.2">
      <c r="A374" t="s">
        <v>8</v>
      </c>
      <c r="B374" t="s">
        <v>306</v>
      </c>
    </row>
    <row r="375" spans="1:8" x14ac:dyDescent="0.2">
      <c r="A375" s="2" t="s">
        <v>9</v>
      </c>
    </row>
    <row r="376" spans="1:8" x14ac:dyDescent="0.2">
      <c r="A376" t="s">
        <v>10</v>
      </c>
      <c r="B376" t="s">
        <v>11</v>
      </c>
      <c r="C376" t="s">
        <v>6</v>
      </c>
      <c r="D376" t="s">
        <v>42</v>
      </c>
      <c r="E376" t="s">
        <v>2</v>
      </c>
      <c r="F376" t="s">
        <v>12</v>
      </c>
      <c r="G376" t="s">
        <v>5</v>
      </c>
      <c r="H376" t="s">
        <v>1</v>
      </c>
    </row>
    <row r="377" spans="1:8" x14ac:dyDescent="0.2">
      <c r="A377" t="s">
        <v>338</v>
      </c>
      <c r="B377">
        <v>1</v>
      </c>
      <c r="C377" t="s">
        <v>7</v>
      </c>
      <c r="E377" t="s">
        <v>3</v>
      </c>
      <c r="F377" t="s">
        <v>13</v>
      </c>
      <c r="G377" t="s">
        <v>121</v>
      </c>
    </row>
    <row r="378" spans="1:8" ht="16" x14ac:dyDescent="0.2">
      <c r="A378" s="16" t="s">
        <v>366</v>
      </c>
      <c r="B378" s="5">
        <v>0.28000000000000003</v>
      </c>
      <c r="C378" t="s">
        <v>7</v>
      </c>
      <c r="E378" t="s">
        <v>3</v>
      </c>
      <c r="F378" t="s">
        <v>15</v>
      </c>
      <c r="G378" t="s">
        <v>367</v>
      </c>
    </row>
    <row r="379" spans="1:8" x14ac:dyDescent="0.2">
      <c r="A379" t="s">
        <v>329</v>
      </c>
      <c r="B379" s="5">
        <v>0.32</v>
      </c>
      <c r="C379" t="s">
        <v>7</v>
      </c>
      <c r="E379" t="s">
        <v>3</v>
      </c>
      <c r="F379" t="s">
        <v>15</v>
      </c>
      <c r="G379" t="s">
        <v>122</v>
      </c>
    </row>
    <row r="380" spans="1:8" x14ac:dyDescent="0.2">
      <c r="A380" t="s">
        <v>330</v>
      </c>
      <c r="B380" s="4">
        <v>1.7999999999999999E-2</v>
      </c>
      <c r="C380" t="s">
        <v>7</v>
      </c>
      <c r="E380" t="s">
        <v>3</v>
      </c>
      <c r="F380" t="s">
        <v>15</v>
      </c>
      <c r="G380" t="s">
        <v>125</v>
      </c>
    </row>
    <row r="381" spans="1:8" x14ac:dyDescent="0.2">
      <c r="A381" t="s">
        <v>123</v>
      </c>
      <c r="B381" s="5">
        <v>0.39</v>
      </c>
      <c r="C381" t="s">
        <v>7</v>
      </c>
      <c r="E381" t="s">
        <v>17</v>
      </c>
      <c r="F381" t="s">
        <v>15</v>
      </c>
      <c r="G381" t="s">
        <v>124</v>
      </c>
    </row>
    <row r="382" spans="1:8" x14ac:dyDescent="0.2">
      <c r="A382" t="s">
        <v>68</v>
      </c>
      <c r="B382" s="7">
        <v>1.6</v>
      </c>
      <c r="C382" t="s">
        <v>7</v>
      </c>
      <c r="E382" t="s">
        <v>17</v>
      </c>
      <c r="F382" t="s">
        <v>15</v>
      </c>
      <c r="G382" t="s">
        <v>69</v>
      </c>
    </row>
    <row r="383" spans="1:8" x14ac:dyDescent="0.2">
      <c r="A383" t="s">
        <v>22</v>
      </c>
      <c r="B383" s="13">
        <f>0.0000247*1000</f>
        <v>2.47E-2</v>
      </c>
      <c r="C383" t="s">
        <v>23</v>
      </c>
      <c r="E383" t="s">
        <v>54</v>
      </c>
      <c r="F383" t="s">
        <v>15</v>
      </c>
      <c r="G383" t="s">
        <v>24</v>
      </c>
      <c r="H383" t="s">
        <v>379</v>
      </c>
    </row>
    <row r="384" spans="1:8" x14ac:dyDescent="0.2">
      <c r="A384" t="s">
        <v>33</v>
      </c>
      <c r="B384" s="13">
        <f>0.00042*1000</f>
        <v>0.42000000000000004</v>
      </c>
      <c r="C384" t="s">
        <v>34</v>
      </c>
      <c r="E384" t="s">
        <v>17</v>
      </c>
      <c r="F384" t="s">
        <v>15</v>
      </c>
      <c r="G384" t="s">
        <v>35</v>
      </c>
      <c r="H384" t="s">
        <v>379</v>
      </c>
    </row>
    <row r="385" spans="1:8" x14ac:dyDescent="0.2">
      <c r="A385" t="s">
        <v>80</v>
      </c>
      <c r="B385" s="13">
        <f>0.00036*1000</f>
        <v>0.36000000000000004</v>
      </c>
      <c r="C385" t="s">
        <v>34</v>
      </c>
      <c r="E385" t="s">
        <v>3</v>
      </c>
      <c r="F385" t="s">
        <v>15</v>
      </c>
      <c r="G385" t="s">
        <v>81</v>
      </c>
      <c r="H385" t="s">
        <v>379</v>
      </c>
    </row>
    <row r="386" spans="1:8" x14ac:dyDescent="0.2">
      <c r="B386" s="8"/>
    </row>
    <row r="387" spans="1:8" x14ac:dyDescent="0.2">
      <c r="B387" s="8"/>
    </row>
    <row r="388" spans="1:8" x14ac:dyDescent="0.2">
      <c r="B388" s="8"/>
    </row>
    <row r="389" spans="1:8" ht="16" x14ac:dyDescent="0.2">
      <c r="A389" s="11" t="s">
        <v>0</v>
      </c>
      <c r="B389" s="11" t="s">
        <v>339</v>
      </c>
      <c r="C389" s="11"/>
      <c r="D389" s="15"/>
      <c r="E389" s="15"/>
      <c r="F389" s="15"/>
      <c r="G389" s="15"/>
    </row>
    <row r="390" spans="1:8" ht="16" x14ac:dyDescent="0.2">
      <c r="A390" s="22" t="s">
        <v>1</v>
      </c>
      <c r="B390" s="22" t="s">
        <v>408</v>
      </c>
      <c r="C390" s="11"/>
      <c r="D390" s="15"/>
      <c r="E390" s="15"/>
      <c r="F390" s="15"/>
      <c r="G390" s="15"/>
    </row>
    <row r="391" spans="1:8" x14ac:dyDescent="0.2">
      <c r="A391" s="15" t="s">
        <v>2</v>
      </c>
      <c r="B391" s="15" t="s">
        <v>3</v>
      </c>
      <c r="C391" s="15"/>
      <c r="D391" s="15"/>
      <c r="E391" s="15"/>
      <c r="F391" s="15"/>
      <c r="G391" s="15"/>
    </row>
    <row r="392" spans="1:8" x14ac:dyDescent="0.2">
      <c r="A392" s="15" t="s">
        <v>4</v>
      </c>
      <c r="B392" s="15">
        <v>1</v>
      </c>
      <c r="C392" s="15"/>
      <c r="D392" s="15"/>
      <c r="E392" s="15"/>
      <c r="F392" s="15"/>
      <c r="G392" s="15"/>
    </row>
    <row r="393" spans="1:8" x14ac:dyDescent="0.2">
      <c r="A393" s="15" t="s">
        <v>5</v>
      </c>
      <c r="B393" s="15" t="s">
        <v>126</v>
      </c>
      <c r="C393" s="15"/>
      <c r="D393" s="15"/>
      <c r="E393" s="15"/>
      <c r="F393" s="15"/>
      <c r="G393" s="15"/>
    </row>
    <row r="394" spans="1:8" x14ac:dyDescent="0.2">
      <c r="A394" s="15" t="s">
        <v>6</v>
      </c>
      <c r="B394" s="15" t="s">
        <v>7</v>
      </c>
      <c r="C394" s="15"/>
      <c r="D394" s="15"/>
      <c r="E394" s="15"/>
      <c r="F394" s="15"/>
      <c r="G394" s="15"/>
    </row>
    <row r="395" spans="1:8" x14ac:dyDescent="0.2">
      <c r="A395" s="15" t="s">
        <v>8</v>
      </c>
      <c r="B395" s="15" t="s">
        <v>307</v>
      </c>
      <c r="C395" s="15"/>
      <c r="D395" s="15"/>
      <c r="E395" s="15"/>
      <c r="F395" s="15"/>
      <c r="G395" s="15"/>
    </row>
    <row r="396" spans="1:8" x14ac:dyDescent="0.2">
      <c r="A396" s="19" t="s">
        <v>9</v>
      </c>
      <c r="B396" s="15"/>
      <c r="C396" s="15"/>
      <c r="D396" s="15"/>
      <c r="E396" s="15"/>
      <c r="F396" s="15"/>
      <c r="G396" s="15"/>
    </row>
    <row r="397" spans="1:8" x14ac:dyDescent="0.2">
      <c r="A397" s="15" t="s">
        <v>10</v>
      </c>
      <c r="B397" s="15" t="s">
        <v>11</v>
      </c>
      <c r="C397" s="15" t="s">
        <v>6</v>
      </c>
      <c r="D397" s="15" t="s">
        <v>42</v>
      </c>
      <c r="E397" s="15" t="s">
        <v>2</v>
      </c>
      <c r="F397" s="15" t="s">
        <v>12</v>
      </c>
      <c r="G397" s="15" t="s">
        <v>5</v>
      </c>
    </row>
    <row r="398" spans="1:8" x14ac:dyDescent="0.2">
      <c r="A398" s="15" t="s">
        <v>339</v>
      </c>
      <c r="B398" s="15">
        <v>1</v>
      </c>
      <c r="C398" s="15" t="s">
        <v>7</v>
      </c>
      <c r="D398" s="15"/>
      <c r="E398" s="15" t="s">
        <v>3</v>
      </c>
      <c r="F398" s="15" t="s">
        <v>13</v>
      </c>
      <c r="G398" s="15" t="s">
        <v>126</v>
      </c>
    </row>
    <row r="399" spans="1:8" x14ac:dyDescent="0.2">
      <c r="A399" s="15" t="s">
        <v>288</v>
      </c>
      <c r="B399" s="15">
        <v>0.55000000000000004</v>
      </c>
      <c r="C399" s="15" t="s">
        <v>7</v>
      </c>
      <c r="D399" s="15"/>
      <c r="E399" s="15" t="s">
        <v>17</v>
      </c>
      <c r="F399" s="15" t="s">
        <v>15</v>
      </c>
      <c r="G399" s="15" t="s">
        <v>289</v>
      </c>
    </row>
    <row r="400" spans="1:8" x14ac:dyDescent="0.2">
      <c r="A400" s="15" t="s">
        <v>197</v>
      </c>
      <c r="B400" s="20">
        <v>0.129</v>
      </c>
      <c r="C400" s="15" t="s">
        <v>7</v>
      </c>
      <c r="D400" s="15"/>
      <c r="E400" s="15" t="s">
        <v>17</v>
      </c>
      <c r="F400" s="15" t="s">
        <v>15</v>
      </c>
      <c r="G400" s="15" t="s">
        <v>71</v>
      </c>
    </row>
    <row r="401" spans="1:8" x14ac:dyDescent="0.2">
      <c r="A401" s="15" t="s">
        <v>27</v>
      </c>
      <c r="B401" s="20">
        <v>0.13700000000000001</v>
      </c>
      <c r="C401" s="15" t="s">
        <v>7</v>
      </c>
      <c r="D401" s="15"/>
      <c r="E401" s="15" t="s">
        <v>3</v>
      </c>
      <c r="F401" s="15" t="s">
        <v>15</v>
      </c>
      <c r="G401" s="15" t="s">
        <v>28</v>
      </c>
    </row>
    <row r="402" spans="1:8" x14ac:dyDescent="0.2">
      <c r="A402" s="15" t="s">
        <v>36</v>
      </c>
      <c r="B402" s="20">
        <v>0.20599999999999999</v>
      </c>
      <c r="C402" s="15" t="s">
        <v>7</v>
      </c>
      <c r="D402" s="15"/>
      <c r="E402" s="15" t="s">
        <v>3</v>
      </c>
      <c r="F402" s="15" t="s">
        <v>15</v>
      </c>
      <c r="G402" s="15" t="s">
        <v>37</v>
      </c>
    </row>
    <row r="403" spans="1:8" x14ac:dyDescent="0.2">
      <c r="A403" s="15" t="s">
        <v>20</v>
      </c>
      <c r="B403" s="20">
        <v>0.66700000000000004</v>
      </c>
      <c r="C403" s="15" t="s">
        <v>7</v>
      </c>
      <c r="D403" s="15"/>
      <c r="E403" s="15" t="s">
        <v>3</v>
      </c>
      <c r="F403" s="15" t="s">
        <v>15</v>
      </c>
      <c r="G403" s="15" t="s">
        <v>21</v>
      </c>
    </row>
    <row r="404" spans="1:8" x14ac:dyDescent="0.2">
      <c r="A404" s="15" t="s">
        <v>438</v>
      </c>
      <c r="B404" s="15">
        <v>0.33</v>
      </c>
      <c r="C404" s="15" t="s">
        <v>7</v>
      </c>
      <c r="D404" s="15"/>
      <c r="E404" s="15" t="s">
        <v>3</v>
      </c>
      <c r="F404" s="15" t="s">
        <v>15</v>
      </c>
      <c r="G404" s="15" t="s">
        <v>439</v>
      </c>
    </row>
    <row r="405" spans="1:8" x14ac:dyDescent="0.2">
      <c r="A405" s="15"/>
      <c r="B405" s="15"/>
      <c r="C405" s="15"/>
      <c r="D405" s="15"/>
      <c r="E405" s="15"/>
      <c r="F405" s="15"/>
      <c r="G405" s="15"/>
    </row>
    <row r="406" spans="1:8" x14ac:dyDescent="0.2">
      <c r="A406" s="15"/>
      <c r="B406" s="15"/>
      <c r="C406" s="15"/>
      <c r="D406" s="15"/>
      <c r="E406" s="15"/>
      <c r="F406" s="15"/>
      <c r="G406" s="15"/>
    </row>
    <row r="407" spans="1:8" ht="16" x14ac:dyDescent="0.2">
      <c r="A407" s="11" t="s">
        <v>0</v>
      </c>
      <c r="B407" s="11" t="s">
        <v>340</v>
      </c>
      <c r="C407" s="11"/>
      <c r="D407" s="15"/>
      <c r="E407" s="15"/>
      <c r="F407" s="15"/>
      <c r="G407" s="15"/>
    </row>
    <row r="408" spans="1:8" ht="16" x14ac:dyDescent="0.2">
      <c r="A408" s="22" t="s">
        <v>1</v>
      </c>
      <c r="B408" s="22" t="s">
        <v>408</v>
      </c>
      <c r="C408" s="11"/>
      <c r="D408" s="15"/>
      <c r="E408" s="15"/>
      <c r="F408" s="15"/>
      <c r="G408" s="15"/>
    </row>
    <row r="409" spans="1:8" x14ac:dyDescent="0.2">
      <c r="A409" s="15" t="s">
        <v>2</v>
      </c>
      <c r="B409" s="15" t="s">
        <v>3</v>
      </c>
      <c r="C409" s="15"/>
      <c r="D409" s="15"/>
      <c r="E409" s="15"/>
      <c r="F409" s="15"/>
      <c r="G409" s="15"/>
    </row>
    <row r="410" spans="1:8" x14ac:dyDescent="0.2">
      <c r="A410" s="15" t="s">
        <v>4</v>
      </c>
      <c r="B410" s="15">
        <v>1</v>
      </c>
      <c r="C410" s="15"/>
      <c r="D410" s="15"/>
      <c r="E410" s="15"/>
      <c r="F410" s="15"/>
      <c r="G410" s="15"/>
    </row>
    <row r="411" spans="1:8" x14ac:dyDescent="0.2">
      <c r="A411" s="15" t="s">
        <v>5</v>
      </c>
      <c r="B411" s="15" t="s">
        <v>128</v>
      </c>
      <c r="C411" s="15"/>
      <c r="D411" s="15"/>
      <c r="E411" s="15"/>
      <c r="F411" s="15"/>
      <c r="G411" s="15"/>
    </row>
    <row r="412" spans="1:8" x14ac:dyDescent="0.2">
      <c r="A412" s="15" t="s">
        <v>6</v>
      </c>
      <c r="B412" s="15" t="s">
        <v>7</v>
      </c>
      <c r="C412" s="15"/>
      <c r="D412" s="15"/>
      <c r="E412" s="15"/>
      <c r="F412" s="15"/>
      <c r="G412" s="15"/>
    </row>
    <row r="413" spans="1:8" x14ac:dyDescent="0.2">
      <c r="A413" s="15" t="s">
        <v>8</v>
      </c>
      <c r="B413" s="15" t="s">
        <v>307</v>
      </c>
      <c r="C413" s="15"/>
      <c r="D413" s="15"/>
      <c r="E413" s="15"/>
      <c r="F413" s="15"/>
      <c r="G413" s="15"/>
    </row>
    <row r="414" spans="1:8" x14ac:dyDescent="0.2">
      <c r="A414" s="19" t="s">
        <v>9</v>
      </c>
      <c r="B414" s="15"/>
      <c r="C414" s="15"/>
      <c r="D414" s="15"/>
      <c r="E414" s="15"/>
      <c r="F414" s="15"/>
      <c r="G414" s="15"/>
    </row>
    <row r="415" spans="1:8" x14ac:dyDescent="0.2">
      <c r="A415" s="15" t="s">
        <v>10</v>
      </c>
      <c r="B415" s="15" t="s">
        <v>11</v>
      </c>
      <c r="C415" s="15" t="s">
        <v>6</v>
      </c>
      <c r="D415" s="15" t="s">
        <v>42</v>
      </c>
      <c r="E415" s="15" t="s">
        <v>2</v>
      </c>
      <c r="F415" s="15" t="s">
        <v>12</v>
      </c>
      <c r="G415" s="15" t="s">
        <v>5</v>
      </c>
      <c r="H415" s="15" t="s">
        <v>1</v>
      </c>
    </row>
    <row r="416" spans="1:8" x14ac:dyDescent="0.2">
      <c r="A416" s="15" t="s">
        <v>340</v>
      </c>
      <c r="B416">
        <v>1</v>
      </c>
      <c r="C416" t="s">
        <v>7</v>
      </c>
      <c r="E416" t="s">
        <v>3</v>
      </c>
      <c r="F416" t="s">
        <v>13</v>
      </c>
      <c r="G416" t="s">
        <v>128</v>
      </c>
    </row>
    <row r="417" spans="1:8" x14ac:dyDescent="0.2">
      <c r="A417" s="15" t="s">
        <v>197</v>
      </c>
      <c r="B417">
        <v>0.81</v>
      </c>
      <c r="C417" s="15" t="s">
        <v>7</v>
      </c>
      <c r="E417" s="15" t="s">
        <v>17</v>
      </c>
      <c r="F417" s="15" t="s">
        <v>15</v>
      </c>
      <c r="G417" t="s">
        <v>71</v>
      </c>
    </row>
    <row r="418" spans="1:8" x14ac:dyDescent="0.2">
      <c r="A418" s="15" t="s">
        <v>288</v>
      </c>
      <c r="B418">
        <v>0.2</v>
      </c>
      <c r="C418" s="15" t="s">
        <v>7</v>
      </c>
      <c r="E418" s="15" t="s">
        <v>17</v>
      </c>
      <c r="F418" s="15" t="s">
        <v>15</v>
      </c>
      <c r="G418" t="s">
        <v>289</v>
      </c>
    </row>
    <row r="419" spans="1:8" x14ac:dyDescent="0.2">
      <c r="A419" s="15" t="s">
        <v>20</v>
      </c>
      <c r="B419">
        <v>1</v>
      </c>
      <c r="C419" s="15" t="s">
        <v>7</v>
      </c>
      <c r="E419" s="15" t="s">
        <v>3</v>
      </c>
      <c r="F419" s="15" t="s">
        <v>15</v>
      </c>
      <c r="G419" t="s">
        <v>21</v>
      </c>
      <c r="H419" s="15" t="s">
        <v>380</v>
      </c>
    </row>
    <row r="420" spans="1:8" x14ac:dyDescent="0.2">
      <c r="A420" s="15" t="s">
        <v>58</v>
      </c>
      <c r="B420" s="3">
        <v>1.5E-10</v>
      </c>
      <c r="C420" s="15" t="s">
        <v>6</v>
      </c>
      <c r="E420" s="15" t="s">
        <v>3</v>
      </c>
      <c r="F420" s="15" t="s">
        <v>15</v>
      </c>
      <c r="G420" t="s">
        <v>59</v>
      </c>
    </row>
    <row r="421" spans="1:8" x14ac:dyDescent="0.2">
      <c r="A421" s="15"/>
      <c r="C421" s="15"/>
      <c r="E421" s="15"/>
      <c r="F421" s="15"/>
    </row>
    <row r="422" spans="1:8" x14ac:dyDescent="0.2">
      <c r="A422" s="15"/>
      <c r="C422" s="15"/>
      <c r="E422" s="15"/>
      <c r="F422" s="15"/>
    </row>
    <row r="423" spans="1:8" ht="16" x14ac:dyDescent="0.2">
      <c r="A423" s="11" t="s">
        <v>0</v>
      </c>
      <c r="B423" s="11" t="s">
        <v>341</v>
      </c>
      <c r="C423" s="11"/>
      <c r="D423" s="15"/>
      <c r="E423" s="15"/>
      <c r="F423" s="15"/>
      <c r="G423" s="15"/>
    </row>
    <row r="424" spans="1:8" ht="16" x14ac:dyDescent="0.2">
      <c r="A424" s="22" t="s">
        <v>1</v>
      </c>
      <c r="B424" s="22" t="s">
        <v>408</v>
      </c>
      <c r="C424" s="11"/>
      <c r="D424" s="15"/>
      <c r="E424" s="15"/>
      <c r="F424" s="15"/>
      <c r="G424" s="15"/>
    </row>
    <row r="425" spans="1:8" x14ac:dyDescent="0.2">
      <c r="A425" s="15" t="s">
        <v>2</v>
      </c>
      <c r="B425" s="15" t="s">
        <v>3</v>
      </c>
      <c r="C425" s="15"/>
      <c r="D425" s="15"/>
      <c r="E425" s="15"/>
      <c r="F425" s="15"/>
      <c r="G425" s="15"/>
    </row>
    <row r="426" spans="1:8" x14ac:dyDescent="0.2">
      <c r="A426" s="15" t="s">
        <v>4</v>
      </c>
      <c r="B426" s="15">
        <v>1</v>
      </c>
      <c r="C426" s="15"/>
      <c r="D426" s="15"/>
      <c r="E426" s="15"/>
      <c r="F426" s="15"/>
      <c r="G426" s="15"/>
    </row>
    <row r="427" spans="1:8" x14ac:dyDescent="0.2">
      <c r="A427" s="15" t="s">
        <v>5</v>
      </c>
      <c r="B427" s="15" t="s">
        <v>127</v>
      </c>
      <c r="C427" s="15"/>
      <c r="D427" s="15"/>
      <c r="E427" s="15"/>
      <c r="F427" s="15"/>
      <c r="G427" s="15"/>
    </row>
    <row r="428" spans="1:8" x14ac:dyDescent="0.2">
      <c r="A428" s="15" t="s">
        <v>6</v>
      </c>
      <c r="B428" s="15" t="s">
        <v>7</v>
      </c>
      <c r="C428" s="15"/>
      <c r="D428" s="15"/>
      <c r="E428" s="15"/>
      <c r="F428" s="15"/>
      <c r="G428" s="15"/>
    </row>
    <row r="429" spans="1:8" x14ac:dyDescent="0.2">
      <c r="A429" s="15" t="s">
        <v>8</v>
      </c>
      <c r="B429" s="15"/>
      <c r="C429" s="15"/>
      <c r="D429" s="15"/>
      <c r="E429" s="15"/>
      <c r="F429" s="15"/>
      <c r="G429" s="15"/>
    </row>
    <row r="430" spans="1:8" x14ac:dyDescent="0.2">
      <c r="A430" s="19" t="s">
        <v>9</v>
      </c>
      <c r="B430" s="15"/>
      <c r="C430" s="15"/>
      <c r="D430" s="15"/>
      <c r="E430" s="15"/>
      <c r="F430" s="15"/>
      <c r="G430" s="15"/>
    </row>
    <row r="431" spans="1:8" x14ac:dyDescent="0.2">
      <c r="A431" s="15" t="s">
        <v>10</v>
      </c>
      <c r="B431" s="15" t="s">
        <v>11</v>
      </c>
      <c r="C431" s="15" t="s">
        <v>6</v>
      </c>
      <c r="D431" s="15" t="s">
        <v>42</v>
      </c>
      <c r="E431" s="15" t="s">
        <v>2</v>
      </c>
      <c r="F431" s="15" t="s">
        <v>12</v>
      </c>
      <c r="G431" s="15" t="s">
        <v>5</v>
      </c>
    </row>
    <row r="432" spans="1:8" x14ac:dyDescent="0.2">
      <c r="A432" s="15" t="s">
        <v>341</v>
      </c>
      <c r="B432" s="15">
        <v>1</v>
      </c>
      <c r="C432" s="15" t="s">
        <v>7</v>
      </c>
      <c r="D432" s="15"/>
      <c r="E432" s="15" t="s">
        <v>3</v>
      </c>
      <c r="F432" s="15" t="s">
        <v>13</v>
      </c>
      <c r="G432" s="15" t="s">
        <v>127</v>
      </c>
    </row>
    <row r="433" spans="1:8" x14ac:dyDescent="0.2">
      <c r="A433" s="15" t="s">
        <v>202</v>
      </c>
      <c r="B433" s="15">
        <v>1</v>
      </c>
      <c r="C433" s="15" t="s">
        <v>7</v>
      </c>
      <c r="D433" s="15"/>
      <c r="E433" s="15" t="s">
        <v>3</v>
      </c>
      <c r="F433" s="15" t="s">
        <v>15</v>
      </c>
      <c r="G433" s="15" t="s">
        <v>203</v>
      </c>
    </row>
    <row r="434" spans="1:8" x14ac:dyDescent="0.2">
      <c r="A434" s="15" t="s">
        <v>290</v>
      </c>
      <c r="B434" s="15">
        <v>1</v>
      </c>
      <c r="C434" s="15" t="s">
        <v>7</v>
      </c>
      <c r="D434" s="15"/>
      <c r="E434" s="15" t="s">
        <v>3</v>
      </c>
      <c r="F434" s="15" t="s">
        <v>15</v>
      </c>
      <c r="G434" s="15" t="s">
        <v>291</v>
      </c>
    </row>
    <row r="435" spans="1:8" x14ac:dyDescent="0.2">
      <c r="A435" s="15" t="s">
        <v>247</v>
      </c>
      <c r="B435" s="21">
        <v>4.6000000000000001E-10</v>
      </c>
      <c r="C435" s="15" t="s">
        <v>7</v>
      </c>
      <c r="D435" s="15"/>
      <c r="E435" s="15" t="s">
        <v>3</v>
      </c>
      <c r="F435" s="15" t="s">
        <v>15</v>
      </c>
      <c r="G435" s="15" t="s">
        <v>206</v>
      </c>
    </row>
    <row r="436" spans="1:8" x14ac:dyDescent="0.2">
      <c r="A436" s="15"/>
      <c r="B436" s="15"/>
      <c r="C436" s="15"/>
      <c r="D436" s="15"/>
      <c r="E436" s="15"/>
      <c r="F436" s="15"/>
      <c r="G436" s="15"/>
    </row>
    <row r="437" spans="1:8" x14ac:dyDescent="0.2">
      <c r="A437" s="15"/>
      <c r="B437" s="15"/>
      <c r="C437" s="15"/>
      <c r="D437" s="15"/>
      <c r="E437" s="15"/>
      <c r="F437" s="15"/>
      <c r="G437" s="15"/>
    </row>
    <row r="438" spans="1:8" x14ac:dyDescent="0.2">
      <c r="A438" s="15"/>
    </row>
    <row r="439" spans="1:8" ht="16" x14ac:dyDescent="0.2">
      <c r="A439" s="1" t="s">
        <v>0</v>
      </c>
      <c r="B439" s="1" t="s">
        <v>443</v>
      </c>
    </row>
    <row r="440" spans="1:8" ht="16" x14ac:dyDescent="0.2">
      <c r="A440" s="16" t="s">
        <v>1</v>
      </c>
      <c r="B440" s="2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A cell weight of 46 g is modeled, due to the slight difference in cell weight of the different cell compositions. The number of formed cells required to provide the function depends on the specific energy density. Consequently, fewer cells are required in the technical performance and combined scenarios because of the higher specific energy density considered in those scenarios. SI. S3.6.6. Source: Wickerts et al. (2023). Prospective Life Cycle Assessment of Lithium-Sulfur Batteries for Stationary Energy Storage. ACS Sustainable Chemistry &amp; Engineering. https://doi.org/10.1021/acssuschemeng.3c00141</t>
        </is>
      </c>
    </row>
    <row r="441" spans="1:8" x14ac:dyDescent="0.2">
      <c r="A441" t="s">
        <v>2</v>
      </c>
      <c r="B441" t="s">
        <v>3</v>
      </c>
    </row>
    <row r="442" spans="1:8" x14ac:dyDescent="0.2">
      <c r="A442" t="s">
        <v>4</v>
      </c>
      <c r="B442">
        <v>1</v>
      </c>
    </row>
    <row r="443" spans="1:8" x14ac:dyDescent="0.2">
      <c r="A443" t="s">
        <v>5</v>
      </c>
      <c r="B443" t="s">
        <v>441</v>
      </c>
    </row>
    <row r="444" spans="1:8" x14ac:dyDescent="0.2">
      <c r="A444" t="s">
        <v>6</v>
      </c>
      <c r="B444" t="s">
        <v>7</v>
      </c>
    </row>
    <row r="445" spans="1:8" x14ac:dyDescent="0.2">
      <c r="A445" t="s">
        <v>8</v>
      </c>
      <c r="B445" t="s">
        <v>308</v>
      </c>
    </row>
    <row r="446" spans="1:8" x14ac:dyDescent="0.2">
      <c r="A446" s="2" t="s">
        <v>9</v>
      </c>
    </row>
    <row r="447" spans="1:8" x14ac:dyDescent="0.2">
      <c r="A447" t="s">
        <v>10</v>
      </c>
      <c r="B447" t="s">
        <v>11</v>
      </c>
      <c r="C447" t="s">
        <v>6</v>
      </c>
      <c r="D447" t="s">
        <v>42</v>
      </c>
      <c r="E447" t="s">
        <v>2</v>
      </c>
      <c r="F447" t="s">
        <v>12</v>
      </c>
      <c r="G447" t="s">
        <v>5</v>
      </c>
      <c r="H447" t="s">
        <v>1</v>
      </c>
    </row>
    <row r="448" spans="1:8" x14ac:dyDescent="0.2">
      <c r="A448" t="s">
        <v>443</v>
      </c>
      <c r="B448">
        <v>1</v>
      </c>
      <c r="C448" t="s">
        <v>7</v>
      </c>
      <c r="E448" t="s">
        <v>3</v>
      </c>
      <c r="F448" t="s">
        <v>13</v>
      </c>
      <c r="G448" t="s">
        <v>441</v>
      </c>
    </row>
    <row r="449" spans="1:8" x14ac:dyDescent="0.2">
      <c r="A449" t="s">
        <v>334</v>
      </c>
      <c r="B449" s="3">
        <f>0.004/0.047319</f>
        <v>0.08453264016568397</v>
      </c>
      <c r="C449" t="s">
        <v>7</v>
      </c>
      <c r="E449" t="s">
        <v>3</v>
      </c>
      <c r="F449" t="s">
        <v>15</v>
      </c>
      <c r="G449" t="s">
        <v>109</v>
      </c>
      <c r="H449" t="s">
        <v>406</v>
      </c>
    </row>
    <row r="450" spans="1:8" x14ac:dyDescent="0.2">
      <c r="A450" t="s">
        <v>335</v>
      </c>
      <c r="B450" s="3">
        <f>0.006/0.047319</f>
        <v>0.12679896024852597</v>
      </c>
      <c r="C450" t="s">
        <v>7</v>
      </c>
      <c r="E450" t="s">
        <v>3</v>
      </c>
      <c r="F450" t="s">
        <v>15</v>
      </c>
      <c r="G450" t="s">
        <v>112</v>
      </c>
      <c r="H450" t="s">
        <v>406</v>
      </c>
    </row>
    <row r="451" spans="1:8" x14ac:dyDescent="0.2">
      <c r="A451" t="s">
        <v>337</v>
      </c>
      <c r="B451" s="3">
        <f>0.008/0.047319</f>
        <v>0.16906528033136795</v>
      </c>
      <c r="C451" t="s">
        <v>7</v>
      </c>
      <c r="E451" t="s">
        <v>3</v>
      </c>
      <c r="F451" t="s">
        <v>15</v>
      </c>
      <c r="G451" t="s">
        <v>115</v>
      </c>
      <c r="H451" t="s">
        <v>406</v>
      </c>
    </row>
    <row r="452" spans="1:8" x14ac:dyDescent="0.2">
      <c r="A452" t="s">
        <v>338</v>
      </c>
      <c r="B452" s="3">
        <f>0.029/0.047319</f>
        <v>0.6128616412012089</v>
      </c>
      <c r="C452" t="s">
        <v>7</v>
      </c>
      <c r="E452" t="s">
        <v>3</v>
      </c>
      <c r="F452" t="s">
        <v>15</v>
      </c>
      <c r="G452" t="s">
        <v>121</v>
      </c>
      <c r="H452" t="s">
        <v>406</v>
      </c>
    </row>
    <row r="453" spans="1:8" x14ac:dyDescent="0.2">
      <c r="A453" t="s">
        <v>339</v>
      </c>
      <c r="B453" s="3">
        <f>0.00013/0.047319</f>
        <v>0.0027473108053847287</v>
      </c>
      <c r="C453" t="s">
        <v>7</v>
      </c>
      <c r="E453" t="s">
        <v>3</v>
      </c>
      <c r="F453" t="s">
        <v>15</v>
      </c>
      <c r="G453" t="s">
        <v>126</v>
      </c>
      <c r="H453" t="s">
        <v>406</v>
      </c>
    </row>
    <row r="454" spans="1:8" x14ac:dyDescent="0.2">
      <c r="A454" t="s">
        <v>341</v>
      </c>
      <c r="B454" s="3">
        <f>0.00012/0.047319</f>
        <v>0.002535979204970519</v>
      </c>
      <c r="C454" t="s">
        <v>7</v>
      </c>
      <c r="E454" t="s">
        <v>3</v>
      </c>
      <c r="F454" t="s">
        <v>15</v>
      </c>
      <c r="G454" t="s">
        <v>127</v>
      </c>
      <c r="H454" t="s">
        <v>406</v>
      </c>
    </row>
    <row r="455" spans="1:8" x14ac:dyDescent="0.2">
      <c r="A455" t="s">
        <v>340</v>
      </c>
      <c r="B455" s="3">
        <f>6.9e-05/0.047319</f>
        <v>0.0014581880428580485</v>
      </c>
      <c r="C455" t="s">
        <v>7</v>
      </c>
      <c r="E455" t="s">
        <v>3</v>
      </c>
      <c r="F455" t="s">
        <v>15</v>
      </c>
      <c r="G455" t="s">
        <v>128</v>
      </c>
      <c r="H455" t="s">
        <v>406</v>
      </c>
    </row>
    <row r="456" spans="1:8" x14ac:dyDescent="0.2">
      <c r="A456" t="s">
        <v>51</v>
      </c>
      <c r="B456" s="3">
        <f>0.031/0.047319</f>
        <v>0.6551279612840508</v>
      </c>
      <c r="C456" t="s">
        <v>7</v>
      </c>
      <c r="E456" t="s">
        <v>17</v>
      </c>
      <c r="F456" t="s">
        <v>15</v>
      </c>
      <c r="G456" t="s">
        <v>52</v>
      </c>
      <c r="H456" t="s">
        <v>406</v>
      </c>
    </row>
    <row r="457" spans="1:8" x14ac:dyDescent="0.2">
      <c r="A457" t="s">
        <v>22</v>
      </c>
      <c r="B457" s="13">
        <f>0.046/0.047319</f>
        <v>0.9721253619053657</v>
      </c>
      <c r="C457" t="s">
        <v>23</v>
      </c>
      <c r="E457" t="s">
        <v>54</v>
      </c>
      <c r="F457" t="s">
        <v>15</v>
      </c>
      <c r="G457" t="s">
        <v>24</v>
      </c>
    </row>
    <row r="458" spans="1:8" x14ac:dyDescent="0.2">
      <c r="A458" t="s">
        <v>49</v>
      </c>
      <c r="B458" s="23">
        <f>-3.1e-05/0.047319</f>
        <v>-0.0006551279612840509</v>
      </c>
      <c r="C458" t="s">
        <v>45</v>
      </c>
      <c r="E458" t="s">
        <v>17</v>
      </c>
      <c r="F458" t="s">
        <v>15</v>
      </c>
      <c r="G458" t="s">
        <v>50</v>
      </c>
      <c r="H458" t="s">
        <v>372</v>
      </c>
    </row>
    <row r="459" spans="1:8" x14ac:dyDescent="0.2">
      <c r="B459" s="8"/>
    </row>
    <row r="460" spans="1:8" ht="16" x14ac:dyDescent="0.2">
      <c r="A460" s="1" t="s">
        <v>0</v>
      </c>
      <c r="B460" s="1" t="s">
        <v>440</v>
      </c>
    </row>
    <row r="461" spans="1:8" x14ac:dyDescent="0.2">
      <c r="A461" t="s">
        <v>1</v>
      </c>
      <c r="B461"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Source: Wickerts et al. (2023). Prospective Life Cycle Assessment of Lithium-Sulfur Batteries for Stationary Energy Storage. ACS Sustainable Chemistry &amp; Engineering. https://doi.org/10.1021/acssuschemeng.3c00141. Manufacturing of Li-S cells was based on the work by Chordia, M.; Nordelöf, A.; Ellingsen, L. A.-W. Environmental life cycle implications of upscaling lithium-ion battery production. Int. J. Life Cycle Assess. 2021, 26, 2024– 2039,  DOI: 10.1007/s11367-021-01976-0 8. Note that the factory construction and operation is included in this activity, and not in the "1 kWh storage capacity" as it is in the supporting information.</t>
        </is>
      </c>
      <c r="H461" s="5"/>
    </row>
    <row r="462" spans="1:8" x14ac:dyDescent="0.2">
      <c r="A462" t="s">
        <v>2</v>
      </c>
      <c r="B462" t="s">
        <v>3</v>
      </c>
    </row>
    <row r="463" spans="1:8" x14ac:dyDescent="0.2">
      <c r="A463" t="s">
        <v>4</v>
      </c>
      <c r="B463">
        <v>1</v>
      </c>
    </row>
    <row r="464" spans="1:8" x14ac:dyDescent="0.2">
      <c r="A464" t="s">
        <v>5</v>
      </c>
      <c r="B464" t="s">
        <v>407</v>
      </c>
    </row>
    <row r="465" spans="1:7" x14ac:dyDescent="0.2">
      <c r="A465" t="s">
        <v>6</v>
      </c>
      <c r="B465" t="s">
        <v>7</v>
      </c>
    </row>
    <row r="466" spans="1:7" x14ac:dyDescent="0.2">
      <c r="A466" t="s">
        <v>8</v>
      </c>
      <c r="B466" t="s">
        <v>444</v>
      </c>
    </row>
    <row r="467" spans="1:7" x14ac:dyDescent="0.2">
      <c r="A467" s="2" t="s">
        <v>9</v>
      </c>
    </row>
    <row r="468" spans="1:7" x14ac:dyDescent="0.2">
      <c r="A468" t="s">
        <v>10</v>
      </c>
      <c r="B468" t="s">
        <v>11</v>
      </c>
      <c r="C468" t="s">
        <v>6</v>
      </c>
      <c r="D468" t="s">
        <v>2</v>
      </c>
      <c r="E468" t="s">
        <v>12</v>
      </c>
      <c r="F468" t="s">
        <v>5</v>
      </c>
      <c r="G468" t="s">
        <v>1</v>
      </c>
    </row>
    <row r="469" spans="1:7" x14ac:dyDescent="0.2">
      <c r="A469" t="s">
        <v>440</v>
      </c>
      <c r="B469">
        <v>1</v>
      </c>
      <c r="C469" t="s">
        <v>7</v>
      </c>
      <c r="D469" t="s">
        <v>3</v>
      </c>
      <c r="E469" t="s">
        <v>13</v>
      </c>
      <c r="F469" t="s">
        <v>407</v>
      </c>
    </row>
    <row r="470" spans="1:7" x14ac:dyDescent="0.2">
      <c r="A470" t="s">
        <v>443</v>
      </c>
      <c r="B470">
        <v>1</v>
      </c>
      <c r="C470" t="s">
        <v>7</v>
      </c>
      <c r="D470" t="s">
        <v>3</v>
      </c>
      <c r="E470" t="s">
        <v>15</v>
      </c>
      <c r="F470" t="s">
        <v>441</v>
      </c>
    </row>
    <row r="471" spans="1:7" x14ac:dyDescent="0.2">
      <c r="A471" t="s">
        <v>22</v>
      </c>
      <c r="B471" s="5">
        <f>0.225/0.047319</f>
        <v>4.754961009319723</v>
      </c>
      <c r="C471" t="s">
        <v>23</v>
      </c>
      <c r="D471" t="s">
        <v>54</v>
      </c>
      <c r="E471" t="s">
        <v>15</v>
      </c>
      <c r="F471" t="s">
        <v>24</v>
      </c>
      <c r="G471" t="s">
        <v>417</v>
      </c>
    </row>
    <row r="472" spans="1:7" x14ac:dyDescent="0.2">
      <c r="A472" t="s">
        <v>342</v>
      </c>
      <c r="B472" s="13">
        <f>1.15e-08/0.047319</f>
        <v>2.4303134047634144e-07</v>
      </c>
      <c r="C472" t="s">
        <v>6</v>
      </c>
      <c r="D472" t="s">
        <v>3</v>
      </c>
      <c r="E472" t="s">
        <v>15</v>
      </c>
      <c r="F472" t="s">
        <v>133</v>
      </c>
      <c r="G472" t="s">
        <v>417</v>
      </c>
    </row>
    <row r="473" spans="1:7" x14ac:dyDescent="0.2">
      <c r="B473" s="8"/>
    </row>
    <row r="474" spans="1:7" ht="16" x14ac:dyDescent="0.2">
      <c r="A474" s="1" t="s">
        <v>0</v>
      </c>
      <c r="B474" s="1" t="s">
        <v>342</v>
      </c>
    </row>
    <row r="475" spans="1:7" x14ac:dyDescent="0.2">
      <c r="A475" t="s">
        <v>1</v>
      </c>
      <c r="B475" t="s">
        <v>411</v>
      </c>
    </row>
    <row r="476" spans="1:7" x14ac:dyDescent="0.2">
      <c r="A476" t="s">
        <v>2</v>
      </c>
      <c r="B476" t="s">
        <v>3</v>
      </c>
    </row>
    <row r="477" spans="1:7" x14ac:dyDescent="0.2">
      <c r="A477" t="s">
        <v>4</v>
      </c>
      <c r="B477">
        <v>1</v>
      </c>
    </row>
    <row r="478" spans="1:7" x14ac:dyDescent="0.2">
      <c r="A478" t="s">
        <v>5</v>
      </c>
      <c r="B478" t="s">
        <v>133</v>
      </c>
    </row>
    <row r="479" spans="1:7" x14ac:dyDescent="0.2">
      <c r="A479" t="s">
        <v>6</v>
      </c>
      <c r="B479" t="s">
        <v>6</v>
      </c>
    </row>
    <row r="480" spans="1:7" x14ac:dyDescent="0.2">
      <c r="A480" t="s">
        <v>8</v>
      </c>
      <c r="B480" t="s">
        <v>309</v>
      </c>
    </row>
    <row r="481" spans="1:7" x14ac:dyDescent="0.2">
      <c r="A481" s="2" t="s">
        <v>9</v>
      </c>
    </row>
    <row r="482" spans="1:7" x14ac:dyDescent="0.2">
      <c r="A482" t="s">
        <v>10</v>
      </c>
      <c r="B482" t="s">
        <v>11</v>
      </c>
      <c r="C482" t="s">
        <v>6</v>
      </c>
      <c r="D482" t="s">
        <v>2</v>
      </c>
      <c r="E482" t="s">
        <v>12</v>
      </c>
      <c r="F482" t="s">
        <v>5</v>
      </c>
      <c r="G482" t="s">
        <v>292</v>
      </c>
    </row>
    <row r="483" spans="1:7" x14ac:dyDescent="0.2">
      <c r="A483" t="s">
        <v>342</v>
      </c>
      <c r="B483">
        <v>1</v>
      </c>
      <c r="C483" t="s">
        <v>6</v>
      </c>
      <c r="D483" t="s">
        <v>3</v>
      </c>
      <c r="E483" t="s">
        <v>13</v>
      </c>
      <c r="F483" t="s">
        <v>133</v>
      </c>
    </row>
    <row r="484" spans="1:7" x14ac:dyDescent="0.2">
      <c r="A484" t="s">
        <v>129</v>
      </c>
      <c r="B484" s="4">
        <v>7.4999999999999997E-2</v>
      </c>
      <c r="C484" t="s">
        <v>6</v>
      </c>
      <c r="D484" t="s">
        <v>3</v>
      </c>
      <c r="E484" t="s">
        <v>15</v>
      </c>
      <c r="F484" t="s">
        <v>130</v>
      </c>
    </row>
    <row r="485" spans="1:7" x14ac:dyDescent="0.2">
      <c r="A485" t="s">
        <v>131</v>
      </c>
      <c r="B485" s="8">
        <v>7.0099999999999997E-3</v>
      </c>
      <c r="C485" t="s">
        <v>6</v>
      </c>
      <c r="D485" t="s">
        <v>3</v>
      </c>
      <c r="E485" t="s">
        <v>15</v>
      </c>
      <c r="F485" t="s">
        <v>132</v>
      </c>
    </row>
    <row r="486" spans="1:7" x14ac:dyDescent="0.2">
      <c r="A486" t="s">
        <v>22</v>
      </c>
      <c r="B486" s="13">
        <f>24.1*1000000</f>
        <v>24100000</v>
      </c>
      <c r="C486" t="s">
        <v>23</v>
      </c>
      <c r="D486" t="s">
        <v>54</v>
      </c>
      <c r="E486" t="s">
        <v>15</v>
      </c>
      <c r="F486" t="s">
        <v>24</v>
      </c>
      <c r="G486" t="s">
        <v>368</v>
      </c>
    </row>
    <row r="487" spans="1:7" x14ac:dyDescent="0.2">
      <c r="A487" t="s">
        <v>33</v>
      </c>
      <c r="B487" s="18">
        <f>48.3*1000000</f>
        <v>48300000</v>
      </c>
      <c r="C487" t="s">
        <v>34</v>
      </c>
      <c r="D487" t="s">
        <v>17</v>
      </c>
      <c r="E487" t="s">
        <v>15</v>
      </c>
      <c r="F487" t="s">
        <v>35</v>
      </c>
      <c r="G487" t="s">
        <v>381</v>
      </c>
    </row>
    <row r="488" spans="1:7" x14ac:dyDescent="0.2">
      <c r="A488" t="s">
        <v>80</v>
      </c>
      <c r="B488" s="18">
        <f>59.7*1000000</f>
        <v>59700000</v>
      </c>
      <c r="C488" t="s">
        <v>34</v>
      </c>
      <c r="D488" t="s">
        <v>3</v>
      </c>
      <c r="E488" t="s">
        <v>15</v>
      </c>
      <c r="F488" t="s">
        <v>81</v>
      </c>
      <c r="G488" t="s">
        <v>369</v>
      </c>
    </row>
    <row r="490" spans="1:7" ht="16" x14ac:dyDescent="0.2">
      <c r="A490" s="1" t="s">
        <v>0</v>
      </c>
      <c r="B490" s="1" t="s">
        <v>343</v>
      </c>
    </row>
    <row r="491" spans="1:7" ht="16" x14ac:dyDescent="0.2">
      <c r="A491" s="16" t="s">
        <v>1</v>
      </c>
      <c r="B491" s="1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APPROVED Li-S CELL/MODULE METADATA CLARIFICATION, 2026-10-18. The implemented 150 Wh/kg (0.150 kWh/kg) is a CELL-specific reference, not energy per kg module. The existing module recipe contains 408*0.046/24.971 = 0.7515918465419887 kg cell/kg module, giving 0.1127387769812983 kWh/kg module at that cell reference. At the inherited 1500 cycles, 225 kWh/kg applies to CELL mass; the corresponding reference is 169.10816547194747 kWh/kg MODULE. Market output is 1 kg battery module, not a 321 kg system (that was a copied Li-O2 label). These are explanatory conversions under existing assumptions; no recipe, density trajectory, cycle life, replacement or per-MJ allocation is changed. IMPORTANT UNRESOLVED DESIGN GAP: the Wickerts composition reference uses a 500 Wh/kg cell design, whereas the implemented baseline is 150 Wh/kg; this documentation does not reconcile their physical designs or validate complete BMS/cooling coverage. Historical statements below are retained only as history and the cell/module clarification above takes precedence.
PREVIOUS NOTES (retained as history; the correction above takes precedence):
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is>
      </c>
    </row>
    <row r="492" spans="1:7" x14ac:dyDescent="0.2">
      <c r="A492" t="s">
        <v>2</v>
      </c>
      <c r="B492" t="s">
        <v>3</v>
      </c>
    </row>
    <row r="493" spans="1:7" x14ac:dyDescent="0.2">
      <c r="A493" t="s">
        <v>4</v>
      </c>
      <c r="B493">
        <v>1</v>
      </c>
    </row>
    <row r="494" spans="1:7" x14ac:dyDescent="0.2">
      <c r="A494" t="s">
        <v>5</v>
      </c>
      <c r="B494" t="s">
        <v>414</v>
      </c>
    </row>
    <row r="495" spans="1:7" x14ac:dyDescent="0.2">
      <c r="A495" t="s">
        <v>6</v>
      </c>
      <c r="B495" t="s">
        <v>7</v>
      </c>
    </row>
    <row r="496" spans="1:7" x14ac:dyDescent="0.2">
      <c r="A496" t="s">
        <v>8</v>
      </c>
      <c r="B496" t="s">
        <v>310</v>
      </c>
    </row>
    <row r="497" spans="1:11" x14ac:dyDescent="0.2">
      <c r="A497" s="2" t="s">
        <v>9</v>
      </c>
    </row>
    <row r="498" spans="1:11" x14ac:dyDescent="0.2">
      <c r="A498" t="s">
        <v>10</v>
      </c>
      <c r="B498" t="s">
        <v>11</v>
      </c>
      <c r="C498" t="s">
        <v>6</v>
      </c>
      <c r="D498" t="s">
        <v>42</v>
      </c>
      <c r="E498" t="s">
        <v>2</v>
      </c>
      <c r="F498" t="s">
        <v>12</v>
      </c>
      <c r="G498" t="s">
        <v>5</v>
      </c>
      <c r="H498" t="s">
        <v>1</v>
      </c>
    </row>
    <row r="499" spans="1:11" x14ac:dyDescent="0.2">
      <c r="A499" t="s">
        <v>343</v>
      </c>
      <c r="B499">
        <v>1</v>
      </c>
      <c r="C499" t="s">
        <v>7</v>
      </c>
      <c r="E499" t="s">
        <v>3</v>
      </c>
      <c r="F499" t="s">
        <v>13</v>
      </c>
      <c r="G499" t="s">
        <v>414</v>
      </c>
    </row>
    <row r="500" spans="1:11" x14ac:dyDescent="0.2">
      <c r="A500" t="s">
        <v>440</v>
      </c>
      <c r="B500" s="5">
        <f>19.306152/25.509152</f>
        <v>0.7568323713779275</v>
      </c>
      <c r="C500" t="s">
        <v>7</v>
      </c>
      <c r="E500" t="s">
        <v>3</v>
      </c>
      <c r="F500" t="s">
        <v>15</v>
      </c>
      <c r="G500" t="s">
        <v>407</v>
      </c>
      <c r="H500" t="s">
        <v>418</v>
      </c>
    </row>
    <row r="501" spans="1:11" x14ac:dyDescent="0.2">
      <c r="A501" t="s">
        <v>344</v>
      </c>
      <c r="B501" s="5">
        <f>0.275/25.509152</f>
        <v>0.010780444602784132</v>
      </c>
      <c r="C501" t="s">
        <v>7</v>
      </c>
      <c r="E501" t="s">
        <v>3</v>
      </c>
      <c r="F501" t="s">
        <v>15</v>
      </c>
      <c r="G501" t="s">
        <v>134</v>
      </c>
    </row>
    <row r="502" spans="1:11" x14ac:dyDescent="0.2">
      <c r="A502" t="s">
        <v>345</v>
      </c>
      <c r="B502" s="5">
        <f>0.593/25.509152</f>
        <v>0.023246558725276322</v>
      </c>
      <c r="C502" t="s">
        <v>7</v>
      </c>
      <c r="E502" t="s">
        <v>3</v>
      </c>
      <c r="F502" t="s">
        <v>15</v>
      </c>
      <c r="G502" t="s">
        <v>135</v>
      </c>
    </row>
    <row r="503" spans="1:11" ht="16" x14ac:dyDescent="0.2">
      <c r="A503" s="16" t="s">
        <v>346</v>
      </c>
      <c r="B503" s="4">
        <f>0.085/25.509152</f>
        <v>0.003332137422678731</v>
      </c>
      <c r="C503" t="s">
        <v>7</v>
      </c>
      <c r="E503" t="s">
        <v>3</v>
      </c>
      <c r="F503" t="s">
        <v>15</v>
      </c>
      <c r="G503" t="s">
        <v>136</v>
      </c>
    </row>
    <row r="504" spans="1:11" x14ac:dyDescent="0.2">
      <c r="A504" t="s">
        <v>36</v>
      </c>
      <c r="B504" s="7">
        <f>2.75/25.509152</f>
        <v>0.1078044460278413</v>
      </c>
      <c r="C504" t="s">
        <v>7</v>
      </c>
      <c r="E504" t="s">
        <v>3</v>
      </c>
      <c r="F504" t="s">
        <v>15</v>
      </c>
      <c r="G504" t="s">
        <v>37</v>
      </c>
      <c r="I504" s="23"/>
      <c r="J504" s="18"/>
      <c r="K504" s="18"/>
    </row>
    <row r="505" spans="1:11" x14ac:dyDescent="0.2">
      <c r="A505" t="s">
        <v>137</v>
      </c>
      <c r="B505" s="7">
        <f>2.5/25.509152</f>
        <v>0.0980040418434921</v>
      </c>
      <c r="C505" t="s">
        <v>7</v>
      </c>
      <c r="E505" t="s">
        <v>3</v>
      </c>
      <c r="F505" t="s">
        <v>15</v>
      </c>
      <c r="G505" t="s">
        <v>138</v>
      </c>
    </row>
    <row r="506" spans="1:11" x14ac:dyDescent="0.2">
      <c r="A506" t="s">
        <v>18</v>
      </c>
      <c r="B506" s="7">
        <f>2.75/25.509152</f>
        <v>0.1078044460278413</v>
      </c>
      <c r="C506" t="s">
        <v>7</v>
      </c>
      <c r="E506" t="s">
        <v>3</v>
      </c>
      <c r="F506" t="s">
        <v>15</v>
      </c>
      <c r="G506" t="s">
        <v>19</v>
      </c>
    </row>
    <row r="507" spans="1:11" x14ac:dyDescent="0.2">
      <c r="A507" t="s">
        <v>139</v>
      </c>
      <c r="B507" s="13">
        <f>2.5/25.509152</f>
        <v>0.0980040418434921</v>
      </c>
      <c r="C507" t="s">
        <v>7</v>
      </c>
      <c r="E507" t="s">
        <v>3</v>
      </c>
      <c r="F507" t="s">
        <v>15</v>
      </c>
      <c r="G507" t="s">
        <v>140</v>
      </c>
    </row>
    <row r="508" spans="1:11" x14ac:dyDescent="0.2">
      <c r="B508" s="8"/>
    </row>
    <row r="509" spans="1:11" ht="16" x14ac:dyDescent="0.2">
      <c r="A509" s="1" t="s">
        <v>0</v>
      </c>
      <c r="B509" s="1" t="s">
        <v>456</v>
      </c>
    </row>
    <row r="510" spans="1:11" ht="16" x14ac:dyDescent="0.2">
      <c r="A510" t="s">
        <v>1</v>
      </c>
      <c r="B510" s="28"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APPROVED Li-S CELL/MODULE METADATA CLARIFICATION, 2026-10-18. The implemented 150 Wh/kg (0.150 kWh/kg) is a CELL-specific reference, not energy per kg module. The existing module recipe contains 408*0.046/24.971 = 0.7515918465419887 kg cell/kg module, giving 0.1127387769812983 kWh/kg module at that cell reference. At the inherited 1500 cycles, 225 kWh/kg applies to CELL mass; the corresponding reference is 169.10816547194747 kWh/kg MODULE. Market output is 1 kg battery module, not a 321 kg system (that was a copied Li-O2 label). These are explanatory conversions under existing assumptions; no recipe, density trajectory, cycle life, replacement or per-MJ allocation is changed. IMPORTANT UNRESOLVED DESIGN GAP: the Wickerts composition reference uses a 500 Wh/kg cell design, whereas the implemented baseline is 150 Wh/kg; this documentation does not reconcile their physical designs or validate complete BMS/cooling coverage. Historical statements below are retained only as history and the cell/module clarification above takes precedence.
PREVIOUS NOTES (retained as history; the correction above takes precedence):
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is>
      </c>
    </row>
    <row r="511" spans="1:11" x14ac:dyDescent="0.2">
      <c r="A511" t="s">
        <v>2</v>
      </c>
      <c r="B511" t="s">
        <v>3</v>
      </c>
    </row>
    <row r="512" spans="1:11" x14ac:dyDescent="0.2">
      <c r="A512" t="s">
        <v>4</v>
      </c>
      <c r="B512">
        <v>1</v>
      </c>
    </row>
    <row r="513" spans="1:8" x14ac:dyDescent="0.2">
      <c r="A513" t="s">
        <v>5</v>
      </c>
      <c r="B513" t="s">
        <v>457</v>
      </c>
    </row>
    <row r="514" spans="1:8" x14ac:dyDescent="0.2">
      <c r="A514" t="s">
        <v>6</v>
      </c>
      <c r="B514" t="s">
        <v>7</v>
      </c>
    </row>
    <row r="515" spans="1:8" x14ac:dyDescent="0.2">
      <c r="A515" t="s">
        <v>8</v>
      </c>
      <c r="B515" t="s">
        <v>444</v>
      </c>
    </row>
    <row r="516" spans="1:8" x14ac:dyDescent="0.2">
      <c r="A516" s="2" t="s">
        <v>9</v>
      </c>
      <c r="B516" s="2"/>
      <c r="C516" s="2"/>
      <c r="D516" s="2"/>
      <c r="E516" s="2"/>
      <c r="F516" s="2"/>
      <c r="G516" s="2"/>
    </row>
    <row r="517" spans="1:8" x14ac:dyDescent="0.2">
      <c r="A517" s="2" t="s">
        <v>10</v>
      </c>
      <c r="B517" s="2" t="s">
        <v>11</v>
      </c>
      <c r="C517" s="2" t="s">
        <v>6</v>
      </c>
      <c r="D517" s="2" t="s">
        <v>42</v>
      </c>
      <c r="E517" s="2" t="s">
        <v>2</v>
      </c>
      <c r="F517" s="2" t="s">
        <v>12</v>
      </c>
      <c r="G517" s="2" t="s">
        <v>5</v>
      </c>
      <c r="H517" s="2" t="s">
        <v>1</v>
      </c>
    </row>
    <row r="518" spans="1:8" ht="16" x14ac:dyDescent="0.2">
      <c r="A518" s="27" t="str">
        <f>B509</f>
        <v>market for battery, Li-sulfur, Li-S</v>
      </c>
      <c r="B518">
        <v>1</v>
      </c>
      <c r="C518" t="s">
        <v>7</v>
      </c>
      <c r="E518" t="str">
        <f>B511</f>
        <v>GLO</v>
      </c>
      <c r="F518" t="s">
        <v>13</v>
      </c>
      <c r="G518" t="str">
        <f>B513</f>
        <v>battery, Li-S</v>
      </c>
      <c r="H518" t="inlineStr">
        <is>
          <t>One kg baseline engineering Li-S module; cell47.319g,408cells/module, module25.509152kg,150Wh/kg cell. See current activity comment; older copied whole-system labels are superseded.</t>
        </is>
      </c>
    </row>
    <row r="519" spans="1:8" x14ac:dyDescent="0.2">
      <c r="A519" t="s">
        <v>343</v>
      </c>
      <c r="B519">
        <v>1</v>
      </c>
      <c r="C519" t="s">
        <v>7</v>
      </c>
      <c r="E519" t="s">
        <v>3</v>
      </c>
      <c r="F519" t="s">
        <v>15</v>
      </c>
      <c r="G519" t="s">
        <v>414</v>
      </c>
    </row>
    <row r="520" spans="1:8" x14ac:dyDescent="0.2">
      <c r="A520" t="s">
        <v>447</v>
      </c>
      <c r="B520">
        <v>0.30910727700000001</v>
      </c>
      <c r="C520" t="s">
        <v>448</v>
      </c>
      <c r="E520" t="s">
        <v>3</v>
      </c>
      <c r="F520" t="s">
        <v>15</v>
      </c>
      <c r="G520" t="s">
        <v>449</v>
      </c>
    </row>
    <row r="521" spans="1:8" x14ac:dyDescent="0.2">
      <c r="A521" t="s">
        <v>450</v>
      </c>
      <c r="B521">
        <v>2.4627409999999999E-2</v>
      </c>
      <c r="C521" t="s">
        <v>448</v>
      </c>
      <c r="E521" t="s">
        <v>3</v>
      </c>
      <c r="F521" t="s">
        <v>15</v>
      </c>
      <c r="G521" t="s">
        <v>451</v>
      </c>
    </row>
    <row r="522" spans="1:8" x14ac:dyDescent="0.2">
      <c r="A522" t="s">
        <v>452</v>
      </c>
      <c r="B522">
        <v>0.20877976500000001</v>
      </c>
      <c r="C522" t="s">
        <v>448</v>
      </c>
      <c r="E522" t="s">
        <v>3</v>
      </c>
      <c r="F522" t="s">
        <v>15</v>
      </c>
      <c r="G522" t="s">
        <v>453</v>
      </c>
    </row>
    <row r="523" spans="1:8" x14ac:dyDescent="0.2">
      <c r="A523" t="s">
        <v>454</v>
      </c>
      <c r="B523">
        <v>0.59901584900000004</v>
      </c>
      <c r="C523" t="s">
        <v>448</v>
      </c>
      <c r="E523" t="s">
        <v>3</v>
      </c>
      <c r="F523" t="s">
        <v>15</v>
      </c>
      <c r="G523" t="s">
        <v>455</v>
      </c>
    </row>
    <row r="524" spans="1:8" x14ac:dyDescent="0.2">
      <c r="G524" s="3"/>
    </row>
    <row r="525" spans="1:8" ht="16" x14ac:dyDescent="0.2">
      <c r="A525" s="1" t="s">
        <v>0</v>
      </c>
      <c r="B525" s="1" t="s">
        <v>344</v>
      </c>
    </row>
    <row r="526" spans="1:8" ht="16" x14ac:dyDescent="0.2">
      <c r="A526" s="16" t="s">
        <v>1</v>
      </c>
      <c r="B526" s="16" t="s">
        <v>408</v>
      </c>
    </row>
    <row r="527" spans="1:8" x14ac:dyDescent="0.2">
      <c r="A527" t="s">
        <v>2</v>
      </c>
      <c r="B527" t="s">
        <v>3</v>
      </c>
    </row>
    <row r="528" spans="1:8" x14ac:dyDescent="0.2">
      <c r="A528" t="s">
        <v>4</v>
      </c>
      <c r="B528">
        <v>1</v>
      </c>
    </row>
    <row r="529" spans="1:8" x14ac:dyDescent="0.2">
      <c r="A529" t="s">
        <v>5</v>
      </c>
      <c r="B529" t="s">
        <v>134</v>
      </c>
    </row>
    <row r="530" spans="1:8" x14ac:dyDescent="0.2">
      <c r="A530" t="s">
        <v>6</v>
      </c>
      <c r="B530" t="s">
        <v>7</v>
      </c>
    </row>
    <row r="531" spans="1:8" x14ac:dyDescent="0.2">
      <c r="A531" t="s">
        <v>8</v>
      </c>
      <c r="B531" t="s">
        <v>311</v>
      </c>
    </row>
    <row r="532" spans="1:8" x14ac:dyDescent="0.2">
      <c r="A532" s="2" t="s">
        <v>9</v>
      </c>
    </row>
    <row r="533" spans="1:8" x14ac:dyDescent="0.2">
      <c r="A533" t="s">
        <v>10</v>
      </c>
      <c r="B533" t="s">
        <v>11</v>
      </c>
      <c r="C533" t="s">
        <v>6</v>
      </c>
      <c r="D533" t="s">
        <v>42</v>
      </c>
      <c r="E533" t="s">
        <v>2</v>
      </c>
      <c r="F533" t="s">
        <v>12</v>
      </c>
      <c r="G533" t="s">
        <v>5</v>
      </c>
      <c r="H533" t="s">
        <v>1</v>
      </c>
    </row>
    <row r="534" spans="1:8" x14ac:dyDescent="0.2">
      <c r="A534" t="s">
        <v>344</v>
      </c>
      <c r="B534">
        <v>1</v>
      </c>
      <c r="C534" t="s">
        <v>7</v>
      </c>
      <c r="E534" t="s">
        <v>3</v>
      </c>
      <c r="F534" t="s">
        <v>13</v>
      </c>
      <c r="G534" t="s">
        <v>134</v>
      </c>
    </row>
    <row r="535" spans="1:8" x14ac:dyDescent="0.2">
      <c r="A535" t="s">
        <v>144</v>
      </c>
      <c r="B535" s="4">
        <v>9.0999999999999998E-2</v>
      </c>
      <c r="C535" t="s">
        <v>7</v>
      </c>
      <c r="E535" t="s">
        <v>3</v>
      </c>
      <c r="F535" t="s">
        <v>15</v>
      </c>
      <c r="G535" t="s">
        <v>145</v>
      </c>
    </row>
    <row r="536" spans="1:8" x14ac:dyDescent="0.2">
      <c r="A536" t="s">
        <v>58</v>
      </c>
      <c r="B536" s="13">
        <f>1.4*10^-10</f>
        <v>1.4000000000000001E-10</v>
      </c>
      <c r="C536" t="s">
        <v>6</v>
      </c>
      <c r="E536" t="s">
        <v>3</v>
      </c>
      <c r="F536" t="s">
        <v>15</v>
      </c>
      <c r="G536" t="s">
        <v>59</v>
      </c>
    </row>
    <row r="537" spans="1:8" x14ac:dyDescent="0.2">
      <c r="A537" t="s">
        <v>245</v>
      </c>
      <c r="B537" s="5">
        <v>0.91</v>
      </c>
      <c r="C537" t="s">
        <v>7</v>
      </c>
      <c r="E537" t="s">
        <v>3</v>
      </c>
      <c r="F537" t="s">
        <v>15</v>
      </c>
      <c r="G537" t="s">
        <v>246</v>
      </c>
    </row>
    <row r="538" spans="1:8" x14ac:dyDescent="0.2">
      <c r="A538" t="s">
        <v>18</v>
      </c>
      <c r="B538" s="4">
        <v>9.0999999999999998E-2</v>
      </c>
      <c r="C538" t="s">
        <v>7</v>
      </c>
      <c r="E538" t="s">
        <v>3</v>
      </c>
      <c r="F538" t="s">
        <v>15</v>
      </c>
      <c r="G538" t="s">
        <v>19</v>
      </c>
    </row>
    <row r="539" spans="1:8" x14ac:dyDescent="0.2">
      <c r="A539" t="s">
        <v>205</v>
      </c>
      <c r="B539" s="5">
        <v>0.91</v>
      </c>
      <c r="C539" t="s">
        <v>7</v>
      </c>
      <c r="E539" t="s">
        <v>17</v>
      </c>
      <c r="F539" t="s">
        <v>15</v>
      </c>
      <c r="G539" t="s">
        <v>205</v>
      </c>
    </row>
    <row r="540" spans="1:8" x14ac:dyDescent="0.2">
      <c r="A540" t="s">
        <v>72</v>
      </c>
      <c r="B540" s="13">
        <f>6.7*10^-11</f>
        <v>6.7000000000000001E-11</v>
      </c>
      <c r="C540" t="s">
        <v>6</v>
      </c>
      <c r="E540" t="s">
        <v>3</v>
      </c>
      <c r="F540" t="s">
        <v>15</v>
      </c>
      <c r="G540" t="s">
        <v>73</v>
      </c>
      <c r="H540" t="s">
        <v>392</v>
      </c>
    </row>
    <row r="541" spans="1:8" x14ac:dyDescent="0.2">
      <c r="B541" s="8"/>
    </row>
    <row r="542" spans="1:8" x14ac:dyDescent="0.2">
      <c r="B542" s="8"/>
    </row>
    <row r="544" spans="1:8" ht="16" x14ac:dyDescent="0.2">
      <c r="A544" s="1" t="s">
        <v>0</v>
      </c>
      <c r="B544" s="1" t="s">
        <v>345</v>
      </c>
    </row>
    <row r="545" spans="1:6" ht="16" x14ac:dyDescent="0.2">
      <c r="A545" s="16" t="s">
        <v>1</v>
      </c>
      <c r="B545" s="16" t="s">
        <v>408</v>
      </c>
    </row>
    <row r="546" spans="1:6" x14ac:dyDescent="0.2">
      <c r="A546" t="s">
        <v>2</v>
      </c>
      <c r="B546" t="s">
        <v>3</v>
      </c>
    </row>
    <row r="547" spans="1:6" x14ac:dyDescent="0.2">
      <c r="A547" t="s">
        <v>4</v>
      </c>
      <c r="B547">
        <v>1</v>
      </c>
    </row>
    <row r="548" spans="1:6" x14ac:dyDescent="0.2">
      <c r="A548" t="s">
        <v>5</v>
      </c>
      <c r="B548" t="s">
        <v>135</v>
      </c>
    </row>
    <row r="549" spans="1:6" x14ac:dyDescent="0.2">
      <c r="A549" t="s">
        <v>6</v>
      </c>
      <c r="B549" t="s">
        <v>7</v>
      </c>
    </row>
    <row r="550" spans="1:6" x14ac:dyDescent="0.2">
      <c r="A550" t="s">
        <v>8</v>
      </c>
      <c r="B550" t="s">
        <v>311</v>
      </c>
    </row>
    <row r="551" spans="1:6" x14ac:dyDescent="0.2">
      <c r="A551" s="2" t="s">
        <v>9</v>
      </c>
    </row>
    <row r="552" spans="1:6" x14ac:dyDescent="0.2">
      <c r="A552" t="s">
        <v>10</v>
      </c>
      <c r="B552" t="s">
        <v>11</v>
      </c>
      <c r="C552" t="s">
        <v>6</v>
      </c>
      <c r="D552" t="s">
        <v>2</v>
      </c>
      <c r="E552" t="s">
        <v>12</v>
      </c>
      <c r="F552" t="s">
        <v>5</v>
      </c>
    </row>
    <row r="553" spans="1:6" x14ac:dyDescent="0.2">
      <c r="A553" t="s">
        <v>345</v>
      </c>
      <c r="B553">
        <v>1</v>
      </c>
      <c r="C553" t="s">
        <v>7</v>
      </c>
      <c r="D553" t="s">
        <v>3</v>
      </c>
      <c r="E553" t="s">
        <v>13</v>
      </c>
      <c r="F553" t="s">
        <v>135</v>
      </c>
    </row>
    <row r="554" spans="1:6" x14ac:dyDescent="0.2">
      <c r="A554" t="s">
        <v>144</v>
      </c>
      <c r="B554" s="5">
        <v>0.17</v>
      </c>
      <c r="C554" t="s">
        <v>7</v>
      </c>
      <c r="D554" t="s">
        <v>3</v>
      </c>
      <c r="E554" t="s">
        <v>15</v>
      </c>
      <c r="F554" t="s">
        <v>145</v>
      </c>
    </row>
    <row r="555" spans="1:6" x14ac:dyDescent="0.2">
      <c r="A555" t="s">
        <v>245</v>
      </c>
      <c r="B555" s="5">
        <v>0.25</v>
      </c>
      <c r="C555" t="s">
        <v>7</v>
      </c>
      <c r="D555" t="s">
        <v>3</v>
      </c>
      <c r="E555" t="s">
        <v>15</v>
      </c>
      <c r="F555" t="s">
        <v>246</v>
      </c>
    </row>
    <row r="556" spans="1:6" x14ac:dyDescent="0.2">
      <c r="A556" t="s">
        <v>200</v>
      </c>
      <c r="B556" s="4">
        <v>8.5999999999999993E-2</v>
      </c>
      <c r="C556" t="s">
        <v>7</v>
      </c>
      <c r="D556" t="s">
        <v>3</v>
      </c>
      <c r="E556" t="s">
        <v>15</v>
      </c>
      <c r="F556" t="s">
        <v>201</v>
      </c>
    </row>
    <row r="557" spans="1:6" x14ac:dyDescent="0.2">
      <c r="A557" t="s">
        <v>202</v>
      </c>
      <c r="B557" s="5">
        <v>0.49</v>
      </c>
      <c r="C557" t="s">
        <v>7</v>
      </c>
      <c r="D557" t="s">
        <v>3</v>
      </c>
      <c r="E557" t="s">
        <v>15</v>
      </c>
      <c r="F557" t="s">
        <v>203</v>
      </c>
    </row>
    <row r="558" spans="1:6" x14ac:dyDescent="0.2">
      <c r="A558" t="s">
        <v>18</v>
      </c>
      <c r="B558" s="5">
        <v>0.17</v>
      </c>
      <c r="C558" t="s">
        <v>7</v>
      </c>
      <c r="D558" t="s">
        <v>3</v>
      </c>
      <c r="E558" t="s">
        <v>15</v>
      </c>
      <c r="F558" t="s">
        <v>19</v>
      </c>
    </row>
    <row r="559" spans="1:6" x14ac:dyDescent="0.2">
      <c r="A559" t="s">
        <v>25</v>
      </c>
      <c r="B559" s="13">
        <f>3.8*10^-10</f>
        <v>3.7999999999999998E-10</v>
      </c>
      <c r="C559" t="s">
        <v>6</v>
      </c>
      <c r="D559" t="s">
        <v>3</v>
      </c>
      <c r="E559" t="s">
        <v>15</v>
      </c>
      <c r="F559" t="s">
        <v>26</v>
      </c>
    </row>
    <row r="560" spans="1:6" x14ac:dyDescent="0.2">
      <c r="A560" t="s">
        <v>204</v>
      </c>
      <c r="B560" s="5">
        <v>0.25</v>
      </c>
      <c r="C560" t="s">
        <v>7</v>
      </c>
      <c r="D560" t="s">
        <v>3</v>
      </c>
      <c r="E560" t="s">
        <v>15</v>
      </c>
      <c r="F560" t="s">
        <v>205</v>
      </c>
    </row>
    <row r="561" spans="1:6" x14ac:dyDescent="0.2">
      <c r="A561" t="s">
        <v>247</v>
      </c>
      <c r="B561" s="5">
        <v>0.56999999999999995</v>
      </c>
      <c r="C561" t="s">
        <v>7</v>
      </c>
      <c r="D561" t="s">
        <v>3</v>
      </c>
      <c r="E561" t="s">
        <v>15</v>
      </c>
      <c r="F561" t="s">
        <v>206</v>
      </c>
    </row>
    <row r="562" spans="1:6" x14ac:dyDescent="0.2">
      <c r="A562" t="s">
        <v>72</v>
      </c>
      <c r="B562" s="13">
        <f>1.3*10^-10</f>
        <v>1.3000000000000002E-10</v>
      </c>
      <c r="C562" t="s">
        <v>6</v>
      </c>
      <c r="D562" t="s">
        <v>3</v>
      </c>
      <c r="E562" t="s">
        <v>15</v>
      </c>
      <c r="F562" t="s">
        <v>73</v>
      </c>
    </row>
    <row r="563" spans="1:6" x14ac:dyDescent="0.2">
      <c r="B563" s="8"/>
    </row>
    <row r="564" spans="1:6" x14ac:dyDescent="0.2">
      <c r="B564" s="8"/>
    </row>
    <row r="566" spans="1:6" ht="16" x14ac:dyDescent="0.2">
      <c r="A566" s="1" t="s">
        <v>0</v>
      </c>
      <c r="B566" s="1" t="s">
        <v>346</v>
      </c>
    </row>
    <row r="567" spans="1:6" ht="16" x14ac:dyDescent="0.2">
      <c r="A567" s="16" t="s">
        <v>1</v>
      </c>
      <c r="B567" s="16" t="s">
        <v>408</v>
      </c>
    </row>
    <row r="568" spans="1:6" x14ac:dyDescent="0.2">
      <c r="A568" t="s">
        <v>2</v>
      </c>
      <c r="B568" t="s">
        <v>3</v>
      </c>
    </row>
    <row r="569" spans="1:6" x14ac:dyDescent="0.2">
      <c r="A569" t="s">
        <v>4</v>
      </c>
      <c r="B569">
        <v>1</v>
      </c>
    </row>
    <row r="570" spans="1:6" x14ac:dyDescent="0.2">
      <c r="A570" t="s">
        <v>5</v>
      </c>
      <c r="B570" t="s">
        <v>136</v>
      </c>
    </row>
    <row r="571" spans="1:6" x14ac:dyDescent="0.2">
      <c r="A571" t="s">
        <v>6</v>
      </c>
      <c r="B571" t="s">
        <v>7</v>
      </c>
    </row>
    <row r="572" spans="1:6" x14ac:dyDescent="0.2">
      <c r="A572" t="s">
        <v>8</v>
      </c>
      <c r="B572" t="s">
        <v>311</v>
      </c>
    </row>
    <row r="573" spans="1:6" x14ac:dyDescent="0.2">
      <c r="A573" s="2" t="s">
        <v>9</v>
      </c>
    </row>
    <row r="574" spans="1:6" x14ac:dyDescent="0.2">
      <c r="A574" t="s">
        <v>10</v>
      </c>
      <c r="B574" t="s">
        <v>11</v>
      </c>
      <c r="C574" t="s">
        <v>6</v>
      </c>
      <c r="D574" t="s">
        <v>2</v>
      </c>
      <c r="E574" t="s">
        <v>12</v>
      </c>
      <c r="F574" t="s">
        <v>5</v>
      </c>
    </row>
    <row r="575" spans="1:6" x14ac:dyDescent="0.2">
      <c r="A575" t="s">
        <v>346</v>
      </c>
      <c r="B575">
        <v>1</v>
      </c>
      <c r="C575" t="s">
        <v>7</v>
      </c>
      <c r="D575" t="s">
        <v>3</v>
      </c>
      <c r="E575" t="s">
        <v>13</v>
      </c>
      <c r="F575" t="s">
        <v>136</v>
      </c>
    </row>
    <row r="576" spans="1:6" x14ac:dyDescent="0.2">
      <c r="A576" t="s">
        <v>144</v>
      </c>
      <c r="B576" s="4">
        <v>3.1E-2</v>
      </c>
      <c r="C576" t="s">
        <v>7</v>
      </c>
      <c r="D576" t="s">
        <v>3</v>
      </c>
      <c r="E576" t="s">
        <v>15</v>
      </c>
      <c r="F576" t="s">
        <v>145</v>
      </c>
    </row>
    <row r="577" spans="1:7" x14ac:dyDescent="0.2">
      <c r="A577" t="s">
        <v>202</v>
      </c>
      <c r="B577" s="5">
        <v>0.82</v>
      </c>
      <c r="C577" t="s">
        <v>7</v>
      </c>
      <c r="D577" t="s">
        <v>3</v>
      </c>
      <c r="E577" t="s">
        <v>15</v>
      </c>
      <c r="F577" t="s">
        <v>203</v>
      </c>
    </row>
    <row r="578" spans="1:7" x14ac:dyDescent="0.2">
      <c r="A578" t="s">
        <v>18</v>
      </c>
      <c r="B578" s="4">
        <v>3.1E-2</v>
      </c>
      <c r="C578" t="s">
        <v>7</v>
      </c>
      <c r="D578" t="s">
        <v>3</v>
      </c>
      <c r="E578" t="s">
        <v>15</v>
      </c>
      <c r="F578" t="s">
        <v>19</v>
      </c>
    </row>
    <row r="579" spans="1:7" x14ac:dyDescent="0.2">
      <c r="A579" t="s">
        <v>200</v>
      </c>
      <c r="B579" s="5">
        <v>0.15</v>
      </c>
      <c r="C579" t="s">
        <v>7</v>
      </c>
      <c r="D579" t="s">
        <v>3</v>
      </c>
      <c r="E579" t="s">
        <v>15</v>
      </c>
      <c r="F579" t="s">
        <v>201</v>
      </c>
    </row>
    <row r="580" spans="1:7" x14ac:dyDescent="0.2">
      <c r="A580" t="s">
        <v>248</v>
      </c>
      <c r="B580" s="13">
        <f>4.4*10^-10</f>
        <v>4.4000000000000003E-10</v>
      </c>
      <c r="C580" t="s">
        <v>6</v>
      </c>
      <c r="D580" t="s">
        <v>3</v>
      </c>
      <c r="E580" t="s">
        <v>15</v>
      </c>
      <c r="F580" t="s">
        <v>26</v>
      </c>
    </row>
    <row r="581" spans="1:7" x14ac:dyDescent="0.2">
      <c r="A581" t="s">
        <v>247</v>
      </c>
      <c r="B581" s="5">
        <v>0.97</v>
      </c>
      <c r="C581" t="s">
        <v>7</v>
      </c>
      <c r="D581" t="s">
        <v>3</v>
      </c>
      <c r="E581" t="s">
        <v>15</v>
      </c>
      <c r="F581" t="s">
        <v>206</v>
      </c>
    </row>
    <row r="582" spans="1:7" x14ac:dyDescent="0.2">
      <c r="A582" t="s">
        <v>72</v>
      </c>
      <c r="B582" s="13">
        <f>2.3*10^-11</f>
        <v>2.2999999999999998E-11</v>
      </c>
      <c r="C582" t="s">
        <v>6</v>
      </c>
      <c r="D582" t="s">
        <v>3</v>
      </c>
      <c r="E582" t="s">
        <v>15</v>
      </c>
      <c r="F582" t="s">
        <v>73</v>
      </c>
    </row>
    <row r="583" spans="1:7" x14ac:dyDescent="0.2">
      <c r="B583" s="8"/>
    </row>
    <row r="584" spans="1:7" x14ac:dyDescent="0.2">
      <c r="B584" s="3"/>
      <c r="G584" s="3"/>
    </row>
    <row r="586" spans="1:7" ht="16" x14ac:dyDescent="0.2">
      <c r="A586" s="1" t="s">
        <v>0</v>
      </c>
      <c r="B586" s="1" t="s">
        <v>347</v>
      </c>
    </row>
    <row r="587" spans="1:7" x14ac:dyDescent="0.2">
      <c r="A587" t="s">
        <v>1</v>
      </c>
      <c r="B587" t="inlineStr">
        <is>
          <t>APPROVED Li-S BMS FASTENER SOURCE-CONFLICT NOTE, 2026-10-18. The adapted Wickerts supporting information Table S26 lists IBIS fasteners at 2.8E-3 kg per BMS inventory, while its cited original Ellingsen et al. (2014) supporting-information detailed BMS component inventory lists IBIS fasteners at 2.8E-2 kg. The original source therefore supports retaining the existing 0.028 kg fastener input (B602). Do not silently reduce it tenfold to match the adapted table. This records an unresolved source conflict; it does not validate complete BMS sizing, module/rack allocation, cooling coverage or metal composition. All BMS quantities and suppliers remain unchanged.
PREVIOUS NOTES (retained as history; the correction above takes precedence):
This activity is aggregated to match the requirements of one battery rack, as it is modelled in the lithium-sulfur study. This includes both the BMS on a module level as well as on the rack level. BMS=battery management system. PCB=printed circut board. Source: Wickerts et al. (2023). Prospective Life Cycle Assessment of Lithium-Sulfur Batteries for Stationary Energy Storage. ACS Sustainable Chemistry &amp; Engineering. https://doi.org/10.1021/acssuschemeng.3c00141</t>
        </is>
      </c>
    </row>
    <row r="588" spans="1:7" x14ac:dyDescent="0.2">
      <c r="A588" t="s">
        <v>2</v>
      </c>
      <c r="B588" t="s">
        <v>3</v>
      </c>
    </row>
    <row r="589" spans="1:7" x14ac:dyDescent="0.2">
      <c r="A589" t="s">
        <v>4</v>
      </c>
      <c r="B589">
        <v>1</v>
      </c>
    </row>
    <row r="590" spans="1:7" x14ac:dyDescent="0.2">
      <c r="A590" t="s">
        <v>5</v>
      </c>
      <c r="B590" t="s">
        <v>141</v>
      </c>
    </row>
    <row r="591" spans="1:7" x14ac:dyDescent="0.2">
      <c r="A591" t="s">
        <v>6</v>
      </c>
      <c r="B591" t="s">
        <v>6</v>
      </c>
    </row>
    <row r="592" spans="1:7" x14ac:dyDescent="0.2">
      <c r="A592" t="s">
        <v>8</v>
      </c>
      <c r="B592" t="s">
        <v>312</v>
      </c>
    </row>
    <row r="593" spans="1:7" x14ac:dyDescent="0.2">
      <c r="A593" s="2" t="s">
        <v>9</v>
      </c>
    </row>
    <row r="594" spans="1:7" x14ac:dyDescent="0.2">
      <c r="A594" t="s">
        <v>10</v>
      </c>
      <c r="B594" t="s">
        <v>11</v>
      </c>
      <c r="C594" t="s">
        <v>6</v>
      </c>
      <c r="D594" t="s">
        <v>42</v>
      </c>
      <c r="E594" t="s">
        <v>2</v>
      </c>
      <c r="F594" t="s">
        <v>12</v>
      </c>
      <c r="G594" t="s">
        <v>5</v>
      </c>
    </row>
    <row r="595" spans="1:7" x14ac:dyDescent="0.2">
      <c r="A595" t="s">
        <v>347</v>
      </c>
      <c r="B595">
        <v>1</v>
      </c>
      <c r="C595" t="s">
        <v>6</v>
      </c>
      <c r="E595" t="s">
        <v>3</v>
      </c>
      <c r="F595" t="s">
        <v>13</v>
      </c>
      <c r="G595" t="s">
        <v>141</v>
      </c>
    </row>
    <row r="596" spans="1:7" x14ac:dyDescent="0.2">
      <c r="A596" t="s">
        <v>144</v>
      </c>
      <c r="B596" s="17">
        <v>8.9999999999999998E-4</v>
      </c>
      <c r="C596" t="s">
        <v>7</v>
      </c>
      <c r="E596" t="s">
        <v>3</v>
      </c>
      <c r="F596" t="s">
        <v>15</v>
      </c>
      <c r="G596" t="s">
        <v>145</v>
      </c>
    </row>
    <row r="597" spans="1:7" x14ac:dyDescent="0.2">
      <c r="A597" t="s">
        <v>354</v>
      </c>
      <c r="B597" s="5">
        <v>0.152</v>
      </c>
      <c r="C597" t="s">
        <v>153</v>
      </c>
      <c r="E597" t="s">
        <v>3</v>
      </c>
      <c r="F597" t="s">
        <v>15</v>
      </c>
      <c r="G597" t="s">
        <v>147</v>
      </c>
    </row>
    <row r="598" spans="1:7" x14ac:dyDescent="0.2">
      <c r="A598" t="s">
        <v>146</v>
      </c>
      <c r="B598" s="4">
        <v>2.5999999999999999E-2</v>
      </c>
      <c r="C598" t="s">
        <v>7</v>
      </c>
      <c r="E598" t="s">
        <v>17</v>
      </c>
      <c r="F598" t="s">
        <v>15</v>
      </c>
      <c r="G598" t="s">
        <v>148</v>
      </c>
    </row>
    <row r="599" spans="1:7" x14ac:dyDescent="0.2">
      <c r="A599" t="s">
        <v>149</v>
      </c>
      <c r="B599" s="4">
        <v>0.03</v>
      </c>
      <c r="C599" t="s">
        <v>7</v>
      </c>
      <c r="E599" t="s">
        <v>3</v>
      </c>
      <c r="F599" t="s">
        <v>15</v>
      </c>
      <c r="G599" t="s">
        <v>32</v>
      </c>
    </row>
    <row r="600" spans="1:7" x14ac:dyDescent="0.2">
      <c r="A600" t="s">
        <v>131</v>
      </c>
      <c r="B600" s="13">
        <f>8.99*10^-8</f>
        <v>8.9900000000000004E-8</v>
      </c>
      <c r="C600" t="s">
        <v>6</v>
      </c>
      <c r="E600" t="s">
        <v>3</v>
      </c>
      <c r="F600" t="s">
        <v>15</v>
      </c>
      <c r="G600" t="s">
        <v>132</v>
      </c>
    </row>
    <row r="601" spans="1:7" x14ac:dyDescent="0.2">
      <c r="A601" t="s">
        <v>348</v>
      </c>
      <c r="B601" s="7">
        <v>2.8</v>
      </c>
      <c r="C601" t="s">
        <v>7</v>
      </c>
      <c r="E601" t="s">
        <v>3</v>
      </c>
      <c r="F601" t="s">
        <v>15</v>
      </c>
      <c r="G601" t="s">
        <v>142</v>
      </c>
    </row>
    <row r="602" spans="1:7" x14ac:dyDescent="0.2">
      <c r="A602" t="s">
        <v>349</v>
      </c>
      <c r="B602" s="4">
        <v>2.8000000000000001E-2</v>
      </c>
      <c r="C602" t="s">
        <v>7</v>
      </c>
      <c r="E602" t="s">
        <v>3</v>
      </c>
      <c r="F602" t="s">
        <v>15</v>
      </c>
      <c r="G602" t="s">
        <v>150</v>
      </c>
    </row>
    <row r="603" spans="1:7" x14ac:dyDescent="0.2">
      <c r="A603" t="s">
        <v>18</v>
      </c>
      <c r="B603" s="13">
        <v>0.04</v>
      </c>
      <c r="C603" t="s">
        <v>7</v>
      </c>
      <c r="E603" t="s">
        <v>3</v>
      </c>
      <c r="F603" t="s">
        <v>15</v>
      </c>
      <c r="G603" t="s">
        <v>19</v>
      </c>
    </row>
    <row r="604" spans="1:7" x14ac:dyDescent="0.2">
      <c r="A604" t="s">
        <v>350</v>
      </c>
      <c r="B604" s="4">
        <v>6.7699999999999996E-2</v>
      </c>
      <c r="C604" t="s">
        <v>153</v>
      </c>
      <c r="E604" t="s">
        <v>3</v>
      </c>
      <c r="F604" t="s">
        <v>15</v>
      </c>
      <c r="G604" t="s">
        <v>151</v>
      </c>
    </row>
    <row r="605" spans="1:7" x14ac:dyDescent="0.2">
      <c r="A605" t="s">
        <v>351</v>
      </c>
      <c r="B605" s="7">
        <v>1.2</v>
      </c>
      <c r="C605" t="s">
        <v>7</v>
      </c>
      <c r="E605" t="s">
        <v>3</v>
      </c>
      <c r="F605" t="s">
        <v>15</v>
      </c>
      <c r="G605" t="s">
        <v>143</v>
      </c>
    </row>
    <row r="606" spans="1:7" x14ac:dyDescent="0.2">
      <c r="A606" t="s">
        <v>139</v>
      </c>
      <c r="B606" s="7">
        <v>3.8</v>
      </c>
      <c r="C606" t="s">
        <v>7</v>
      </c>
      <c r="E606" t="s">
        <v>3</v>
      </c>
      <c r="F606" t="s">
        <v>15</v>
      </c>
      <c r="G606" t="s">
        <v>140</v>
      </c>
    </row>
    <row r="607" spans="1:7" x14ac:dyDescent="0.2">
      <c r="A607" t="s">
        <v>30</v>
      </c>
      <c r="B607" s="8">
        <v>8.5000000000000006E-3</v>
      </c>
      <c r="C607" t="s">
        <v>7</v>
      </c>
      <c r="E607" t="s">
        <v>17</v>
      </c>
      <c r="F607" t="s">
        <v>15</v>
      </c>
      <c r="G607" t="s">
        <v>31</v>
      </c>
    </row>
    <row r="608" spans="1:7" x14ac:dyDescent="0.2">
      <c r="A608" t="s">
        <v>27</v>
      </c>
      <c r="B608" s="4">
        <v>3.1E-2</v>
      </c>
      <c r="C608" t="s">
        <v>7</v>
      </c>
      <c r="E608" t="s">
        <v>3</v>
      </c>
      <c r="F608" t="s">
        <v>15</v>
      </c>
      <c r="G608" t="s">
        <v>28</v>
      </c>
    </row>
    <row r="609" spans="1:8" x14ac:dyDescent="0.2">
      <c r="A609" t="s">
        <v>137</v>
      </c>
      <c r="B609" s="7">
        <v>3.8</v>
      </c>
      <c r="C609" t="s">
        <v>7</v>
      </c>
      <c r="E609" t="s">
        <v>3</v>
      </c>
      <c r="F609" t="s">
        <v>15</v>
      </c>
      <c r="G609" t="s">
        <v>138</v>
      </c>
    </row>
    <row r="610" spans="1:8" x14ac:dyDescent="0.2">
      <c r="B610" s="8"/>
    </row>
    <row r="611" spans="1:8" x14ac:dyDescent="0.2">
      <c r="B611" s="8"/>
    </row>
    <row r="612" spans="1:8" x14ac:dyDescent="0.2">
      <c r="G612" s="3"/>
    </row>
    <row r="613" spans="1:8" ht="16" x14ac:dyDescent="0.2">
      <c r="A613" s="1" t="s">
        <v>0</v>
      </c>
      <c r="B613" s="1" t="s">
        <v>353</v>
      </c>
    </row>
    <row r="614" spans="1:8" ht="16" x14ac:dyDescent="0.2">
      <c r="A614" s="16" t="s">
        <v>1</v>
      </c>
      <c r="B614" s="16" t="s">
        <v>408</v>
      </c>
    </row>
    <row r="615" spans="1:8" x14ac:dyDescent="0.2">
      <c r="A615" t="s">
        <v>2</v>
      </c>
      <c r="B615" t="s">
        <v>3</v>
      </c>
    </row>
    <row r="616" spans="1:8" x14ac:dyDescent="0.2">
      <c r="A616" t="s">
        <v>4</v>
      </c>
      <c r="B616">
        <v>1</v>
      </c>
    </row>
    <row r="617" spans="1:8" x14ac:dyDescent="0.2">
      <c r="A617" t="s">
        <v>5</v>
      </c>
      <c r="B617" t="s">
        <v>152</v>
      </c>
    </row>
    <row r="618" spans="1:8" x14ac:dyDescent="0.2">
      <c r="A618" t="s">
        <v>6</v>
      </c>
      <c r="B618" t="s">
        <v>153</v>
      </c>
    </row>
    <row r="619" spans="1:8" x14ac:dyDescent="0.2">
      <c r="A619" t="s">
        <v>8</v>
      </c>
      <c r="B619" t="s">
        <v>313</v>
      </c>
    </row>
    <row r="620" spans="1:8" x14ac:dyDescent="0.2">
      <c r="A620" s="2" t="s">
        <v>9</v>
      </c>
    </row>
    <row r="621" spans="1:8" x14ac:dyDescent="0.2">
      <c r="A621" t="s">
        <v>10</v>
      </c>
      <c r="B621" t="s">
        <v>11</v>
      </c>
      <c r="C621" t="s">
        <v>6</v>
      </c>
      <c r="D621" t="s">
        <v>42</v>
      </c>
      <c r="E621" t="s">
        <v>2</v>
      </c>
      <c r="F621" t="s">
        <v>12</v>
      </c>
      <c r="G621" t="s">
        <v>5</v>
      </c>
      <c r="H621" t="s">
        <v>1</v>
      </c>
    </row>
    <row r="622" spans="1:8" x14ac:dyDescent="0.2">
      <c r="A622" t="s">
        <v>352</v>
      </c>
      <c r="B622">
        <f>0.07/0.07</f>
        <v>1</v>
      </c>
      <c r="C622" t="s">
        <v>153</v>
      </c>
      <c r="E622" t="s">
        <v>3</v>
      </c>
      <c r="F622" t="s">
        <v>13</v>
      </c>
      <c r="G622" t="s">
        <v>152</v>
      </c>
    </row>
    <row r="623" spans="1:8" x14ac:dyDescent="0.2">
      <c r="A623" t="s">
        <v>154</v>
      </c>
      <c r="B623" s="18">
        <f>38.4/0.07/1000</f>
        <v>0.5485714285714286</v>
      </c>
      <c r="C623" t="s">
        <v>7</v>
      </c>
      <c r="E623" t="s">
        <v>3</v>
      </c>
      <c r="F623" t="s">
        <v>15</v>
      </c>
      <c r="G623" t="s">
        <v>155</v>
      </c>
      <c r="H623" t="s">
        <v>377</v>
      </c>
    </row>
    <row r="624" spans="1:8" x14ac:dyDescent="0.2">
      <c r="A624" t="s">
        <v>156</v>
      </c>
      <c r="B624" s="18">
        <f>19.7/0.07/1000</f>
        <v>0.28142857142857136</v>
      </c>
      <c r="C624" t="s">
        <v>7</v>
      </c>
      <c r="E624" t="s">
        <v>3</v>
      </c>
      <c r="F624" t="s">
        <v>15</v>
      </c>
      <c r="G624" t="s">
        <v>157</v>
      </c>
      <c r="H624" t="s">
        <v>377</v>
      </c>
    </row>
    <row r="625" spans="1:14" x14ac:dyDescent="0.2">
      <c r="A625" t="s">
        <v>158</v>
      </c>
      <c r="B625" s="7">
        <f>5.6/0.07/1000</f>
        <v>7.9999999999999988E-2</v>
      </c>
      <c r="C625" t="s">
        <v>7</v>
      </c>
      <c r="E625" t="s">
        <v>3</v>
      </c>
      <c r="F625" t="s">
        <v>15</v>
      </c>
      <c r="G625" t="s">
        <v>159</v>
      </c>
      <c r="H625" t="s">
        <v>377</v>
      </c>
    </row>
    <row r="626" spans="1:14" x14ac:dyDescent="0.2">
      <c r="A626" t="s">
        <v>160</v>
      </c>
      <c r="B626" s="18">
        <f>49.8/0.07/1000</f>
        <v>0.7114285714285713</v>
      </c>
      <c r="C626" t="s">
        <v>7</v>
      </c>
      <c r="E626" t="s">
        <v>3</v>
      </c>
      <c r="F626" t="s">
        <v>15</v>
      </c>
      <c r="G626" t="s">
        <v>161</v>
      </c>
      <c r="H626" t="s">
        <v>377</v>
      </c>
    </row>
    <row r="627" spans="1:14" x14ac:dyDescent="0.2">
      <c r="A627" t="s">
        <v>162</v>
      </c>
      <c r="B627" s="5">
        <f>0.2/0.07/1000</f>
        <v>2.8571428571428571E-3</v>
      </c>
      <c r="C627" t="s">
        <v>7</v>
      </c>
      <c r="E627" t="s">
        <v>3</v>
      </c>
      <c r="F627" t="s">
        <v>15</v>
      </c>
      <c r="G627" t="s">
        <v>163</v>
      </c>
      <c r="H627" t="s">
        <v>377</v>
      </c>
    </row>
    <row r="628" spans="1:14" x14ac:dyDescent="0.2">
      <c r="A628" t="s">
        <v>164</v>
      </c>
      <c r="B628" s="7">
        <f>3.6/0.07/1000</f>
        <v>5.1428571428571421E-2</v>
      </c>
      <c r="C628" t="s">
        <v>7</v>
      </c>
      <c r="E628" t="s">
        <v>3</v>
      </c>
      <c r="F628" t="s">
        <v>15</v>
      </c>
      <c r="G628" t="s">
        <v>165</v>
      </c>
      <c r="H628" t="s">
        <v>377</v>
      </c>
    </row>
    <row r="629" spans="1:14" x14ac:dyDescent="0.2">
      <c r="A629" t="s">
        <v>166</v>
      </c>
      <c r="B629" s="18">
        <f>59.1/0.07/1000</f>
        <v>0.84428571428571419</v>
      </c>
      <c r="C629" t="s">
        <v>7</v>
      </c>
      <c r="E629" t="s">
        <v>3</v>
      </c>
      <c r="F629" t="s">
        <v>15</v>
      </c>
      <c r="G629" t="s">
        <v>167</v>
      </c>
      <c r="H629" t="s">
        <v>377</v>
      </c>
    </row>
    <row r="630" spans="1:14" x14ac:dyDescent="0.2">
      <c r="A630" t="s">
        <v>168</v>
      </c>
      <c r="B630" s="18">
        <f>67.4/0.07/1000</f>
        <v>0.96285714285714286</v>
      </c>
      <c r="C630" t="s">
        <v>7</v>
      </c>
      <c r="E630" t="s">
        <v>3</v>
      </c>
      <c r="F630" t="s">
        <v>15</v>
      </c>
      <c r="G630" t="s">
        <v>169</v>
      </c>
      <c r="H630" t="s">
        <v>377</v>
      </c>
    </row>
    <row r="631" spans="1:14" x14ac:dyDescent="0.2">
      <c r="A631" t="s">
        <v>170</v>
      </c>
      <c r="B631" s="5">
        <f>0.4/0.07/1000</f>
        <v>5.7142857142857143E-3</v>
      </c>
      <c r="C631" t="s">
        <v>7</v>
      </c>
      <c r="E631" t="s">
        <v>3</v>
      </c>
      <c r="F631" t="s">
        <v>15</v>
      </c>
      <c r="G631" t="s">
        <v>171</v>
      </c>
      <c r="H631" t="s">
        <v>377</v>
      </c>
    </row>
    <row r="632" spans="1:14" x14ac:dyDescent="0.2">
      <c r="A632" t="s">
        <v>172</v>
      </c>
      <c r="B632" s="5">
        <f>0.1/0.07/1000</f>
        <v>1.4285714285714286E-3</v>
      </c>
      <c r="C632" t="s">
        <v>7</v>
      </c>
      <c r="E632" t="s">
        <v>3</v>
      </c>
      <c r="F632" t="s">
        <v>15</v>
      </c>
      <c r="G632" t="s">
        <v>173</v>
      </c>
      <c r="H632" t="s">
        <v>377</v>
      </c>
      <c r="N632" s="5"/>
    </row>
    <row r="633" spans="1:14" x14ac:dyDescent="0.2">
      <c r="A633" t="s">
        <v>383</v>
      </c>
      <c r="B633" s="5">
        <v>1.004</v>
      </c>
      <c r="C633" t="s">
        <v>153</v>
      </c>
      <c r="E633" t="s">
        <v>3</v>
      </c>
      <c r="F633" t="s">
        <v>15</v>
      </c>
      <c r="G633" t="s">
        <v>382</v>
      </c>
      <c r="H633" t="s">
        <v>384</v>
      </c>
    </row>
    <row r="634" spans="1:14" x14ac:dyDescent="0.2">
      <c r="A634" t="s">
        <v>174</v>
      </c>
      <c r="B634" s="7">
        <f>3.1/0.07/1000</f>
        <v>4.4285714285714282E-2</v>
      </c>
      <c r="C634" t="s">
        <v>7</v>
      </c>
      <c r="E634" t="s">
        <v>3</v>
      </c>
      <c r="F634" t="s">
        <v>15</v>
      </c>
      <c r="G634" t="s">
        <v>175</v>
      </c>
      <c r="H634" t="s">
        <v>377</v>
      </c>
    </row>
    <row r="635" spans="1:14" x14ac:dyDescent="0.2">
      <c r="A635" t="s">
        <v>176</v>
      </c>
      <c r="B635" s="7">
        <f>3.1/0.07/1000</f>
        <v>4.4285714285714282E-2</v>
      </c>
      <c r="C635" t="s">
        <v>7</v>
      </c>
      <c r="E635" t="s">
        <v>3</v>
      </c>
      <c r="F635" t="s">
        <v>15</v>
      </c>
      <c r="G635" t="s">
        <v>177</v>
      </c>
      <c r="H635" t="s">
        <v>377</v>
      </c>
    </row>
    <row r="636" spans="1:14" x14ac:dyDescent="0.2">
      <c r="A636" t="s">
        <v>178</v>
      </c>
      <c r="B636" s="7">
        <f>5.6/0.07/1000</f>
        <v>7.9999999999999988E-2</v>
      </c>
      <c r="C636" t="s">
        <v>7</v>
      </c>
      <c r="E636" t="s">
        <v>3</v>
      </c>
      <c r="F636" t="s">
        <v>15</v>
      </c>
      <c r="G636" t="s">
        <v>179</v>
      </c>
      <c r="H636" t="s">
        <v>377</v>
      </c>
    </row>
    <row r="637" spans="1:14" x14ac:dyDescent="0.2">
      <c r="B637" s="8"/>
    </row>
    <row r="638" spans="1:14" x14ac:dyDescent="0.2">
      <c r="B638" s="8"/>
    </row>
    <row r="640" spans="1:14" ht="16" x14ac:dyDescent="0.2">
      <c r="A640" s="1" t="s">
        <v>0</v>
      </c>
      <c r="B640" s="1" t="s">
        <v>354</v>
      </c>
    </row>
    <row r="641" spans="1:8" ht="16" x14ac:dyDescent="0.2">
      <c r="A641" s="16" t="s">
        <v>1</v>
      </c>
      <c r="B641" s="16" t="s">
        <v>408</v>
      </c>
    </row>
    <row r="642" spans="1:8" x14ac:dyDescent="0.2">
      <c r="A642" t="s">
        <v>2</v>
      </c>
      <c r="B642" t="s">
        <v>3</v>
      </c>
    </row>
    <row r="643" spans="1:8" x14ac:dyDescent="0.2">
      <c r="A643" t="s">
        <v>4</v>
      </c>
      <c r="B643">
        <v>1</v>
      </c>
    </row>
    <row r="644" spans="1:8" x14ac:dyDescent="0.2">
      <c r="A644" t="s">
        <v>5</v>
      </c>
      <c r="B644" t="s">
        <v>147</v>
      </c>
    </row>
    <row r="645" spans="1:8" x14ac:dyDescent="0.2">
      <c r="A645" t="s">
        <v>6</v>
      </c>
      <c r="B645" t="s">
        <v>153</v>
      </c>
    </row>
    <row r="646" spans="1:8" x14ac:dyDescent="0.2">
      <c r="A646" t="s">
        <v>8</v>
      </c>
      <c r="B646" t="s">
        <v>313</v>
      </c>
    </row>
    <row r="647" spans="1:8" x14ac:dyDescent="0.2">
      <c r="A647" s="2" t="s">
        <v>9</v>
      </c>
    </row>
    <row r="648" spans="1:8" x14ac:dyDescent="0.2">
      <c r="A648" t="s">
        <v>10</v>
      </c>
      <c r="B648" t="s">
        <v>11</v>
      </c>
      <c r="C648" t="s">
        <v>6</v>
      </c>
      <c r="D648" t="s">
        <v>42</v>
      </c>
      <c r="E648" t="s">
        <v>2</v>
      </c>
      <c r="F648" t="s">
        <v>12</v>
      </c>
      <c r="G648" t="s">
        <v>5</v>
      </c>
      <c r="H648" t="s">
        <v>1</v>
      </c>
    </row>
    <row r="649" spans="1:8" x14ac:dyDescent="0.2">
      <c r="A649" t="s">
        <v>354</v>
      </c>
      <c r="B649">
        <v>1</v>
      </c>
      <c r="C649" t="s">
        <v>153</v>
      </c>
      <c r="E649" t="s">
        <v>3</v>
      </c>
      <c r="F649" t="s">
        <v>13</v>
      </c>
      <c r="G649" t="s">
        <v>147</v>
      </c>
    </row>
    <row r="650" spans="1:8" x14ac:dyDescent="0.2">
      <c r="A650" t="s">
        <v>180</v>
      </c>
      <c r="B650">
        <f>70/1000</f>
        <v>7.0000000000000007E-2</v>
      </c>
      <c r="C650" t="s">
        <v>7</v>
      </c>
      <c r="E650" t="s">
        <v>3</v>
      </c>
      <c r="F650" t="s">
        <v>15</v>
      </c>
      <c r="G650" t="s">
        <v>181</v>
      </c>
      <c r="H650" t="s">
        <v>378</v>
      </c>
    </row>
    <row r="651" spans="1:8" x14ac:dyDescent="0.2">
      <c r="A651" t="s">
        <v>353</v>
      </c>
      <c r="B651">
        <v>1</v>
      </c>
      <c r="C651" t="s">
        <v>153</v>
      </c>
      <c r="E651" t="s">
        <v>3</v>
      </c>
      <c r="F651" t="s">
        <v>15</v>
      </c>
      <c r="G651" t="s">
        <v>152</v>
      </c>
    </row>
    <row r="652" spans="1:8" x14ac:dyDescent="0.2">
      <c r="A652" t="s">
        <v>182</v>
      </c>
      <c r="B652">
        <f>24/1000</f>
        <v>2.4E-2</v>
      </c>
      <c r="C652" t="s">
        <v>7</v>
      </c>
      <c r="E652" t="s">
        <v>17</v>
      </c>
      <c r="F652" t="s">
        <v>15</v>
      </c>
      <c r="G652" t="s">
        <v>183</v>
      </c>
      <c r="H652" t="s">
        <v>378</v>
      </c>
    </row>
    <row r="653" spans="1:8" x14ac:dyDescent="0.2">
      <c r="A653" t="s">
        <v>184</v>
      </c>
      <c r="B653">
        <f>65/1000</f>
        <v>6.5000000000000002E-2</v>
      </c>
      <c r="C653" t="s">
        <v>7</v>
      </c>
      <c r="E653" t="s">
        <v>17</v>
      </c>
      <c r="F653" t="s">
        <v>15</v>
      </c>
      <c r="G653" t="s">
        <v>185</v>
      </c>
      <c r="H653" t="s">
        <v>378</v>
      </c>
    </row>
    <row r="654" spans="1:8" x14ac:dyDescent="0.2">
      <c r="A654" t="s">
        <v>22</v>
      </c>
      <c r="B654">
        <v>46</v>
      </c>
      <c r="C654" t="s">
        <v>23</v>
      </c>
      <c r="E654" t="s">
        <v>54</v>
      </c>
      <c r="F654" t="s">
        <v>15</v>
      </c>
      <c r="G654" t="s">
        <v>24</v>
      </c>
    </row>
    <row r="655" spans="1:8" x14ac:dyDescent="0.2">
      <c r="A655" t="s">
        <v>186</v>
      </c>
      <c r="B655">
        <f>126/1000</f>
        <v>0.126</v>
      </c>
      <c r="C655" t="s">
        <v>7</v>
      </c>
      <c r="E655" t="s">
        <v>3</v>
      </c>
      <c r="F655" t="s">
        <v>15</v>
      </c>
      <c r="G655" t="s">
        <v>187</v>
      </c>
      <c r="H655" t="s">
        <v>378</v>
      </c>
    </row>
    <row r="656" spans="1:8" x14ac:dyDescent="0.2">
      <c r="A656" t="s">
        <v>188</v>
      </c>
      <c r="B656">
        <f>10/1000</f>
        <v>0.01</v>
      </c>
      <c r="C656" t="s">
        <v>7</v>
      </c>
      <c r="E656" t="s">
        <v>3</v>
      </c>
      <c r="F656" t="s">
        <v>15</v>
      </c>
      <c r="G656" t="s">
        <v>189</v>
      </c>
      <c r="H656" t="s">
        <v>378</v>
      </c>
    </row>
    <row r="657" spans="1:11" x14ac:dyDescent="0.2">
      <c r="A657" t="s">
        <v>68</v>
      </c>
      <c r="B657">
        <v>64</v>
      </c>
      <c r="C657" t="s">
        <v>7</v>
      </c>
      <c r="E657" t="s">
        <v>17</v>
      </c>
      <c r="F657" t="s">
        <v>15</v>
      </c>
      <c r="G657" t="s">
        <v>69</v>
      </c>
      <c r="H657" t="s">
        <v>385</v>
      </c>
    </row>
    <row r="658" spans="1:11" x14ac:dyDescent="0.2">
      <c r="A658" t="s">
        <v>190</v>
      </c>
      <c r="B658">
        <f>94/1000</f>
        <v>9.4E-2</v>
      </c>
      <c r="C658" t="s">
        <v>7</v>
      </c>
      <c r="E658" t="s">
        <v>3</v>
      </c>
      <c r="F658" t="s">
        <v>15</v>
      </c>
      <c r="G658" t="s">
        <v>191</v>
      </c>
      <c r="H658" t="s">
        <v>378</v>
      </c>
    </row>
    <row r="659" spans="1:11" x14ac:dyDescent="0.2">
      <c r="A659" t="s">
        <v>51</v>
      </c>
      <c r="B659">
        <f>320/1000</f>
        <v>0.32</v>
      </c>
      <c r="C659" t="s">
        <v>7</v>
      </c>
      <c r="E659" t="s">
        <v>17</v>
      </c>
      <c r="F659" t="s">
        <v>15</v>
      </c>
      <c r="G659" t="s">
        <v>52</v>
      </c>
      <c r="H659" t="s">
        <v>378</v>
      </c>
      <c r="K659" s="3"/>
    </row>
    <row r="660" spans="1:11" x14ac:dyDescent="0.2">
      <c r="A660" t="s">
        <v>192</v>
      </c>
      <c r="B660">
        <f>-3/1000</f>
        <v>-3.0000000000000001E-3</v>
      </c>
      <c r="C660" t="s">
        <v>7</v>
      </c>
      <c r="E660" t="s">
        <v>17</v>
      </c>
      <c r="F660" t="s">
        <v>15</v>
      </c>
      <c r="G660" t="s">
        <v>193</v>
      </c>
      <c r="H660" t="s">
        <v>378</v>
      </c>
    </row>
    <row r="661" spans="1:11" x14ac:dyDescent="0.2">
      <c r="A661" t="s">
        <v>53</v>
      </c>
      <c r="B661">
        <f>-75/1000</f>
        <v>-7.4999999999999997E-2</v>
      </c>
      <c r="C661" t="s">
        <v>7</v>
      </c>
      <c r="E661" t="s">
        <v>17</v>
      </c>
      <c r="F661" t="s">
        <v>15</v>
      </c>
      <c r="G661" t="s">
        <v>55</v>
      </c>
      <c r="H661" t="s">
        <v>378</v>
      </c>
    </row>
    <row r="662" spans="1:11" x14ac:dyDescent="0.2">
      <c r="A662" t="s">
        <v>194</v>
      </c>
      <c r="B662" s="18">
        <f>4/1000</f>
        <v>4.0000000000000001E-3</v>
      </c>
      <c r="C662" t="s">
        <v>7</v>
      </c>
      <c r="D662" t="s">
        <v>43</v>
      </c>
      <c r="F662" t="s">
        <v>44</v>
      </c>
      <c r="H662" t="s">
        <v>378</v>
      </c>
    </row>
    <row r="663" spans="1:11" x14ac:dyDescent="0.2">
      <c r="A663" t="s">
        <v>314</v>
      </c>
      <c r="B663">
        <f>155/1000</f>
        <v>0.155</v>
      </c>
      <c r="C663" t="s">
        <v>7</v>
      </c>
      <c r="D663" t="s">
        <v>43</v>
      </c>
      <c r="F663" t="s">
        <v>44</v>
      </c>
      <c r="H663" t="s">
        <v>378</v>
      </c>
    </row>
    <row r="664" spans="1:11" x14ac:dyDescent="0.2">
      <c r="B664" s="3"/>
    </row>
    <row r="667" spans="1:11" ht="16" x14ac:dyDescent="0.2">
      <c r="A667" s="1" t="s">
        <v>0</v>
      </c>
      <c r="B667" s="1" t="s">
        <v>350</v>
      </c>
    </row>
    <row r="668" spans="1:11" ht="16" x14ac:dyDescent="0.2">
      <c r="A668" s="16" t="s">
        <v>1</v>
      </c>
      <c r="B668" s="16" t="s">
        <v>408</v>
      </c>
    </row>
    <row r="669" spans="1:11" x14ac:dyDescent="0.2">
      <c r="A669" t="s">
        <v>2</v>
      </c>
      <c r="B669" t="s">
        <v>3</v>
      </c>
    </row>
    <row r="670" spans="1:11" x14ac:dyDescent="0.2">
      <c r="A670" t="s">
        <v>4</v>
      </c>
      <c r="B670">
        <v>1</v>
      </c>
    </row>
    <row r="671" spans="1:11" x14ac:dyDescent="0.2">
      <c r="A671" t="s">
        <v>5</v>
      </c>
      <c r="B671" t="s">
        <v>151</v>
      </c>
    </row>
    <row r="672" spans="1:11" x14ac:dyDescent="0.2">
      <c r="A672" t="s">
        <v>6</v>
      </c>
      <c r="B672" t="s">
        <v>153</v>
      </c>
    </row>
    <row r="673" spans="1:7" x14ac:dyDescent="0.2">
      <c r="A673" t="s">
        <v>8</v>
      </c>
      <c r="B673" t="s">
        <v>313</v>
      </c>
    </row>
    <row r="674" spans="1:7" x14ac:dyDescent="0.2">
      <c r="A674" s="2" t="s">
        <v>9</v>
      </c>
    </row>
    <row r="675" spans="1:7" x14ac:dyDescent="0.2">
      <c r="A675" t="s">
        <v>10</v>
      </c>
      <c r="B675" t="s">
        <v>11</v>
      </c>
      <c r="C675" t="s">
        <v>6</v>
      </c>
      <c r="D675" t="s">
        <v>2</v>
      </c>
      <c r="E675" t="s">
        <v>12</v>
      </c>
      <c r="F675" t="s">
        <v>5</v>
      </c>
      <c r="G675" t="s">
        <v>1</v>
      </c>
    </row>
    <row r="676" spans="1:7" x14ac:dyDescent="0.2">
      <c r="A676" t="s">
        <v>350</v>
      </c>
      <c r="B676">
        <f>0.5/0.5</f>
        <v>1</v>
      </c>
      <c r="C676" t="s">
        <v>153</v>
      </c>
      <c r="D676" t="s">
        <v>3</v>
      </c>
      <c r="E676" t="s">
        <v>13</v>
      </c>
      <c r="F676" t="s">
        <v>151</v>
      </c>
    </row>
    <row r="677" spans="1:7" x14ac:dyDescent="0.2">
      <c r="A677" t="s">
        <v>195</v>
      </c>
      <c r="B677" s="18">
        <f>10/1000</f>
        <v>0.01</v>
      </c>
      <c r="C677" t="s">
        <v>7</v>
      </c>
      <c r="D677" t="s">
        <v>3</v>
      </c>
      <c r="E677" t="s">
        <v>15</v>
      </c>
      <c r="F677" t="s">
        <v>196</v>
      </c>
      <c r="G677" t="s">
        <v>378</v>
      </c>
    </row>
    <row r="678" spans="1:7" x14ac:dyDescent="0.2">
      <c r="A678" t="s">
        <v>354</v>
      </c>
      <c r="B678" s="7">
        <f>0.5/0.5</f>
        <v>1</v>
      </c>
      <c r="C678" t="s">
        <v>153</v>
      </c>
      <c r="D678" t="s">
        <v>3</v>
      </c>
      <c r="E678" t="s">
        <v>15</v>
      </c>
      <c r="F678" t="s">
        <v>147</v>
      </c>
    </row>
    <row r="679" spans="1:7" x14ac:dyDescent="0.2">
      <c r="A679" t="s">
        <v>160</v>
      </c>
      <c r="B679" s="13">
        <f>19000/1000</f>
        <v>19</v>
      </c>
      <c r="C679" t="s">
        <v>7</v>
      </c>
      <c r="D679" t="s">
        <v>3</v>
      </c>
      <c r="E679" t="s">
        <v>15</v>
      </c>
      <c r="F679" t="s">
        <v>161</v>
      </c>
      <c r="G679" t="s">
        <v>378</v>
      </c>
    </row>
    <row r="680" spans="1:7" x14ac:dyDescent="0.2">
      <c r="A680" t="s">
        <v>22</v>
      </c>
      <c r="B680" s="18">
        <v>72.400000000000006</v>
      </c>
      <c r="C680" t="s">
        <v>23</v>
      </c>
      <c r="D680" t="s">
        <v>54</v>
      </c>
      <c r="E680" t="s">
        <v>15</v>
      </c>
      <c r="F680" t="s">
        <v>24</v>
      </c>
    </row>
    <row r="681" spans="1:7" x14ac:dyDescent="0.2">
      <c r="A681" t="s">
        <v>68</v>
      </c>
      <c r="B681" s="18">
        <v>21</v>
      </c>
      <c r="C681" t="s">
        <v>7</v>
      </c>
      <c r="D681" t="s">
        <v>17</v>
      </c>
      <c r="E681" t="s">
        <v>15</v>
      </c>
      <c r="F681" t="s">
        <v>69</v>
      </c>
    </row>
    <row r="682" spans="1:7" x14ac:dyDescent="0.2">
      <c r="A682" t="s">
        <v>190</v>
      </c>
      <c r="B682" s="18">
        <f>442/1000</f>
        <v>0.442</v>
      </c>
      <c r="C682" t="s">
        <v>7</v>
      </c>
      <c r="D682" t="s">
        <v>3</v>
      </c>
      <c r="E682" t="s">
        <v>15</v>
      </c>
      <c r="F682" t="s">
        <v>191</v>
      </c>
      <c r="G682" t="s">
        <v>378</v>
      </c>
    </row>
    <row r="683" spans="1:7" x14ac:dyDescent="0.2">
      <c r="A683" t="s">
        <v>51</v>
      </c>
      <c r="B683" s="18">
        <f>180/1000</f>
        <v>0.18</v>
      </c>
      <c r="C683" t="s">
        <v>7</v>
      </c>
      <c r="D683" t="s">
        <v>17</v>
      </c>
      <c r="E683" t="s">
        <v>15</v>
      </c>
      <c r="F683" t="s">
        <v>52</v>
      </c>
      <c r="G683" t="s">
        <v>378</v>
      </c>
    </row>
    <row r="684" spans="1:7" x14ac:dyDescent="0.2">
      <c r="B684" s="8"/>
    </row>
    <row r="685" spans="1:7" x14ac:dyDescent="0.2">
      <c r="B685" s="8"/>
    </row>
    <row r="687" spans="1:7" ht="16" x14ac:dyDescent="0.2">
      <c r="A687" s="1" t="s">
        <v>0</v>
      </c>
      <c r="B687" s="1" t="s">
        <v>348</v>
      </c>
    </row>
    <row r="688" spans="1:7" ht="16" x14ac:dyDescent="0.2">
      <c r="A688" s="16" t="s">
        <v>1</v>
      </c>
      <c r="B688" s="16" t="s">
        <v>408</v>
      </c>
    </row>
    <row r="689" spans="1:6" x14ac:dyDescent="0.2">
      <c r="A689" t="s">
        <v>2</v>
      </c>
      <c r="B689" t="s">
        <v>3</v>
      </c>
    </row>
    <row r="690" spans="1:6" x14ac:dyDescent="0.2">
      <c r="A690" t="s">
        <v>4</v>
      </c>
      <c r="B690">
        <v>1</v>
      </c>
    </row>
    <row r="691" spans="1:6" x14ac:dyDescent="0.2">
      <c r="A691" t="s">
        <v>5</v>
      </c>
      <c r="B691" t="s">
        <v>142</v>
      </c>
    </row>
    <row r="692" spans="1:6" x14ac:dyDescent="0.2">
      <c r="A692" t="s">
        <v>6</v>
      </c>
      <c r="B692" t="s">
        <v>7</v>
      </c>
    </row>
    <row r="693" spans="1:6" x14ac:dyDescent="0.2">
      <c r="A693" t="s">
        <v>8</v>
      </c>
      <c r="B693" t="s">
        <v>311</v>
      </c>
    </row>
    <row r="694" spans="1:6" x14ac:dyDescent="0.2">
      <c r="A694" s="2" t="s">
        <v>9</v>
      </c>
    </row>
    <row r="695" spans="1:6" x14ac:dyDescent="0.2">
      <c r="A695" t="s">
        <v>10</v>
      </c>
      <c r="B695" t="s">
        <v>11</v>
      </c>
      <c r="C695" t="s">
        <v>6</v>
      </c>
      <c r="D695" t="s">
        <v>2</v>
      </c>
      <c r="E695" t="s">
        <v>12</v>
      </c>
      <c r="F695" t="s">
        <v>5</v>
      </c>
    </row>
    <row r="696" spans="1:6" x14ac:dyDescent="0.2">
      <c r="A696" t="s">
        <v>348</v>
      </c>
      <c r="B696">
        <v>1</v>
      </c>
      <c r="C696" t="s">
        <v>7</v>
      </c>
      <c r="D696" t="s">
        <v>3</v>
      </c>
      <c r="E696" t="s">
        <v>13</v>
      </c>
      <c r="F696" t="s">
        <v>142</v>
      </c>
    </row>
    <row r="697" spans="1:6" x14ac:dyDescent="0.2">
      <c r="A697" t="s">
        <v>197</v>
      </c>
      <c r="B697" s="5">
        <v>0.12</v>
      </c>
      <c r="C697" t="s">
        <v>7</v>
      </c>
      <c r="D697" t="s">
        <v>17</v>
      </c>
      <c r="E697" t="s">
        <v>15</v>
      </c>
      <c r="F697" t="s">
        <v>71</v>
      </c>
    </row>
    <row r="698" spans="1:6" x14ac:dyDescent="0.2">
      <c r="A698" t="s">
        <v>198</v>
      </c>
      <c r="B698" s="5">
        <v>0.45</v>
      </c>
      <c r="C698" t="s">
        <v>7</v>
      </c>
      <c r="D698" t="s">
        <v>3</v>
      </c>
      <c r="E698" t="s">
        <v>15</v>
      </c>
      <c r="F698" t="s">
        <v>199</v>
      </c>
    </row>
    <row r="699" spans="1:6" x14ac:dyDescent="0.2">
      <c r="A699" t="s">
        <v>200</v>
      </c>
      <c r="B699" s="4">
        <v>4.1000000000000002E-2</v>
      </c>
      <c r="C699" t="s">
        <v>7</v>
      </c>
      <c r="D699" t="s">
        <v>3</v>
      </c>
      <c r="E699" t="s">
        <v>15</v>
      </c>
      <c r="F699" t="s">
        <v>201</v>
      </c>
    </row>
    <row r="700" spans="1:6" x14ac:dyDescent="0.2">
      <c r="A700" t="s">
        <v>202</v>
      </c>
      <c r="B700" s="5">
        <v>0.23</v>
      </c>
      <c r="C700" t="s">
        <v>7</v>
      </c>
      <c r="D700" t="s">
        <v>3</v>
      </c>
      <c r="E700" t="s">
        <v>15</v>
      </c>
      <c r="F700" t="s">
        <v>203</v>
      </c>
    </row>
    <row r="701" spans="1:6" x14ac:dyDescent="0.2">
      <c r="A701" t="s">
        <v>131</v>
      </c>
      <c r="B701" s="13">
        <f>2*10^-8</f>
        <v>2E-8</v>
      </c>
      <c r="C701" t="s">
        <v>6</v>
      </c>
      <c r="D701" t="s">
        <v>3</v>
      </c>
      <c r="E701" t="s">
        <v>15</v>
      </c>
      <c r="F701" t="s">
        <v>132</v>
      </c>
    </row>
    <row r="702" spans="1:6" x14ac:dyDescent="0.2">
      <c r="A702" t="s">
        <v>18</v>
      </c>
      <c r="B702" s="5">
        <v>0.14000000000000001</v>
      </c>
      <c r="C702" t="s">
        <v>7</v>
      </c>
      <c r="D702" t="s">
        <v>3</v>
      </c>
      <c r="E702" t="s">
        <v>15</v>
      </c>
      <c r="F702" t="s">
        <v>19</v>
      </c>
    </row>
    <row r="703" spans="1:6" x14ac:dyDescent="0.2">
      <c r="A703" t="s">
        <v>204</v>
      </c>
      <c r="B703" s="5">
        <v>0.12</v>
      </c>
      <c r="C703" t="s">
        <v>7</v>
      </c>
      <c r="D703" t="s">
        <v>3</v>
      </c>
      <c r="E703" t="s">
        <v>15</v>
      </c>
      <c r="F703" t="s">
        <v>205</v>
      </c>
    </row>
    <row r="704" spans="1:6" x14ac:dyDescent="0.2">
      <c r="A704" t="s">
        <v>206</v>
      </c>
      <c r="B704" s="5">
        <v>0.27</v>
      </c>
      <c r="C704" t="s">
        <v>7</v>
      </c>
      <c r="D704" t="s">
        <v>17</v>
      </c>
      <c r="E704" t="s">
        <v>15</v>
      </c>
      <c r="F704" t="s">
        <v>206</v>
      </c>
    </row>
    <row r="705" spans="1:7" x14ac:dyDescent="0.2">
      <c r="A705" t="s">
        <v>207</v>
      </c>
      <c r="B705">
        <v>1.6E-2</v>
      </c>
      <c r="C705" t="s">
        <v>7</v>
      </c>
      <c r="D705" t="s">
        <v>17</v>
      </c>
      <c r="E705" t="s">
        <v>15</v>
      </c>
      <c r="F705" t="s">
        <v>207</v>
      </c>
      <c r="G705" s="3"/>
    </row>
    <row r="706" spans="1:7" x14ac:dyDescent="0.2">
      <c r="A706" t="s">
        <v>139</v>
      </c>
      <c r="B706" s="8">
        <v>1.4E-3</v>
      </c>
      <c r="C706" t="s">
        <v>7</v>
      </c>
      <c r="D706" t="s">
        <v>3</v>
      </c>
      <c r="E706" t="s">
        <v>15</v>
      </c>
      <c r="F706" t="s">
        <v>140</v>
      </c>
    </row>
    <row r="707" spans="1:7" x14ac:dyDescent="0.2">
      <c r="A707" t="s">
        <v>208</v>
      </c>
      <c r="B707" s="4">
        <v>4.3999999999999997E-2</v>
      </c>
      <c r="C707" t="s">
        <v>7</v>
      </c>
      <c r="D707" t="s">
        <v>17</v>
      </c>
      <c r="E707" t="s">
        <v>15</v>
      </c>
      <c r="F707" t="s">
        <v>209</v>
      </c>
    </row>
    <row r="708" spans="1:7" x14ac:dyDescent="0.2">
      <c r="A708" t="s">
        <v>27</v>
      </c>
      <c r="B708" s="8">
        <v>5.7000000000000002E-3</v>
      </c>
      <c r="C708" t="s">
        <v>7</v>
      </c>
      <c r="D708" t="s">
        <v>3</v>
      </c>
      <c r="E708" t="s">
        <v>15</v>
      </c>
      <c r="F708" t="s">
        <v>28</v>
      </c>
    </row>
    <row r="709" spans="1:7" x14ac:dyDescent="0.2">
      <c r="A709" t="s">
        <v>210</v>
      </c>
      <c r="B709" s="4">
        <v>3.2000000000000001E-2</v>
      </c>
      <c r="C709" t="s">
        <v>7</v>
      </c>
      <c r="D709" t="s">
        <v>3</v>
      </c>
      <c r="E709" t="s">
        <v>15</v>
      </c>
      <c r="F709" t="s">
        <v>211</v>
      </c>
    </row>
    <row r="710" spans="1:7" x14ac:dyDescent="0.2">
      <c r="A710" t="s">
        <v>137</v>
      </c>
      <c r="B710" s="8">
        <v>1.4E-3</v>
      </c>
      <c r="C710" t="s">
        <v>7</v>
      </c>
      <c r="D710" t="s">
        <v>3</v>
      </c>
      <c r="E710" t="s">
        <v>15</v>
      </c>
      <c r="F710" t="s">
        <v>138</v>
      </c>
    </row>
    <row r="711" spans="1:7" x14ac:dyDescent="0.2">
      <c r="A711" t="s">
        <v>212</v>
      </c>
      <c r="B711" s="8">
        <v>3.5999999999999999E-3</v>
      </c>
      <c r="C711" t="s">
        <v>7</v>
      </c>
      <c r="D711" t="s">
        <v>3</v>
      </c>
      <c r="E711" t="s">
        <v>15</v>
      </c>
      <c r="F711" t="s">
        <v>213</v>
      </c>
    </row>
    <row r="712" spans="1:7" x14ac:dyDescent="0.2">
      <c r="A712" t="s">
        <v>214</v>
      </c>
      <c r="B712" s="4">
        <v>1.6E-2</v>
      </c>
      <c r="C712" t="s">
        <v>7</v>
      </c>
      <c r="D712" t="s">
        <v>3</v>
      </c>
      <c r="E712" t="s">
        <v>15</v>
      </c>
      <c r="F712" t="s">
        <v>215</v>
      </c>
    </row>
    <row r="713" spans="1:7" x14ac:dyDescent="0.2">
      <c r="B713" s="8"/>
    </row>
    <row r="714" spans="1:7" x14ac:dyDescent="0.2">
      <c r="B714" s="8"/>
    </row>
    <row r="716" spans="1:7" ht="16" x14ac:dyDescent="0.2">
      <c r="A716" s="1" t="s">
        <v>0</v>
      </c>
      <c r="B716" s="1" t="s">
        <v>351</v>
      </c>
    </row>
    <row r="717" spans="1:7" ht="16" x14ac:dyDescent="0.2">
      <c r="A717" s="16" t="s">
        <v>1</v>
      </c>
      <c r="B717" s="16" t="s">
        <v>408</v>
      </c>
    </row>
    <row r="718" spans="1:7" x14ac:dyDescent="0.2">
      <c r="A718" t="s">
        <v>2</v>
      </c>
      <c r="B718" t="s">
        <v>3</v>
      </c>
    </row>
    <row r="719" spans="1:7" x14ac:dyDescent="0.2">
      <c r="A719" t="s">
        <v>4</v>
      </c>
      <c r="B719">
        <v>1</v>
      </c>
    </row>
    <row r="720" spans="1:7" x14ac:dyDescent="0.2">
      <c r="A720" t="s">
        <v>5</v>
      </c>
      <c r="B720" t="s">
        <v>143</v>
      </c>
    </row>
    <row r="721" spans="1:7" x14ac:dyDescent="0.2">
      <c r="A721" t="s">
        <v>6</v>
      </c>
      <c r="B721" t="s">
        <v>7</v>
      </c>
    </row>
    <row r="722" spans="1:7" x14ac:dyDescent="0.2">
      <c r="A722" t="s">
        <v>8</v>
      </c>
      <c r="B722" t="s">
        <v>311</v>
      </c>
    </row>
    <row r="723" spans="1:7" x14ac:dyDescent="0.2">
      <c r="A723" s="2" t="s">
        <v>9</v>
      </c>
    </row>
    <row r="724" spans="1:7" x14ac:dyDescent="0.2">
      <c r="A724" t="s">
        <v>10</v>
      </c>
      <c r="B724" t="s">
        <v>11</v>
      </c>
      <c r="C724" t="s">
        <v>6</v>
      </c>
      <c r="D724" t="s">
        <v>42</v>
      </c>
      <c r="E724" t="s">
        <v>2</v>
      </c>
      <c r="F724" t="s">
        <v>12</v>
      </c>
      <c r="G724" t="s">
        <v>5</v>
      </c>
    </row>
    <row r="725" spans="1:7" x14ac:dyDescent="0.2">
      <c r="A725" t="s">
        <v>351</v>
      </c>
      <c r="B725">
        <v>1</v>
      </c>
      <c r="C725" t="s">
        <v>7</v>
      </c>
      <c r="E725" t="s">
        <v>3</v>
      </c>
      <c r="F725" t="s">
        <v>13</v>
      </c>
      <c r="G725" t="s">
        <v>143</v>
      </c>
    </row>
    <row r="726" spans="1:7" x14ac:dyDescent="0.2">
      <c r="A726" t="s">
        <v>131</v>
      </c>
      <c r="B726" s="13">
        <f>2*10^-8</f>
        <v>2E-8</v>
      </c>
      <c r="C726" t="s">
        <v>6</v>
      </c>
      <c r="E726" t="s">
        <v>3</v>
      </c>
      <c r="F726" t="s">
        <v>15</v>
      </c>
      <c r="G726" t="s">
        <v>132</v>
      </c>
    </row>
    <row r="727" spans="1:7" x14ac:dyDescent="0.2">
      <c r="A727" t="s">
        <v>216</v>
      </c>
      <c r="B727" s="5">
        <v>0.97</v>
      </c>
      <c r="C727" t="s">
        <v>7</v>
      </c>
      <c r="E727" t="s">
        <v>3</v>
      </c>
      <c r="F727" t="s">
        <v>15</v>
      </c>
      <c r="G727" t="s">
        <v>217</v>
      </c>
    </row>
    <row r="728" spans="1:7" x14ac:dyDescent="0.2">
      <c r="A728" t="s">
        <v>18</v>
      </c>
      <c r="B728" s="4">
        <v>2.9000000000000001E-2</v>
      </c>
      <c r="C728" t="s">
        <v>7</v>
      </c>
      <c r="E728" t="s">
        <v>3</v>
      </c>
      <c r="F728" t="s">
        <v>15</v>
      </c>
      <c r="G728" t="s">
        <v>19</v>
      </c>
    </row>
    <row r="729" spans="1:7" x14ac:dyDescent="0.2">
      <c r="A729" t="s">
        <v>208</v>
      </c>
      <c r="B729" s="4">
        <v>2.9000000000000001E-2</v>
      </c>
      <c r="C729" t="s">
        <v>7</v>
      </c>
      <c r="E729" t="s">
        <v>17</v>
      </c>
      <c r="F729" t="s">
        <v>15</v>
      </c>
      <c r="G729" t="s">
        <v>209</v>
      </c>
    </row>
    <row r="730" spans="1:7" x14ac:dyDescent="0.2">
      <c r="B730" s="8"/>
    </row>
    <row r="731" spans="1:7" x14ac:dyDescent="0.2">
      <c r="B731" s="8"/>
    </row>
    <row r="732" spans="1:7" x14ac:dyDescent="0.2">
      <c r="G732" s="3"/>
    </row>
    <row r="733" spans="1:7" ht="16" x14ac:dyDescent="0.2">
      <c r="A733" s="1" t="s">
        <v>0</v>
      </c>
      <c r="B733" s="1" t="s">
        <v>349</v>
      </c>
    </row>
    <row r="734" spans="1:7" ht="16" x14ac:dyDescent="0.2">
      <c r="A734" s="16" t="s">
        <v>1</v>
      </c>
      <c r="B734" s="16" t="s">
        <v>408</v>
      </c>
    </row>
    <row r="735" spans="1:7" x14ac:dyDescent="0.2">
      <c r="A735" t="s">
        <v>2</v>
      </c>
      <c r="B735" t="s">
        <v>3</v>
      </c>
    </row>
    <row r="736" spans="1:7" x14ac:dyDescent="0.2">
      <c r="A736" t="s">
        <v>4</v>
      </c>
      <c r="B736">
        <v>1</v>
      </c>
    </row>
    <row r="737" spans="1:7" x14ac:dyDescent="0.2">
      <c r="A737" t="s">
        <v>5</v>
      </c>
      <c r="B737" t="s">
        <v>150</v>
      </c>
    </row>
    <row r="738" spans="1:7" x14ac:dyDescent="0.2">
      <c r="A738" t="s">
        <v>6</v>
      </c>
      <c r="B738" t="s">
        <v>7</v>
      </c>
    </row>
    <row r="739" spans="1:7" x14ac:dyDescent="0.2">
      <c r="A739" t="s">
        <v>8</v>
      </c>
      <c r="B739" t="s">
        <v>311</v>
      </c>
    </row>
    <row r="740" spans="1:7" x14ac:dyDescent="0.2">
      <c r="A740" s="2" t="s">
        <v>9</v>
      </c>
    </row>
    <row r="741" spans="1:7" x14ac:dyDescent="0.2">
      <c r="A741" t="s">
        <v>10</v>
      </c>
      <c r="B741" t="s">
        <v>11</v>
      </c>
      <c r="C741" t="s">
        <v>6</v>
      </c>
      <c r="D741" t="s">
        <v>42</v>
      </c>
      <c r="E741" t="s">
        <v>2</v>
      </c>
      <c r="F741" t="s">
        <v>12</v>
      </c>
      <c r="G741" t="s">
        <v>5</v>
      </c>
    </row>
    <row r="742" spans="1:7" x14ac:dyDescent="0.2">
      <c r="A742" t="s">
        <v>349</v>
      </c>
      <c r="B742">
        <v>1</v>
      </c>
      <c r="C742" t="s">
        <v>7</v>
      </c>
      <c r="E742" t="s">
        <v>3</v>
      </c>
      <c r="F742" t="s">
        <v>13</v>
      </c>
      <c r="G742" t="s">
        <v>150</v>
      </c>
    </row>
    <row r="743" spans="1:7" x14ac:dyDescent="0.2">
      <c r="A743" t="s">
        <v>25</v>
      </c>
      <c r="B743" s="13">
        <f>4.6*10^-10</f>
        <v>4.5999999999999996E-10</v>
      </c>
      <c r="C743" t="s">
        <v>6</v>
      </c>
      <c r="E743" t="s">
        <v>3</v>
      </c>
      <c r="F743" t="s">
        <v>15</v>
      </c>
      <c r="G743" t="s">
        <v>26</v>
      </c>
    </row>
    <row r="744" spans="1:7" x14ac:dyDescent="0.2">
      <c r="A744" t="s">
        <v>139</v>
      </c>
      <c r="B744" s="7">
        <v>1</v>
      </c>
      <c r="C744" t="s">
        <v>7</v>
      </c>
      <c r="E744" t="s">
        <v>3</v>
      </c>
      <c r="F744" t="s">
        <v>15</v>
      </c>
      <c r="G744" t="s">
        <v>140</v>
      </c>
    </row>
    <row r="745" spans="1:7" x14ac:dyDescent="0.2">
      <c r="A745" t="s">
        <v>137</v>
      </c>
      <c r="B745" s="7">
        <v>1</v>
      </c>
      <c r="C745" t="s">
        <v>7</v>
      </c>
      <c r="E745" t="s">
        <v>3</v>
      </c>
      <c r="F745" t="s">
        <v>15</v>
      </c>
      <c r="G745" t="s">
        <v>138</v>
      </c>
    </row>
    <row r="746" spans="1:7" x14ac:dyDescent="0.2">
      <c r="B746" s="8"/>
    </row>
    <row r="747" spans="1:7" x14ac:dyDescent="0.2">
      <c r="B747" s="8"/>
    </row>
    <row r="749" spans="1:7" ht="16" x14ac:dyDescent="0.2">
      <c r="A749" s="1" t="s">
        <v>0</v>
      </c>
      <c r="B749" s="1" t="s">
        <v>355</v>
      </c>
    </row>
    <row r="750" spans="1:7" ht="16" x14ac:dyDescent="0.2">
      <c r="A750" s="16" t="s">
        <v>1</v>
      </c>
      <c r="B750" s="1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751" spans="1:7" x14ac:dyDescent="0.2">
      <c r="A751" t="s">
        <v>2</v>
      </c>
      <c r="B751" t="s">
        <v>3</v>
      </c>
    </row>
    <row r="752" spans="1:7" x14ac:dyDescent="0.2">
      <c r="A752" t="s">
        <v>4</v>
      </c>
      <c r="B752">
        <v>1</v>
      </c>
    </row>
    <row r="753" spans="1:7" x14ac:dyDescent="0.2">
      <c r="A753" t="s">
        <v>5</v>
      </c>
      <c r="B753" t="s">
        <v>218</v>
      </c>
    </row>
    <row r="754" spans="1:7" x14ac:dyDescent="0.2">
      <c r="A754" t="s">
        <v>6</v>
      </c>
      <c r="B754" t="s">
        <v>6</v>
      </c>
    </row>
    <row r="755" spans="1:7" x14ac:dyDescent="0.2">
      <c r="A755" t="s">
        <v>8</v>
      </c>
      <c r="B755" t="s">
        <v>315</v>
      </c>
    </row>
    <row r="756" spans="1:7" ht="16" x14ac:dyDescent="0.2">
      <c r="A756" s="1" t="s">
        <v>9</v>
      </c>
    </row>
    <row r="757" spans="1:7" x14ac:dyDescent="0.2">
      <c r="A757" t="s">
        <v>10</v>
      </c>
      <c r="B757" t="s">
        <v>11</v>
      </c>
      <c r="C757" t="s">
        <v>6</v>
      </c>
      <c r="D757" t="s">
        <v>2</v>
      </c>
      <c r="E757" t="s">
        <v>12</v>
      </c>
      <c r="F757" t="s">
        <v>5</v>
      </c>
      <c r="G757" t="s">
        <v>1</v>
      </c>
    </row>
    <row r="758" spans="1:7" ht="16" x14ac:dyDescent="0.2">
      <c r="A758" s="16" t="s">
        <v>355</v>
      </c>
      <c r="B758">
        <v>1</v>
      </c>
      <c r="C758" t="s">
        <v>6</v>
      </c>
      <c r="D758" t="s">
        <v>3</v>
      </c>
      <c r="E758" t="s">
        <v>13</v>
      </c>
      <c r="F758" t="s">
        <v>218</v>
      </c>
    </row>
    <row r="759" spans="1:7" x14ac:dyDescent="0.2">
      <c r="A759" t="s">
        <v>343</v>
      </c>
      <c r="B759">
        <f>16*25.509152</f>
        <v>408.146432</v>
      </c>
      <c r="C759" t="s">
        <v>7</v>
      </c>
      <c r="D759" t="s">
        <v>3</v>
      </c>
      <c r="E759" t="s">
        <v>15</v>
      </c>
      <c r="F759" t="s">
        <v>414</v>
      </c>
      <c r="G759" t="s">
        <v>419</v>
      </c>
    </row>
    <row r="760" spans="1:7" x14ac:dyDescent="0.2">
      <c r="A760" t="s">
        <v>347</v>
      </c>
      <c r="B760">
        <v>1</v>
      </c>
      <c r="C760" t="s">
        <v>6</v>
      </c>
      <c r="D760" t="s">
        <v>3</v>
      </c>
      <c r="E760" t="s">
        <v>15</v>
      </c>
      <c r="F760" t="s">
        <v>141</v>
      </c>
    </row>
    <row r="761" spans="1:7" x14ac:dyDescent="0.2">
      <c r="A761" t="s">
        <v>219</v>
      </c>
      <c r="B761">
        <v>1.8</v>
      </c>
      <c r="C761" t="s">
        <v>7</v>
      </c>
      <c r="D761" t="s">
        <v>3</v>
      </c>
      <c r="E761" t="s">
        <v>15</v>
      </c>
      <c r="F761" t="s">
        <v>220</v>
      </c>
    </row>
    <row r="762" spans="1:7" x14ac:dyDescent="0.2">
      <c r="A762" t="s">
        <v>356</v>
      </c>
      <c r="B762">
        <v>50</v>
      </c>
      <c r="C762" t="s">
        <v>7</v>
      </c>
      <c r="D762" t="s">
        <v>3</v>
      </c>
      <c r="E762" t="s">
        <v>15</v>
      </c>
      <c r="F762" t="s">
        <v>223</v>
      </c>
    </row>
    <row r="763" spans="1:7" x14ac:dyDescent="0.2">
      <c r="A763" t="s">
        <v>221</v>
      </c>
      <c r="B763">
        <v>17</v>
      </c>
      <c r="C763" t="s">
        <v>7</v>
      </c>
      <c r="D763" t="s">
        <v>3</v>
      </c>
      <c r="E763" t="s">
        <v>15</v>
      </c>
      <c r="F763" t="s">
        <v>222</v>
      </c>
    </row>
    <row r="764" spans="1:7" x14ac:dyDescent="0.2">
      <c r="A764" t="s">
        <v>25</v>
      </c>
      <c r="B764" s="13">
        <v>2.1E-7</v>
      </c>
      <c r="C764" t="s">
        <v>6</v>
      </c>
      <c r="D764" t="s">
        <v>3</v>
      </c>
      <c r="E764" t="s">
        <v>15</v>
      </c>
      <c r="F764" t="s">
        <v>26</v>
      </c>
    </row>
    <row r="766" spans="1:7" x14ac:dyDescent="0.2">
      <c r="C766" s="4"/>
    </row>
    <row r="768" spans="1:7" ht="16" x14ac:dyDescent="0.2">
      <c r="A768" s="1" t="s">
        <v>0</v>
      </c>
      <c r="B768" s="1" t="s">
        <v>356</v>
      </c>
    </row>
    <row r="769" spans="1:6" ht="16" x14ac:dyDescent="0.2">
      <c r="A769" s="16" t="s">
        <v>1</v>
      </c>
      <c r="B769" s="16" t="s">
        <v>408</v>
      </c>
    </row>
    <row r="770" spans="1:6" x14ac:dyDescent="0.2">
      <c r="A770" t="s">
        <v>2</v>
      </c>
      <c r="B770" t="s">
        <v>3</v>
      </c>
    </row>
    <row r="771" spans="1:6" x14ac:dyDescent="0.2">
      <c r="A771" t="s">
        <v>4</v>
      </c>
      <c r="B771">
        <v>1</v>
      </c>
    </row>
    <row r="772" spans="1:6" x14ac:dyDescent="0.2">
      <c r="A772" t="s">
        <v>5</v>
      </c>
      <c r="B772" t="s">
        <v>223</v>
      </c>
    </row>
    <row r="773" spans="1:6" x14ac:dyDescent="0.2">
      <c r="A773" t="s">
        <v>6</v>
      </c>
      <c r="B773" t="s">
        <v>7</v>
      </c>
    </row>
    <row r="774" spans="1:6" x14ac:dyDescent="0.2">
      <c r="A774" t="s">
        <v>8</v>
      </c>
      <c r="B774" t="s">
        <v>316</v>
      </c>
    </row>
    <row r="775" spans="1:6" ht="16" x14ac:dyDescent="0.2">
      <c r="A775" s="1" t="s">
        <v>9</v>
      </c>
    </row>
    <row r="776" spans="1:6" x14ac:dyDescent="0.2">
      <c r="A776" t="s">
        <v>10</v>
      </c>
      <c r="B776" t="s">
        <v>11</v>
      </c>
      <c r="C776" t="s">
        <v>6</v>
      </c>
      <c r="D776" t="s">
        <v>2</v>
      </c>
      <c r="E776" t="s">
        <v>12</v>
      </c>
      <c r="F776" t="s">
        <v>5</v>
      </c>
    </row>
    <row r="777" spans="1:6" x14ac:dyDescent="0.2">
      <c r="A777" t="s">
        <v>356</v>
      </c>
      <c r="B777">
        <v>1</v>
      </c>
      <c r="C777" t="s">
        <v>7</v>
      </c>
      <c r="D777" t="s">
        <v>3</v>
      </c>
      <c r="E777" t="s">
        <v>13</v>
      </c>
      <c r="F777" t="s">
        <v>223</v>
      </c>
    </row>
    <row r="778" spans="1:6" x14ac:dyDescent="0.2">
      <c r="A778" t="s">
        <v>25</v>
      </c>
      <c r="B778" s="13">
        <f>4.58*10^-10</f>
        <v>4.5800000000000002E-10</v>
      </c>
      <c r="C778" t="s">
        <v>6</v>
      </c>
      <c r="D778" t="s">
        <v>3</v>
      </c>
      <c r="E778" t="s">
        <v>15</v>
      </c>
      <c r="F778" t="s">
        <v>26</v>
      </c>
    </row>
    <row r="779" spans="1:6" x14ac:dyDescent="0.2">
      <c r="A779" t="s">
        <v>139</v>
      </c>
      <c r="B779">
        <v>1</v>
      </c>
      <c r="C779" t="s">
        <v>7</v>
      </c>
      <c r="D779" t="s">
        <v>3</v>
      </c>
      <c r="E779" t="s">
        <v>15</v>
      </c>
      <c r="F779" t="s">
        <v>140</v>
      </c>
    </row>
    <row r="780" spans="1:6" x14ac:dyDescent="0.2">
      <c r="A780" t="s">
        <v>224</v>
      </c>
      <c r="B780">
        <v>5.5E-2</v>
      </c>
      <c r="C780" t="s">
        <v>153</v>
      </c>
      <c r="D780" t="s">
        <v>3</v>
      </c>
      <c r="E780" t="s">
        <v>15</v>
      </c>
      <c r="F780" t="s">
        <v>225</v>
      </c>
    </row>
    <row r="781" spans="1:6" x14ac:dyDescent="0.2">
      <c r="A781" t="s">
        <v>137</v>
      </c>
      <c r="B781">
        <v>1</v>
      </c>
      <c r="C781" t="s">
        <v>7</v>
      </c>
      <c r="D781" t="s">
        <v>3</v>
      </c>
      <c r="E781" t="s">
        <v>15</v>
      </c>
      <c r="F781" t="s">
        <v>138</v>
      </c>
    </row>
    <row r="785" spans="1:6" ht="16" x14ac:dyDescent="0.2">
      <c r="A785" s="1" t="s">
        <v>0</v>
      </c>
      <c r="B785" s="1" t="s">
        <v>357</v>
      </c>
    </row>
    <row r="786" spans="1:6" ht="16" x14ac:dyDescent="0.2">
      <c r="A786" s="16" t="s">
        <v>1</v>
      </c>
      <c r="B786" s="16" t="s">
        <v>408</v>
      </c>
    </row>
    <row r="787" spans="1:6" x14ac:dyDescent="0.2">
      <c r="A787" t="s">
        <v>2</v>
      </c>
      <c r="B787" t="s">
        <v>3</v>
      </c>
    </row>
    <row r="788" spans="1:6" x14ac:dyDescent="0.2">
      <c r="A788" t="s">
        <v>4</v>
      </c>
      <c r="B788">
        <v>1</v>
      </c>
    </row>
    <row r="789" spans="1:6" x14ac:dyDescent="0.2">
      <c r="A789" t="s">
        <v>5</v>
      </c>
      <c r="B789" t="s">
        <v>226</v>
      </c>
    </row>
    <row r="790" spans="1:6" x14ac:dyDescent="0.2">
      <c r="A790" t="s">
        <v>6</v>
      </c>
      <c r="B790" t="s">
        <v>7</v>
      </c>
    </row>
    <row r="791" spans="1:6" x14ac:dyDescent="0.2">
      <c r="A791" t="s">
        <v>8</v>
      </c>
      <c r="B791" t="s">
        <v>317</v>
      </c>
    </row>
    <row r="792" spans="1:6" ht="16" x14ac:dyDescent="0.2">
      <c r="A792" s="1" t="s">
        <v>9</v>
      </c>
    </row>
    <row r="793" spans="1:6" x14ac:dyDescent="0.2">
      <c r="A793" t="s">
        <v>10</v>
      </c>
      <c r="B793" t="s">
        <v>11</v>
      </c>
      <c r="C793" t="s">
        <v>6</v>
      </c>
      <c r="D793" t="s">
        <v>2</v>
      </c>
      <c r="E793" t="s">
        <v>12</v>
      </c>
      <c r="F793" t="s">
        <v>5</v>
      </c>
    </row>
    <row r="794" spans="1:6" x14ac:dyDescent="0.2">
      <c r="A794" t="s">
        <v>357</v>
      </c>
      <c r="B794">
        <v>1</v>
      </c>
      <c r="C794" t="s">
        <v>7</v>
      </c>
      <c r="D794" t="s">
        <v>3</v>
      </c>
      <c r="E794" t="s">
        <v>13</v>
      </c>
      <c r="F794" t="s">
        <v>226</v>
      </c>
    </row>
    <row r="795" spans="1:6" x14ac:dyDescent="0.2">
      <c r="A795" t="s">
        <v>137</v>
      </c>
      <c r="B795">
        <v>0.78</v>
      </c>
      <c r="C795" t="s">
        <v>7</v>
      </c>
      <c r="D795" t="s">
        <v>3</v>
      </c>
      <c r="E795" t="s">
        <v>15</v>
      </c>
      <c r="F795" t="s">
        <v>138</v>
      </c>
    </row>
    <row r="796" spans="1:6" x14ac:dyDescent="0.2">
      <c r="A796" t="s">
        <v>386</v>
      </c>
      <c r="B796">
        <v>0.22</v>
      </c>
      <c r="C796" t="s">
        <v>7</v>
      </c>
      <c r="D796" t="s">
        <v>17</v>
      </c>
      <c r="E796" t="s">
        <v>15</v>
      </c>
      <c r="F796" t="s">
        <v>227</v>
      </c>
    </row>
    <row r="800" spans="1:6" ht="16" x14ac:dyDescent="0.2">
      <c r="A800" s="1" t="s">
        <v>0</v>
      </c>
      <c r="B800" s="1" t="s">
        <v>358</v>
      </c>
    </row>
    <row r="801" spans="1:7" ht="16" x14ac:dyDescent="0.2">
      <c r="A801" s="16" t="s">
        <v>1</v>
      </c>
      <c r="B801" s="16" t="s">
        <v>408</v>
      </c>
    </row>
    <row r="802" spans="1:7" x14ac:dyDescent="0.2">
      <c r="A802" t="s">
        <v>2</v>
      </c>
      <c r="B802" t="s">
        <v>3</v>
      </c>
    </row>
    <row r="803" spans="1:7" x14ac:dyDescent="0.2">
      <c r="A803" t="s">
        <v>4</v>
      </c>
      <c r="B803">
        <v>1</v>
      </c>
    </row>
    <row r="804" spans="1:7" x14ac:dyDescent="0.2">
      <c r="A804" t="s">
        <v>5</v>
      </c>
      <c r="B804" t="s">
        <v>228</v>
      </c>
    </row>
    <row r="805" spans="1:7" x14ac:dyDescent="0.2">
      <c r="A805" t="s">
        <v>6</v>
      </c>
      <c r="B805" t="s">
        <v>6</v>
      </c>
    </row>
    <row r="806" spans="1:7" x14ac:dyDescent="0.2">
      <c r="A806" t="s">
        <v>8</v>
      </c>
      <c r="B806" t="s">
        <v>318</v>
      </c>
    </row>
    <row r="807" spans="1:7" ht="16" x14ac:dyDescent="0.2">
      <c r="A807" s="1" t="s">
        <v>9</v>
      </c>
    </row>
    <row r="808" spans="1:7" x14ac:dyDescent="0.2">
      <c r="A808" t="s">
        <v>10</v>
      </c>
      <c r="B808" t="s">
        <v>11</v>
      </c>
      <c r="C808" t="s">
        <v>6</v>
      </c>
      <c r="D808" t="s">
        <v>2</v>
      </c>
      <c r="E808" t="s">
        <v>12</v>
      </c>
      <c r="F808" t="s">
        <v>5</v>
      </c>
      <c r="G808" t="s">
        <v>1</v>
      </c>
    </row>
    <row r="809" spans="1:7" x14ac:dyDescent="0.2">
      <c r="A809" t="s">
        <v>358</v>
      </c>
      <c r="B809">
        <v>1</v>
      </c>
      <c r="C809" t="s">
        <v>6</v>
      </c>
      <c r="D809" t="s">
        <v>3</v>
      </c>
      <c r="E809" t="s">
        <v>13</v>
      </c>
      <c r="F809" t="s">
        <v>228</v>
      </c>
    </row>
    <row r="810" spans="1:7" x14ac:dyDescent="0.2">
      <c r="A810" t="s">
        <v>355</v>
      </c>
      <c r="B810">
        <v>40</v>
      </c>
      <c r="C810" t="s">
        <v>6</v>
      </c>
      <c r="D810" t="s">
        <v>3</v>
      </c>
      <c r="E810" t="s">
        <v>15</v>
      </c>
      <c r="F810" t="s">
        <v>218</v>
      </c>
    </row>
    <row r="811" spans="1:7" x14ac:dyDescent="0.2">
      <c r="A811" t="s">
        <v>343</v>
      </c>
      <c r="B811">
        <f>640*24.971</f>
        <v>15981.44</v>
      </c>
      <c r="C811" t="s">
        <v>7</v>
      </c>
      <c r="D811" t="s">
        <v>3</v>
      </c>
      <c r="E811" t="s">
        <v>15</v>
      </c>
      <c r="F811" t="s">
        <v>414</v>
      </c>
      <c r="G811" t="s">
        <v>420</v>
      </c>
    </row>
    <row r="812" spans="1:7" x14ac:dyDescent="0.2">
      <c r="A812" t="s">
        <v>387</v>
      </c>
      <c r="B812">
        <v>15</v>
      </c>
      <c r="C812" t="s">
        <v>45</v>
      </c>
      <c r="D812" t="s">
        <v>17</v>
      </c>
      <c r="E812" t="s">
        <v>15</v>
      </c>
      <c r="F812" t="s">
        <v>388</v>
      </c>
      <c r="G812" t="s">
        <v>389</v>
      </c>
    </row>
    <row r="813" spans="1:7" x14ac:dyDescent="0.2">
      <c r="A813" t="s">
        <v>357</v>
      </c>
      <c r="B813">
        <v>480</v>
      </c>
      <c r="C813" t="s">
        <v>7</v>
      </c>
      <c r="D813" t="s">
        <v>3</v>
      </c>
      <c r="E813" t="s">
        <v>15</v>
      </c>
      <c r="F813" t="s">
        <v>226</v>
      </c>
    </row>
    <row r="814" spans="1:7" x14ac:dyDescent="0.2">
      <c r="A814" t="s">
        <v>229</v>
      </c>
      <c r="B814">
        <v>1</v>
      </c>
      <c r="C814" t="s">
        <v>6</v>
      </c>
      <c r="D814" t="s">
        <v>3</v>
      </c>
      <c r="E814" t="s">
        <v>15</v>
      </c>
      <c r="F814" t="s">
        <v>230</v>
      </c>
    </row>
    <row r="815" spans="1:7" x14ac:dyDescent="0.2">
      <c r="A815" t="s">
        <v>231</v>
      </c>
      <c r="B815">
        <v>1.2</v>
      </c>
      <c r="C815" t="s">
        <v>6</v>
      </c>
      <c r="D815" t="s">
        <v>3</v>
      </c>
      <c r="E815" t="s">
        <v>15</v>
      </c>
      <c r="F815" t="s">
        <v>232</v>
      </c>
    </row>
    <row r="819" spans="1:7" ht="16" x14ac:dyDescent="0.2">
      <c r="A819" s="1" t="s">
        <v>0</v>
      </c>
      <c r="B819" s="1" t="s">
        <v>374</v>
      </c>
    </row>
    <row r="820" spans="1:7" x14ac:dyDescent="0.2">
      <c r="A820" t="s">
        <v>1</v>
      </c>
      <c r="B820" t="s">
        <v>409</v>
      </c>
    </row>
    <row r="821" spans="1:7" x14ac:dyDescent="0.2">
      <c r="A821" t="s">
        <v>2</v>
      </c>
      <c r="B821" t="s">
        <v>3</v>
      </c>
    </row>
    <row r="822" spans="1:7" x14ac:dyDescent="0.2">
      <c r="A822" t="s">
        <v>4</v>
      </c>
      <c r="B822">
        <v>1</v>
      </c>
    </row>
    <row r="823" spans="1:7" x14ac:dyDescent="0.2">
      <c r="A823" t="s">
        <v>5</v>
      </c>
      <c r="B823" t="s">
        <v>233</v>
      </c>
    </row>
    <row r="824" spans="1:7" x14ac:dyDescent="0.2">
      <c r="A824" t="s">
        <v>6</v>
      </c>
      <c r="B824" t="s">
        <v>23</v>
      </c>
    </row>
    <row r="825" spans="1:7" x14ac:dyDescent="0.2">
      <c r="A825" t="s">
        <v>8</v>
      </c>
      <c r="B825" t="s">
        <v>319</v>
      </c>
    </row>
    <row r="826" spans="1:7" ht="16" x14ac:dyDescent="0.2">
      <c r="A826" s="1" t="s">
        <v>9</v>
      </c>
    </row>
    <row r="827" spans="1:7" x14ac:dyDescent="0.2">
      <c r="A827" t="s">
        <v>10</v>
      </c>
      <c r="B827" t="s">
        <v>11</v>
      </c>
      <c r="C827" t="s">
        <v>6</v>
      </c>
      <c r="D827" t="s">
        <v>2</v>
      </c>
      <c r="E827" t="s">
        <v>12</v>
      </c>
      <c r="F827" t="s">
        <v>5</v>
      </c>
      <c r="G827" t="s">
        <v>292</v>
      </c>
    </row>
    <row r="828" spans="1:7" x14ac:dyDescent="0.2">
      <c r="A828" t="s">
        <v>374</v>
      </c>
      <c r="B828">
        <v>1</v>
      </c>
      <c r="C828" t="s">
        <v>23</v>
      </c>
      <c r="D828" t="s">
        <v>3</v>
      </c>
      <c r="E828" t="s">
        <v>13</v>
      </c>
      <c r="F828" t="s">
        <v>233</v>
      </c>
    </row>
    <row r="829" spans="1:7" x14ac:dyDescent="0.2">
      <c r="A829" t="s">
        <v>358</v>
      </c>
      <c r="B829" s="13">
        <f>0.0000278/1000</f>
        <v>2.7800000000000001E-8</v>
      </c>
      <c r="C829" t="s">
        <v>6</v>
      </c>
      <c r="D829" t="s">
        <v>3</v>
      </c>
      <c r="E829" t="s">
        <v>15</v>
      </c>
      <c r="F829" t="s">
        <v>228</v>
      </c>
      <c r="G829" t="s">
        <v>390</v>
      </c>
    </row>
    <row r="830" spans="1:7" x14ac:dyDescent="0.2">
      <c r="A830" t="s">
        <v>22</v>
      </c>
      <c r="B830">
        <f>0.122+0.313</f>
        <v>0.435</v>
      </c>
      <c r="C830" t="s">
        <v>23</v>
      </c>
      <c r="D830" t="s">
        <v>54</v>
      </c>
      <c r="E830" t="s">
        <v>15</v>
      </c>
      <c r="F830" t="s">
        <v>24</v>
      </c>
      <c r="G830" t="s">
        <v>416</v>
      </c>
    </row>
    <row r="831" spans="1:7" x14ac:dyDescent="0.2">
      <c r="A831" t="s">
        <v>361</v>
      </c>
      <c r="B831" s="13">
        <f>-B829</f>
        <v>-2.7800000000000001E-8</v>
      </c>
      <c r="C831" t="s">
        <v>6</v>
      </c>
      <c r="D831" t="s">
        <v>3</v>
      </c>
      <c r="E831" t="s">
        <v>15</v>
      </c>
      <c r="F831" t="s">
        <v>243</v>
      </c>
      <c r="G831" t="s">
        <v>422</v>
      </c>
    </row>
    <row r="834" spans="1:7" ht="16" x14ac:dyDescent="0.2">
      <c r="A834" s="1" t="s">
        <v>0</v>
      </c>
      <c r="B834" s="1" t="s">
        <v>359</v>
      </c>
    </row>
    <row r="835" spans="1:7" ht="16" x14ac:dyDescent="0.2">
      <c r="A835" s="16" t="s">
        <v>1</v>
      </c>
      <c r="B835" s="16" t="s">
        <v>408</v>
      </c>
    </row>
    <row r="836" spans="1:7" x14ac:dyDescent="0.2">
      <c r="A836" t="s">
        <v>2</v>
      </c>
      <c r="B836" t="s">
        <v>234</v>
      </c>
    </row>
    <row r="837" spans="1:7" x14ac:dyDescent="0.2">
      <c r="A837" t="s">
        <v>4</v>
      </c>
      <c r="B837">
        <v>1</v>
      </c>
    </row>
    <row r="838" spans="1:7" x14ac:dyDescent="0.2">
      <c r="A838" t="s">
        <v>5</v>
      </c>
      <c r="B838" t="s">
        <v>24</v>
      </c>
    </row>
    <row r="839" spans="1:7" x14ac:dyDescent="0.2">
      <c r="A839" t="s">
        <v>6</v>
      </c>
      <c r="B839" t="s">
        <v>23</v>
      </c>
    </row>
    <row r="840" spans="1:7" x14ac:dyDescent="0.2">
      <c r="A840" t="s">
        <v>8</v>
      </c>
      <c r="B840" t="s">
        <v>319</v>
      </c>
    </row>
    <row r="841" spans="1:7" ht="16" x14ac:dyDescent="0.2">
      <c r="A841" s="1" t="s">
        <v>9</v>
      </c>
    </row>
    <row r="842" spans="1:7" x14ac:dyDescent="0.2">
      <c r="A842" t="s">
        <v>10</v>
      </c>
      <c r="B842" t="s">
        <v>11</v>
      </c>
      <c r="C842" t="s">
        <v>6</v>
      </c>
      <c r="D842" t="s">
        <v>42</v>
      </c>
      <c r="E842" t="s">
        <v>2</v>
      </c>
      <c r="F842" t="s">
        <v>12</v>
      </c>
      <c r="G842" t="s">
        <v>5</v>
      </c>
    </row>
    <row r="843" spans="1:7" x14ac:dyDescent="0.2">
      <c r="A843" t="s">
        <v>359</v>
      </c>
      <c r="B843">
        <v>1</v>
      </c>
      <c r="C843" t="s">
        <v>23</v>
      </c>
      <c r="E843" t="s">
        <v>234</v>
      </c>
      <c r="F843" t="s">
        <v>13</v>
      </c>
      <c r="G843" t="s">
        <v>24</v>
      </c>
    </row>
    <row r="844" spans="1:7" x14ac:dyDescent="0.2">
      <c r="A844" t="s">
        <v>360</v>
      </c>
      <c r="B844">
        <v>1</v>
      </c>
      <c r="C844" t="s">
        <v>23</v>
      </c>
      <c r="E844" t="s">
        <v>234</v>
      </c>
      <c r="F844" t="s">
        <v>15</v>
      </c>
      <c r="G844" t="s">
        <v>24</v>
      </c>
    </row>
    <row r="845" spans="1:7" x14ac:dyDescent="0.2">
      <c r="A845" t="s">
        <v>235</v>
      </c>
      <c r="B845" s="13">
        <f>1.13*10^-7</f>
        <v>1.1299999999999998E-7</v>
      </c>
      <c r="C845" t="s">
        <v>7</v>
      </c>
      <c r="E845" t="s">
        <v>29</v>
      </c>
      <c r="F845" t="s">
        <v>15</v>
      </c>
      <c r="G845" t="s">
        <v>236</v>
      </c>
    </row>
    <row r="846" spans="1:7" x14ac:dyDescent="0.2">
      <c r="A846" t="s">
        <v>237</v>
      </c>
      <c r="B846" s="13">
        <f>1.86278*10^-8</f>
        <v>1.8627800000000002E-8</v>
      </c>
      <c r="C846" t="s">
        <v>238</v>
      </c>
      <c r="E846" t="s">
        <v>3</v>
      </c>
      <c r="F846" t="s">
        <v>15</v>
      </c>
      <c r="G846" t="s">
        <v>239</v>
      </c>
    </row>
    <row r="847" spans="1:7" x14ac:dyDescent="0.2">
      <c r="A847" t="s">
        <v>240</v>
      </c>
      <c r="B847" s="13">
        <f>1.13*10^-7</f>
        <v>1.1299999999999998E-7</v>
      </c>
      <c r="C847" t="s">
        <v>7</v>
      </c>
      <c r="D847" t="s">
        <v>43</v>
      </c>
      <c r="F847" t="s">
        <v>44</v>
      </c>
    </row>
    <row r="848" spans="1:7" x14ac:dyDescent="0.2">
      <c r="B848" s="3"/>
    </row>
    <row r="849" spans="1:8" x14ac:dyDescent="0.2">
      <c r="B849" s="3"/>
    </row>
    <row r="851" spans="1:8" ht="16" x14ac:dyDescent="0.2">
      <c r="A851" s="1" t="s">
        <v>0</v>
      </c>
      <c r="B851" s="2" t="s">
        <v>360</v>
      </c>
    </row>
    <row r="852" spans="1:8" ht="16" x14ac:dyDescent="0.2">
      <c r="A852" s="16" t="s">
        <v>1</v>
      </c>
      <c r="B852" t="s">
        <v>408</v>
      </c>
    </row>
    <row r="853" spans="1:8" x14ac:dyDescent="0.2">
      <c r="A853" t="s">
        <v>2</v>
      </c>
      <c r="B853" t="s">
        <v>234</v>
      </c>
    </row>
    <row r="854" spans="1:8" x14ac:dyDescent="0.2">
      <c r="A854" t="s">
        <v>4</v>
      </c>
      <c r="B854">
        <v>1</v>
      </c>
    </row>
    <row r="855" spans="1:8" x14ac:dyDescent="0.2">
      <c r="A855" t="s">
        <v>5</v>
      </c>
      <c r="B855" t="s">
        <v>24</v>
      </c>
    </row>
    <row r="856" spans="1:8" x14ac:dyDescent="0.2">
      <c r="A856" t="s">
        <v>6</v>
      </c>
      <c r="B856" t="s">
        <v>23</v>
      </c>
    </row>
    <row r="857" spans="1:8" x14ac:dyDescent="0.2">
      <c r="A857" t="s">
        <v>8</v>
      </c>
      <c r="B857" t="s">
        <v>319</v>
      </c>
    </row>
    <row r="858" spans="1:8" ht="16" x14ac:dyDescent="0.2">
      <c r="A858" s="1" t="s">
        <v>9</v>
      </c>
    </row>
    <row r="859" spans="1:8" x14ac:dyDescent="0.2">
      <c r="A859" s="15" t="s">
        <v>10</v>
      </c>
      <c r="B859" s="15" t="s">
        <v>11</v>
      </c>
      <c r="C859" s="15" t="s">
        <v>6</v>
      </c>
      <c r="D859" s="15" t="s">
        <v>42</v>
      </c>
      <c r="E859" s="15" t="s">
        <v>2</v>
      </c>
      <c r="F859" s="15" t="s">
        <v>12</v>
      </c>
      <c r="G859" s="15" t="s">
        <v>5</v>
      </c>
      <c r="H859" s="15"/>
    </row>
    <row r="860" spans="1:8" x14ac:dyDescent="0.2">
      <c r="A860" t="s">
        <v>360</v>
      </c>
      <c r="B860">
        <v>1</v>
      </c>
      <c r="C860" t="s">
        <v>23</v>
      </c>
      <c r="E860" t="s">
        <v>234</v>
      </c>
      <c r="F860" t="s">
        <v>13</v>
      </c>
      <c r="G860" t="s">
        <v>24</v>
      </c>
    </row>
    <row r="861" spans="1:8" x14ac:dyDescent="0.2">
      <c r="A861" t="s">
        <v>241</v>
      </c>
      <c r="B861" s="7">
        <v>1.0037</v>
      </c>
      <c r="C861" t="s">
        <v>23</v>
      </c>
      <c r="E861" t="s">
        <v>234</v>
      </c>
      <c r="F861" t="s">
        <v>15</v>
      </c>
      <c r="G861" t="s">
        <v>242</v>
      </c>
    </row>
    <row r="865" spans="1:8" ht="16" x14ac:dyDescent="0.2">
      <c r="A865" s="1" t="s">
        <v>0</v>
      </c>
      <c r="B865" s="1" t="s">
        <v>361</v>
      </c>
    </row>
    <row r="866" spans="1:8" ht="16" x14ac:dyDescent="0.2">
      <c r="A866" s="16" t="s">
        <v>1</v>
      </c>
      <c r="B866" s="16" t="s">
        <v>408</v>
      </c>
    </row>
    <row r="867" spans="1:8" x14ac:dyDescent="0.2">
      <c r="A867" t="s">
        <v>2</v>
      </c>
      <c r="B867" t="s">
        <v>3</v>
      </c>
    </row>
    <row r="868" spans="1:8" x14ac:dyDescent="0.2">
      <c r="A868" t="s">
        <v>4</v>
      </c>
      <c r="B868">
        <v>1</v>
      </c>
    </row>
    <row r="869" spans="1:8" x14ac:dyDescent="0.2">
      <c r="A869" t="s">
        <v>5</v>
      </c>
      <c r="B869" t="s">
        <v>243</v>
      </c>
    </row>
    <row r="870" spans="1:8" x14ac:dyDescent="0.2">
      <c r="A870" t="s">
        <v>6</v>
      </c>
      <c r="B870" t="s">
        <v>6</v>
      </c>
    </row>
    <row r="871" spans="1:8" x14ac:dyDescent="0.2">
      <c r="A871" t="s">
        <v>8</v>
      </c>
      <c r="B871" t="s">
        <v>319</v>
      </c>
    </row>
    <row r="872" spans="1:8" ht="16" x14ac:dyDescent="0.2">
      <c r="A872" s="1" t="s">
        <v>9</v>
      </c>
    </row>
    <row r="873" spans="1:8" x14ac:dyDescent="0.2">
      <c r="A873" s="15" t="s">
        <v>10</v>
      </c>
      <c r="B873" s="15" t="s">
        <v>11</v>
      </c>
      <c r="C873" s="15" t="s">
        <v>6</v>
      </c>
      <c r="D873" s="15" t="s">
        <v>42</v>
      </c>
      <c r="E873" s="15" t="s">
        <v>2</v>
      </c>
      <c r="F873" s="15" t="s">
        <v>12</v>
      </c>
      <c r="G873" s="15" t="s">
        <v>5</v>
      </c>
      <c r="H873" s="15" t="s">
        <v>1</v>
      </c>
    </row>
    <row r="874" spans="1:8" x14ac:dyDescent="0.2">
      <c r="A874" t="s">
        <v>361</v>
      </c>
      <c r="B874">
        <v>-1</v>
      </c>
      <c r="C874" t="s">
        <v>6</v>
      </c>
      <c r="E874" t="s">
        <v>3</v>
      </c>
      <c r="F874" t="s">
        <v>13</v>
      </c>
      <c r="G874" t="s">
        <v>243</v>
      </c>
      <c r="H874" t="s">
        <v>421</v>
      </c>
    </row>
    <row r="875" spans="1:8" x14ac:dyDescent="0.2">
      <c r="A875" t="s">
        <v>362</v>
      </c>
      <c r="B875">
        <v>-1300</v>
      </c>
      <c r="C875" t="s">
        <v>6</v>
      </c>
      <c r="E875" t="s">
        <v>3</v>
      </c>
      <c r="F875" t="s">
        <v>15</v>
      </c>
      <c r="G875" t="s">
        <v>244</v>
      </c>
    </row>
    <row r="876" spans="1:8" ht="16" x14ac:dyDescent="0.2">
      <c r="A876" s="22" t="s">
        <v>432</v>
      </c>
      <c r="B876">
        <v>-9000</v>
      </c>
      <c r="C876" t="s">
        <v>7</v>
      </c>
      <c r="E876" t="s">
        <v>3</v>
      </c>
      <c r="F876" t="s">
        <v>15</v>
      </c>
      <c r="G876" s="15" t="s">
        <v>433</v>
      </c>
    </row>
    <row r="879" spans="1:8" ht="16" x14ac:dyDescent="0.2">
      <c r="A879" s="1" t="s">
        <v>0</v>
      </c>
      <c r="B879" s="1" t="s">
        <v>362</v>
      </c>
    </row>
    <row r="880" spans="1:8" ht="16" x14ac:dyDescent="0.2">
      <c r="A880" s="16" t="s">
        <v>1</v>
      </c>
      <c r="B880" s="16" t="s">
        <v>408</v>
      </c>
    </row>
    <row r="881" spans="1:8" x14ac:dyDescent="0.2">
      <c r="A881" t="s">
        <v>2</v>
      </c>
      <c r="B881" t="s">
        <v>3</v>
      </c>
    </row>
    <row r="882" spans="1:8" x14ac:dyDescent="0.2">
      <c r="A882" t="s">
        <v>4</v>
      </c>
      <c r="B882">
        <v>1</v>
      </c>
    </row>
    <row r="883" spans="1:8" x14ac:dyDescent="0.2">
      <c r="A883" t="s">
        <v>5</v>
      </c>
      <c r="B883" t="s">
        <v>244</v>
      </c>
    </row>
    <row r="884" spans="1:8" x14ac:dyDescent="0.2">
      <c r="A884" t="s">
        <v>6</v>
      </c>
      <c r="B884" t="s">
        <v>6</v>
      </c>
    </row>
    <row r="885" spans="1:8" x14ac:dyDescent="0.2">
      <c r="A885" t="s">
        <v>8</v>
      </c>
      <c r="B885" t="s">
        <v>319</v>
      </c>
    </row>
    <row r="886" spans="1:8" ht="16" x14ac:dyDescent="0.2">
      <c r="A886" s="1" t="s">
        <v>9</v>
      </c>
    </row>
    <row r="887" spans="1:8" x14ac:dyDescent="0.2">
      <c r="A887" s="15" t="s">
        <v>10</v>
      </c>
      <c r="B887" s="15" t="s">
        <v>11</v>
      </c>
      <c r="C887" s="15" t="s">
        <v>6</v>
      </c>
      <c r="D887" s="15" t="s">
        <v>42</v>
      </c>
      <c r="E887" s="15" t="s">
        <v>2</v>
      </c>
      <c r="F887" s="15" t="s">
        <v>12</v>
      </c>
      <c r="G887" s="15" t="s">
        <v>5</v>
      </c>
      <c r="H887" s="15" t="s">
        <v>1</v>
      </c>
    </row>
    <row r="888" spans="1:8" x14ac:dyDescent="0.2">
      <c r="A888" t="s">
        <v>362</v>
      </c>
      <c r="B888">
        <v>-1</v>
      </c>
      <c r="C888" t="s">
        <v>6</v>
      </c>
      <c r="E888" t="s">
        <v>3</v>
      </c>
      <c r="F888" t="s">
        <v>13</v>
      </c>
      <c r="G888" t="s">
        <v>244</v>
      </c>
      <c r="H888" t="s">
        <v>421</v>
      </c>
    </row>
    <row r="889" spans="1:8" x14ac:dyDescent="0.2">
      <c r="A889" t="s">
        <v>363</v>
      </c>
      <c r="B889">
        <v>-18.77</v>
      </c>
      <c r="C889" t="s">
        <v>7</v>
      </c>
      <c r="E889" t="s">
        <v>3</v>
      </c>
      <c r="F889" t="s">
        <v>15</v>
      </c>
      <c r="G889" t="s">
        <v>423</v>
      </c>
    </row>
    <row r="890" spans="1:8" x14ac:dyDescent="0.2">
      <c r="A890" t="s">
        <v>431</v>
      </c>
      <c r="B890">
        <v>-6.27</v>
      </c>
      <c r="C890" t="s">
        <v>7</v>
      </c>
      <c r="E890" t="s">
        <v>3</v>
      </c>
      <c r="F890" t="s">
        <v>15</v>
      </c>
      <c r="G890" t="s">
        <v>430</v>
      </c>
    </row>
    <row r="894" spans="1:8" ht="16" x14ac:dyDescent="0.2">
      <c r="A894" s="1" t="s">
        <v>0</v>
      </c>
      <c r="B894" s="1" t="s">
        <v>363</v>
      </c>
    </row>
    <row r="895" spans="1:8" ht="16" x14ac:dyDescent="0.2">
      <c r="A895" s="16" t="s">
        <v>1</v>
      </c>
      <c r="B895" s="16" t="s">
        <v>408</v>
      </c>
    </row>
    <row r="896" spans="1:8" x14ac:dyDescent="0.2">
      <c r="A896" t="s">
        <v>2</v>
      </c>
      <c r="B896" t="s">
        <v>3</v>
      </c>
    </row>
    <row r="897" spans="1:8" x14ac:dyDescent="0.2">
      <c r="A897" t="s">
        <v>4</v>
      </c>
      <c r="B897">
        <v>1</v>
      </c>
    </row>
    <row r="898" spans="1:8" x14ac:dyDescent="0.2">
      <c r="A898" t="s">
        <v>5</v>
      </c>
      <c r="B898" t="s">
        <v>423</v>
      </c>
    </row>
    <row r="899" spans="1:8" x14ac:dyDescent="0.2">
      <c r="A899" t="s">
        <v>6</v>
      </c>
      <c r="B899" t="s">
        <v>7</v>
      </c>
    </row>
    <row r="900" spans="1:8" x14ac:dyDescent="0.2">
      <c r="A900" t="s">
        <v>8</v>
      </c>
      <c r="B900" t="s">
        <v>319</v>
      </c>
    </row>
    <row r="901" spans="1:8" ht="16" x14ac:dyDescent="0.2">
      <c r="A901" s="1" t="s">
        <v>9</v>
      </c>
    </row>
    <row r="902" spans="1:8" x14ac:dyDescent="0.2">
      <c r="A902" s="15" t="s">
        <v>10</v>
      </c>
      <c r="B902" s="15" t="s">
        <v>11</v>
      </c>
      <c r="C902" s="15" t="s">
        <v>6</v>
      </c>
      <c r="D902" s="15" t="s">
        <v>42</v>
      </c>
      <c r="E902" s="15" t="s">
        <v>2</v>
      </c>
      <c r="F902" s="15" t="s">
        <v>12</v>
      </c>
      <c r="G902" s="15" t="s">
        <v>5</v>
      </c>
      <c r="H902" s="15" t="s">
        <v>292</v>
      </c>
    </row>
    <row r="903" spans="1:8" x14ac:dyDescent="0.2">
      <c r="A903" s="15" t="s">
        <v>363</v>
      </c>
      <c r="B903" s="15">
        <v>-1</v>
      </c>
      <c r="C903" s="15" t="s">
        <v>7</v>
      </c>
      <c r="D903" s="15"/>
      <c r="E903" s="15" t="s">
        <v>3</v>
      </c>
      <c r="F903" s="15" t="s">
        <v>13</v>
      </c>
      <c r="G903" s="15" t="s">
        <v>423</v>
      </c>
      <c r="H903" s="15"/>
    </row>
    <row r="904" spans="1:8" ht="16" x14ac:dyDescent="0.2">
      <c r="A904" s="25" t="s">
        <v>364</v>
      </c>
      <c r="B904">
        <v>-0.72</v>
      </c>
      <c r="C904" t="s">
        <v>7</v>
      </c>
      <c r="E904" t="s">
        <v>3</v>
      </c>
      <c r="F904" t="s">
        <v>15</v>
      </c>
      <c r="G904" t="s">
        <v>249</v>
      </c>
      <c r="H904" t="s">
        <v>421</v>
      </c>
    </row>
    <row r="905" spans="1:8" x14ac:dyDescent="0.2">
      <c r="A905" t="s">
        <v>22</v>
      </c>
      <c r="B905">
        <v>0.26</v>
      </c>
      <c r="C905" t="s">
        <v>23</v>
      </c>
      <c r="E905" t="s">
        <v>54</v>
      </c>
      <c r="F905" t="s">
        <v>15</v>
      </c>
      <c r="G905" t="s">
        <v>24</v>
      </c>
    </row>
    <row r="906" spans="1:8" x14ac:dyDescent="0.2">
      <c r="A906" t="s">
        <v>314</v>
      </c>
      <c r="B906">
        <v>0.28000000000000003</v>
      </c>
      <c r="C906" t="s">
        <v>7</v>
      </c>
      <c r="D906" t="s">
        <v>43</v>
      </c>
      <c r="F906" t="s">
        <v>44</v>
      </c>
    </row>
    <row r="910" spans="1:8" ht="16" x14ac:dyDescent="0.2">
      <c r="A910" s="1" t="s">
        <v>0</v>
      </c>
      <c r="B910" s="1" t="s">
        <v>364</v>
      </c>
    </row>
    <row r="911" spans="1:8" ht="16" x14ac:dyDescent="0.2">
      <c r="A911" s="16" t="s">
        <v>1</v>
      </c>
      <c r="B911" s="16" t="s">
        <v>408</v>
      </c>
    </row>
    <row r="912" spans="1:8" x14ac:dyDescent="0.2">
      <c r="A912" t="s">
        <v>2</v>
      </c>
      <c r="B912" t="s">
        <v>3</v>
      </c>
    </row>
    <row r="913" spans="1:8" x14ac:dyDescent="0.2">
      <c r="A913" t="s">
        <v>4</v>
      </c>
      <c r="B913">
        <v>1</v>
      </c>
    </row>
    <row r="914" spans="1:8" x14ac:dyDescent="0.2">
      <c r="A914" t="s">
        <v>5</v>
      </c>
      <c r="B914" t="s">
        <v>249</v>
      </c>
    </row>
    <row r="915" spans="1:8" x14ac:dyDescent="0.2">
      <c r="A915" t="s">
        <v>6</v>
      </c>
      <c r="B915" t="s">
        <v>7</v>
      </c>
    </row>
    <row r="916" spans="1:8" x14ac:dyDescent="0.2">
      <c r="A916" t="s">
        <v>8</v>
      </c>
      <c r="B916" t="s">
        <v>319</v>
      </c>
    </row>
    <row r="917" spans="1:8" ht="16" x14ac:dyDescent="0.2">
      <c r="A917" s="1" t="s">
        <v>9</v>
      </c>
    </row>
    <row r="918" spans="1:8" x14ac:dyDescent="0.2">
      <c r="A918" s="15" t="s">
        <v>10</v>
      </c>
      <c r="B918" s="15" t="s">
        <v>11</v>
      </c>
      <c r="C918" s="15" t="s">
        <v>6</v>
      </c>
      <c r="D918" s="15" t="s">
        <v>42</v>
      </c>
      <c r="E918" s="15" t="s">
        <v>2</v>
      </c>
      <c r="F918" s="15" t="s">
        <v>12</v>
      </c>
      <c r="G918" s="15" t="s">
        <v>5</v>
      </c>
      <c r="H918" s="15" t="s">
        <v>292</v>
      </c>
    </row>
    <row r="919" spans="1:8" x14ac:dyDescent="0.2">
      <c r="A919" t="s">
        <v>364</v>
      </c>
      <c r="B919" s="7">
        <v>-1</v>
      </c>
      <c r="C919" t="s">
        <v>7</v>
      </c>
      <c r="E919" t="s">
        <v>3</v>
      </c>
      <c r="F919" t="s">
        <v>13</v>
      </c>
      <c r="G919" t="s">
        <v>249</v>
      </c>
    </row>
    <row r="920" spans="1:8" x14ac:dyDescent="0.2">
      <c r="A920" t="s">
        <v>365</v>
      </c>
      <c r="B920">
        <v>-0.95</v>
      </c>
      <c r="C920" t="s">
        <v>7</v>
      </c>
      <c r="E920" t="s">
        <v>3</v>
      </c>
      <c r="F920" t="s">
        <v>15</v>
      </c>
      <c r="G920" t="s">
        <v>97</v>
      </c>
      <c r="H920" t="s">
        <v>421</v>
      </c>
    </row>
    <row r="921" spans="1:8" x14ac:dyDescent="0.2">
      <c r="A921" t="s">
        <v>22</v>
      </c>
      <c r="B921" s="7">
        <v>1.6</v>
      </c>
      <c r="C921" t="s">
        <v>23</v>
      </c>
      <c r="E921" t="s">
        <v>3</v>
      </c>
      <c r="F921" t="s">
        <v>15</v>
      </c>
      <c r="G921" t="s">
        <v>24</v>
      </c>
    </row>
    <row r="922" spans="1:8" x14ac:dyDescent="0.2">
      <c r="A922" t="s">
        <v>33</v>
      </c>
      <c r="B922">
        <v>5</v>
      </c>
      <c r="C922" t="s">
        <v>34</v>
      </c>
      <c r="E922" t="s">
        <v>17</v>
      </c>
      <c r="F922" t="s">
        <v>15</v>
      </c>
      <c r="G922" t="s">
        <v>35</v>
      </c>
    </row>
    <row r="923" spans="1:8" x14ac:dyDescent="0.2">
      <c r="A923" t="s">
        <v>80</v>
      </c>
      <c r="B923" s="7">
        <v>4.2</v>
      </c>
      <c r="C923" t="s">
        <v>34</v>
      </c>
      <c r="E923" t="s">
        <v>3</v>
      </c>
      <c r="F923" t="s">
        <v>15</v>
      </c>
      <c r="G923" t="s">
        <v>81</v>
      </c>
    </row>
    <row r="924" spans="1:8" x14ac:dyDescent="0.2">
      <c r="A924" t="s">
        <v>426</v>
      </c>
      <c r="B924">
        <v>-4.7E-2</v>
      </c>
      <c r="C924" t="s">
        <v>7</v>
      </c>
      <c r="E924" t="s">
        <v>3</v>
      </c>
      <c r="F924" t="s">
        <v>15</v>
      </c>
      <c r="G924" t="s">
        <v>427</v>
      </c>
    </row>
    <row r="926" spans="1:8" ht="16" x14ac:dyDescent="0.2">
      <c r="A926" s="1" t="s">
        <v>0</v>
      </c>
      <c r="B926" s="1" t="s">
        <v>365</v>
      </c>
    </row>
    <row r="927" spans="1:8" ht="16" x14ac:dyDescent="0.2">
      <c r="A927" s="16" t="s">
        <v>1</v>
      </c>
      <c r="B927" s="16" t="s">
        <v>408</v>
      </c>
    </row>
    <row r="928" spans="1:8" x14ac:dyDescent="0.2">
      <c r="A928" t="s">
        <v>2</v>
      </c>
      <c r="B928" t="s">
        <v>3</v>
      </c>
    </row>
    <row r="929" spans="1:8" x14ac:dyDescent="0.2">
      <c r="A929" t="s">
        <v>4</v>
      </c>
      <c r="B929">
        <v>1</v>
      </c>
    </row>
    <row r="930" spans="1:8" x14ac:dyDescent="0.2">
      <c r="A930" t="s">
        <v>5</v>
      </c>
      <c r="B930" t="s">
        <v>97</v>
      </c>
    </row>
    <row r="931" spans="1:8" x14ac:dyDescent="0.2">
      <c r="A931" t="s">
        <v>6</v>
      </c>
      <c r="B931" t="s">
        <v>7</v>
      </c>
    </row>
    <row r="932" spans="1:8" x14ac:dyDescent="0.2">
      <c r="A932" t="s">
        <v>8</v>
      </c>
      <c r="B932" t="s">
        <v>319</v>
      </c>
    </row>
    <row r="933" spans="1:8" ht="16" x14ac:dyDescent="0.2">
      <c r="A933" s="1" t="s">
        <v>9</v>
      </c>
    </row>
    <row r="934" spans="1:8" x14ac:dyDescent="0.2">
      <c r="A934" s="15" t="s">
        <v>10</v>
      </c>
      <c r="B934" s="15" t="s">
        <v>11</v>
      </c>
      <c r="C934" s="15" t="s">
        <v>6</v>
      </c>
      <c r="D934" s="15" t="s">
        <v>42</v>
      </c>
      <c r="E934" s="15" t="s">
        <v>2</v>
      </c>
      <c r="F934" s="15" t="s">
        <v>12</v>
      </c>
      <c r="G934" s="15" t="s">
        <v>5</v>
      </c>
      <c r="H934" s="15" t="s">
        <v>1</v>
      </c>
    </row>
    <row r="935" spans="1:8" x14ac:dyDescent="0.2">
      <c r="A935" t="s">
        <v>365</v>
      </c>
      <c r="B935">
        <v>-1</v>
      </c>
      <c r="C935" t="s">
        <v>7</v>
      </c>
      <c r="E935" t="s">
        <v>3</v>
      </c>
      <c r="F935" t="s">
        <v>13</v>
      </c>
      <c r="G935" t="s">
        <v>97</v>
      </c>
      <c r="H935" t="s">
        <v>421</v>
      </c>
    </row>
    <row r="936" spans="1:8" x14ac:dyDescent="0.2">
      <c r="A936" t="s">
        <v>250</v>
      </c>
      <c r="B936">
        <v>6.4</v>
      </c>
      <c r="C936" t="s">
        <v>7</v>
      </c>
      <c r="E936" t="s">
        <v>3</v>
      </c>
      <c r="F936" t="s">
        <v>15</v>
      </c>
      <c r="G936" t="s">
        <v>46</v>
      </c>
    </row>
    <row r="937" spans="1:8" x14ac:dyDescent="0.2">
      <c r="A937" t="s">
        <v>251</v>
      </c>
      <c r="B937">
        <v>1.8</v>
      </c>
      <c r="C937" t="s">
        <v>7</v>
      </c>
      <c r="E937" t="s">
        <v>3</v>
      </c>
      <c r="F937" t="s">
        <v>15</v>
      </c>
      <c r="G937" t="s">
        <v>252</v>
      </c>
    </row>
    <row r="938" spans="1:8" x14ac:dyDescent="0.2">
      <c r="A938" t="s">
        <v>253</v>
      </c>
      <c r="B938">
        <v>0.32</v>
      </c>
      <c r="C938" t="s">
        <v>7</v>
      </c>
      <c r="E938" t="s">
        <v>17</v>
      </c>
      <c r="F938" t="s">
        <v>15</v>
      </c>
      <c r="G938" t="s">
        <v>286</v>
      </c>
    </row>
    <row r="939" spans="1:8" x14ac:dyDescent="0.2">
      <c r="A939" t="s">
        <v>254</v>
      </c>
      <c r="B939">
        <v>0.18</v>
      </c>
      <c r="C939" t="s">
        <v>7</v>
      </c>
      <c r="E939" t="s">
        <v>17</v>
      </c>
      <c r="F939" t="s">
        <v>15</v>
      </c>
      <c r="G939" t="s">
        <v>393</v>
      </c>
    </row>
    <row r="940" spans="1:8" x14ac:dyDescent="0.2">
      <c r="A940" t="s">
        <v>255</v>
      </c>
      <c r="B940">
        <v>0.2</v>
      </c>
      <c r="C940" t="s">
        <v>7</v>
      </c>
      <c r="E940" t="s">
        <v>3</v>
      </c>
      <c r="F940" t="s">
        <v>15</v>
      </c>
      <c r="G940" t="s">
        <v>256</v>
      </c>
    </row>
    <row r="941" spans="1:8" x14ac:dyDescent="0.2">
      <c r="A941" t="s">
        <v>51</v>
      </c>
      <c r="B941">
        <v>81</v>
      </c>
      <c r="C941" t="s">
        <v>7</v>
      </c>
      <c r="E941" t="s">
        <v>17</v>
      </c>
      <c r="F941" t="s">
        <v>15</v>
      </c>
      <c r="G941" t="s">
        <v>52</v>
      </c>
    </row>
    <row r="942" spans="1:8" x14ac:dyDescent="0.2">
      <c r="A942" t="s">
        <v>22</v>
      </c>
      <c r="B942">
        <v>0.01</v>
      </c>
      <c r="C942" t="s">
        <v>23</v>
      </c>
      <c r="E942" t="s">
        <v>54</v>
      </c>
      <c r="F942" t="s">
        <v>15</v>
      </c>
      <c r="G942" t="s">
        <v>24</v>
      </c>
    </row>
    <row r="943" spans="1:8" x14ac:dyDescent="0.2">
      <c r="A943" t="s">
        <v>86</v>
      </c>
      <c r="B943">
        <v>17</v>
      </c>
      <c r="C943" t="s">
        <v>7</v>
      </c>
      <c r="E943" t="s">
        <v>17</v>
      </c>
      <c r="F943" t="s">
        <v>15</v>
      </c>
      <c r="G943" t="s">
        <v>87</v>
      </c>
    </row>
    <row r="944" spans="1:8" x14ac:dyDescent="0.2">
      <c r="A944" t="s">
        <v>49</v>
      </c>
      <c r="B944">
        <f>-0.087</f>
        <v>-8.6999999999999994E-2</v>
      </c>
      <c r="C944" t="s">
        <v>45</v>
      </c>
      <c r="E944" t="s">
        <v>17</v>
      </c>
      <c r="F944" t="s">
        <v>15</v>
      </c>
      <c r="G944" t="s">
        <v>50</v>
      </c>
      <c r="H944" t="s">
        <v>394</v>
      </c>
    </row>
    <row r="945" spans="1:8" x14ac:dyDescent="0.2">
      <c r="A945" t="s">
        <v>257</v>
      </c>
      <c r="B945">
        <v>-0.4</v>
      </c>
      <c r="C945" t="s">
        <v>7</v>
      </c>
      <c r="E945" t="s">
        <v>17</v>
      </c>
      <c r="F945" t="s">
        <v>15</v>
      </c>
      <c r="G945" t="s">
        <v>258</v>
      </c>
    </row>
    <row r="946" spans="1:8" x14ac:dyDescent="0.2">
      <c r="A946" t="s">
        <v>287</v>
      </c>
      <c r="B946">
        <v>0.2</v>
      </c>
      <c r="C946" t="s">
        <v>7</v>
      </c>
      <c r="D946" t="s">
        <v>43</v>
      </c>
      <c r="F946" t="s">
        <v>44</v>
      </c>
    </row>
    <row r="949" spans="1:8" ht="16" x14ac:dyDescent="0.2">
      <c r="A949" s="1"/>
    </row>
    <row r="950" spans="1:8" ht="16" x14ac:dyDescent="0.2">
      <c r="A950" s="1" t="s">
        <v>0</v>
      </c>
      <c r="B950" s="1" t="s">
        <v>426</v>
      </c>
    </row>
    <row r="951" spans="1:8" ht="16" x14ac:dyDescent="0.2">
      <c r="A951" s="16" t="s">
        <v>1</v>
      </c>
      <c r="B951" s="16" t="s">
        <v>408</v>
      </c>
    </row>
    <row r="952" spans="1:8" x14ac:dyDescent="0.2">
      <c r="A952" t="s">
        <v>2</v>
      </c>
      <c r="B952" t="s">
        <v>3</v>
      </c>
    </row>
    <row r="953" spans="1:8" x14ac:dyDescent="0.2">
      <c r="A953" t="s">
        <v>4</v>
      </c>
      <c r="B953">
        <v>1</v>
      </c>
    </row>
    <row r="954" spans="1:8" x14ac:dyDescent="0.2">
      <c r="A954" t="s">
        <v>5</v>
      </c>
      <c r="B954" t="s">
        <v>428</v>
      </c>
    </row>
    <row r="955" spans="1:8" x14ac:dyDescent="0.2">
      <c r="A955" t="s">
        <v>6</v>
      </c>
      <c r="B955" t="s">
        <v>7</v>
      </c>
    </row>
    <row r="956" spans="1:8" x14ac:dyDescent="0.2">
      <c r="A956" t="s">
        <v>8</v>
      </c>
      <c r="B956" t="s">
        <v>319</v>
      </c>
    </row>
    <row r="957" spans="1:8" ht="16" x14ac:dyDescent="0.2">
      <c r="A957" s="1" t="s">
        <v>9</v>
      </c>
      <c r="B957" s="15"/>
      <c r="C957" s="15"/>
      <c r="D957" s="15"/>
      <c r="E957" s="15"/>
      <c r="F957" s="15"/>
      <c r="G957" s="15"/>
      <c r="H957" s="15"/>
    </row>
    <row r="958" spans="1:8" x14ac:dyDescent="0.2">
      <c r="A958" s="15" t="s">
        <v>10</v>
      </c>
      <c r="B958" s="15" t="s">
        <v>11</v>
      </c>
      <c r="C958" s="15" t="s">
        <v>6</v>
      </c>
      <c r="D958" s="15" t="s">
        <v>42</v>
      </c>
      <c r="E958" s="15" t="s">
        <v>2</v>
      </c>
      <c r="F958" s="15" t="s">
        <v>12</v>
      </c>
      <c r="G958" s="15" t="s">
        <v>5</v>
      </c>
      <c r="H958" s="15" t="s">
        <v>1</v>
      </c>
    </row>
    <row r="959" spans="1:8" x14ac:dyDescent="0.2">
      <c r="A959" t="s">
        <v>426</v>
      </c>
      <c r="B959">
        <v>-1</v>
      </c>
      <c r="C959" t="s">
        <v>7</v>
      </c>
      <c r="E959" t="s">
        <v>3</v>
      </c>
      <c r="F959" t="s">
        <v>13</v>
      </c>
      <c r="G959" t="s">
        <v>428</v>
      </c>
      <c r="H959" t="s">
        <v>421</v>
      </c>
    </row>
    <row r="960" spans="1:8" x14ac:dyDescent="0.2">
      <c r="A960" t="s">
        <v>22</v>
      </c>
      <c r="B960">
        <v>5.3999999999999999E-2</v>
      </c>
      <c r="C960" t="s">
        <v>23</v>
      </c>
      <c r="E960" t="s">
        <v>54</v>
      </c>
      <c r="F960" t="s">
        <v>15</v>
      </c>
      <c r="G960" t="s">
        <v>24</v>
      </c>
    </row>
    <row r="961" spans="1:8" x14ac:dyDescent="0.2">
      <c r="A961" t="s">
        <v>33</v>
      </c>
      <c r="B961">
        <v>3.2000000000000001E-2</v>
      </c>
      <c r="C961" t="s">
        <v>34</v>
      </c>
      <c r="E961" t="s">
        <v>17</v>
      </c>
      <c r="F961" t="s">
        <v>15</v>
      </c>
      <c r="G961" t="s">
        <v>35</v>
      </c>
    </row>
    <row r="962" spans="1:8" x14ac:dyDescent="0.2">
      <c r="A962" t="s">
        <v>259</v>
      </c>
      <c r="B962" s="5">
        <f>-0.9246</f>
        <v>-0.92459999999999998</v>
      </c>
      <c r="C962" t="s">
        <v>7</v>
      </c>
      <c r="E962" t="s">
        <v>3</v>
      </c>
      <c r="F962" t="s">
        <v>15</v>
      </c>
      <c r="G962" t="s">
        <v>260</v>
      </c>
    </row>
    <row r="963" spans="1:8" x14ac:dyDescent="0.2">
      <c r="A963" t="s">
        <v>261</v>
      </c>
      <c r="B963" s="4">
        <v>-7.4999999999999997E-2</v>
      </c>
      <c r="C963" t="s">
        <v>7</v>
      </c>
      <c r="E963" t="s">
        <v>17</v>
      </c>
      <c r="F963" t="s">
        <v>15</v>
      </c>
      <c r="G963" t="s">
        <v>262</v>
      </c>
    </row>
    <row r="964" spans="1:8" ht="16" x14ac:dyDescent="0.2">
      <c r="B964" s="1"/>
    </row>
    <row r="965" spans="1:8" ht="16" x14ac:dyDescent="0.2">
      <c r="A965" s="1"/>
    </row>
    <row r="966" spans="1:8" ht="16" x14ac:dyDescent="0.2">
      <c r="A966" s="1" t="s">
        <v>0</v>
      </c>
      <c r="B966" s="1" t="s">
        <v>431</v>
      </c>
    </row>
    <row r="967" spans="1:8" ht="16" x14ac:dyDescent="0.2">
      <c r="A967" s="16" t="s">
        <v>1</v>
      </c>
      <c r="B967" s="16" t="s">
        <v>408</v>
      </c>
    </row>
    <row r="968" spans="1:8" x14ac:dyDescent="0.2">
      <c r="A968" t="s">
        <v>2</v>
      </c>
      <c r="B968" t="s">
        <v>3</v>
      </c>
    </row>
    <row r="969" spans="1:8" x14ac:dyDescent="0.2">
      <c r="A969" t="s">
        <v>4</v>
      </c>
      <c r="B969">
        <v>1</v>
      </c>
    </row>
    <row r="970" spans="1:8" x14ac:dyDescent="0.2">
      <c r="A970" t="s">
        <v>5</v>
      </c>
      <c r="B970" t="s">
        <v>429</v>
      </c>
    </row>
    <row r="971" spans="1:8" x14ac:dyDescent="0.2">
      <c r="A971" t="s">
        <v>6</v>
      </c>
      <c r="B971" t="s">
        <v>7</v>
      </c>
    </row>
    <row r="972" spans="1:8" x14ac:dyDescent="0.2">
      <c r="A972" t="s">
        <v>8</v>
      </c>
      <c r="B972" t="s">
        <v>319</v>
      </c>
    </row>
    <row r="973" spans="1:8" ht="16" x14ac:dyDescent="0.2">
      <c r="A973" s="1" t="s">
        <v>9</v>
      </c>
      <c r="B973" s="15"/>
      <c r="C973" s="15"/>
      <c r="D973" s="15"/>
      <c r="E973" s="15"/>
      <c r="F973" s="15"/>
      <c r="G973" s="15"/>
      <c r="H973" s="15"/>
    </row>
    <row r="974" spans="1:8" x14ac:dyDescent="0.2">
      <c r="A974" s="15" t="s">
        <v>10</v>
      </c>
      <c r="B974" s="15" t="s">
        <v>11</v>
      </c>
      <c r="C974" s="15" t="s">
        <v>6</v>
      </c>
      <c r="D974" s="15" t="s">
        <v>42</v>
      </c>
      <c r="E974" s="15" t="s">
        <v>2</v>
      </c>
      <c r="F974" s="15" t="s">
        <v>12</v>
      </c>
      <c r="G974" s="15" t="s">
        <v>5</v>
      </c>
      <c r="H974" s="15" t="s">
        <v>1</v>
      </c>
    </row>
    <row r="975" spans="1:8" x14ac:dyDescent="0.2">
      <c r="A975" t="s">
        <v>431</v>
      </c>
      <c r="B975">
        <v>-1</v>
      </c>
      <c r="C975" t="s">
        <v>7</v>
      </c>
      <c r="E975" t="s">
        <v>3</v>
      </c>
      <c r="F975" t="s">
        <v>13</v>
      </c>
      <c r="G975" t="s">
        <v>429</v>
      </c>
      <c r="H975" t="s">
        <v>421</v>
      </c>
    </row>
    <row r="976" spans="1:8" x14ac:dyDescent="0.2">
      <c r="A976" t="s">
        <v>22</v>
      </c>
      <c r="B976">
        <v>5.3999999999999999E-2</v>
      </c>
      <c r="C976" t="s">
        <v>23</v>
      </c>
      <c r="E976" t="s">
        <v>54</v>
      </c>
      <c r="F976" t="s">
        <v>15</v>
      </c>
      <c r="G976" t="s">
        <v>24</v>
      </c>
    </row>
    <row r="977" spans="1:10" x14ac:dyDescent="0.2">
      <c r="A977" t="s">
        <v>33</v>
      </c>
      <c r="B977">
        <v>3.2000000000000001E-2</v>
      </c>
      <c r="C977" t="s">
        <v>34</v>
      </c>
      <c r="E977" t="s">
        <v>17</v>
      </c>
      <c r="F977" t="s">
        <v>15</v>
      </c>
      <c r="G977" t="s">
        <v>35</v>
      </c>
    </row>
    <row r="978" spans="1:10" x14ac:dyDescent="0.2">
      <c r="A978" t="s">
        <v>259</v>
      </c>
      <c r="B978" s="5">
        <f>-0.0635</f>
        <v>-6.3500000000000001E-2</v>
      </c>
      <c r="C978" t="s">
        <v>7</v>
      </c>
      <c r="E978" t="s">
        <v>3</v>
      </c>
      <c r="F978" t="s">
        <v>15</v>
      </c>
      <c r="G978" t="s">
        <v>260</v>
      </c>
    </row>
    <row r="979" spans="1:10" x14ac:dyDescent="0.2">
      <c r="A979" t="s">
        <v>261</v>
      </c>
      <c r="B979" s="4">
        <f>-0.0676</f>
        <v>-6.7599999999999993E-2</v>
      </c>
      <c r="C979" t="s">
        <v>7</v>
      </c>
      <c r="E979" t="s">
        <v>17</v>
      </c>
      <c r="F979" t="s">
        <v>15</v>
      </c>
      <c r="G979" t="s">
        <v>262</v>
      </c>
    </row>
    <row r="980" spans="1:10" x14ac:dyDescent="0.2">
      <c r="A980" t="s">
        <v>263</v>
      </c>
      <c r="B980" s="5">
        <v>-0.4</v>
      </c>
      <c r="C980" t="s">
        <v>7</v>
      </c>
      <c r="E980" t="s">
        <v>17</v>
      </c>
      <c r="F980" t="s">
        <v>15</v>
      </c>
      <c r="G980" t="s">
        <v>264</v>
      </c>
    </row>
    <row r="981" spans="1:10" x14ac:dyDescent="0.2">
      <c r="A981" t="s">
        <v>265</v>
      </c>
      <c r="B981" s="4">
        <f>-0.011</f>
        <v>-1.0999999999999999E-2</v>
      </c>
      <c r="C981" t="s">
        <v>7</v>
      </c>
      <c r="E981" t="s">
        <v>3</v>
      </c>
      <c r="F981" t="s">
        <v>15</v>
      </c>
      <c r="G981" t="s">
        <v>266</v>
      </c>
    </row>
    <row r="982" spans="1:10" x14ac:dyDescent="0.2">
      <c r="A982" t="s">
        <v>424</v>
      </c>
      <c r="B982">
        <v>-0.46</v>
      </c>
      <c r="C982" t="s">
        <v>7</v>
      </c>
      <c r="E982" t="s">
        <v>17</v>
      </c>
      <c r="F982" t="s">
        <v>15</v>
      </c>
      <c r="G982" t="s">
        <v>425</v>
      </c>
    </row>
    <row r="984" spans="1:10" ht="16" x14ac:dyDescent="0.2">
      <c r="C984" s="11"/>
      <c r="D984" s="15"/>
      <c r="E984" s="15"/>
      <c r="F984" s="15"/>
      <c r="G984" s="15"/>
      <c r="H984" s="15"/>
      <c r="I984" s="15"/>
      <c r="J984" s="15"/>
    </row>
    <row r="985" spans="1:10" ht="16" x14ac:dyDescent="0.2">
      <c r="A985" s="11" t="s">
        <v>0</v>
      </c>
      <c r="B985" s="11" t="s">
        <v>432</v>
      </c>
      <c r="C985" s="22"/>
      <c r="D985" s="22"/>
      <c r="E985" s="22"/>
      <c r="F985" s="22"/>
      <c r="G985" s="22"/>
      <c r="H985" s="22"/>
      <c r="I985" s="22"/>
      <c r="J985" s="22"/>
    </row>
    <row r="986" spans="1:10" ht="16" x14ac:dyDescent="0.2">
      <c r="A986" s="22" t="s">
        <v>1</v>
      </c>
      <c r="B986" s="22" t="s">
        <v>408</v>
      </c>
      <c r="C986" s="15"/>
      <c r="D986" s="15"/>
      <c r="E986" s="15"/>
      <c r="F986" s="15"/>
      <c r="G986" s="15"/>
      <c r="H986" s="15"/>
      <c r="I986" s="15"/>
      <c r="J986" s="15"/>
    </row>
    <row r="987" spans="1:10" x14ac:dyDescent="0.2">
      <c r="A987" s="15" t="s">
        <v>2</v>
      </c>
      <c r="B987" s="15" t="s">
        <v>3</v>
      </c>
      <c r="C987" s="15"/>
      <c r="D987" s="15"/>
      <c r="E987" s="15"/>
      <c r="F987" s="15"/>
      <c r="G987" s="15"/>
      <c r="H987" s="15"/>
      <c r="I987" s="15"/>
      <c r="J987" s="15"/>
    </row>
    <row r="988" spans="1:10" x14ac:dyDescent="0.2">
      <c r="A988" s="15" t="s">
        <v>4</v>
      </c>
      <c r="B988" s="15">
        <v>1</v>
      </c>
      <c r="C988" s="15"/>
      <c r="D988" s="15"/>
      <c r="E988" s="15"/>
      <c r="F988" s="15"/>
      <c r="G988" s="15"/>
      <c r="H988" s="15"/>
      <c r="I988" s="15"/>
      <c r="J988" s="15"/>
    </row>
    <row r="989" spans="1:10" x14ac:dyDescent="0.2">
      <c r="A989" s="15" t="s">
        <v>5</v>
      </c>
      <c r="B989" s="15" t="s">
        <v>433</v>
      </c>
      <c r="C989" s="15"/>
      <c r="D989" s="15"/>
      <c r="E989" s="15"/>
      <c r="F989" s="15"/>
      <c r="G989" s="15"/>
      <c r="H989" s="15"/>
      <c r="I989" s="15"/>
      <c r="J989" s="15"/>
    </row>
    <row r="990" spans="1:10" x14ac:dyDescent="0.2">
      <c r="A990" s="15" t="s">
        <v>6</v>
      </c>
      <c r="B990" s="15" t="s">
        <v>7</v>
      </c>
      <c r="C990" s="15"/>
      <c r="D990" s="15"/>
      <c r="E990" s="15"/>
      <c r="F990" s="15"/>
      <c r="G990" s="15"/>
      <c r="H990" s="15"/>
      <c r="I990" s="15"/>
      <c r="J990" s="15"/>
    </row>
    <row r="991" spans="1:10" x14ac:dyDescent="0.2">
      <c r="A991" s="15" t="s">
        <v>8</v>
      </c>
      <c r="B991" s="15" t="s">
        <v>319</v>
      </c>
      <c r="C991" s="15"/>
      <c r="D991" s="15"/>
      <c r="E991" s="15"/>
      <c r="F991" s="15"/>
      <c r="G991" s="15"/>
      <c r="H991" s="15"/>
      <c r="I991" s="15"/>
      <c r="J991" s="15"/>
    </row>
    <row r="992" spans="1:10" ht="16" x14ac:dyDescent="0.2">
      <c r="A992" s="11" t="s">
        <v>9</v>
      </c>
      <c r="B992" s="15"/>
      <c r="C992" s="15"/>
      <c r="D992" s="15"/>
      <c r="E992" s="15"/>
      <c r="F992" s="15"/>
      <c r="G992" s="15"/>
      <c r="H992" s="15"/>
      <c r="I992" s="15"/>
      <c r="J992" s="15"/>
    </row>
    <row r="993" spans="1:10" x14ac:dyDescent="0.2">
      <c r="A993" s="15" t="s">
        <v>10</v>
      </c>
      <c r="B993" s="15" t="s">
        <v>11</v>
      </c>
      <c r="C993" s="15" t="s">
        <v>6</v>
      </c>
      <c r="D993" s="15" t="s">
        <v>42</v>
      </c>
      <c r="E993" s="15" t="s">
        <v>2</v>
      </c>
      <c r="F993" s="15" t="s">
        <v>12</v>
      </c>
      <c r="G993" s="15" t="s">
        <v>5</v>
      </c>
      <c r="H993" s="15" t="s">
        <v>1</v>
      </c>
      <c r="I993" s="15"/>
      <c r="J993" s="15"/>
    </row>
    <row r="994" spans="1:10" x14ac:dyDescent="0.2">
      <c r="A994" s="15" t="s">
        <v>432</v>
      </c>
      <c r="B994" s="15">
        <v>-1</v>
      </c>
      <c r="C994" s="15" t="s">
        <v>7</v>
      </c>
      <c r="D994" s="15"/>
      <c r="E994" s="15" t="s">
        <v>3</v>
      </c>
      <c r="F994" s="15" t="s">
        <v>13</v>
      </c>
      <c r="G994" s="15" t="s">
        <v>433</v>
      </c>
      <c r="H994" s="15" t="s">
        <v>421</v>
      </c>
      <c r="I994" s="15"/>
      <c r="J994" s="15"/>
    </row>
    <row r="995" spans="1:10" x14ac:dyDescent="0.2">
      <c r="A995" s="15" t="s">
        <v>22</v>
      </c>
      <c r="B995" s="15">
        <v>5.3999999999999999E-2</v>
      </c>
      <c r="C995" s="15" t="s">
        <v>23</v>
      </c>
      <c r="D995" s="15"/>
      <c r="E995" s="15" t="s">
        <v>54</v>
      </c>
      <c r="F995" s="15" t="s">
        <v>15</v>
      </c>
      <c r="G995" s="15" t="s">
        <v>24</v>
      </c>
      <c r="H995" s="15"/>
      <c r="I995" s="15"/>
      <c r="J995" s="15"/>
    </row>
    <row r="996" spans="1:10" x14ac:dyDescent="0.2">
      <c r="A996" s="15" t="s">
        <v>33</v>
      </c>
      <c r="B996" s="15">
        <v>3.2000000000000001E-2</v>
      </c>
      <c r="C996" s="15" t="s">
        <v>34</v>
      </c>
      <c r="D996" s="15"/>
      <c r="E996" s="15" t="s">
        <v>17</v>
      </c>
      <c r="F996" s="15" t="s">
        <v>15</v>
      </c>
      <c r="G996" s="15" t="s">
        <v>35</v>
      </c>
      <c r="H996" s="15"/>
      <c r="I996" s="15"/>
      <c r="J996" s="15"/>
    </row>
    <row r="997" spans="1:10" x14ac:dyDescent="0.2">
      <c r="A997" s="15" t="s">
        <v>263</v>
      </c>
      <c r="B997" s="20">
        <v>-0.68</v>
      </c>
      <c r="C997" s="15" t="s">
        <v>7</v>
      </c>
      <c r="D997" s="15"/>
      <c r="E997" s="15" t="s">
        <v>17</v>
      </c>
      <c r="F997" s="15" t="s">
        <v>15</v>
      </c>
      <c r="G997" t="s">
        <v>264</v>
      </c>
      <c r="H997" s="15" t="s">
        <v>434</v>
      </c>
      <c r="I997" s="15"/>
      <c r="J997" s="15"/>
    </row>
    <row r="998" spans="1:10" x14ac:dyDescent="0.2">
      <c r="A998" s="15" t="s">
        <v>265</v>
      </c>
      <c r="B998" s="24">
        <v>-0.32</v>
      </c>
      <c r="C998" s="15" t="s">
        <v>7</v>
      </c>
      <c r="D998" s="15"/>
      <c r="E998" s="15" t="s">
        <v>3</v>
      </c>
      <c r="F998" s="15" t="s">
        <v>15</v>
      </c>
      <c r="G998" s="15" t="s">
        <v>266</v>
      </c>
      <c r="H998" s="15"/>
    </row>
    <row r="1000" spans="1:10" ht="16" x14ac:dyDescent="0.2">
      <c r="A1000" s="6"/>
      <c r="B1000" s="4"/>
    </row>
    <row r="1001" spans="1:10" x14ac:dyDescent="0.2">
      <c r="B1001" s="4"/>
    </row>
    <row r="1002" spans="1:10" ht="16" x14ac:dyDescent="0.2">
      <c r="B1002" s="1"/>
    </row>
    <row r="1003" spans="1:10" ht="16" x14ac:dyDescent="0.2">
      <c r="A1003" s="1"/>
    </row>
    <row r="1010" spans="1:7" ht="16" x14ac:dyDescent="0.2">
      <c r="A1010" s="1"/>
      <c r="B1010" s="15"/>
      <c r="C1010" s="15"/>
      <c r="D1010" s="15"/>
      <c r="E1010" s="15"/>
      <c r="F1010" s="15"/>
      <c r="G1010" s="15"/>
    </row>
    <row r="1011" spans="1:7" x14ac:dyDescent="0.2">
      <c r="A1011" s="15"/>
      <c r="B1011" s="15"/>
      <c r="C1011" s="15"/>
      <c r="D1011" s="15"/>
      <c r="E1011" s="15"/>
      <c r="F1011" s="15"/>
      <c r="G1011" s="15"/>
    </row>
    <row r="1012" spans="1:7" x14ac:dyDescent="0.2">
      <c r="A1012" s="15"/>
    </row>
    <row r="1020" spans="1:7" ht="16" x14ac:dyDescent="0.2">
      <c r="A1020" s="1"/>
    </row>
    <row r="1025" spans="1:2" ht="16" x14ac:dyDescent="0.2">
      <c r="B1025" s="1"/>
    </row>
    <row r="1026" spans="1:2" ht="16" x14ac:dyDescent="0.2">
      <c r="A1026" s="1"/>
    </row>
    <row r="1033" spans="1:2" ht="16" x14ac:dyDescent="0.2">
      <c r="A1033" s="1"/>
    </row>
    <row r="1042" spans="1:2" ht="16" x14ac:dyDescent="0.2">
      <c r="B1042" s="1"/>
    </row>
    <row r="1043" spans="1:2" ht="16" x14ac:dyDescent="0.2">
      <c r="A1043" s="1"/>
    </row>
    <row r="1050" spans="1:2" ht="16" x14ac:dyDescent="0.2">
      <c r="A1050" s="1"/>
    </row>
    <row r="1055" spans="1:2" ht="16" x14ac:dyDescent="0.2">
      <c r="B1055" s="1"/>
    </row>
    <row r="1056" spans="1:2" ht="16" x14ac:dyDescent="0.2">
      <c r="A1056" s="1"/>
    </row>
    <row r="1063" spans="1:2" ht="16" x14ac:dyDescent="0.2">
      <c r="A1063" s="1"/>
    </row>
    <row r="1068" spans="1:2" ht="16" x14ac:dyDescent="0.2">
      <c r="B1068" s="1"/>
    </row>
    <row r="1069" spans="1:2" ht="16" x14ac:dyDescent="0.2">
      <c r="A1069" s="1"/>
    </row>
    <row r="1075" spans="1:8" ht="16" x14ac:dyDescent="0.2">
      <c r="A1075" s="1"/>
      <c r="B1075" s="1"/>
      <c r="C1075" s="1"/>
      <c r="D1075" s="1"/>
      <c r="E1075" s="1"/>
      <c r="F1075" s="1"/>
      <c r="G1075" s="1"/>
      <c r="H1075" s="1"/>
    </row>
    <row r="1076" spans="1:8" ht="16" x14ac:dyDescent="0.2">
      <c r="A1076" s="1"/>
    </row>
    <row r="1079">
      <c r="A1079" t="inlineStr">
        <is>
          <t>Activity</t>
        </is>
      </c>
      <c r="B1079" t="inlineStr">
        <is>
          <t xml:space="preserve">battery central control and protection unit production</t>
        </is>
      </c>
    </row>
    <row r="1080">
      <c r="A1080" t="inlineStr">
        <is>
          <t>location</t>
        </is>
      </c>
      <c r="B1080" t="inlineStr">
        <is>
          <t>GLO</t>
        </is>
      </c>
    </row>
    <row r="1081">
      <c r="A1081" t="inlineStr">
        <is>
          <t>production amount</t>
        </is>
      </c>
      <c r="B1081">
        <v>1</v>
      </c>
    </row>
    <row r="1082">
      <c r="A1082" t="inlineStr">
        <is>
          <t>reference product</t>
        </is>
      </c>
      <c r="B1082" t="inlineStr">
        <is>
          <t xml:space="preserve">battery central control and protection unit</t>
        </is>
      </c>
    </row>
    <row r="1083">
      <c r="A1083" t="inlineStr">
        <is>
          <t>unit</t>
        </is>
      </c>
      <c r="B1083" t="inlineStr">
        <is>
          <t>unit</t>
        </is>
      </c>
    </row>
    <row r="1084">
      <c r="A1084" t="inlineStr">
        <is>
          <t>source</t>
        </is>
      </c>
      <c r="B1084" t="inlineStr">
        <is>
          <t>Wickerts corrected SI DOI10.1021/acssuschemeng.4c01782.s001 S26/S27; original Ellingsen2014 SI S39/S40, DOI10.1111/jiec.12072.</t>
        </is>
      </c>
    </row>
    <row r="1085">
      <c r="A1085" t="inlineStr">
        <is>
          <t>comment</t>
        </is>
      </c>
      <c r="B1085" t="inlineStr">
        <is>
          <t xml:space="preserve">Nomenclature revision, 2026-10-19. Former activity name: battery central controls and protection, engineering reference. Former reference product: battery central controls and protection, engineering reference. Activity/product labels and supplier references only; coefficients, formulas, uncertainty, declared output and unit are unchanged. Original engineering assumptions, functional-unit basis and limitations remain below.
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
PREVIOUS NOTES (retained as history; the correction above takes precedence):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t>
        </is>
      </c>
    </row>
    <row r="1086">
      <c r="A1086" t="inlineStr">
        <is>
          <t xml:space="preserve">type</t>
        </is>
      </c>
      <c r="B1086" t="inlineStr">
        <is>
          <t xml:space="preserve">processwithreferenceproduct</t>
        </is>
      </c>
    </row>
    <row r="1087">
      <c r="A1087" t="inlineStr">
        <is>
          <t>Exchanges</t>
        </is>
      </c>
    </row>
    <row r="1088">
      <c r="A1088" t="inlineStr">
        <is>
          <t>name</t>
        </is>
      </c>
      <c r="B1088" t="inlineStr">
        <is>
          <t>amount</t>
        </is>
      </c>
      <c r="C1088" t="inlineStr">
        <is>
          <t>location</t>
        </is>
      </c>
      <c r="D1088" t="inlineStr">
        <is>
          <t>unit</t>
        </is>
      </c>
      <c r="E1088" t="inlineStr">
        <is>
          <t>categories</t>
        </is>
      </c>
      <c r="F1088" t="inlineStr">
        <is>
          <t>type</t>
        </is>
      </c>
      <c r="G1088" t="inlineStr">
        <is>
          <t>reference product</t>
        </is>
      </c>
      <c r="H1088" t="inlineStr">
        <is>
          <t>comment</t>
        </is>
      </c>
    </row>
    <row r="1089">
      <c r="A1089" t="inlineStr">
        <is>
          <t xml:space="preserve">battery central control and protection unit production</t>
        </is>
      </c>
      <c r="B1089">
        <v>1</v>
      </c>
      <c r="C1089" t="inlineStr">
        <is>
          <t>GLO</t>
        </is>
      </c>
      <c r="D1089" t="inlineStr">
        <is>
          <t>unit</t>
        </is>
      </c>
      <c r="F1089" t="inlineStr">
        <is>
          <t>production</t>
        </is>
      </c>
      <c r="G1089" t="inlineStr">
        <is>
          <t xml:space="preserve">battery central control and protection unit</t>
        </is>
      </c>
    </row>
    <row r="1090">
      <c r="A1090" t="inlineStr">
        <is>
          <t xml:space="preserve">printed circuit board production, battery central control, mounted</t>
        </is>
      </c>
      <c r="B1090">
        <v>0.49</v>
      </c>
      <c r="C1090" t="inlineStr">
        <is>
          <t>GLO</t>
        </is>
      </c>
      <c r="D1090" t="inlineStr">
        <is>
          <t>kilogram</t>
        </is>
      </c>
      <c r="F1090" t="inlineStr">
        <is>
          <t>technosphere</t>
        </is>
      </c>
      <c r="G1090" t="inlineStr">
        <is>
          <t xml:space="preserve">printed circuit board, battery central control, mounted</t>
        </is>
      </c>
    </row>
    <row r="1091">
      <c r="A1091" t="inlineStr">
        <is>
          <t>high voltage system production, for LiS battery</t>
        </is>
      </c>
      <c r="B1091">
        <v>2.8</v>
      </c>
      <c r="C1091" t="inlineStr">
        <is>
          <t>GLO</t>
        </is>
      </c>
      <c r="D1091" t="inlineStr">
        <is>
          <t>kilogram</t>
        </is>
      </c>
      <c r="F1091" t="inlineStr">
        <is>
          <t>technosphere</t>
        </is>
      </c>
      <c r="G1091" t="inlineStr">
        <is>
          <t>high voltage system</t>
        </is>
      </c>
    </row>
    <row r="1092">
      <c r="A1092" t="inlineStr">
        <is>
          <t>low voltage system production, for LiS battery</t>
        </is>
      </c>
      <c r="B1092">
        <v>1.2</v>
      </c>
      <c r="C1092" t="inlineStr">
        <is>
          <t>GLO</t>
        </is>
      </c>
      <c r="D1092" t="inlineStr">
        <is>
          <t>kilogram</t>
        </is>
      </c>
      <c r="F1092" t="inlineStr">
        <is>
          <t>technosphere</t>
        </is>
      </c>
      <c r="G1092" t="inlineStr">
        <is>
          <t>low voltage system</t>
        </is>
      </c>
    </row>
    <row r="1093">
      <c r="A1093" t="inlineStr">
        <is>
          <t>IBIS fasteners production, for LiS battery</t>
        </is>
      </c>
      <c r="B1093">
        <v>0.028</v>
      </c>
      <c r="C1093" t="inlineStr">
        <is>
          <t>GLO</t>
        </is>
      </c>
      <c r="D1093" t="inlineStr">
        <is>
          <t>kilogram</t>
        </is>
      </c>
      <c r="F1093" t="inlineStr">
        <is>
          <t>technosphere</t>
        </is>
      </c>
      <c r="G1093" t="inlineStr">
        <is>
          <t>IBIS fasteners</t>
        </is>
      </c>
    </row>
    <row r="1096">
      <c r="A1096" t="inlineStr">
        <is>
          <t>Activity</t>
        </is>
      </c>
      <c r="B1096" t="inlineStr">
        <is>
          <t xml:space="preserve">battery cooling system production, liquid cooling</t>
        </is>
      </c>
    </row>
    <row r="1097">
      <c r="A1097" t="inlineStr">
        <is>
          <t>location</t>
        </is>
      </c>
      <c r="B1097" t="inlineStr">
        <is>
          <t>GLO</t>
        </is>
      </c>
    </row>
    <row r="1098">
      <c r="A1098" t="inlineStr">
        <is>
          <t>production amount</t>
        </is>
      </c>
      <c r="B1098">
        <v>1</v>
      </c>
    </row>
    <row r="1099">
      <c r="A1099" t="inlineStr">
        <is>
          <t>reference product</t>
        </is>
      </c>
      <c r="B1099" t="inlineStr">
        <is>
          <t xml:space="preserve">battery cooling system, liquid cooling</t>
        </is>
      </c>
    </row>
    <row r="1100">
      <c r="A1100" t="inlineStr">
        <is>
          <t>unit</t>
        </is>
      </c>
      <c r="B1100" t="inlineStr">
        <is>
          <t>unit</t>
        </is>
      </c>
    </row>
    <row r="1101">
      <c r="A1101" t="inlineStr">
        <is>
          <t>source</t>
        </is>
      </c>
      <c r="B1101" t="inlineStr">
        <is>
          <t>Wickerts corrected SI DOI10.1021/acssuschemeng.4c01782.s001 S26/S27; original Ellingsen2014 SI S39/S40, DOI10.1111/jiec.12072.</t>
        </is>
      </c>
    </row>
    <row r="1102">
      <c r="A1102" t="inlineStr">
        <is>
          <t>comment</t>
        </is>
      </c>
      <c r="B1102" t="inlineStr">
        <is>
          <t xml:space="preserve">Nomenclature revision, 2026-10-19. Former activity name: battery liquid cooling, 10 kg engineering reference. Former reference product: battery liquid cooling, 10 kg engineering reference. Activity/product labels and supplier references only; coefficients, formulas, uncertainty, declared output and unit are unchanged. Original engineering assumptions, functional-unit basis and limitations remain below.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t>
        </is>
      </c>
    </row>
    <row r="1103">
      <c r="A1103" t="inlineStr">
        <is>
          <t xml:space="preserve">type</t>
        </is>
      </c>
      <c r="B1103" t="inlineStr">
        <is>
          <t xml:space="preserve">processwithreferenceproduct</t>
        </is>
      </c>
    </row>
    <row r="1104">
      <c r="A1104" t="inlineStr">
        <is>
          <t>Exchanges</t>
        </is>
      </c>
    </row>
    <row r="1105">
      <c r="A1105" t="inlineStr">
        <is>
          <t>name</t>
        </is>
      </c>
      <c r="B1105" t="inlineStr">
        <is>
          <t>amount</t>
        </is>
      </c>
      <c r="C1105" t="inlineStr">
        <is>
          <t>location</t>
        </is>
      </c>
      <c r="D1105" t="inlineStr">
        <is>
          <t>unit</t>
        </is>
      </c>
      <c r="E1105" t="inlineStr">
        <is>
          <t>categories</t>
        </is>
      </c>
      <c r="F1105" t="inlineStr">
        <is>
          <t>type</t>
        </is>
      </c>
      <c r="G1105" t="inlineStr">
        <is>
          <t>reference product</t>
        </is>
      </c>
      <c r="H1105" t="inlineStr">
        <is>
          <t>comment</t>
        </is>
      </c>
    </row>
    <row r="1106">
      <c r="A1106" t="inlineStr">
        <is>
          <t xml:space="preserve">battery cooling system production, liquid cooling</t>
        </is>
      </c>
      <c r="B1106">
        <v>1</v>
      </c>
      <c r="C1106" t="inlineStr">
        <is>
          <t>GLO</t>
        </is>
      </c>
      <c r="D1106" t="inlineStr">
        <is>
          <t>unit</t>
        </is>
      </c>
      <c r="F1106" t="inlineStr">
        <is>
          <t>production</t>
        </is>
      </c>
      <c r="G1106" t="inlineStr">
        <is>
          <t xml:space="preserve">battery cooling system, liquid cooling</t>
        </is>
      </c>
    </row>
    <row r="1107">
      <c r="A1107" t="inlineStr">
        <is>
          <t>market for aluminium, wrought alloy</t>
        </is>
      </c>
      <c r="B1107">
        <v>9.08</v>
      </c>
      <c r="C1107" t="inlineStr">
        <is>
          <t>GLO</t>
        </is>
      </c>
      <c r="D1107" t="inlineStr">
        <is>
          <t>kilogram</t>
        </is>
      </c>
      <c r="F1107" t="inlineStr">
        <is>
          <t>technosphere</t>
        </is>
      </c>
      <c r="G1107" t="inlineStr">
        <is>
          <t>aluminium, wrought alloy</t>
        </is>
      </c>
    </row>
    <row r="1108">
      <c r="A1108" t="inlineStr">
        <is>
          <t>market for steel, low-alloyed</t>
        </is>
      </c>
      <c r="B1108">
        <v>0.23</v>
      </c>
      <c r="C1108" t="inlineStr">
        <is>
          <t>GLO</t>
        </is>
      </c>
      <c r="D1108" t="inlineStr">
        <is>
          <t>kilogram</t>
        </is>
      </c>
      <c r="F1108" t="inlineStr">
        <is>
          <t>technosphere</t>
        </is>
      </c>
      <c r="G1108" t="inlineStr">
        <is>
          <t>steel, low-alloyed</t>
        </is>
      </c>
    </row>
    <row r="1109">
      <c r="A1109" t="inlineStr">
        <is>
          <t>market for polyvinylchloride, bulk polymerised</t>
        </is>
      </c>
      <c r="B1109">
        <v>0.0072</v>
      </c>
      <c r="C1109" t="inlineStr">
        <is>
          <t>GLO</t>
        </is>
      </c>
      <c r="D1109" t="inlineStr">
        <is>
          <t>kilogram</t>
        </is>
      </c>
      <c r="F1109" t="inlineStr">
        <is>
          <t>technosphere</t>
        </is>
      </c>
      <c r="G1109" t="inlineStr">
        <is>
          <t>polyvinylchloride, bulk polymerised</t>
        </is>
      </c>
    </row>
    <row r="1110">
      <c r="A1110" t="inlineStr">
        <is>
          <t>synthetic rubber production</t>
        </is>
      </c>
      <c r="B1110">
        <v>0.0024</v>
      </c>
      <c r="C1110" t="inlineStr">
        <is>
          <t>RER</t>
        </is>
      </c>
      <c r="D1110" t="inlineStr">
        <is>
          <t>kilogram</t>
        </is>
      </c>
      <c r="F1110" t="inlineStr">
        <is>
          <t>technosphere</t>
        </is>
      </c>
      <c r="G1110" t="inlineStr">
        <is>
          <t>synthetic rubber</t>
        </is>
      </c>
    </row>
    <row r="1111">
      <c r="A1111" t="inlineStr">
        <is>
          <t>silicon production, electronics grade</t>
        </is>
      </c>
      <c r="B1111">
        <v>0.06</v>
      </c>
      <c r="C1111" t="inlineStr">
        <is>
          <t>DE</t>
        </is>
      </c>
      <c r="D1111" t="inlineStr">
        <is>
          <t>kilogram</t>
        </is>
      </c>
      <c r="F1111" t="inlineStr">
        <is>
          <t>technosphere</t>
        </is>
      </c>
      <c r="G1111" t="inlineStr">
        <is>
          <t>silicon, electronics grade</t>
        </is>
      </c>
    </row>
    <row r="1112">
      <c r="A1112" t="inlineStr">
        <is>
          <t>market for glass fibre</t>
        </is>
      </c>
      <c r="B1112">
        <v>0.02</v>
      </c>
      <c r="C1112" t="inlineStr">
        <is>
          <t>GLO</t>
        </is>
      </c>
      <c r="D1112" t="inlineStr">
        <is>
          <t>kilogram</t>
        </is>
      </c>
      <c r="F1112" t="inlineStr">
        <is>
          <t>technosphere</t>
        </is>
      </c>
      <c r="G1112" t="inlineStr">
        <is>
          <t>glass fibre</t>
        </is>
      </c>
    </row>
    <row r="1113">
      <c r="A1113" t="inlineStr">
        <is>
          <t>market for acrylonitrile-butadiene-styrene copolymer</t>
        </is>
      </c>
      <c r="B1113">
        <v>0.12</v>
      </c>
      <c r="C1113" t="inlineStr">
        <is>
          <t>GLO</t>
        </is>
      </c>
      <c r="D1113" t="inlineStr">
        <is>
          <t>kilogram</t>
        </is>
      </c>
      <c r="F1113" t="inlineStr">
        <is>
          <t>technosphere</t>
        </is>
      </c>
      <c r="G1113" t="inlineStr">
        <is>
          <t>acrylonitrile-butadiene-styrene copolymer</t>
        </is>
      </c>
    </row>
    <row r="1114">
      <c r="A1114" t="inlineStr">
        <is>
          <t>ethylene glycol production</t>
        </is>
      </c>
      <c r="B1114">
        <v>0.48</v>
      </c>
      <c r="C1114" t="inlineStr">
        <is>
          <t>RER</t>
        </is>
      </c>
      <c r="D1114" t="inlineStr">
        <is>
          <t>kilogram</t>
        </is>
      </c>
      <c r="F1114" t="inlineStr">
        <is>
          <t>technosphere</t>
        </is>
      </c>
      <c r="G1114" t="inlineStr">
        <is>
          <t>ethylene glycol</t>
        </is>
      </c>
    </row>
    <row r="1115">
      <c r="A1115" t="inlineStr">
        <is>
          <t>metal working, average for aluminium product manufacturing</t>
        </is>
      </c>
      <c r="B1115">
        <v>9.08</v>
      </c>
      <c r="C1115" t="inlineStr">
        <is>
          <t>RER</t>
        </is>
      </c>
      <c r="D1115" t="inlineStr">
        <is>
          <t>kilogram</t>
        </is>
      </c>
      <c r="F1115" t="inlineStr">
        <is>
          <t>technosphere</t>
        </is>
      </c>
      <c r="G1115" t="inlineStr">
        <is>
          <t>metal working, average for aluminium product manufacturing</t>
        </is>
      </c>
    </row>
    <row r="1116">
      <c r="A1116" t="inlineStr">
        <is>
          <t>metal working, average for steel product manufacturing</t>
        </is>
      </c>
      <c r="B1116">
        <v>0.23</v>
      </c>
      <c r="C1116" t="inlineStr">
        <is>
          <t>RER</t>
        </is>
      </c>
      <c r="D1116" t="inlineStr">
        <is>
          <t>kilogram</t>
        </is>
      </c>
      <c r="F1116" t="inlineStr">
        <is>
          <t>technosphere</t>
        </is>
      </c>
      <c r="G1116" t="inlineStr">
        <is>
          <t>metal working, average for steel product manufacturing</t>
        </is>
      </c>
    </row>
    <row r="1117">
      <c r="A1117" t="inlineStr">
        <is>
          <t>injection moulding</t>
        </is>
      </c>
      <c r="B1117">
        <v>0.1296</v>
      </c>
      <c r="C1117" t="inlineStr">
        <is>
          <t>RER</t>
        </is>
      </c>
      <c r="D1117" t="inlineStr">
        <is>
          <t>kilogram</t>
        </is>
      </c>
      <c r="F1117" t="inlineStr">
        <is>
          <t>technosphere</t>
        </is>
      </c>
      <c r="G1117" t="inlineStr">
        <is>
          <t>injection moulding</t>
        </is>
      </c>
    </row>
    <row r="1120">
      <c r="A1120" t="inlineStr">
        <is>
          <t>Activity</t>
        </is>
      </c>
      <c r="B1120" t="inlineStr">
        <is>
          <t xml:space="preserve">battery control and cooling system production, 16 modules</t>
        </is>
      </c>
    </row>
    <row r="1121">
      <c r="A1121" t="inlineStr">
        <is>
          <t>location</t>
        </is>
      </c>
      <c r="B1121" t="inlineStr">
        <is>
          <t>GLO</t>
        </is>
      </c>
    </row>
    <row r="1122">
      <c r="A1122" t="inlineStr">
        <is>
          <t>production amount</t>
        </is>
      </c>
      <c r="B1122">
        <v>1</v>
      </c>
    </row>
    <row r="1123">
      <c r="A1123" t="inlineStr">
        <is>
          <t>reference product</t>
        </is>
      </c>
      <c r="B1123" t="inlineStr">
        <is>
          <t xml:space="preserve">battery control and cooling system, 16 modules</t>
        </is>
      </c>
    </row>
    <row r="1124">
      <c r="A1124" t="inlineStr">
        <is>
          <t>unit</t>
        </is>
      </c>
      <c r="B1124" t="inlineStr">
        <is>
          <t>unit</t>
        </is>
      </c>
    </row>
    <row r="1125">
      <c r="A1125" t="inlineStr">
        <is>
          <t>source</t>
        </is>
      </c>
      <c r="B1125" t="inlineStr">
        <is>
          <t>Wickerts corrected SI DOI10.1021/acssuschemeng.4c01782.s001 S26/S27; original Ellingsen2014 SI S39/S40, DOI10.1111/jiec.12072.</t>
        </is>
      </c>
    </row>
    <row r="1126">
      <c r="A1126" t="inlineStr">
        <is>
          <t>comment</t>
        </is>
      </c>
      <c r="B1126" t="inlineStr">
        <is>
          <t xml:space="preserve">Nomenclature revision, 2026-10-19. Former activity name: battery controls and cooling, 16-module engineering reference. Former reference product: battery controls and cooling, 16-module engineering reference. Activity/product labels and supplier references only; coefficients, formulas, uncertainty, declared output and unit are unchanged. Original engineering assumptions, functional-unit basis and limitations remain below.
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
PREVIOUS NOTES (retained as history; the correction above takes precedence):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t>
        </is>
      </c>
    </row>
    <row r="1127">
      <c r="A1127" t="inlineStr">
        <is>
          <t xml:space="preserve">type</t>
        </is>
      </c>
      <c r="B1127" t="inlineStr">
        <is>
          <t xml:space="preserve">processwithreferenceproduct</t>
        </is>
      </c>
    </row>
    <row r="1128">
      <c r="A1128" t="inlineStr">
        <is>
          <t>Exchanges</t>
        </is>
      </c>
    </row>
    <row r="1129">
      <c r="A1129" t="inlineStr">
        <is>
          <t>name</t>
        </is>
      </c>
      <c r="B1129" t="inlineStr">
        <is>
          <t>amount</t>
        </is>
      </c>
      <c r="C1129" t="inlineStr">
        <is>
          <t>location</t>
        </is>
      </c>
      <c r="D1129" t="inlineStr">
        <is>
          <t>unit</t>
        </is>
      </c>
      <c r="E1129" t="inlineStr">
        <is>
          <t>categories</t>
        </is>
      </c>
      <c r="F1129" t="inlineStr">
        <is>
          <t>type</t>
        </is>
      </c>
      <c r="G1129" t="inlineStr">
        <is>
          <t>reference product</t>
        </is>
      </c>
      <c r="H1129" t="inlineStr">
        <is>
          <t>comment</t>
        </is>
      </c>
    </row>
    <row r="1130">
      <c r="A1130" t="inlineStr">
        <is>
          <t xml:space="preserve">battery control and cooling system production, 16 modules</t>
        </is>
      </c>
      <c r="B1130">
        <v>1</v>
      </c>
      <c r="C1130" t="inlineStr">
        <is>
          <t>GLO</t>
        </is>
      </c>
      <c r="D1130" t="inlineStr">
        <is>
          <t>unit</t>
        </is>
      </c>
      <c r="F1130" t="inlineStr">
        <is>
          <t>production</t>
        </is>
      </c>
      <c r="G1130" t="inlineStr">
        <is>
          <t xml:space="preserve">battery control and cooling system, 16 modules</t>
        </is>
      </c>
    </row>
    <row r="1131">
      <c r="A1131" t="inlineStr">
        <is>
          <t xml:space="preserve">battery central control and protection unit production</t>
        </is>
      </c>
      <c r="B1131">
        <v>1</v>
      </c>
      <c r="C1131" t="inlineStr">
        <is>
          <t>GLO</t>
        </is>
      </c>
      <c r="D1131" t="inlineStr">
        <is>
          <t>unit</t>
        </is>
      </c>
      <c r="F1131" t="inlineStr">
        <is>
          <t>technosphere</t>
        </is>
      </c>
      <c r="G1131" t="inlineStr">
        <is>
          <t xml:space="preserve">battery central control and protection unit</t>
        </is>
      </c>
    </row>
    <row r="1132">
      <c r="A1132" t="inlineStr">
        <is>
          <t xml:space="preserve">printed circuit board production, battery module control, mounted</t>
        </is>
      </c>
      <c r="B1132">
        <v>1.1</v>
      </c>
      <c r="C1132" t="inlineStr">
        <is>
          <t>GLO</t>
        </is>
      </c>
      <c r="D1132" t="inlineStr">
        <is>
          <t>kilogram</t>
        </is>
      </c>
      <c r="F1132" t="inlineStr">
        <is>
          <t>technosphere</t>
        </is>
      </c>
      <c r="G1132" t="inlineStr">
        <is>
          <t xml:space="preserve">printed circuit board, battery module control, mounted</t>
        </is>
      </c>
    </row>
    <row r="1133">
      <c r="A1133" t="inlineStr">
        <is>
          <t xml:space="preserve">battery cooling system production, liquid cooling</t>
        </is>
      </c>
      <c r="B1133">
        <v>1</v>
      </c>
      <c r="C1133" t="inlineStr">
        <is>
          <t>GLO</t>
        </is>
      </c>
      <c r="D1133" t="inlineStr">
        <is>
          <t>unit</t>
        </is>
      </c>
      <c r="F1133" t="inlineStr">
        <is>
          <t>technosphere</t>
        </is>
      </c>
      <c r="G1133" t="inlineStr">
        <is>
          <t xml:space="preserve">battery cooling system, liquid cooling</t>
        </is>
      </c>
    </row>
    <row r="1134">
      <c r="A1134" t="inlineStr">
        <is>
          <t>market for used Li-ion battery</t>
        </is>
      </c>
      <c r="B1134">
        <v>-15.6176</v>
      </c>
      <c r="C1134" t="inlineStr">
        <is>
          <t>GLO</t>
        </is>
      </c>
      <c r="D1134" t="inlineStr">
        <is>
          <t>kilogram</t>
        </is>
      </c>
      <c r="F1134" t="inlineStr">
        <is>
          <t>technosphere</t>
        </is>
      </c>
      <c r="G1134" t="inlineStr">
        <is>
          <t>used Li-ion battery</t>
        </is>
      </c>
    </row>
    <row r="1137">
      <c r="A1137" t="inlineStr">
        <is>
          <t>Activity</t>
        </is>
      </c>
      <c r="B1137" t="inlineStr">
        <is>
          <t xml:space="preserve">lithium foil rolling</t>
        </is>
      </c>
    </row>
    <row r="1138">
      <c r="A1138" t="inlineStr">
        <is>
          <t>location</t>
        </is>
      </c>
      <c r="B1138" t="inlineStr">
        <is>
          <t>GLO</t>
        </is>
      </c>
    </row>
    <row r="1139">
      <c r="A1139" t="inlineStr">
        <is>
          <t>production amount</t>
        </is>
      </c>
      <c r="B1139">
        <v>1</v>
      </c>
    </row>
    <row r="1140">
      <c r="A1140" t="inlineStr">
        <is>
          <t>reference product</t>
        </is>
      </c>
      <c r="B1140" t="inlineStr">
        <is>
          <t xml:space="preserve">lithium foil rolling</t>
        </is>
      </c>
    </row>
    <row r="1141">
      <c r="A1141" t="inlineStr">
        <is>
          <t>unit</t>
        </is>
      </c>
      <c r="B1141" t="inlineStr">
        <is>
          <t>kilogram</t>
        </is>
      </c>
    </row>
    <row r="1142">
      <c r="A1142" t="inlineStr">
        <is>
          <t>source</t>
        </is>
      </c>
      <c r="B1142" t="inlineStr">
        <is>
          <t>Wickerts corrected SI DOI10.1021/acssuschemeng.4c01782.s001 TableS17 requires lithium-adapted rolling; processing assumptions below are an engineering completion, not reported measurements.</t>
        </is>
      </c>
    </row>
    <row r="1143">
      <c r="A1143" t="inlineStr">
        <is>
          <t>comment</t>
        </is>
      </c>
      <c r="B1143" t="inlineStr">
        <is>
          <t xml:space="preserve">Nomenclature revision, 2026-10-19. Former activity name: lithium foil rolling service, engineering reference. Former reference product: lithium foil rolling service, engineering reference. Activity/product labels and supplier references only; coefficients, formulas, uncertainty, declared output and unit are unchanged. Original engineering assumptions, functional-unit basis and limitations remain below.
APPROVED LITHIUM-FOIL ROLLING ENGINEERING REFERENCE, item31, 2026-10-18. Wickerts corrected SI DOI10.1021/acssuschemeng.4c01782.s001 TableS17 requires lithium-adapted rolling; processing assumptions below are an engineering completion, not reported measurements. Replace the ordinary aluminium-specific rolling service at4.95kgprocessed/kgfinishedLi foil by a dedicated material-neutral mechanical rolling service. Assume0.5kWh electricity perkg rolling throughput, hence2.475kWh perkgfinishedfoil additionally to source2.1kWh generalprocess electricity,4.2MJ cooling and5MJheat retained once. This represents4.95kg cumulative rolling throughput, NOT4.95kg retained lithium or a measured pass count. Assume98percent final lithium retention:1/0.98=1.0204081632653061kg Li from source electrolysis perkgfoil;0.02040816326530612kg process loss. No aluminium feed or aluminium scrap is inherited; ordinary Al rolling elsewhere unchanged. Treat loss through existing hazardous-waste incineration as an explicit reactive-lithium fate proxy; real inert handling/passivation and associated emissions are not modeled. No lithium recovery/secondary-supply credit. Source/reference utilities are engineering proxies; atmosphere/inert gas, lubrication, facility and practical rolling yield/energy remain gaps. Sensitivities90-100percent yield and0.1-1kWh/kg throughput; energy does not scale with yield here because throughput is declared perkgfinishedfoil. No source-specific measured yield is claimed.</t>
        </is>
      </c>
    </row>
    <row r="1144">
      <c r="A1144" t="inlineStr">
        <is>
          <t xml:space="preserve">type</t>
        </is>
      </c>
      <c r="B1144" t="inlineStr">
        <is>
          <t xml:space="preserve">processwithreferenceproduct</t>
        </is>
      </c>
    </row>
    <row r="1145">
      <c r="A1145" t="inlineStr">
        <is>
          <t>Exchanges</t>
        </is>
      </c>
    </row>
    <row r="1146">
      <c r="A1146" t="inlineStr">
        <is>
          <t>name</t>
        </is>
      </c>
      <c r="B1146" t="inlineStr">
        <is>
          <t>amount</t>
        </is>
      </c>
      <c r="C1146" t="inlineStr">
        <is>
          <t>location</t>
        </is>
      </c>
      <c r="D1146" t="inlineStr">
        <is>
          <t>unit</t>
        </is>
      </c>
      <c r="E1146" t="inlineStr">
        <is>
          <t>categories</t>
        </is>
      </c>
      <c r="F1146" t="inlineStr">
        <is>
          <t>type</t>
        </is>
      </c>
      <c r="G1146" t="inlineStr">
        <is>
          <t>reference product</t>
        </is>
      </c>
      <c r="H1146" t="inlineStr">
        <is>
          <t>comment</t>
        </is>
      </c>
    </row>
    <row r="1147">
      <c r="A1147" t="inlineStr">
        <is>
          <t xml:space="preserve">lithium foil rolling</t>
        </is>
      </c>
      <c r="B1147">
        <v>1</v>
      </c>
      <c r="C1147" t="inlineStr">
        <is>
          <t>GLO</t>
        </is>
      </c>
      <c r="D1147" t="inlineStr">
        <is>
          <t>kilogram</t>
        </is>
      </c>
      <c r="F1147" t="inlineStr">
        <is>
          <t>production</t>
        </is>
      </c>
      <c r="G1147" t="inlineStr">
        <is>
          <t xml:space="preserve">lithium foil rolling</t>
        </is>
      </c>
    </row>
    <row r="1148">
      <c r="A1148" t="inlineStr">
        <is>
          <t>market group for electricity, medium voltage</t>
        </is>
      </c>
      <c r="B1148">
        <v>0.5</v>
      </c>
      <c r="C1148" t="inlineStr">
        <is>
          <t>GLO</t>
        </is>
      </c>
      <c r="D1148" t="inlineStr">
        <is>
          <t>kilowatt hour</t>
        </is>
      </c>
      <c r="F1148" t="inlineStr">
        <is>
          <t>technosphere</t>
        </is>
      </c>
      <c r="G1148" t="inlineStr">
        <is>
          <t>electricity, medium voltage</t>
        </is>
      </c>
    </row>
    <row r="1151">
      <c r="A1151" t="inlineStr">
        <is>
          <t>Activity</t>
        </is>
      </c>
      <c r="B1151" t="inlineStr">
        <is>
          <t xml:space="preserve">battery monitoring integrated circuit production, copper wire bonding</t>
        </is>
      </c>
    </row>
    <row r="1152">
      <c r="A1152" t="inlineStr">
        <is>
          <t>location</t>
        </is>
      </c>
      <c r="B1152" t="inlineStr">
        <is>
          <t>GLO</t>
        </is>
      </c>
    </row>
    <row r="1153">
      <c r="A1153" t="inlineStr">
        <is>
          <t>production amount</t>
        </is>
      </c>
      <c r="B1153">
        <v>1</v>
      </c>
    </row>
    <row r="1154">
      <c r="A1154" t="inlineStr">
        <is>
          <t>reference product</t>
        </is>
      </c>
      <c r="B1154" t="inlineStr">
        <is>
          <t xml:space="preserve">battery monitoring integrated circuit, copper wire bonding</t>
        </is>
      </c>
    </row>
    <row r="1155">
      <c r="A1155" t="inlineStr">
        <is>
          <t>unit</t>
        </is>
      </c>
      <c r="B1155" t="inlineStr">
        <is>
          <t>unit</t>
        </is>
      </c>
    </row>
    <row r="1156">
      <c r="A1156" t="inlineStr">
        <is>
          <t>source</t>
        </is>
      </c>
      <c r="B1156" t="inlineStr">
        <is>
          <t>TI TIDA020076 public BOM https://www.ti.com/lit/pdf/SLURB87; TI BQ79616PAPRQ1 material declaration https://www.ti.com/quality-reliability-packaging-download/report?opn=BQ79616PAPRQ1; TI CC2662 BCU guide https://www.ti.com/lit/pdf/SWRU641.</t>
        </is>
      </c>
    </row>
    <row r="1157">
      <c r="A1157" t="inlineStr">
        <is>
          <t>comment</t>
        </is>
      </c>
      <c r="B1157" t="inlineStr">
        <is>
          <t xml:space="preserve">Nomenclature revision, 2026-10-19. Former activity name: battery monitor semiconductor, declared copper-wire package reference. Former reference product: battery monitor semiconductor, declared copper-wire package reference. Activity/product labels and supplier references only; coefficients, formulas, uncertainty, declared output and unit are unchanged. Original engineering assumptions, functional-unit basis and limitations remain below.
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t>
        </is>
      </c>
    </row>
    <row r="1158">
      <c r="A1158" t="inlineStr">
        <is>
          <t xml:space="preserve">type</t>
        </is>
      </c>
      <c r="B1158" t="inlineStr">
        <is>
          <t xml:space="preserve">processwithreferenceproduct</t>
        </is>
      </c>
    </row>
    <row r="1159">
      <c r="A1159" t="inlineStr">
        <is>
          <t>Exchanges</t>
        </is>
      </c>
    </row>
    <row r="1160">
      <c r="A1160" t="inlineStr">
        <is>
          <t>name</t>
        </is>
      </c>
      <c r="B1160" t="inlineStr">
        <is>
          <t>amount</t>
        </is>
      </c>
      <c r="C1160" t="inlineStr">
        <is>
          <t>location</t>
        </is>
      </c>
      <c r="D1160" t="inlineStr">
        <is>
          <t>unit</t>
        </is>
      </c>
      <c r="E1160" t="inlineStr">
        <is>
          <t>categories</t>
        </is>
      </c>
      <c r="F1160" t="inlineStr">
        <is>
          <t>type</t>
        </is>
      </c>
      <c r="G1160" t="inlineStr">
        <is>
          <t>reference product</t>
        </is>
      </c>
      <c r="H1160" t="inlineStr">
        <is>
          <t>comment</t>
        </is>
      </c>
    </row>
    <row r="1161">
      <c r="A1161" t="inlineStr">
        <is>
          <t xml:space="preserve">battery monitoring integrated circuit production, copper wire bonding</t>
        </is>
      </c>
      <c r="B1161">
        <v>1</v>
      </c>
      <c r="C1161" t="inlineStr">
        <is>
          <t>GLO</t>
        </is>
      </c>
      <c r="D1161" t="inlineStr">
        <is>
          <t>unit</t>
        </is>
      </c>
      <c r="F1161" t="inlineStr">
        <is>
          <t>production</t>
        </is>
      </c>
      <c r="G1161" t="inlineStr">
        <is>
          <t xml:space="preserve">battery monitoring integrated circuit, copper wire bonding</t>
        </is>
      </c>
    </row>
    <row r="1162">
      <c r="A1162" t="inlineStr">
        <is>
          <t>market for copper, cathode</t>
        </is>
      </c>
      <c r="B1162">
        <v>0.00017748693999999999</v>
      </c>
      <c r="C1162" t="inlineStr">
        <is>
          <t>GLO</t>
        </is>
      </c>
      <c r="D1162" t="inlineStr">
        <is>
          <t>kilogram</t>
        </is>
      </c>
      <c r="F1162" t="inlineStr">
        <is>
          <t>technosphere</t>
        </is>
      </c>
      <c r="G1162" t="inlineStr">
        <is>
          <t>copper, cathode</t>
        </is>
      </c>
    </row>
    <row r="1163">
      <c r="A1163" t="inlineStr">
        <is>
          <t>market for steel, low-alloyed</t>
        </is>
      </c>
      <c r="B1163">
        <v>4.0023129999999995e-06</v>
      </c>
      <c r="C1163" t="inlineStr">
        <is>
          <t>GLO</t>
        </is>
      </c>
      <c r="D1163" t="inlineStr">
        <is>
          <t>kilogram</t>
        </is>
      </c>
      <c r="F1163" t="inlineStr">
        <is>
          <t>technosphere</t>
        </is>
      </c>
      <c r="G1163" t="inlineStr">
        <is>
          <t>steel, low-alloyed</t>
        </is>
      </c>
    </row>
    <row r="1164">
      <c r="A1164" t="inlineStr">
        <is>
          <t>market for nickel, class 1</t>
        </is>
      </c>
      <c r="B1164">
        <v>4.174818e-06</v>
      </c>
      <c r="C1164" t="inlineStr">
        <is>
          <t>GLO</t>
        </is>
      </c>
      <c r="D1164" t="inlineStr">
        <is>
          <t>kilogram</t>
        </is>
      </c>
      <c r="F1164" t="inlineStr">
        <is>
          <t>technosphere</t>
        </is>
      </c>
      <c r="G1164" t="inlineStr">
        <is>
          <t>nickel, class 1</t>
        </is>
      </c>
    </row>
    <row r="1165">
      <c r="A1165" t="inlineStr">
        <is>
          <t>market for sulfur</t>
        </is>
      </c>
      <c r="B1165">
        <v>1e-12</v>
      </c>
      <c r="C1165" t="inlineStr">
        <is>
          <t>GLO</t>
        </is>
      </c>
      <c r="D1165" t="inlineStr">
        <is>
          <t>kilogram</t>
        </is>
      </c>
      <c r="F1165" t="inlineStr">
        <is>
          <t>technosphere</t>
        </is>
      </c>
      <c r="G1165" t="inlineStr">
        <is>
          <t>sulfur</t>
        </is>
      </c>
    </row>
    <row r="1166">
      <c r="A1166" t="inlineStr">
        <is>
          <t>market for manganese</t>
        </is>
      </c>
      <c r="B1166">
        <v>2e-12</v>
      </c>
      <c r="C1166" t="inlineStr">
        <is>
          <t>GLO</t>
        </is>
      </c>
      <c r="D1166" t="inlineStr">
        <is>
          <t>kilogram</t>
        </is>
      </c>
      <c r="F1166" t="inlineStr">
        <is>
          <t>technosphere</t>
        </is>
      </c>
      <c r="G1166" t="inlineStr">
        <is>
          <t>manganese</t>
        </is>
      </c>
    </row>
    <row r="1167">
      <c r="A1167" t="inlineStr">
        <is>
          <t>market for silver</t>
        </is>
      </c>
      <c r="B1167">
        <v>4.372259e-06</v>
      </c>
      <c r="C1167" t="inlineStr">
        <is>
          <t>GLO</t>
        </is>
      </c>
      <c r="D1167" t="inlineStr">
        <is>
          <t>kilogram</t>
        </is>
      </c>
      <c r="F1167" t="inlineStr">
        <is>
          <t>technosphere</t>
        </is>
      </c>
      <c r="G1167" t="inlineStr">
        <is>
          <t>silver</t>
        </is>
      </c>
    </row>
    <row r="1168">
      <c r="A1168" t="inlineStr">
        <is>
          <t>market for epoxy resin, liquid</t>
        </is>
      </c>
      <c r="B1168">
        <v>1.2388582e-05</v>
      </c>
      <c r="C1168" t="inlineStr">
        <is>
          <t>RER</t>
        </is>
      </c>
      <c r="D1168" t="inlineStr">
        <is>
          <t>kilogram</t>
        </is>
      </c>
      <c r="F1168" t="inlineStr">
        <is>
          <t>technosphere</t>
        </is>
      </c>
      <c r="G1168" t="inlineStr">
        <is>
          <t>epoxy resin, liquid</t>
        </is>
      </c>
    </row>
    <row r="1169">
      <c r="A1169" t="inlineStr">
        <is>
          <t>market for lead</t>
        </is>
      </c>
      <c r="B1169">
        <v>1.81e-10</v>
      </c>
      <c r="C1169" t="inlineStr">
        <is>
          <t>GLO</t>
        </is>
      </c>
      <c r="D1169" t="inlineStr">
        <is>
          <t>kilogram</t>
        </is>
      </c>
      <c r="F1169" t="inlineStr">
        <is>
          <t>technosphere</t>
        </is>
      </c>
      <c r="G1169" t="inlineStr">
        <is>
          <t>lead</t>
        </is>
      </c>
    </row>
    <row r="1170">
      <c r="A1170" t="inlineStr">
        <is>
          <t>market for zinc</t>
        </is>
      </c>
      <c r="B1170">
        <v>2.33619e-07</v>
      </c>
      <c r="C1170" t="inlineStr">
        <is>
          <t>GLO</t>
        </is>
      </c>
      <c r="D1170" t="inlineStr">
        <is>
          <t>kilogram</t>
        </is>
      </c>
      <c r="F1170" t="inlineStr">
        <is>
          <t>technosphere</t>
        </is>
      </c>
      <c r="G1170" t="inlineStr">
        <is>
          <t>zinc</t>
        </is>
      </c>
    </row>
    <row r="1171">
      <c r="A1171" t="inlineStr">
        <is>
          <t>market for gold</t>
        </is>
      </c>
      <c r="B1171">
        <v>3.4234e-08</v>
      </c>
      <c r="C1171" t="inlineStr">
        <is>
          <t>GLO</t>
        </is>
      </c>
      <c r="D1171" t="inlineStr">
        <is>
          <t>kilogram</t>
        </is>
      </c>
      <c r="F1171" t="inlineStr">
        <is>
          <t>technosphere</t>
        </is>
      </c>
      <c r="G1171" t="inlineStr">
        <is>
          <t>gold</t>
        </is>
      </c>
    </row>
    <row r="1172">
      <c r="A1172" t="inlineStr">
        <is>
          <t>market for palladium</t>
        </is>
      </c>
      <c r="B1172">
        <v>1.79949e-07</v>
      </c>
      <c r="C1172" t="inlineStr">
        <is>
          <t>GLO</t>
        </is>
      </c>
      <c r="D1172" t="inlineStr">
        <is>
          <t>kilogram</t>
        </is>
      </c>
      <c r="F1172" t="inlineStr">
        <is>
          <t>technosphere</t>
        </is>
      </c>
      <c r="G1172" t="inlineStr">
        <is>
          <t>palladium</t>
        </is>
      </c>
    </row>
    <row r="1173">
      <c r="A1173" t="inlineStr">
        <is>
          <t>market for phenolic resin</t>
        </is>
      </c>
      <c r="B1173">
        <v>4.646803e-06</v>
      </c>
      <c r="C1173" t="inlineStr">
        <is>
          <t>RER</t>
        </is>
      </c>
      <c r="D1173" t="inlineStr">
        <is>
          <t>kilogram</t>
        </is>
      </c>
      <c r="F1173" t="inlineStr">
        <is>
          <t>technosphere</t>
        </is>
      </c>
      <c r="G1173" t="inlineStr">
        <is>
          <t>phenolic resin</t>
        </is>
      </c>
    </row>
    <row r="1174">
      <c r="A1174" t="inlineStr">
        <is>
          <t>market for silica sand</t>
        </is>
      </c>
      <c r="B1174">
        <v>0.00013785516</v>
      </c>
      <c r="C1174" t="inlineStr">
        <is>
          <t>GLO</t>
        </is>
      </c>
      <c r="D1174" t="inlineStr">
        <is>
          <t>kilogram</t>
        </is>
      </c>
      <c r="F1174" t="inlineStr">
        <is>
          <t>technosphere</t>
        </is>
      </c>
      <c r="G1174" t="inlineStr">
        <is>
          <t>silica sand</t>
        </is>
      </c>
    </row>
    <row r="1175">
      <c r="A1175" t="inlineStr">
        <is>
          <t>market for carbon black</t>
        </is>
      </c>
      <c r="B1175">
        <v>7.74467e-07</v>
      </c>
      <c r="C1175" t="inlineStr">
        <is>
          <t>GLO</t>
        </is>
      </c>
      <c r="D1175" t="inlineStr">
        <is>
          <t>kilogram</t>
        </is>
      </c>
      <c r="F1175" t="inlineStr">
        <is>
          <t>technosphere</t>
        </is>
      </c>
      <c r="G1175" t="inlineStr">
        <is>
          <t>carbon black</t>
        </is>
      </c>
    </row>
    <row r="1176">
      <c r="A1176" t="inlineStr">
        <is>
          <t>market for wafer, fabricated, for integrated circuit</t>
        </is>
      </c>
      <c r="B1176">
        <v>2.9021567954220318e-05</v>
      </c>
      <c r="C1176" t="inlineStr">
        <is>
          <t>GLO</t>
        </is>
      </c>
      <c r="D1176" t="inlineStr">
        <is>
          <t>square meter</t>
        </is>
      </c>
      <c r="F1176" t="inlineStr">
        <is>
          <t>technosphere</t>
        </is>
      </c>
      <c r="G1176" t="inlineStr">
        <is>
          <t>wafer, fabricated, for integrated circuit</t>
        </is>
      </c>
    </row>
    <row r="1179">
      <c r="A1179" t="inlineStr">
        <is>
          <t>Activity</t>
        </is>
      </c>
      <c r="B1179" t="inlineStr">
        <is>
          <t xml:space="preserve">printed circuit board production, battery central control, mounted</t>
        </is>
      </c>
    </row>
    <row r="1180">
      <c r="A1180" t="inlineStr">
        <is>
          <t>location</t>
        </is>
      </c>
      <c r="B1180" t="inlineStr">
        <is>
          <t>GLO</t>
        </is>
      </c>
    </row>
    <row r="1181">
      <c r="A1181" t="inlineStr">
        <is>
          <t>production amount</t>
        </is>
      </c>
      <c r="B1181">
        <v>1</v>
      </c>
    </row>
    <row r="1182">
      <c r="A1182" t="inlineStr">
        <is>
          <t>reference product</t>
        </is>
      </c>
      <c r="B1182" t="inlineStr">
        <is>
          <t xml:space="preserve">printed circuit board, battery central control, mounted</t>
        </is>
      </c>
    </row>
    <row r="1183">
      <c r="A1183" t="inlineStr">
        <is>
          <t>unit</t>
        </is>
      </c>
      <c r="B1183" t="inlineStr">
        <is>
          <t>kilogram</t>
        </is>
      </c>
    </row>
    <row r="1184">
      <c r="A1184" t="inlineStr">
        <is>
          <t>source</t>
        </is>
      </c>
      <c r="B1184" t="inlineStr">
        <is>
          <t>TI TIDA020076 public BOM https://www.ti.com/lit/pdf/SLURB87; TI BQ79616PAPRQ1 material declaration https://www.ti.com/quality-reliability-packaging-download/report?opn=BQ79616PAPRQ1; TI CC2662 BCU guide https://www.ti.com/lit/pdf/SWRU641.</t>
        </is>
      </c>
    </row>
    <row r="1185">
      <c r="A1185" t="inlineStr">
        <is>
          <t>comment</t>
        </is>
      </c>
      <c r="B1185" t="inlineStr">
        <is>
          <t xml:space="preserve">Nomenclature revision, 2026-10-19. Former activity name: battery central control board, engineering material reference. Former reference product: battery central control board, engineering material reference. Activity/product labels and supplier references only; coefficients, formulas, uncertainty, declared output and unit are unchanged. Original engineering assumptions, functional-unit basis and limitations remain below.
APPROVED BATTERY CONNECTOR MATERIAL/PLATING REFERENCE, issue68,2026-10-18. TI TIDA020076 SLURB87 fittedBOM:sixheaders,46pins. Molex manufacturer705510038(4pin,1.023g),705550045(11pin,2.564g),705550040(6pin,1.420g),https://www.molex.com/en-us/products/part-detail/705550045 ; matingAu0.381um,tailSn1.905um,brass/phosphorbronze,highTthermoplastic. SamtecFTSH-105-01-F-DV-K,10pin,LCP/phosphorbronze,3microinch=0.0762umselectiveAu,matteSn: https://suddendocs.samtec.com/prints/ftsh-1xx-xx-xxx-dv-xxx-xxx-mkt.pdf . Replace computerperipheralbusconnectors only in theexisting module/centralcontrolboards by a scopedcount-weightedheaderfamily. Actualfittedcohort=2x4pinMolex+2x11pinMolex+1x6pinMolex+1x10pinSamtec,not not-fittedconnectors. This defines referencecomposition; preserve20g/moduleboard and100g/centralboardconnector allowances because board-specific completeharness/matingconnectorcounts are unverified. These doses implyfractionalcohort equivalents,NOT a claimof sixheaders totalling20g or that thecentralboard has theTI layout. Thus materialproxy is improved while exactfullconnectorquantity remains a sourcegap. ForMolex36contacts use0.64mmsquaresection*10mmdevelopedlength,3mmmatingzone and3.30mmtail as explicitgeometryassumptions,not dimensionallycompleteCAD. Finishedmassusesmanufacturerweights; subtractAu/Ni/Snplate fromgeometricbulkmetal beforealloysplit,remainingmasshousing. Metalbaseengineering50/50brassCu70Zn30 andphosphorbronzeCu95.8Sn4P0.2; actualtwoallowedalloys proportions unknown. Samtecgeometry10x0.4mmsquare*(3.05+2.24+1)mmcontacts,6.2x3.43x2.24mmhousingminuspinholes;terminaldensity8800kg/m3,housing1400kg/m3 assumptions. Samtecactualnetmass unavailable; include calculatedhousing/contact/platingmass,not distributorpackagingweight. Nickelunderplate1.27um is a declaredengineeringassumption forbothfamilies,test0.5-2.5um; SamtectailSn1.905um borrowedMolexreference. Preserve trueAu,Ni,Sn,Cu,Zn,P; no zeroAu orallbulkmetal-as-gold. PA6/glassfiber70/30 is an explicitheat-resistantthermoplastic supplyproxy forMolex andLCP housing,not actualresinchemistry; resinflame-retardants andtraceadditives unresolved. Knownmaterialmanufacture95%retention withmatchedmixedwaste,1kWh/kgassemblyreference. Sensitivitycontactlength6-14mm,platedlength1-4mm,sourcegradevariantAu0.0762-0.762um,connectorallowance0.5-2x. No additionalboardarea,wholeelectronics orharness inventorydoublecount. Fixedboard/controlmass andexistingcompletecontrolEOL unchanged. These are actual referenceboardparts withunverifiedvehiclequalification,not certifiedautomotiveBOM.
PREVIOUS NOTES (retained as history; the correction above takes precedence):
APPROVED AUXILIARY BATTERY BOARD BOUNDARY, issue58, 2026-10-18. TI TIDA020076 SLURB87 component classes; TI package declarations and KEMET/Bourns references documented in issues55-57; Wickerts2024 DOI10.1021/acssuschemeng.4c01782.s001 and Ellingsen2014 DOI10.1111/jiec.12072 regulator/board allowances. Additional interface BOM below is explicitly engineered,not manufacturermeasured. Replace the remaining0.84-1.03kg/reference generic mountedTHT regulator allowance by a scoped auxiliarypower/interface assembly, distinct from16x70g modulemonitorboards and the490g centralboard. No second fullBMS,centralprocessor,monitorASIC,tractionconverter or duplicated board area is added. Onekg finishedreference has glass0.24,epoxy0.16,copper0.18,ferrite0.15,Alheatspreaders0.10,nylonconnectors/insulation0.09,solder0.03,Class2capacitors0.025,nonzeroresistors0.005,logicpackages0.01 and regulatorpackages0.01kg. These are explicit function-level mass allowances with unknown actual counts/ratings; materialcomposition is an engineering sensitivity reference, not measured exact auxiliaryboards. 40%barelaminate and combined18%Cu include boardtracks and inductorwindings, so no additional wholeinductors or mountedboard proxy. Use package unit counts derived from actual selected package masses, and documented ceramic/resistor families; retain real preciousmetals without genericZn-as-Sb. Maintain total original regulator allowance and paired complete-control disposal, not invent a source-measured mass reduction. Replace the small unresolved generic mountedcomponent remainders inside existing central/moduleboards by this explicitly identified auxiliary-component analogue at unchanged residual mass; it includes laminate by engineering transfer, and is not evidence that the residual is an actual second fitted board. Their detailed fittedpart inputs remain, no recount. Retain uncertainty as actual-component coveragegaps: transformer/diode/isolationpart ratings,trace metals,laminate layout,thermaldesign,assemblyyield and exact topology. Test zero-to-double additional interface allowance as an explicit coverage sensitivity. Component supplymanufacture is separate from boardassembly2kWh/kg;100%final assemblyretention assumed. No chassis, native inventory mutation or extra EOL on top of currentcompletecontrol treatment.
PREVIOUS NOTES (retained as history; the correction above takes precedence):
APPROVED PACKAGE-SPECIFIC CONTROL SEMICONDUCTORS, issue57, 2026-10-18. TI manufacturer material-content reports https://www.ti.com/quality-reliability-packaging-download/de-de/report?opn=LM5168FQDDARQ1 ; ?opn=TXU0204QPWRQ1 ; ?opn=CC2662R1FTWRGZRQ1 , accessed2026-10-18; TI TIDA020076 fitted BOM and CC2662 WBMS controller guide. Use one explicitly selected first returned material declaration per part, never sum alternative assembly-site tables. LM5168 FlyBuck regulator,TXU0204 logic translator andCC2662 WBMS MCU have distinct die,frame,bonds,mold and plating. Sum constituent rows excluding subtotals to recover declared package mass. Retain actual Zn alloying,Ag attach and Au/Pd plating; no arbitraryZn-for-Sb conversion or global antimony deletion. Sb is not listed in these selected declarations, which is not proof of analyticalzeroSb in all electronics. Purchase fabricated die wafer area from declared Si mass at explicit300micrometrethickness,2330kg/m3; no second rawSi charge. Silica-sand supply is an explicit fused-silica proxy with missing fusion/purity energy. Fe uses lowalloy steel proxy, resin uses epoxy/phenolic analogues, elementalP/chlorine feeds are nominal material proxies. Proprietary composition remains unresolved. Package assembly1kWh/kg and100%final retention are engineering assumptions,not suppliermeasured yield or complete semiconductor packaging LCI. Module priorlogic allowances1.5g and0.4g are replaced by oneTXU and oneLM5168 package,consistent with fitted reference parts; released mass remains explicitly unresolved board components. Other actualMCU/isolation packages are still coveragegaps,not proven identical. Central5gMCU allowance becomes oneCC2662 (firstselectedsite) and residual mass,not dozens of fictitious MCU packages. BQ79616 monitor package unchanged. Fixed70g/490g board budgets and their downstream endoflife retained. No motherboard/chassis electronics added. Process service, film,purity,actualsite and unknown-component sensitivity remain necessary; no certifiedexactvehicleBOM claim.
PREVIOUS NOTES (retained as history; the correction above takes precedence):
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
PREVIOUS NOTES (retained as history; the correction above takes precedence):
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
PREVIOUS NOTES (retained as history; the correction above takes precedence):
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t>
        </is>
      </c>
    </row>
    <row r="1186">
      <c r="A1186" t="inlineStr">
        <is>
          <t xml:space="preserve">type</t>
        </is>
      </c>
      <c r="B1186" t="inlineStr">
        <is>
          <t xml:space="preserve">processwithreferenceproduct</t>
        </is>
      </c>
    </row>
    <row r="1187">
      <c r="A1187" t="inlineStr">
        <is>
          <t>Exchanges</t>
        </is>
      </c>
    </row>
    <row r="1188">
      <c r="A1188" t="inlineStr">
        <is>
          <t>name</t>
        </is>
      </c>
      <c r="B1188" t="inlineStr">
        <is>
          <t>amount</t>
        </is>
      </c>
      <c r="C1188" t="inlineStr">
        <is>
          <t>location</t>
        </is>
      </c>
      <c r="D1188" t="inlineStr">
        <is>
          <t>unit</t>
        </is>
      </c>
      <c r="E1188" t="inlineStr">
        <is>
          <t>categories</t>
        </is>
      </c>
      <c r="F1188" t="inlineStr">
        <is>
          <t>type</t>
        </is>
      </c>
      <c r="G1188" t="inlineStr">
        <is>
          <t>reference product</t>
        </is>
      </c>
      <c r="H1188" t="inlineStr">
        <is>
          <t>comment</t>
        </is>
      </c>
      <c r="I1188" t="inlineStr">
        <is>
          <t>product</t>
        </is>
      </c>
    </row>
    <row r="1189">
      <c r="A1189" t="inlineStr">
        <is>
          <t xml:space="preserve">printed circuit board production, battery central control, mounted</t>
        </is>
      </c>
      <c r="B1189">
        <v>1</v>
      </c>
      <c r="C1189" t="inlineStr">
        <is>
          <t>GLO</t>
        </is>
      </c>
      <c r="D1189" t="inlineStr">
        <is>
          <t>kilogram</t>
        </is>
      </c>
      <c r="F1189" t="inlineStr">
        <is>
          <t>production</t>
        </is>
      </c>
      <c r="G1189" t="inlineStr">
        <is>
          <t xml:space="preserve">printed circuit board, battery central control, mounted</t>
        </is>
      </c>
      <c r="I1189" t="inlineStr">
        <is>
          <t xml:space="preserve">printed circuit board, battery central control, mounted</t>
        </is>
      </c>
    </row>
    <row r="1190">
      <c r="A1190" t="inlineStr">
        <is>
          <t>market for glass fibre</t>
        </is>
      </c>
      <c r="B1190">
        <v>0.38152524167561763</v>
      </c>
      <c r="C1190" t="inlineStr">
        <is>
          <t>GLO</t>
        </is>
      </c>
      <c r="D1190" t="inlineStr">
        <is>
          <t>kilogram</t>
        </is>
      </c>
      <c r="F1190" t="inlineStr">
        <is>
          <t>technosphere</t>
        </is>
      </c>
      <c r="G1190" t="inlineStr">
        <is>
          <t>glass fibre</t>
        </is>
      </c>
      <c r="I1190" t="inlineStr">
        <is>
          <t>glass fibre</t>
        </is>
      </c>
    </row>
    <row r="1191">
      <c r="A1191" t="inlineStr">
        <is>
          <t>market for epoxy resin, liquid</t>
        </is>
      </c>
      <c r="B1191">
        <v>0.2547583243823846</v>
      </c>
      <c r="C1191" t="inlineStr">
        <is>
          <t>RER</t>
        </is>
      </c>
      <c r="D1191" t="inlineStr">
        <is>
          <t>kilogram</t>
        </is>
      </c>
      <c r="F1191" t="inlineStr">
        <is>
          <t>technosphere</t>
        </is>
      </c>
      <c r="G1191" t="inlineStr">
        <is>
          <t>epoxy resin, liquid</t>
        </is>
      </c>
      <c r="I1191" t="inlineStr">
        <is>
          <t>epoxy resin, liquid</t>
        </is>
      </c>
    </row>
    <row r="1192">
      <c r="A1192" t="inlineStr">
        <is>
          <t>market for copper, cathode</t>
        </is>
      </c>
      <c r="B1192">
        <v>0.13473684210526318</v>
      </c>
      <c r="C1192" t="inlineStr">
        <is>
          <t>GLO</t>
        </is>
      </c>
      <c r="D1192" t="inlineStr">
        <is>
          <t>kilogram</t>
        </is>
      </c>
      <c r="F1192" t="inlineStr">
        <is>
          <t>technosphere</t>
        </is>
      </c>
      <c r="G1192" t="inlineStr">
        <is>
          <t>copper, cathode</t>
        </is>
      </c>
      <c r="I1192" t="inlineStr">
        <is>
          <t>copper, cathode</t>
        </is>
      </c>
    </row>
    <row r="1193">
      <c r="A1193" t="inlineStr">
        <is>
          <t>market for nickel, class 1</t>
        </is>
      </c>
      <c r="B1193">
        <v>9.081632653061226e-05</v>
      </c>
      <c r="C1193" t="inlineStr">
        <is>
          <t>GLO</t>
        </is>
      </c>
      <c r="D1193" t="inlineStr">
        <is>
          <t>kilogram</t>
        </is>
      </c>
      <c r="F1193" t="inlineStr">
        <is>
          <t>technosphere</t>
        </is>
      </c>
      <c r="G1193" t="inlineStr">
        <is>
          <t>nickel, class 1</t>
        </is>
      </c>
      <c r="I1193" t="inlineStr">
        <is>
          <t>nickel, class 1</t>
        </is>
      </c>
    </row>
    <row r="1194">
      <c r="A1194" t="inlineStr">
        <is>
          <t>market for gold</t>
        </is>
      </c>
      <c r="B1194">
        <v>1.969387755102041e-06</v>
      </c>
      <c r="C1194" t="inlineStr">
        <is>
          <t>GLO</t>
        </is>
      </c>
      <c r="D1194" t="inlineStr">
        <is>
          <t>kilogram</t>
        </is>
      </c>
      <c r="F1194" t="inlineStr">
        <is>
          <t>technosphere</t>
        </is>
      </c>
      <c r="G1194" t="inlineStr">
        <is>
          <t>gold</t>
        </is>
      </c>
      <c r="I1194" t="inlineStr">
        <is>
          <t>gold</t>
        </is>
      </c>
    </row>
    <row r="1195">
      <c r="A1195" t="inlineStr">
        <is>
          <t>market for waste plastic, mixture</t>
        </is>
      </c>
      <c r="B1195">
        <v>-0.03179377013963477</v>
      </c>
      <c r="C1195" t="inlineStr">
        <is>
          <t>CH</t>
        </is>
      </c>
      <c r="D1195" t="inlineStr">
        <is>
          <t>kilogram</t>
        </is>
      </c>
      <c r="F1195" t="inlineStr">
        <is>
          <t>technosphere</t>
        </is>
      </c>
      <c r="G1195" t="inlineStr">
        <is>
          <t>waste plastic, mixture</t>
        </is>
      </c>
      <c r="I1195" t="inlineStr">
        <is>
          <t>waste plastic, mixture</t>
        </is>
      </c>
    </row>
    <row r="1196">
      <c r="A1196" t="inlineStr">
        <is>
          <t>copper scrap, sorted, pressed, Recycled Content cut-off</t>
        </is>
      </c>
      <c r="B1196">
        <v>-0.0067368421052631505</v>
      </c>
      <c r="C1196" t="inlineStr">
        <is>
          <t>GLO</t>
        </is>
      </c>
      <c r="D1196" t="inlineStr">
        <is>
          <t>kilogram</t>
        </is>
      </c>
      <c r="F1196" t="inlineStr">
        <is>
          <t>technosphere</t>
        </is>
      </c>
      <c r="G1196" t="inlineStr">
        <is>
          <t>copper scrap, sorted, pressed</t>
        </is>
      </c>
      <c r="I1196" t="inlineStr">
        <is>
          <t>copper scrap, sorted, pressed</t>
        </is>
      </c>
    </row>
    <row r="1197">
      <c r="A1197" t="inlineStr">
        <is>
          <t xml:space="preserve">connector production, battery control board, plated contacts</t>
        </is>
      </c>
      <c r="B1197">
        <v>0.20408163265306123</v>
      </c>
      <c r="C1197" t="inlineStr">
        <is>
          <t>GLO</t>
        </is>
      </c>
      <c r="D1197" t="inlineStr">
        <is>
          <t>kilogram</t>
        </is>
      </c>
      <c r="F1197" t="inlineStr">
        <is>
          <t>technosphere</t>
        </is>
      </c>
      <c r="G1197" t="inlineStr">
        <is>
          <t xml:space="preserve">connector, battery control board, plated contacts</t>
        </is>
      </c>
      <c r="I1197" t="inlineStr">
        <is>
          <t xml:space="preserve">connector, battery control board, plated contacts</t>
        </is>
      </c>
    </row>
    <row r="1198">
      <c r="A1198" t="inlineStr">
        <is>
          <t xml:space="preserve">semiconductor package production, cc2662r1ftwrgzrq1</t>
        </is>
      </c>
      <c r="B1198">
        <v>2.0408163265306123</v>
      </c>
      <c r="C1198" t="inlineStr">
        <is>
          <t>GLO</t>
        </is>
      </c>
      <c r="D1198" t="inlineStr">
        <is>
          <t>unit</t>
        </is>
      </c>
      <c r="F1198" t="inlineStr">
        <is>
          <t>technosphere</t>
        </is>
      </c>
      <c r="G1198" t="inlineStr">
        <is>
          <t xml:space="preserve">semiconductor package, CC2662R1FTWRGZRQ1</t>
        </is>
      </c>
      <c r="I1198" t="inlineStr">
        <is>
          <t>integrated circuit, logic type</t>
        </is>
      </c>
    </row>
    <row r="1199">
      <c r="A1199" t="inlineStr">
        <is>
          <t xml:space="preserve">capacitor production, class 2, 0603</t>
        </is>
      </c>
      <c r="B1199">
        <v>0.004081632653061225</v>
      </c>
      <c r="C1199" t="inlineStr">
        <is>
          <t>GLO</t>
        </is>
      </c>
      <c r="D1199" t="inlineStr">
        <is>
          <t>kilogram</t>
        </is>
      </c>
      <c r="F1199" t="inlineStr">
        <is>
          <t>technosphere</t>
        </is>
      </c>
      <c r="G1199" t="inlineStr">
        <is>
          <t xml:space="preserve">capacitor, class 2, 0603</t>
        </is>
      </c>
      <c r="I1199" t="inlineStr">
        <is>
          <t>capacitor, for surface-mounting</t>
        </is>
      </c>
    </row>
    <row r="1200">
      <c r="A1200" t="inlineStr">
        <is>
          <t xml:space="preserve">thick-film resistor production</t>
        </is>
      </c>
      <c r="B1200">
        <v>0.006122448979591837</v>
      </c>
      <c r="C1200" t="inlineStr">
        <is>
          <t>GLO</t>
        </is>
      </c>
      <c r="D1200" t="inlineStr">
        <is>
          <t>kilogram</t>
        </is>
      </c>
      <c r="F1200" t="inlineStr">
        <is>
          <t>technosphere</t>
        </is>
      </c>
      <c r="G1200" t="inlineStr">
        <is>
          <t xml:space="preserve">thick-film resistor</t>
        </is>
      </c>
      <c r="I1200" t="inlineStr">
        <is>
          <t>resistor, surface-mounted</t>
        </is>
      </c>
    </row>
    <row r="1201">
      <c r="A1201" t="inlineStr">
        <is>
          <t>market for solder, bar, Sn95.5Ag3.9Cu0.6, for electronics industry</t>
        </is>
      </c>
      <c r="B1201">
        <v>0.010204081632653062</v>
      </c>
      <c r="C1201" t="inlineStr">
        <is>
          <t>GLO</t>
        </is>
      </c>
      <c r="D1201" t="inlineStr">
        <is>
          <t>kilogram</t>
        </is>
      </c>
      <c r="F1201" t="inlineStr">
        <is>
          <t>technosphere</t>
        </is>
      </c>
      <c r="G1201" t="inlineStr">
        <is>
          <t>solder, bar, Sn95.5Ag3.9Cu0.6, for electronics industry</t>
        </is>
      </c>
      <c r="I1201" t="inlineStr">
        <is>
          <t>solder, bar, Sn95.5Ag3.9Cu0.6, for electronics industry</t>
        </is>
      </c>
    </row>
    <row r="1202">
      <c r="A1202" t="inlineStr">
        <is>
          <t xml:space="preserve">battery auxiliary interface and power conditioning unit production</t>
        </is>
      </c>
      <c r="B1202">
        <v>0.04263626663673462</v>
      </c>
      <c r="C1202" t="inlineStr">
        <is>
          <t>GLO</t>
        </is>
      </c>
      <c r="D1202" t="inlineStr">
        <is>
          <t>kilogram</t>
        </is>
      </c>
      <c r="F1202" t="inlineStr">
        <is>
          <t>technosphere</t>
        </is>
      </c>
      <c r="G1202" t="inlineStr">
        <is>
          <t xml:space="preserve">battery auxiliary interface and power conditioning unit</t>
        </is>
      </c>
      <c r="I1202" t="inlineStr">
        <is>
          <t>printed wiring board, surface mounted, unspecified, Pb free</t>
        </is>
      </c>
    </row>
    <row r="1203">
      <c r="A1203" t="inlineStr">
        <is>
          <t>market group for electricity, medium voltage</t>
        </is>
      </c>
      <c r="B1203">
        <v>4.081632653061225</v>
      </c>
      <c r="C1203" t="inlineStr">
        <is>
          <t>GLO</t>
        </is>
      </c>
      <c r="D1203" t="inlineStr">
        <is>
          <t>kilowatt hour</t>
        </is>
      </c>
      <c r="F1203" t="inlineStr">
        <is>
          <t>technosphere</t>
        </is>
      </c>
      <c r="G1203" t="inlineStr">
        <is>
          <t>electricity, medium voltage</t>
        </is>
      </c>
      <c r="I1203" t="inlineStr">
        <is>
          <t>electricity, medium voltage</t>
        </is>
      </c>
    </row>
    <row r="1206">
      <c r="A1206" t="inlineStr">
        <is>
          <t>Activity</t>
        </is>
      </c>
      <c r="B1206" t="inlineStr">
        <is>
          <t xml:space="preserve">printed circuit board production, battery module control, mounted</t>
        </is>
      </c>
    </row>
    <row r="1207">
      <c r="A1207" t="inlineStr">
        <is>
          <t>location</t>
        </is>
      </c>
      <c r="B1207" t="inlineStr">
        <is>
          <t>GLO</t>
        </is>
      </c>
    </row>
    <row r="1208">
      <c r="A1208" t="inlineStr">
        <is>
          <t>production amount</t>
        </is>
      </c>
      <c r="B1208">
        <v>1</v>
      </c>
    </row>
    <row r="1209">
      <c r="A1209" t="inlineStr">
        <is>
          <t>reference product</t>
        </is>
      </c>
      <c r="B1209" t="inlineStr">
        <is>
          <t xml:space="preserve">printed circuit board, battery module control, mounted</t>
        </is>
      </c>
    </row>
    <row r="1210">
      <c r="A1210" t="inlineStr">
        <is>
          <t>unit</t>
        </is>
      </c>
      <c r="B1210" t="inlineStr">
        <is>
          <t>kilogram</t>
        </is>
      </c>
    </row>
    <row r="1211">
      <c r="A1211" t="inlineStr">
        <is>
          <t>source</t>
        </is>
      </c>
      <c r="B1211" t="inlineStr">
        <is>
          <t>TI TIDA020076 public BOM https://www.ti.com/lit/pdf/SLURB87; TI BQ79616PAPRQ1 material declaration https://www.ti.com/quality-reliability-packaging-download/report?opn=BQ79616PAPRQ1; TI CC2662 BCU guide https://www.ti.com/lit/pdf/SWRU641.</t>
        </is>
      </c>
    </row>
    <row r="1212">
      <c r="A1212" t="inlineStr">
        <is>
          <t>comment</t>
        </is>
      </c>
      <c r="B1212" t="inlineStr">
        <is>
          <t xml:space="preserve">Nomenclature revision, 2026-10-19. Former activity name: battery module control board, engineering material reference. Former reference product: battery module control board, engineering material reference. Activity/product labels and supplier references only; coefficients, formulas, uncertainty, declared output and unit are unchanged. Original engineering assumptions, functional-unit basis and limitations remain below.
APPROVED BATTERY CONNECTOR MATERIAL/PLATING REFERENCE, issue68,2026-10-18. TI TIDA020076 SLURB87 fittedBOM:sixheaders,46pins. Molex manufacturer705510038(4pin,1.023g),705550045(11pin,2.564g),705550040(6pin,1.420g),https://www.molex.com/en-us/products/part-detail/705550045 ; matingAu0.381um,tailSn1.905um,brass/phosphorbronze,highTthermoplastic. SamtecFTSH-105-01-F-DV-K,10pin,LCP/phosphorbronze,3microinch=0.0762umselectiveAu,matteSn: https://suddendocs.samtec.com/prints/ftsh-1xx-xx-xxx-dv-xxx-xxx-mkt.pdf . Replace computerperipheralbusconnectors only in theexisting module/centralcontrolboards by a scopedcount-weightedheaderfamily. Actualfittedcohort=2x4pinMolex+2x11pinMolex+1x6pinMolex+1x10pinSamtec,not not-fittedconnectors. This defines referencecomposition; preserve20g/moduleboard and100g/centralboardconnector allowances because board-specific completeharness/matingconnectorcounts are unverified. These doses implyfractionalcohort equivalents,NOT a claimof sixheaders totalling20g or that thecentralboard has theTI layout. Thus materialproxy is improved while exactfullconnectorquantity remains a sourcegap. ForMolex36contacts use0.64mmsquaresection*10mmdevelopedlength,3mmmatingzone and3.30mmtail as explicitgeometryassumptions,not dimensionallycompleteCAD. Finishedmassusesmanufacturerweights; subtractAu/Ni/Snplate fromgeometricbulkmetal beforealloysplit,remainingmasshousing. Metalbaseengineering50/50brassCu70Zn30 andphosphorbronzeCu95.8Sn4P0.2; actualtwoallowedalloys proportions unknown. Samtecgeometry10x0.4mmsquare*(3.05+2.24+1)mmcontacts,6.2x3.43x2.24mmhousingminuspinholes;terminaldensity8800kg/m3,housing1400kg/m3 assumptions. Samtecactualnetmass unavailable; include calculatedhousing/contact/platingmass,not distributorpackagingweight. Nickelunderplate1.27um is a declaredengineeringassumption forbothfamilies,test0.5-2.5um; SamtectailSn1.905um borrowedMolexreference. Preserve trueAu,Ni,Sn,Cu,Zn,P; no zeroAu orallbulkmetal-as-gold. PA6/glassfiber70/30 is an explicitheat-resistantthermoplastic supplyproxy forMolex andLCP housing,not actualresinchemistry; resinflame-retardants andtraceadditives unresolved. Knownmaterialmanufacture95%retention withmatchedmixedwaste,1kWh/kgassemblyreference. Sensitivitycontactlength6-14mm,platedlength1-4mm,sourcegradevariantAu0.0762-0.762um,connectorallowance0.5-2x. No additionalboardarea,wholeelectronics orharness inventorydoublecount. Fixedboard/controlmass andexistingcompletecontrolEOL unchanged. These are actual referenceboardparts withunverifiedvehiclequalification,not certifiedautomotiveBOM.
PREVIOUS NOTES (retained as history; the correction above takes precedence):
APPROVED AUXILIARY BATTERY BOARD BOUNDARY, issue58, 2026-10-18. TI TIDA020076 SLURB87 component classes; TI package declarations and KEMET/Bourns references documented in issues55-57; Wickerts2024 DOI10.1021/acssuschemeng.4c01782.s001 and Ellingsen2014 DOI10.1111/jiec.12072 regulator/board allowances. Additional interface BOM below is explicitly engineered,not manufacturermeasured. Replace the remaining0.84-1.03kg/reference generic mountedTHT regulator allowance by a scoped auxiliarypower/interface assembly, distinct from16x70g modulemonitorboards and the490g centralboard. No second fullBMS,centralprocessor,monitorASIC,tractionconverter or duplicated board area is added. Onekg finishedreference has glass0.24,epoxy0.16,copper0.18,ferrite0.15,Alheatspreaders0.10,nylonconnectors/insulation0.09,solder0.03,Class2capacitors0.025,nonzeroresistors0.005,logicpackages0.01 and regulatorpackages0.01kg. These are explicit function-level mass allowances with unknown actual counts/ratings; materialcomposition is an engineering sensitivity reference, not measured exact auxiliaryboards. 40%barelaminate and combined18%Cu include boardtracks and inductorwindings, so no additional wholeinductors or mountedboard proxy. Use package unit counts derived from actual selected package masses, and documented ceramic/resistor families; retain real preciousmetals without genericZn-as-Sb. Maintain total original regulator allowance and paired complete-control disposal, not invent a source-measured mass reduction. Replace the small unresolved generic mountedcomponent remainders inside existing central/moduleboards by this explicitly identified auxiliary-component analogue at unchanged residual mass; it includes laminate by engineering transfer, and is not evidence that the residual is an actual second fitted board. Their detailed fittedpart inputs remain, no recount. Retain uncertainty as actual-component coveragegaps: transformer/diode/isolationpart ratings,trace metals,laminate layout,thermaldesign,assemblyyield and exact topology. Test zero-to-double additional interface allowance as an explicit coverage sensitivity. Component supplymanufacture is separate from boardassembly2kWh/kg;100%final assemblyretention assumed. No chassis, native inventory mutation or extra EOL on top of currentcompletecontrol treatment.
PREVIOUS NOTES (retained as history; the correction above takes precedence):
APPROVED PACKAGE-SPECIFIC CONTROL SEMICONDUCTORS, issue57, 2026-10-18. TI manufacturer material-content reports https://www.ti.com/quality-reliability-packaging-download/de-de/report?opn=LM5168FQDDARQ1 ; ?opn=TXU0204QPWRQ1 ; ?opn=CC2662R1FTWRGZRQ1 , accessed2026-10-18; TI TIDA020076 fitted BOM and CC2662 WBMS controller guide. Use one explicitly selected first returned material declaration per part, never sum alternative assembly-site tables. LM5168 FlyBuck regulator,TXU0204 logic translator andCC2662 WBMS MCU have distinct die,frame,bonds,mold and plating. Sum constituent rows excluding subtotals to recover declared package mass. Retain actual Zn alloying,Ag attach and Au/Pd plating; no arbitraryZn-for-Sb conversion or global antimony deletion. Sb is not listed in these selected declarations, which is not proof of analyticalzeroSb in all electronics. Purchase fabricated die wafer area from declared Si mass at explicit300micrometrethickness,2330kg/m3; no second rawSi charge. Silica-sand supply is an explicit fused-silica proxy with missing fusion/purity energy. Fe uses lowalloy steel proxy, resin uses epoxy/phenolic analogues, elementalP/chlorine feeds are nominal material proxies. Proprietary composition remains unresolved. Package assembly1kWh/kg and100%final retention are engineering assumptions,not suppliermeasured yield or complete semiconductor packaging LCI. Module priorlogic allowances1.5g and0.4g are replaced by oneTXU and oneLM5168 package,consistent with fitted reference parts; released mass remains explicitly unresolved board components. Other actualMCU/isolation packages are still coveragegaps,not proven identical. Central5gMCU allowance becomes oneCC2662 (firstselectedsite) and residual mass,not dozens of fictitious MCU packages. BQ79616 monitor package unchanged. Fixed70g/490g board budgets and their downstream endoflife retained. No motherboard/chassis electronics added. Process service, film,purity,actualsite and unknown-component sensitivity remain necessary; no certifiedexactvehicleBOM claim.
PREVIOUS NOTES (retained as history; the correction above takes precedence):
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
PREVIOUS NOTES (retained as history; the correction above takes precedence):
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
PREVIOUS NOTES (retained as history; the correction above takes precedence):
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t>
        </is>
      </c>
    </row>
    <row r="1213">
      <c r="A1213" t="inlineStr">
        <is>
          <t xml:space="preserve">type</t>
        </is>
      </c>
      <c r="B1213" t="inlineStr">
        <is>
          <t xml:space="preserve">processwithreferenceproduct</t>
        </is>
      </c>
    </row>
    <row r="1214">
      <c r="A1214" t="inlineStr">
        <is>
          <t>Exchanges</t>
        </is>
      </c>
    </row>
    <row r="1215">
      <c r="A1215" t="inlineStr">
        <is>
          <t>name</t>
        </is>
      </c>
      <c r="B1215" t="inlineStr">
        <is>
          <t>amount</t>
        </is>
      </c>
      <c r="C1215" t="inlineStr">
        <is>
          <t>location</t>
        </is>
      </c>
      <c r="D1215" t="inlineStr">
        <is>
          <t>unit</t>
        </is>
      </c>
      <c r="E1215" t="inlineStr">
        <is>
          <t>categories</t>
        </is>
      </c>
      <c r="F1215" t="inlineStr">
        <is>
          <t>type</t>
        </is>
      </c>
      <c r="G1215" t="inlineStr">
        <is>
          <t>reference product</t>
        </is>
      </c>
      <c r="H1215" t="inlineStr">
        <is>
          <t>comment</t>
        </is>
      </c>
      <c r="I1215" t="inlineStr">
        <is>
          <t>product</t>
        </is>
      </c>
    </row>
    <row r="1216">
      <c r="A1216" t="inlineStr">
        <is>
          <t xml:space="preserve">printed circuit board production, battery module control, mounted</t>
        </is>
      </c>
      <c r="B1216">
        <v>1</v>
      </c>
      <c r="C1216" t="inlineStr">
        <is>
          <t>GLO</t>
        </is>
      </c>
      <c r="D1216" t="inlineStr">
        <is>
          <t>kilogram</t>
        </is>
      </c>
      <c r="F1216" t="inlineStr">
        <is>
          <t>production</t>
        </is>
      </c>
      <c r="G1216" t="inlineStr">
        <is>
          <t xml:space="preserve">printed circuit board, battery module control, mounted</t>
        </is>
      </c>
      <c r="I1216" t="inlineStr">
        <is>
          <t xml:space="preserve">printed circuit board, battery module control, mounted</t>
        </is>
      </c>
    </row>
    <row r="1217">
      <c r="A1217" t="inlineStr">
        <is>
          <t>market for glass fibre</t>
        </is>
      </c>
      <c r="B1217">
        <v>0.26706766917293234</v>
      </c>
      <c r="C1217" t="inlineStr">
        <is>
          <t>GLO</t>
        </is>
      </c>
      <c r="D1217" t="inlineStr">
        <is>
          <t>kilogram</t>
        </is>
      </c>
      <c r="F1217" t="inlineStr">
        <is>
          <t>technosphere</t>
        </is>
      </c>
      <c r="G1217" t="inlineStr">
        <is>
          <t>glass fibre</t>
        </is>
      </c>
      <c r="I1217" t="inlineStr">
        <is>
          <t>glass fibre</t>
        </is>
      </c>
    </row>
    <row r="1218">
      <c r="A1218" t="inlineStr">
        <is>
          <t>market for epoxy resin, liquid</t>
        </is>
      </c>
      <c r="B1218">
        <v>0.1783308270676692</v>
      </c>
      <c r="C1218" t="inlineStr">
        <is>
          <t>RER</t>
        </is>
      </c>
      <c r="D1218" t="inlineStr">
        <is>
          <t>kilogram</t>
        </is>
      </c>
      <c r="F1218" t="inlineStr">
        <is>
          <t>technosphere</t>
        </is>
      </c>
      <c r="G1218" t="inlineStr">
        <is>
          <t>epoxy resin, liquid</t>
        </is>
      </c>
      <c r="I1218" t="inlineStr">
        <is>
          <t>epoxy resin, liquid</t>
        </is>
      </c>
    </row>
    <row r="1219">
      <c r="A1219" t="inlineStr">
        <is>
          <t>market for copper, cathode</t>
        </is>
      </c>
      <c r="B1219">
        <v>0.1414736842105263</v>
      </c>
      <c r="C1219" t="inlineStr">
        <is>
          <t>GLO</t>
        </is>
      </c>
      <c r="D1219" t="inlineStr">
        <is>
          <t>kilogram</t>
        </is>
      </c>
      <c r="F1219" t="inlineStr">
        <is>
          <t>technosphere</t>
        </is>
      </c>
      <c r="G1219" t="inlineStr">
        <is>
          <t>copper, cathode</t>
        </is>
      </c>
      <c r="I1219" t="inlineStr">
        <is>
          <t>copper, cathode</t>
        </is>
      </c>
    </row>
    <row r="1220">
      <c r="A1220" t="inlineStr">
        <is>
          <t>market for nickel, class 1</t>
        </is>
      </c>
      <c r="B1220">
        <v>6.357142857142857e-05</v>
      </c>
      <c r="C1220" t="inlineStr">
        <is>
          <t>GLO</t>
        </is>
      </c>
      <c r="D1220" t="inlineStr">
        <is>
          <t>kilogram</t>
        </is>
      </c>
      <c r="F1220" t="inlineStr">
        <is>
          <t>technosphere</t>
        </is>
      </c>
      <c r="G1220" t="inlineStr">
        <is>
          <t>nickel, class 1</t>
        </is>
      </c>
      <c r="I1220" t="inlineStr">
        <is>
          <t>nickel, class 1</t>
        </is>
      </c>
    </row>
    <row r="1221">
      <c r="A1221" t="inlineStr">
        <is>
          <t>market for gold</t>
        </is>
      </c>
      <c r="B1221">
        <v>1.3785714285714285e-06</v>
      </c>
      <c r="C1221" t="inlineStr">
        <is>
          <t>GLO</t>
        </is>
      </c>
      <c r="D1221" t="inlineStr">
        <is>
          <t>kilogram</t>
        </is>
      </c>
      <c r="F1221" t="inlineStr">
        <is>
          <t>technosphere</t>
        </is>
      </c>
      <c r="G1221" t="inlineStr">
        <is>
          <t>gold</t>
        </is>
      </c>
      <c r="I1221" t="inlineStr">
        <is>
          <t>gold</t>
        </is>
      </c>
    </row>
    <row r="1222">
      <c r="A1222" t="inlineStr">
        <is>
          <t>market for waste plastic, mixture</t>
        </is>
      </c>
      <c r="B1222">
        <v>-0.022255639097744338</v>
      </c>
      <c r="C1222" t="inlineStr">
        <is>
          <t>CH</t>
        </is>
      </c>
      <c r="D1222" t="inlineStr">
        <is>
          <t>kilogram</t>
        </is>
      </c>
      <c r="F1222" t="inlineStr">
        <is>
          <t>technosphere</t>
        </is>
      </c>
      <c r="G1222" t="inlineStr">
        <is>
          <t>waste plastic, mixture</t>
        </is>
      </c>
      <c r="I1222" t="inlineStr">
        <is>
          <t>waste plastic, mixture</t>
        </is>
      </c>
    </row>
    <row r="1223">
      <c r="A1223" t="inlineStr">
        <is>
          <t>copper scrap, sorted, pressed, Recycled Content cut-off</t>
        </is>
      </c>
      <c r="B1223">
        <v>-0.0070736842105263075</v>
      </c>
      <c r="C1223" t="inlineStr">
        <is>
          <t>GLO</t>
        </is>
      </c>
      <c r="D1223" t="inlineStr">
        <is>
          <t>kilogram</t>
        </is>
      </c>
      <c r="F1223" t="inlineStr">
        <is>
          <t>technosphere</t>
        </is>
      </c>
      <c r="G1223" t="inlineStr">
        <is>
          <t>copper scrap, sorted, pressed</t>
        </is>
      </c>
      <c r="I1223" t="inlineStr">
        <is>
          <t>copper scrap, sorted, pressed</t>
        </is>
      </c>
    </row>
    <row r="1224">
      <c r="A1224" t="inlineStr">
        <is>
          <t xml:space="preserve">battery monitoring integrated circuit production, copper wire bonding</t>
        </is>
      </c>
      <c r="B1224">
        <v>14.285714285714285</v>
      </c>
      <c r="C1224" t="inlineStr">
        <is>
          <t>GLO</t>
        </is>
      </c>
      <c r="D1224" t="inlineStr">
        <is>
          <t>unit</t>
        </is>
      </c>
      <c r="F1224" t="inlineStr">
        <is>
          <t>technosphere</t>
        </is>
      </c>
      <c r="G1224" t="inlineStr">
        <is>
          <t xml:space="preserve">battery monitoring integrated circuit, copper wire bonding</t>
        </is>
      </c>
      <c r="I1224" t="inlineStr">
        <is>
          <t xml:space="preserve">battery monitoring integrated circuit, copper wire bonding</t>
        </is>
      </c>
    </row>
    <row r="1225">
      <c r="A1225" t="inlineStr">
        <is>
          <t xml:space="preserve">connector production, battery control board, plated contacts</t>
        </is>
      </c>
      <c r="B1225">
        <v>0.2857142857142857</v>
      </c>
      <c r="C1225" t="inlineStr">
        <is>
          <t>GLO</t>
        </is>
      </c>
      <c r="D1225" t="inlineStr">
        <is>
          <t>kilogram</t>
        </is>
      </c>
      <c r="F1225" t="inlineStr">
        <is>
          <t>technosphere</t>
        </is>
      </c>
      <c r="G1225" t="inlineStr">
        <is>
          <t xml:space="preserve">connector, battery control board, plated contacts</t>
        </is>
      </c>
      <c r="I1225" t="inlineStr">
        <is>
          <t xml:space="preserve">connector, battery control board, plated contacts</t>
        </is>
      </c>
    </row>
    <row r="1226">
      <c r="A1226" t="inlineStr">
        <is>
          <t xml:space="preserve">semiconductor package production, txu0204qpwrq1</t>
        </is>
      </c>
      <c r="B1226">
        <v>14.285714285714285</v>
      </c>
      <c r="C1226" t="inlineStr">
        <is>
          <t>GLO</t>
        </is>
      </c>
      <c r="D1226" t="inlineStr">
        <is>
          <t>unit</t>
        </is>
      </c>
      <c r="F1226" t="inlineStr">
        <is>
          <t>technosphere</t>
        </is>
      </c>
      <c r="G1226" t="inlineStr">
        <is>
          <t xml:space="preserve">semiconductor package, TXU0204QPWRQ1</t>
        </is>
      </c>
      <c r="I1226" t="inlineStr">
        <is>
          <t>integrated circuit, logic type</t>
        </is>
      </c>
    </row>
    <row r="1227">
      <c r="A1227" t="inlineStr">
        <is>
          <t>market for inductor, miniature radio frequency chip</t>
        </is>
      </c>
      <c r="B1227">
        <v>0.014285714285714285</v>
      </c>
      <c r="C1227" t="inlineStr">
        <is>
          <t>GLO</t>
        </is>
      </c>
      <c r="D1227" t="inlineStr">
        <is>
          <t>kilogram</t>
        </is>
      </c>
      <c r="F1227" t="inlineStr">
        <is>
          <t>technosphere</t>
        </is>
      </c>
      <c r="G1227" t="inlineStr">
        <is>
          <t>inductor, miniature radio frequency chip</t>
        </is>
      </c>
      <c r="I1227" t="inlineStr">
        <is>
          <t>inductor, miniature radio frequency chip</t>
        </is>
      </c>
    </row>
    <row r="1228">
      <c r="A1228" t="inlineStr">
        <is>
          <t>market for diode, glass-, for surface-mounting</t>
        </is>
      </c>
      <c r="B1228">
        <v>0.014285714285714285</v>
      </c>
      <c r="C1228" t="inlineStr">
        <is>
          <t>GLO</t>
        </is>
      </c>
      <c r="D1228" t="inlineStr">
        <is>
          <t>kilogram</t>
        </is>
      </c>
      <c r="F1228" t="inlineStr">
        <is>
          <t>technosphere</t>
        </is>
      </c>
      <c r="G1228" t="inlineStr">
        <is>
          <t>diode, glass-, for surface-mounting</t>
        </is>
      </c>
      <c r="I1228" t="inlineStr">
        <is>
          <t>diode, glass-, for surface-mounting</t>
        </is>
      </c>
    </row>
    <row r="1229">
      <c r="A1229" t="inlineStr">
        <is>
          <t xml:space="preserve">semiconductor package production, lm5168fqddarq1</t>
        </is>
      </c>
      <c r="B1229">
        <v>14.285714285714285</v>
      </c>
      <c r="C1229" t="inlineStr">
        <is>
          <t>GLO</t>
        </is>
      </c>
      <c r="D1229" t="inlineStr">
        <is>
          <t>unit</t>
        </is>
      </c>
      <c r="F1229" t="inlineStr">
        <is>
          <t>technosphere</t>
        </is>
      </c>
      <c r="G1229" t="inlineStr">
        <is>
          <t xml:space="preserve">semiconductor package, LM5168FQDDARQ1</t>
        </is>
      </c>
      <c r="I1229" t="inlineStr">
        <is>
          <t>integrated circuit, logic type</t>
        </is>
      </c>
    </row>
    <row r="1230">
      <c r="A1230" t="inlineStr">
        <is>
          <t xml:space="preserve">capacitor assembly production, battery monitoring board, 134 capacitors</t>
        </is>
      </c>
      <c r="B1230">
        <v>14.285714285714285</v>
      </c>
      <c r="C1230" t="inlineStr">
        <is>
          <t>GLO</t>
        </is>
      </c>
      <c r="D1230" t="inlineStr">
        <is>
          <t>unit</t>
        </is>
      </c>
      <c r="F1230" t="inlineStr">
        <is>
          <t>technosphere</t>
        </is>
      </c>
      <c r="G1230" t="inlineStr">
        <is>
          <t xml:space="preserve">capacitor assembly, battery monitoring board, 134 capacitors</t>
        </is>
      </c>
      <c r="I1230" t="inlineStr">
        <is>
          <t>capacitor, for surface-mounting</t>
        </is>
      </c>
    </row>
    <row r="1231">
      <c r="A1231" t="inlineStr">
        <is>
          <t xml:space="preserve">resistor assembly production, battery monitoring board, 128 resistors</t>
        </is>
      </c>
      <c r="B1231">
        <v>14.285714285714285</v>
      </c>
      <c r="C1231" t="inlineStr">
        <is>
          <t>GLO</t>
        </is>
      </c>
      <c r="D1231" t="inlineStr">
        <is>
          <t>unit</t>
        </is>
      </c>
      <c r="F1231" t="inlineStr">
        <is>
          <t>technosphere</t>
        </is>
      </c>
      <c r="G1231" t="inlineStr">
        <is>
          <t xml:space="preserve">resistor assembly, battery monitoring board, 128 resistors</t>
        </is>
      </c>
      <c r="I1231" t="inlineStr">
        <is>
          <t>resistor, surface-mounted</t>
        </is>
      </c>
    </row>
    <row r="1232">
      <c r="A1232" t="inlineStr">
        <is>
          <t>market for solder, bar, Sn95.5Ag3.9Cu0.6, for electronics industry</t>
        </is>
      </c>
      <c r="B1232">
        <v>0.014285714285714285</v>
      </c>
      <c r="C1232" t="inlineStr">
        <is>
          <t>GLO</t>
        </is>
      </c>
      <c r="D1232" t="inlineStr">
        <is>
          <t>kilogram</t>
        </is>
      </c>
      <c r="F1232" t="inlineStr">
        <is>
          <t>technosphere</t>
        </is>
      </c>
      <c r="G1232" t="inlineStr">
        <is>
          <t>solder, bar, Sn95.5Ag3.9Cu0.6, for electronics industry</t>
        </is>
      </c>
      <c r="I1232" t="inlineStr">
        <is>
          <t>solder, bar, Sn95.5Ag3.9Cu0.6, for electronics industry</t>
        </is>
      </c>
    </row>
    <row r="1233">
      <c r="A1233" t="inlineStr">
        <is>
          <t xml:space="preserve">battery auxiliary interface and power conditioning unit production</t>
        </is>
      </c>
      <c r="B1233">
        <v>0.08030247079999991</v>
      </c>
      <c r="C1233" t="inlineStr">
        <is>
          <t>GLO</t>
        </is>
      </c>
      <c r="D1233" t="inlineStr">
        <is>
          <t>kilogram</t>
        </is>
      </c>
      <c r="F1233" t="inlineStr">
        <is>
          <t>technosphere</t>
        </is>
      </c>
      <c r="G1233" t="inlineStr">
        <is>
          <t xml:space="preserve">battery auxiliary interface and power conditioning unit</t>
        </is>
      </c>
      <c r="I1233" t="inlineStr">
        <is>
          <t>printed wiring board, surface mounted, unspecified, Pb free</t>
        </is>
      </c>
    </row>
    <row r="1234">
      <c r="A1234" t="inlineStr">
        <is>
          <t>market group for electricity, medium voltage</t>
        </is>
      </c>
      <c r="B1234">
        <v>15.714285714285714</v>
      </c>
      <c r="C1234" t="inlineStr">
        <is>
          <t>GLO</t>
        </is>
      </c>
      <c r="D1234" t="inlineStr">
        <is>
          <t>kilowatt hour</t>
        </is>
      </c>
      <c r="F1234" t="inlineStr">
        <is>
          <t>technosphere</t>
        </is>
      </c>
      <c r="G1234" t="inlineStr">
        <is>
          <t>electricity, medium voltage</t>
        </is>
      </c>
      <c r="I1234" t="inlineStr">
        <is>
          <t>electricity, medium voltage</t>
        </is>
      </c>
    </row>
    <row r="1237">
      <c r="A1237" t="inlineStr">
        <is>
          <t>Activity</t>
        </is>
      </c>
      <c r="B1237" t="inlineStr">
        <is>
          <t xml:space="preserve">barium titanate production, for capacitors</t>
        </is>
      </c>
    </row>
    <row r="1238">
      <c r="A1238" t="inlineStr">
        <is>
          <t>location</t>
        </is>
      </c>
      <c r="B1238" t="inlineStr">
        <is>
          <t>GLO</t>
        </is>
      </c>
    </row>
    <row r="1239">
      <c r="A1239" t="inlineStr">
        <is>
          <t>production amount</t>
        </is>
      </c>
      <c r="B1239">
        <v>1</v>
      </c>
    </row>
    <row r="1240">
      <c r="A1240" t="inlineStr">
        <is>
          <t>reference product</t>
        </is>
      </c>
      <c r="B1240" t="inlineStr">
        <is>
          <t xml:space="preserve">barium titanate, for capacitors</t>
        </is>
      </c>
    </row>
    <row r="1241">
      <c r="A1241" t="inlineStr">
        <is>
          <t>unit</t>
        </is>
      </c>
      <c r="B1241" t="inlineStr">
        <is>
          <t>kilogram</t>
        </is>
      </c>
    </row>
    <row r="1242">
      <c r="A1242" t="inlineStr">
        <is>
          <t>source</t>
        </is>
      </c>
      <c r="B1242"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243">
      <c r="A1243" t="inlineStr">
        <is>
          <t>comment</t>
        </is>
      </c>
      <c r="B1243" t="inlineStr">
        <is>
          <t xml:space="preserve">Nomenclature revision, 2026-10-19. Former activity name: barium titanate, capacitor ceramic engineering reference. Former reference product: barium titanate, capacitor ceramic engineering reference. Activity/product labels and supplier references only; coefficients, formulas, uncertainty, declared output and unit are unchanged. Original engineering assumptions, functional-unit basis and limitations remain below.
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244">
      <c r="A1244" t="inlineStr">
        <is>
          <t xml:space="preserve">type</t>
        </is>
      </c>
      <c r="B1244" t="inlineStr">
        <is>
          <t xml:space="preserve">processwithreferenceproduct</t>
        </is>
      </c>
    </row>
    <row r="1245">
      <c r="A1245" t="inlineStr">
        <is>
          <t>Exchanges</t>
        </is>
      </c>
    </row>
    <row r="1246">
      <c r="A1246" t="inlineStr">
        <is>
          <t>name</t>
        </is>
      </c>
      <c r="B1246" t="inlineStr">
        <is>
          <t>amount</t>
        </is>
      </c>
      <c r="C1246" t="inlineStr">
        <is>
          <t>location</t>
        </is>
      </c>
      <c r="D1246" t="inlineStr">
        <is>
          <t>unit</t>
        </is>
      </c>
      <c r="E1246" t="inlineStr">
        <is>
          <t>categories</t>
        </is>
      </c>
      <c r="F1246" t="inlineStr">
        <is>
          <t>type</t>
        </is>
      </c>
      <c r="G1246" t="inlineStr">
        <is>
          <t>reference product</t>
        </is>
      </c>
      <c r="H1246" t="inlineStr">
        <is>
          <t>comment</t>
        </is>
      </c>
      <c r="I1246" t="inlineStr">
        <is>
          <t>product</t>
        </is>
      </c>
    </row>
    <row r="1247">
      <c r="A1247" t="inlineStr">
        <is>
          <t xml:space="preserve">barium titanate production, for capacitors</t>
        </is>
      </c>
      <c r="B1247">
        <v>1</v>
      </c>
      <c r="C1247" t="inlineStr">
        <is>
          <t>GLO</t>
        </is>
      </c>
      <c r="D1247" t="inlineStr">
        <is>
          <t>kilogram</t>
        </is>
      </c>
      <c r="F1247" t="inlineStr">
        <is>
          <t>production</t>
        </is>
      </c>
      <c r="G1247" t="inlineStr">
        <is>
          <t xml:space="preserve">barium titanate, for capacitors</t>
        </is>
      </c>
      <c r="I1247" t="inlineStr">
        <is>
          <t xml:space="preserve">barium titanate, for capacitors</t>
        </is>
      </c>
    </row>
    <row r="1248">
      <c r="A1248" t="inlineStr">
        <is>
          <t>market for barium carbonate</t>
        </is>
      </c>
      <c r="B1248">
        <v>0.8462376335278806</v>
      </c>
      <c r="C1248" t="inlineStr">
        <is>
          <t>GLO</t>
        </is>
      </c>
      <c r="D1248" t="inlineStr">
        <is>
          <t>kilogram</t>
        </is>
      </c>
      <c r="F1248" t="inlineStr">
        <is>
          <t>technosphere</t>
        </is>
      </c>
      <c r="G1248" t="inlineStr">
        <is>
          <t>barium carbonate</t>
        </is>
      </c>
      <c r="I1248" t="inlineStr">
        <is>
          <t>barium carbonate</t>
        </is>
      </c>
    </row>
    <row r="1249">
      <c r="A1249" t="inlineStr">
        <is>
          <t>market for titanium dioxide</t>
        </is>
      </c>
      <c r="B1249">
        <v>0.3424874887967374</v>
      </c>
      <c r="C1249" t="inlineStr">
        <is>
          <t>RER</t>
        </is>
      </c>
      <c r="D1249" t="inlineStr">
        <is>
          <t>kilogram</t>
        </is>
      </c>
      <c r="F1249" t="inlineStr">
        <is>
          <t>technosphere</t>
        </is>
      </c>
      <c r="G1249" t="inlineStr">
        <is>
          <t>titanium dioxide</t>
        </is>
      </c>
      <c r="I1249" t="inlineStr">
        <is>
          <t>titanium dioxide</t>
        </is>
      </c>
    </row>
    <row r="1250">
      <c r="A1250" t="inlineStr">
        <is>
          <t>market for heat, district or industrial, natural gas</t>
        </is>
      </c>
      <c r="B1250">
        <v>3</v>
      </c>
      <c r="C1250" t="inlineStr">
        <is>
          <t>RoW</t>
        </is>
      </c>
      <c r="D1250" t="inlineStr">
        <is>
          <t>megajoule</t>
        </is>
      </c>
      <c r="F1250" t="inlineStr">
        <is>
          <t>technosphere</t>
        </is>
      </c>
      <c r="G1250" t="inlineStr">
        <is>
          <t>heat, district or industrial, natural gas</t>
        </is>
      </c>
      <c r="I1250" t="inlineStr">
        <is>
          <t>heat, district or industrial, natural gas</t>
        </is>
      </c>
    </row>
    <row r="1251">
      <c r="A1251" t="inlineStr">
        <is>
          <t>market group for electricity, medium voltage</t>
        </is>
      </c>
      <c r="B1251">
        <v>0.5</v>
      </c>
      <c r="C1251" t="inlineStr">
        <is>
          <t>GLO</t>
        </is>
      </c>
      <c r="D1251" t="inlineStr">
        <is>
          <t>kilowatt hour</t>
        </is>
      </c>
      <c r="F1251" t="inlineStr">
        <is>
          <t>technosphere</t>
        </is>
      </c>
      <c r="G1251" t="inlineStr">
        <is>
          <t>electricity, medium voltage</t>
        </is>
      </c>
      <c r="I1251" t="inlineStr">
        <is>
          <t>electricity, medium voltage</t>
        </is>
      </c>
    </row>
    <row r="1252">
      <c r="A1252" t="inlineStr">
        <is>
          <t>Carbon dioxide, fossil</t>
        </is>
      </c>
      <c r="B1252">
        <v>0.18872512232461802</v>
      </c>
      <c r="D1252" t="inlineStr">
        <is>
          <t>kilogram</t>
        </is>
      </c>
      <c r="E1252" t="inlineStr">
        <is>
          <t>air::non-urban air or from high stacks</t>
        </is>
      </c>
      <c r="F1252" t="inlineStr">
        <is>
          <t>biosphere</t>
        </is>
      </c>
      <c r="H1252" t="inlineStr">
        <is>
          <t/>
        </is>
      </c>
    </row>
    <row r="1255">
      <c r="A1255" t="inlineStr">
        <is>
          <t>Activity</t>
        </is>
      </c>
      <c r="B1255" t="inlineStr">
        <is>
          <t xml:space="preserve">calcium zirconate production, for capacitors</t>
        </is>
      </c>
    </row>
    <row r="1256">
      <c r="A1256" t="inlineStr">
        <is>
          <t>location</t>
        </is>
      </c>
      <c r="B1256" t="inlineStr">
        <is>
          <t>GLO</t>
        </is>
      </c>
    </row>
    <row r="1257">
      <c r="A1257" t="inlineStr">
        <is>
          <t>production amount</t>
        </is>
      </c>
      <c r="B1257">
        <v>1</v>
      </c>
    </row>
    <row r="1258">
      <c r="A1258" t="inlineStr">
        <is>
          <t>reference product</t>
        </is>
      </c>
      <c r="B1258" t="inlineStr">
        <is>
          <t xml:space="preserve">calcium zirconate, for capacitors</t>
        </is>
      </c>
    </row>
    <row r="1259">
      <c r="A1259" t="inlineStr">
        <is>
          <t>unit</t>
        </is>
      </c>
      <c r="B1259" t="inlineStr">
        <is>
          <t>kilogram</t>
        </is>
      </c>
    </row>
    <row r="1260">
      <c r="A1260" t="inlineStr">
        <is>
          <t>source</t>
        </is>
      </c>
      <c r="B1260"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261">
      <c r="A1261" t="inlineStr">
        <is>
          <t>comment</t>
        </is>
      </c>
      <c r="B1261" t="inlineStr">
        <is>
          <t xml:space="preserve">Nomenclature revision, 2026-10-19. Former activity name: calcium zirconate, capacitor ceramic engineering reference. Former reference product: calcium zirconate, capacitor ceramic engineering reference. Activity/product labels and supplier references only; coefficients, formulas, uncertainty, declared output and unit are unchanged. Original engineering assumptions, functional-unit basis and limitations remain below.
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262">
      <c r="A1262" t="inlineStr">
        <is>
          <t xml:space="preserve">type</t>
        </is>
      </c>
      <c r="B1262" t="inlineStr">
        <is>
          <t xml:space="preserve">processwithreferenceproduct</t>
        </is>
      </c>
    </row>
    <row r="1263">
      <c r="A1263" t="inlineStr">
        <is>
          <t>Exchanges</t>
        </is>
      </c>
    </row>
    <row r="1264">
      <c r="A1264" t="inlineStr">
        <is>
          <t>name</t>
        </is>
      </c>
      <c r="B1264" t="inlineStr">
        <is>
          <t>amount</t>
        </is>
      </c>
      <c r="C1264" t="inlineStr">
        <is>
          <t>location</t>
        </is>
      </c>
      <c r="D1264" t="inlineStr">
        <is>
          <t>unit</t>
        </is>
      </c>
      <c r="E1264" t="inlineStr">
        <is>
          <t>categories</t>
        </is>
      </c>
      <c r="F1264" t="inlineStr">
        <is>
          <t>type</t>
        </is>
      </c>
      <c r="G1264" t="inlineStr">
        <is>
          <t>reference product</t>
        </is>
      </c>
      <c r="H1264" t="inlineStr">
        <is>
          <t>comment</t>
        </is>
      </c>
      <c r="I1264" t="inlineStr">
        <is>
          <t>product</t>
        </is>
      </c>
    </row>
    <row r="1265">
      <c r="A1265" t="inlineStr">
        <is>
          <t xml:space="preserve">calcium zirconate production, for capacitors</t>
        </is>
      </c>
      <c r="B1265">
        <v>1</v>
      </c>
      <c r="C1265" t="inlineStr">
        <is>
          <t>GLO</t>
        </is>
      </c>
      <c r="D1265" t="inlineStr">
        <is>
          <t>kilogram</t>
        </is>
      </c>
      <c r="F1265" t="inlineStr">
        <is>
          <t>production</t>
        </is>
      </c>
      <c r="G1265" t="inlineStr">
        <is>
          <t xml:space="preserve">calcium zirconate, for capacitors</t>
        </is>
      </c>
      <c r="I1265" t="inlineStr">
        <is>
          <t xml:space="preserve">calcium zirconate, for capacitors</t>
        </is>
      </c>
    </row>
    <row r="1266">
      <c r="A1266" t="inlineStr">
        <is>
          <t>market for calcium carbonate, precipitated</t>
        </is>
      </c>
      <c r="B1266">
        <v>0.5582072404196342</v>
      </c>
      <c r="C1266" t="inlineStr">
        <is>
          <t>RER</t>
        </is>
      </c>
      <c r="D1266" t="inlineStr">
        <is>
          <t>kilogram</t>
        </is>
      </c>
      <c r="F1266" t="inlineStr">
        <is>
          <t>technosphere</t>
        </is>
      </c>
      <c r="G1266" t="inlineStr">
        <is>
          <t>calcium carbonate, precipitated</t>
        </is>
      </c>
      <c r="I1266" t="inlineStr">
        <is>
          <t>calcium carbonate, precipitated</t>
        </is>
      </c>
    </row>
    <row r="1267">
      <c r="A1267" t="inlineStr">
        <is>
          <t>market for zirconium oxide</t>
        </is>
      </c>
      <c r="B1267">
        <v>0.6872430967266967</v>
      </c>
      <c r="C1267" t="inlineStr">
        <is>
          <t>GLO</t>
        </is>
      </c>
      <c r="D1267" t="inlineStr">
        <is>
          <t>kilogram</t>
        </is>
      </c>
      <c r="F1267" t="inlineStr">
        <is>
          <t>technosphere</t>
        </is>
      </c>
      <c r="G1267" t="inlineStr">
        <is>
          <t>zirconium oxide</t>
        </is>
      </c>
      <c r="I1267" t="inlineStr">
        <is>
          <t>zirconium oxide</t>
        </is>
      </c>
    </row>
    <row r="1268">
      <c r="A1268" t="inlineStr">
        <is>
          <t>market for heat, district or industrial, natural gas</t>
        </is>
      </c>
      <c r="B1268">
        <v>3</v>
      </c>
      <c r="C1268" t="inlineStr">
        <is>
          <t>RoW</t>
        </is>
      </c>
      <c r="D1268" t="inlineStr">
        <is>
          <t>megajoule</t>
        </is>
      </c>
      <c r="F1268" t="inlineStr">
        <is>
          <t>technosphere</t>
        </is>
      </c>
      <c r="G1268" t="inlineStr">
        <is>
          <t>heat, district or industrial, natural gas</t>
        </is>
      </c>
      <c r="I1268" t="inlineStr">
        <is>
          <t>heat, district or industrial, natural gas</t>
        </is>
      </c>
    </row>
    <row r="1269">
      <c r="A1269" t="inlineStr">
        <is>
          <t>market group for electricity, medium voltage</t>
        </is>
      </c>
      <c r="B1269">
        <v>0.5</v>
      </c>
      <c r="C1269" t="inlineStr">
        <is>
          <t>GLO</t>
        </is>
      </c>
      <c r="D1269" t="inlineStr">
        <is>
          <t>kilowatt hour</t>
        </is>
      </c>
      <c r="F1269" t="inlineStr">
        <is>
          <t>technosphere</t>
        </is>
      </c>
      <c r="G1269" t="inlineStr">
        <is>
          <t>electricity, medium voltage</t>
        </is>
      </c>
      <c r="I1269" t="inlineStr">
        <is>
          <t>electricity, medium voltage</t>
        </is>
      </c>
    </row>
    <row r="1270">
      <c r="A1270" t="inlineStr">
        <is>
          <t>Carbon dioxide, fossil</t>
        </is>
      </c>
      <c r="B1270">
        <v>0.245450337146331</v>
      </c>
      <c r="D1270" t="inlineStr">
        <is>
          <t>kilogram</t>
        </is>
      </c>
      <c r="E1270" t="inlineStr">
        <is>
          <t>air::non-urban air or from high stacks</t>
        </is>
      </c>
      <c r="F1270" t="inlineStr">
        <is>
          <t>biosphere</t>
        </is>
      </c>
      <c r="H1270" t="inlineStr">
        <is>
          <t/>
        </is>
      </c>
    </row>
    <row r="1273">
      <c r="A1273" t="inlineStr">
        <is>
          <t>Activity</t>
        </is>
      </c>
      <c r="B1273" t="inlineStr">
        <is>
          <t xml:space="preserve">capacitor production, class 2, 0402</t>
        </is>
      </c>
    </row>
    <row r="1274">
      <c r="A1274" t="inlineStr">
        <is>
          <t>location</t>
        </is>
      </c>
      <c r="B1274" t="inlineStr">
        <is>
          <t>GLO</t>
        </is>
      </c>
    </row>
    <row r="1275">
      <c r="A1275" t="inlineStr">
        <is>
          <t>production amount</t>
        </is>
      </c>
      <c r="B1275">
        <v>1</v>
      </c>
    </row>
    <row r="1276">
      <c r="A1276" t="inlineStr">
        <is>
          <t>reference product</t>
        </is>
      </c>
      <c r="B1276" t="inlineStr">
        <is>
          <t xml:space="preserve">capacitor, class 2, 0402</t>
        </is>
      </c>
    </row>
    <row r="1277">
      <c r="A1277" t="inlineStr">
        <is>
          <t>unit</t>
        </is>
      </c>
      <c r="B1277" t="inlineStr">
        <is>
          <t>kilogram</t>
        </is>
      </c>
    </row>
    <row r="1278">
      <c r="A1278" t="inlineStr">
        <is>
          <t>source</t>
        </is>
      </c>
      <c r="B1278"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279">
      <c r="A1279" t="inlineStr">
        <is>
          <t>comment</t>
        </is>
      </c>
      <c r="B1279" t="inlineStr">
        <is>
          <t xml:space="preserve">Nomenclature revision, 2026-10-19. Former activity name: capacitor, Class2, 0402, declared material engineering reference. Former reference product: capacitor, Class2, 0402, declared material engineering reference. Activity/product labels and supplier references only; coefficients, formulas, uncertainty, declared output and unit are unchanged. Original engineering assumptions, functional-unit basis and limitations remain below.
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280">
      <c r="A1280" t="inlineStr">
        <is>
          <t xml:space="preserve">type</t>
        </is>
      </c>
      <c r="B1280" t="inlineStr">
        <is>
          <t xml:space="preserve">processwithreferenceproduct</t>
        </is>
      </c>
    </row>
    <row r="1281">
      <c r="A1281" t="inlineStr">
        <is>
          <t>Exchanges</t>
        </is>
      </c>
    </row>
    <row r="1282">
      <c r="A1282" t="inlineStr">
        <is>
          <t>name</t>
        </is>
      </c>
      <c r="B1282" t="inlineStr">
        <is>
          <t>amount</t>
        </is>
      </c>
      <c r="C1282" t="inlineStr">
        <is>
          <t>location</t>
        </is>
      </c>
      <c r="D1282" t="inlineStr">
        <is>
          <t>unit</t>
        </is>
      </c>
      <c r="E1282" t="inlineStr">
        <is>
          <t>categories</t>
        </is>
      </c>
      <c r="F1282" t="inlineStr">
        <is>
          <t>type</t>
        </is>
      </c>
      <c r="G1282" t="inlineStr">
        <is>
          <t>reference product</t>
        </is>
      </c>
      <c r="H1282" t="inlineStr">
        <is>
          <t>comment</t>
        </is>
      </c>
      <c r="I1282" t="inlineStr">
        <is>
          <t>product</t>
        </is>
      </c>
    </row>
    <row r="1283">
      <c r="A1283" t="inlineStr">
        <is>
          <t xml:space="preserve">capacitor production, class 2, 0402</t>
        </is>
      </c>
      <c r="B1283">
        <v>1</v>
      </c>
      <c r="C1283" t="inlineStr">
        <is>
          <t>GLO</t>
        </is>
      </c>
      <c r="D1283" t="inlineStr">
        <is>
          <t>kilogram</t>
        </is>
      </c>
      <c r="F1283" t="inlineStr">
        <is>
          <t>production</t>
        </is>
      </c>
      <c r="G1283" t="inlineStr">
        <is>
          <t xml:space="preserve">capacitor, class 2, 0402</t>
        </is>
      </c>
      <c r="I1283" t="inlineStr">
        <is>
          <t xml:space="preserve">capacitor, class 2, 0402</t>
        </is>
      </c>
    </row>
    <row r="1284">
      <c r="A1284" t="inlineStr">
        <is>
          <t xml:space="preserve">barium titanate production, for capacitors</t>
        </is>
      </c>
      <c r="B1284">
        <v>0.8673091178650854</v>
      </c>
      <c r="C1284" t="inlineStr">
        <is>
          <t>GLO</t>
        </is>
      </c>
      <c r="D1284" t="inlineStr">
        <is>
          <t>kilogram</t>
        </is>
      </c>
      <c r="F1284" t="inlineStr">
        <is>
          <t>technosphere</t>
        </is>
      </c>
      <c r="G1284" t="inlineStr">
        <is>
          <t xml:space="preserve">barium titanate, for capacitors</t>
        </is>
      </c>
      <c r="I1284" t="inlineStr">
        <is>
          <t xml:space="preserve">barium titanate, for capacitors</t>
        </is>
      </c>
    </row>
    <row r="1285">
      <c r="A1285" t="inlineStr">
        <is>
          <t>market for nickel, class 1</t>
        </is>
      </c>
      <c r="B1285">
        <v>0.07412898443291327</v>
      </c>
      <c r="C1285" t="inlineStr">
        <is>
          <t>GLO</t>
        </is>
      </c>
      <c r="D1285" t="inlineStr">
        <is>
          <t>kilogram</t>
        </is>
      </c>
      <c r="F1285" t="inlineStr">
        <is>
          <t>technosphere</t>
        </is>
      </c>
      <c r="G1285" t="inlineStr">
        <is>
          <t>nickel, class 1</t>
        </is>
      </c>
      <c r="I1285" t="inlineStr">
        <is>
          <t>nickel, class 1</t>
        </is>
      </c>
    </row>
    <row r="1286">
      <c r="A1286" t="inlineStr">
        <is>
          <t>market for copper, cathode</t>
        </is>
      </c>
      <c r="B1286">
        <v>0.04447739065974796</v>
      </c>
      <c r="C1286" t="inlineStr">
        <is>
          <t>GLO</t>
        </is>
      </c>
      <c r="D1286" t="inlineStr">
        <is>
          <t>kilogram</t>
        </is>
      </c>
      <c r="F1286" t="inlineStr">
        <is>
          <t>technosphere</t>
        </is>
      </c>
      <c r="G1286" t="inlineStr">
        <is>
          <t>copper, cathode</t>
        </is>
      </c>
      <c r="I1286" t="inlineStr">
        <is>
          <t>copper, cathode</t>
        </is>
      </c>
    </row>
    <row r="1287">
      <c r="A1287" t="inlineStr">
        <is>
          <t>market for tin</t>
        </is>
      </c>
      <c r="B1287">
        <v>0.05189028910303929</v>
      </c>
      <c r="C1287" t="inlineStr">
        <is>
          <t>GLO</t>
        </is>
      </c>
      <c r="D1287" t="inlineStr">
        <is>
          <t>kilogram</t>
        </is>
      </c>
      <c r="F1287" t="inlineStr">
        <is>
          <t>technosphere</t>
        </is>
      </c>
      <c r="G1287" t="inlineStr">
        <is>
          <t>tin</t>
        </is>
      </c>
      <c r="I1287" t="inlineStr">
        <is>
          <t>tin</t>
        </is>
      </c>
    </row>
    <row r="1288">
      <c r="A1288" t="inlineStr">
        <is>
          <t>market for hazardous waste, for incineration</t>
        </is>
      </c>
      <c r="B1288">
        <v>-0.051890289103039236</v>
      </c>
      <c r="C1288" t="inlineStr">
        <is>
          <t>RoW</t>
        </is>
      </c>
      <c r="D1288" t="inlineStr">
        <is>
          <t>kilogram</t>
        </is>
      </c>
      <c r="F1288" t="inlineStr">
        <is>
          <t>technosphere</t>
        </is>
      </c>
      <c r="G1288" t="inlineStr">
        <is>
          <t>hazardous waste, for incineration</t>
        </is>
      </c>
      <c r="I1288" t="inlineStr">
        <is>
          <t>hazardous waste, for incineration</t>
        </is>
      </c>
    </row>
    <row r="1289">
      <c r="A1289" t="inlineStr">
        <is>
          <t>market group for electricity, medium voltage</t>
        </is>
      </c>
      <c r="B1289">
        <v>1</v>
      </c>
      <c r="C1289" t="inlineStr">
        <is>
          <t>GLO</t>
        </is>
      </c>
      <c r="D1289" t="inlineStr">
        <is>
          <t>kilowatt hour</t>
        </is>
      </c>
      <c r="F1289" t="inlineStr">
        <is>
          <t>technosphere</t>
        </is>
      </c>
      <c r="G1289" t="inlineStr">
        <is>
          <t>electricity, medium voltage</t>
        </is>
      </c>
      <c r="I1289" t="inlineStr">
        <is>
          <t>electricity, medium voltage</t>
        </is>
      </c>
    </row>
    <row r="1290">
      <c r="A1290" t="inlineStr">
        <is>
          <t>market for heat, district or industrial, natural gas</t>
        </is>
      </c>
      <c r="B1290">
        <v>5</v>
      </c>
      <c r="C1290" t="inlineStr">
        <is>
          <t>RoW</t>
        </is>
      </c>
      <c r="D1290" t="inlineStr">
        <is>
          <t>megajoule</t>
        </is>
      </c>
      <c r="F1290" t="inlineStr">
        <is>
          <t>technosphere</t>
        </is>
      </c>
      <c r="G1290" t="inlineStr">
        <is>
          <t>heat, district or industrial, natural gas</t>
        </is>
      </c>
      <c r="I1290" t="inlineStr">
        <is>
          <t>heat, district or industrial, natural gas</t>
        </is>
      </c>
    </row>
    <row r="1293">
      <c r="A1293" t="inlineStr">
        <is>
          <t>Activity</t>
        </is>
      </c>
      <c r="B1293" t="inlineStr">
        <is>
          <t xml:space="preserve">capacitor production, class 2, 0603</t>
        </is>
      </c>
    </row>
    <row r="1294">
      <c r="A1294" t="inlineStr">
        <is>
          <t>location</t>
        </is>
      </c>
      <c r="B1294" t="inlineStr">
        <is>
          <t>GLO</t>
        </is>
      </c>
    </row>
    <row r="1295">
      <c r="A1295" t="inlineStr">
        <is>
          <t>production amount</t>
        </is>
      </c>
      <c r="B1295">
        <v>1</v>
      </c>
    </row>
    <row r="1296">
      <c r="A1296" t="inlineStr">
        <is>
          <t>reference product</t>
        </is>
      </c>
      <c r="B1296" t="inlineStr">
        <is>
          <t xml:space="preserve">capacitor, class 2, 0603</t>
        </is>
      </c>
    </row>
    <row r="1297">
      <c r="A1297" t="inlineStr">
        <is>
          <t>unit</t>
        </is>
      </c>
      <c r="B1297" t="inlineStr">
        <is>
          <t>kilogram</t>
        </is>
      </c>
    </row>
    <row r="1298">
      <c r="A1298" t="inlineStr">
        <is>
          <t>source</t>
        </is>
      </c>
      <c r="B1298"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299">
      <c r="A1299" t="inlineStr">
        <is>
          <t>comment</t>
        </is>
      </c>
      <c r="B1299" t="inlineStr">
        <is>
          <t xml:space="preserve">Nomenclature revision, 2026-10-19. Former activity name: capacitor, Class2, 0603, declared material engineering reference. Former reference product: capacitor, Class2, 0603, declared material engineering reference. Activity/product labels and supplier references only; coefficients, formulas, uncertainty, declared output and unit are unchanged. Original engineering assumptions, functional-unit basis and limitations remain below.
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00">
      <c r="A1300" t="inlineStr">
        <is>
          <t xml:space="preserve">type</t>
        </is>
      </c>
      <c r="B1300" t="inlineStr">
        <is>
          <t xml:space="preserve">processwithreferenceproduct</t>
        </is>
      </c>
    </row>
    <row r="1301">
      <c r="A1301" t="inlineStr">
        <is>
          <t>Exchanges</t>
        </is>
      </c>
    </row>
    <row r="1302">
      <c r="A1302" t="inlineStr">
        <is>
          <t>name</t>
        </is>
      </c>
      <c r="B1302" t="inlineStr">
        <is>
          <t>amount</t>
        </is>
      </c>
      <c r="C1302" t="inlineStr">
        <is>
          <t>location</t>
        </is>
      </c>
      <c r="D1302" t="inlineStr">
        <is>
          <t>unit</t>
        </is>
      </c>
      <c r="E1302" t="inlineStr">
        <is>
          <t>categories</t>
        </is>
      </c>
      <c r="F1302" t="inlineStr">
        <is>
          <t>type</t>
        </is>
      </c>
      <c r="G1302" t="inlineStr">
        <is>
          <t>reference product</t>
        </is>
      </c>
      <c r="H1302" t="inlineStr">
        <is>
          <t>comment</t>
        </is>
      </c>
      <c r="I1302" t="inlineStr">
        <is>
          <t>product</t>
        </is>
      </c>
    </row>
    <row r="1303">
      <c r="A1303" t="inlineStr">
        <is>
          <t xml:space="preserve">capacitor production, class 2, 0603</t>
        </is>
      </c>
      <c r="B1303">
        <v>1</v>
      </c>
      <c r="C1303" t="inlineStr">
        <is>
          <t>GLO</t>
        </is>
      </c>
      <c r="D1303" t="inlineStr">
        <is>
          <t>kilogram</t>
        </is>
      </c>
      <c r="F1303" t="inlineStr">
        <is>
          <t>production</t>
        </is>
      </c>
      <c r="G1303" t="inlineStr">
        <is>
          <t xml:space="preserve">capacitor, class 2, 0603</t>
        </is>
      </c>
      <c r="I1303" t="inlineStr">
        <is>
          <t xml:space="preserve">capacitor, class 2, 0603</t>
        </is>
      </c>
    </row>
    <row r="1304">
      <c r="A1304" t="inlineStr">
        <is>
          <t xml:space="preserve">barium titanate production, for capacitors</t>
        </is>
      </c>
      <c r="B1304">
        <v>0.7982456140350878</v>
      </c>
      <c r="C1304" t="inlineStr">
        <is>
          <t>GLO</t>
        </is>
      </c>
      <c r="D1304" t="inlineStr">
        <is>
          <t>kilogram</t>
        </is>
      </c>
      <c r="F1304" t="inlineStr">
        <is>
          <t>technosphere</t>
        </is>
      </c>
      <c r="G1304" t="inlineStr">
        <is>
          <t xml:space="preserve">barium titanate, for capacitors</t>
        </is>
      </c>
      <c r="I1304" t="inlineStr">
        <is>
          <t xml:space="preserve">barium titanate, for capacitors</t>
        </is>
      </c>
    </row>
    <row r="1305">
      <c r="A1305" t="inlineStr">
        <is>
          <t>market for nickel, class 1</t>
        </is>
      </c>
      <c r="B1305">
        <v>0.14210526315789473</v>
      </c>
      <c r="C1305" t="inlineStr">
        <is>
          <t>GLO</t>
        </is>
      </c>
      <c r="D1305" t="inlineStr">
        <is>
          <t>kilogram</t>
        </is>
      </c>
      <c r="F1305" t="inlineStr">
        <is>
          <t>technosphere</t>
        </is>
      </c>
      <c r="G1305" t="inlineStr">
        <is>
          <t>nickel, class 1</t>
        </is>
      </c>
      <c r="I1305" t="inlineStr">
        <is>
          <t>nickel, class 1</t>
        </is>
      </c>
    </row>
    <row r="1306">
      <c r="A1306" t="inlineStr">
        <is>
          <t>market for copper, cathode</t>
        </is>
      </c>
      <c r="B1306">
        <v>0.05614035087719299</v>
      </c>
      <c r="C1306" t="inlineStr">
        <is>
          <t>GLO</t>
        </is>
      </c>
      <c r="D1306" t="inlineStr">
        <is>
          <t>kilogram</t>
        </is>
      </c>
      <c r="F1306" t="inlineStr">
        <is>
          <t>technosphere</t>
        </is>
      </c>
      <c r="G1306" t="inlineStr">
        <is>
          <t>copper, cathode</t>
        </is>
      </c>
      <c r="I1306" t="inlineStr">
        <is>
          <t>copper, cathode</t>
        </is>
      </c>
    </row>
    <row r="1307">
      <c r="A1307" t="inlineStr">
        <is>
          <t>market for tin</t>
        </is>
      </c>
      <c r="B1307">
        <v>0.0456140350877193</v>
      </c>
      <c r="C1307" t="inlineStr">
        <is>
          <t>GLO</t>
        </is>
      </c>
      <c r="D1307" t="inlineStr">
        <is>
          <t>kilogram</t>
        </is>
      </c>
      <c r="F1307" t="inlineStr">
        <is>
          <t>technosphere</t>
        </is>
      </c>
      <c r="G1307" t="inlineStr">
        <is>
          <t>tin</t>
        </is>
      </c>
      <c r="I1307" t="inlineStr">
        <is>
          <t>tin</t>
        </is>
      </c>
    </row>
    <row r="1308">
      <c r="A1308" t="inlineStr">
        <is>
          <t>market for hazardous waste, for incineration</t>
        </is>
      </c>
      <c r="B1308">
        <v>-0.052105263157894675</v>
      </c>
      <c r="C1308" t="inlineStr">
        <is>
          <t>RoW</t>
        </is>
      </c>
      <c r="D1308" t="inlineStr">
        <is>
          <t>kilogram</t>
        </is>
      </c>
      <c r="F1308" t="inlineStr">
        <is>
          <t>technosphere</t>
        </is>
      </c>
      <c r="G1308" t="inlineStr">
        <is>
          <t>hazardous waste, for incineration</t>
        </is>
      </c>
      <c r="I1308" t="inlineStr">
        <is>
          <t>hazardous waste, for incineration</t>
        </is>
      </c>
    </row>
    <row r="1309">
      <c r="A1309" t="inlineStr">
        <is>
          <t>market group for electricity, medium voltage</t>
        </is>
      </c>
      <c r="B1309">
        <v>1</v>
      </c>
      <c r="C1309" t="inlineStr">
        <is>
          <t>GLO</t>
        </is>
      </c>
      <c r="D1309" t="inlineStr">
        <is>
          <t>kilowatt hour</t>
        </is>
      </c>
      <c r="F1309" t="inlineStr">
        <is>
          <t>technosphere</t>
        </is>
      </c>
      <c r="G1309" t="inlineStr">
        <is>
          <t>electricity, medium voltage</t>
        </is>
      </c>
      <c r="I1309" t="inlineStr">
        <is>
          <t>electricity, medium voltage</t>
        </is>
      </c>
    </row>
    <row r="1310">
      <c r="A1310" t="inlineStr">
        <is>
          <t>market for heat, district or industrial, natural gas</t>
        </is>
      </c>
      <c r="B1310">
        <v>5</v>
      </c>
      <c r="C1310" t="inlineStr">
        <is>
          <t>RoW</t>
        </is>
      </c>
      <c r="D1310" t="inlineStr">
        <is>
          <t>megajoule</t>
        </is>
      </c>
      <c r="F1310" t="inlineStr">
        <is>
          <t>technosphere</t>
        </is>
      </c>
      <c r="G1310" t="inlineStr">
        <is>
          <t>heat, district or industrial, natural gas</t>
        </is>
      </c>
      <c r="I1310" t="inlineStr">
        <is>
          <t>heat, district or industrial, natural gas</t>
        </is>
      </c>
    </row>
    <row r="1313">
      <c r="A1313" t="inlineStr">
        <is>
          <t>Activity</t>
        </is>
      </c>
      <c r="B1313" t="inlineStr">
        <is>
          <t xml:space="preserve">capacitor production, class 2, 0805</t>
        </is>
      </c>
    </row>
    <row r="1314">
      <c r="A1314" t="inlineStr">
        <is>
          <t>location</t>
        </is>
      </c>
      <c r="B1314" t="inlineStr">
        <is>
          <t>GLO</t>
        </is>
      </c>
    </row>
    <row r="1315">
      <c r="A1315" t="inlineStr">
        <is>
          <t>production amount</t>
        </is>
      </c>
      <c r="B1315">
        <v>1</v>
      </c>
    </row>
    <row r="1316">
      <c r="A1316" t="inlineStr">
        <is>
          <t>reference product</t>
        </is>
      </c>
      <c r="B1316" t="inlineStr">
        <is>
          <t xml:space="preserve">capacitor, class 2, 0805</t>
        </is>
      </c>
    </row>
    <row r="1317">
      <c r="A1317" t="inlineStr">
        <is>
          <t>unit</t>
        </is>
      </c>
      <c r="B1317" t="inlineStr">
        <is>
          <t>kilogram</t>
        </is>
      </c>
    </row>
    <row r="1318">
      <c r="A1318" t="inlineStr">
        <is>
          <t>source</t>
        </is>
      </c>
      <c r="B1318"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319">
      <c r="A1319" t="inlineStr">
        <is>
          <t>comment</t>
        </is>
      </c>
      <c r="B1319" t="inlineStr">
        <is>
          <t xml:space="preserve">Nomenclature revision, 2026-10-19. Former activity name: capacitor, Class2, 0805, declared material engineering reference. Former reference product: capacitor, Class2, 0805, declared material engineering reference. Activity/product labels and supplier references only; coefficients, formulas, uncertainty, declared output and unit are unchanged. Original engineering assumptions, functional-unit basis and limitations remain below.
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20">
      <c r="A1320" t="inlineStr">
        <is>
          <t xml:space="preserve">type</t>
        </is>
      </c>
      <c r="B1320" t="inlineStr">
        <is>
          <t xml:space="preserve">processwithreferenceproduct</t>
        </is>
      </c>
    </row>
    <row r="1321">
      <c r="A1321" t="inlineStr">
        <is>
          <t>Exchanges</t>
        </is>
      </c>
    </row>
    <row r="1322">
      <c r="A1322" t="inlineStr">
        <is>
          <t>name</t>
        </is>
      </c>
      <c r="B1322" t="inlineStr">
        <is>
          <t>amount</t>
        </is>
      </c>
      <c r="C1322" t="inlineStr">
        <is>
          <t>location</t>
        </is>
      </c>
      <c r="D1322" t="inlineStr">
        <is>
          <t>unit</t>
        </is>
      </c>
      <c r="E1322" t="inlineStr">
        <is>
          <t>categories</t>
        </is>
      </c>
      <c r="F1322" t="inlineStr">
        <is>
          <t>type</t>
        </is>
      </c>
      <c r="G1322" t="inlineStr">
        <is>
          <t>reference product</t>
        </is>
      </c>
      <c r="H1322" t="inlineStr">
        <is>
          <t>comment</t>
        </is>
      </c>
      <c r="I1322" t="inlineStr">
        <is>
          <t>product</t>
        </is>
      </c>
    </row>
    <row r="1323">
      <c r="A1323" t="inlineStr">
        <is>
          <t xml:space="preserve">capacitor production, class 2, 0805</t>
        </is>
      </c>
      <c r="B1323">
        <v>1</v>
      </c>
      <c r="C1323" t="inlineStr">
        <is>
          <t>GLO</t>
        </is>
      </c>
      <c r="D1323" t="inlineStr">
        <is>
          <t>kilogram</t>
        </is>
      </c>
      <c r="F1323" t="inlineStr">
        <is>
          <t>production</t>
        </is>
      </c>
      <c r="G1323" t="inlineStr">
        <is>
          <t xml:space="preserve">capacitor, class 2, 0805</t>
        </is>
      </c>
      <c r="I1323" t="inlineStr">
        <is>
          <t xml:space="preserve">capacitor, class 2, 0805</t>
        </is>
      </c>
    </row>
    <row r="1324">
      <c r="A1324" t="inlineStr">
        <is>
          <t xml:space="preserve">barium titanate production, for capacitors</t>
        </is>
      </c>
      <c r="B1324">
        <v>0.8008429926238145</v>
      </c>
      <c r="C1324" t="inlineStr">
        <is>
          <t>GLO</t>
        </is>
      </c>
      <c r="D1324" t="inlineStr">
        <is>
          <t>kilogram</t>
        </is>
      </c>
      <c r="F1324" t="inlineStr">
        <is>
          <t>technosphere</t>
        </is>
      </c>
      <c r="G1324" t="inlineStr">
        <is>
          <t xml:space="preserve">barium titanate, for capacitors</t>
        </is>
      </c>
      <c r="I1324" t="inlineStr">
        <is>
          <t xml:space="preserve">barium titanate, for capacitors</t>
        </is>
      </c>
    </row>
    <row r="1325">
      <c r="A1325" t="inlineStr">
        <is>
          <t>market for nickel, class 1</t>
        </is>
      </c>
      <c r="B1325">
        <v>0.0898452664854972</v>
      </c>
      <c r="C1325" t="inlineStr">
        <is>
          <t>GLO</t>
        </is>
      </c>
      <c r="D1325" t="inlineStr">
        <is>
          <t>kilogram</t>
        </is>
      </c>
      <c r="F1325" t="inlineStr">
        <is>
          <t>technosphere</t>
        </is>
      </c>
      <c r="G1325" t="inlineStr">
        <is>
          <t>nickel, class 1</t>
        </is>
      </c>
      <c r="I1325" t="inlineStr">
        <is>
          <t>nickel, class 1</t>
        </is>
      </c>
    </row>
    <row r="1326">
      <c r="A1326" t="inlineStr">
        <is>
          <t>market for copper, cathode</t>
        </is>
      </c>
      <c r="B1326">
        <v>0.11812988741611669</v>
      </c>
      <c r="C1326" t="inlineStr">
        <is>
          <t>GLO</t>
        </is>
      </c>
      <c r="D1326" t="inlineStr">
        <is>
          <t>kilogram</t>
        </is>
      </c>
      <c r="F1326" t="inlineStr">
        <is>
          <t>technosphere</t>
        </is>
      </c>
      <c r="G1326" t="inlineStr">
        <is>
          <t>copper, cathode</t>
        </is>
      </c>
      <c r="I1326" t="inlineStr">
        <is>
          <t>copper, cathode</t>
        </is>
      </c>
    </row>
    <row r="1327">
      <c r="A1327" t="inlineStr">
        <is>
          <t>market for tin</t>
        </is>
      </c>
      <c r="B1327">
        <v>0.02384781764738506</v>
      </c>
      <c r="C1327" t="inlineStr">
        <is>
          <t>GLO</t>
        </is>
      </c>
      <c r="D1327" t="inlineStr">
        <is>
          <t>kilogram</t>
        </is>
      </c>
      <c r="F1327" t="inlineStr">
        <is>
          <t>technosphere</t>
        </is>
      </c>
      <c r="G1327" t="inlineStr">
        <is>
          <t>tin</t>
        </is>
      </c>
      <c r="I1327" t="inlineStr">
        <is>
          <t>tin</t>
        </is>
      </c>
    </row>
    <row r="1328">
      <c r="A1328" t="inlineStr">
        <is>
          <t>market for hazardous waste, for incineration</t>
        </is>
      </c>
      <c r="B1328">
        <v>-0.051633298208640606</v>
      </c>
      <c r="C1328" t="inlineStr">
        <is>
          <t>RoW</t>
        </is>
      </c>
      <c r="D1328" t="inlineStr">
        <is>
          <t>kilogram</t>
        </is>
      </c>
      <c r="F1328" t="inlineStr">
        <is>
          <t>technosphere</t>
        </is>
      </c>
      <c r="G1328" t="inlineStr">
        <is>
          <t>hazardous waste, for incineration</t>
        </is>
      </c>
      <c r="I1328" t="inlineStr">
        <is>
          <t>hazardous waste, for incineration</t>
        </is>
      </c>
    </row>
    <row r="1329">
      <c r="A1329" t="inlineStr">
        <is>
          <t>market group for electricity, medium voltage</t>
        </is>
      </c>
      <c r="B1329">
        <v>1</v>
      </c>
      <c r="C1329" t="inlineStr">
        <is>
          <t>GLO</t>
        </is>
      </c>
      <c r="D1329" t="inlineStr">
        <is>
          <t>kilowatt hour</t>
        </is>
      </c>
      <c r="F1329" t="inlineStr">
        <is>
          <t>technosphere</t>
        </is>
      </c>
      <c r="G1329" t="inlineStr">
        <is>
          <t>electricity, medium voltage</t>
        </is>
      </c>
      <c r="I1329" t="inlineStr">
        <is>
          <t>electricity, medium voltage</t>
        </is>
      </c>
    </row>
    <row r="1330">
      <c r="A1330" t="inlineStr">
        <is>
          <t>market for heat, district or industrial, natural gas</t>
        </is>
      </c>
      <c r="B1330">
        <v>5</v>
      </c>
      <c r="C1330" t="inlineStr">
        <is>
          <t>RoW</t>
        </is>
      </c>
      <c r="D1330" t="inlineStr">
        <is>
          <t>megajoule</t>
        </is>
      </c>
      <c r="F1330" t="inlineStr">
        <is>
          <t>technosphere</t>
        </is>
      </c>
      <c r="G1330" t="inlineStr">
        <is>
          <t>heat, district or industrial, natural gas</t>
        </is>
      </c>
      <c r="I1330" t="inlineStr">
        <is>
          <t>heat, district or industrial, natural gas</t>
        </is>
      </c>
    </row>
    <row r="1333">
      <c r="A1333" t="inlineStr">
        <is>
          <t>Activity</t>
        </is>
      </c>
      <c r="B1333" t="inlineStr">
        <is>
          <t xml:space="preserve">capacitor production, class 2, 1206</t>
        </is>
      </c>
    </row>
    <row r="1334">
      <c r="A1334" t="inlineStr">
        <is>
          <t>location</t>
        </is>
      </c>
      <c r="B1334" t="inlineStr">
        <is>
          <t>GLO</t>
        </is>
      </c>
    </row>
    <row r="1335">
      <c r="A1335" t="inlineStr">
        <is>
          <t>production amount</t>
        </is>
      </c>
      <c r="B1335">
        <v>1</v>
      </c>
    </row>
    <row r="1336">
      <c r="A1336" t="inlineStr">
        <is>
          <t>reference product</t>
        </is>
      </c>
      <c r="B1336" t="inlineStr">
        <is>
          <t xml:space="preserve">capacitor, class 2, 1206</t>
        </is>
      </c>
    </row>
    <row r="1337">
      <c r="A1337" t="inlineStr">
        <is>
          <t>unit</t>
        </is>
      </c>
      <c r="B1337" t="inlineStr">
        <is>
          <t>kilogram</t>
        </is>
      </c>
    </row>
    <row r="1338">
      <c r="A1338" t="inlineStr">
        <is>
          <t>source</t>
        </is>
      </c>
      <c r="B1338"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339">
      <c r="A1339" t="inlineStr">
        <is>
          <t>comment</t>
        </is>
      </c>
      <c r="B1339" t="inlineStr">
        <is>
          <t xml:space="preserve">Nomenclature revision, 2026-10-19. Former activity name: capacitor, Class2, 1206, declared material engineering reference. Former reference product: capacitor, Class2, 1206, declared material engineering reference. Activity/product labels and supplier references only; coefficients, formulas, uncertainty, declared output and unit are unchanged. Original engineering assumptions, functional-unit basis and limitations remain below.
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40">
      <c r="A1340" t="inlineStr">
        <is>
          <t xml:space="preserve">type</t>
        </is>
      </c>
      <c r="B1340" t="inlineStr">
        <is>
          <t xml:space="preserve">processwithreferenceproduct</t>
        </is>
      </c>
    </row>
    <row r="1341">
      <c r="A1341" t="inlineStr">
        <is>
          <t>Exchanges</t>
        </is>
      </c>
    </row>
    <row r="1342">
      <c r="A1342" t="inlineStr">
        <is>
          <t>name</t>
        </is>
      </c>
      <c r="B1342" t="inlineStr">
        <is>
          <t>amount</t>
        </is>
      </c>
      <c r="C1342" t="inlineStr">
        <is>
          <t>location</t>
        </is>
      </c>
      <c r="D1342" t="inlineStr">
        <is>
          <t>unit</t>
        </is>
      </c>
      <c r="E1342" t="inlineStr">
        <is>
          <t>categories</t>
        </is>
      </c>
      <c r="F1342" t="inlineStr">
        <is>
          <t>type</t>
        </is>
      </c>
      <c r="G1342" t="inlineStr">
        <is>
          <t>reference product</t>
        </is>
      </c>
      <c r="H1342" t="inlineStr">
        <is>
          <t>comment</t>
        </is>
      </c>
      <c r="I1342" t="inlineStr">
        <is>
          <t>product</t>
        </is>
      </c>
    </row>
    <row r="1343">
      <c r="A1343" t="inlineStr">
        <is>
          <t xml:space="preserve">capacitor production, class 2, 1206</t>
        </is>
      </c>
      <c r="B1343">
        <v>1</v>
      </c>
      <c r="C1343" t="inlineStr">
        <is>
          <t>GLO</t>
        </is>
      </c>
      <c r="D1343" t="inlineStr">
        <is>
          <t>kilogram</t>
        </is>
      </c>
      <c r="F1343" t="inlineStr">
        <is>
          <t>production</t>
        </is>
      </c>
      <c r="G1343" t="inlineStr">
        <is>
          <t xml:space="preserve">capacitor, class 2, 1206</t>
        </is>
      </c>
      <c r="I1343" t="inlineStr">
        <is>
          <t xml:space="preserve">capacitor, class 2, 1206</t>
        </is>
      </c>
    </row>
    <row r="1344">
      <c r="A1344" t="inlineStr">
        <is>
          <t xml:space="preserve">barium titanate production, for capacitors</t>
        </is>
      </c>
      <c r="B1344">
        <v>0.8785586942318979</v>
      </c>
      <c r="C1344" t="inlineStr">
        <is>
          <t>GLO</t>
        </is>
      </c>
      <c r="D1344" t="inlineStr">
        <is>
          <t>kilogram</t>
        </is>
      </c>
      <c r="F1344" t="inlineStr">
        <is>
          <t>technosphere</t>
        </is>
      </c>
      <c r="G1344" t="inlineStr">
        <is>
          <t xml:space="preserve">barium titanate, for capacitors</t>
        </is>
      </c>
      <c r="I1344" t="inlineStr">
        <is>
          <t xml:space="preserve">barium titanate, for capacitors</t>
        </is>
      </c>
    </row>
    <row r="1345">
      <c r="A1345" t="inlineStr">
        <is>
          <t>market for nickel, class 1</t>
        </is>
      </c>
      <c r="B1345">
        <v>0.10342498366682538</v>
      </c>
      <c r="C1345" t="inlineStr">
        <is>
          <t>GLO</t>
        </is>
      </c>
      <c r="D1345" t="inlineStr">
        <is>
          <t>kilogram</t>
        </is>
      </c>
      <c r="F1345" t="inlineStr">
        <is>
          <t>technosphere</t>
        </is>
      </c>
      <c r="G1345" t="inlineStr">
        <is>
          <t>nickel, class 1</t>
        </is>
      </c>
      <c r="I1345" t="inlineStr">
        <is>
          <t>nickel, class 1</t>
        </is>
      </c>
    </row>
    <row r="1346">
      <c r="A1346" t="inlineStr">
        <is>
          <t>market for copper, cathode</t>
        </is>
      </c>
      <c r="B1346">
        <v>0.04274308746830256</v>
      </c>
      <c r="C1346" t="inlineStr">
        <is>
          <t>GLO</t>
        </is>
      </c>
      <c r="D1346" t="inlineStr">
        <is>
          <t>kilogram</t>
        </is>
      </c>
      <c r="F1346" t="inlineStr">
        <is>
          <t>technosphere</t>
        </is>
      </c>
      <c r="G1346" t="inlineStr">
        <is>
          <t>copper, cathode</t>
        </is>
      </c>
      <c r="I1346" t="inlineStr">
        <is>
          <t>copper, cathode</t>
        </is>
      </c>
    </row>
    <row r="1347">
      <c r="A1347" t="inlineStr">
        <is>
          <t>market for tin</t>
        </is>
      </c>
      <c r="B1347">
        <v>0.013952406790171306</v>
      </c>
      <c r="C1347" t="inlineStr">
        <is>
          <t>GLO</t>
        </is>
      </c>
      <c r="D1347" t="inlineStr">
        <is>
          <t>kilogram</t>
        </is>
      </c>
      <c r="F1347" t="inlineStr">
        <is>
          <t>technosphere</t>
        </is>
      </c>
      <c r="G1347" t="inlineStr">
        <is>
          <t>tin</t>
        </is>
      </c>
      <c r="I1347" t="inlineStr">
        <is>
          <t>tin</t>
        </is>
      </c>
    </row>
    <row r="1348">
      <c r="A1348" t="inlineStr">
        <is>
          <t>market for hazardous waste, for incineration</t>
        </is>
      </c>
      <c r="B1348">
        <v>-0.05193395860785979</v>
      </c>
      <c r="C1348" t="inlineStr">
        <is>
          <t>RoW</t>
        </is>
      </c>
      <c r="D1348" t="inlineStr">
        <is>
          <t>kilogram</t>
        </is>
      </c>
      <c r="F1348" t="inlineStr">
        <is>
          <t>technosphere</t>
        </is>
      </c>
      <c r="G1348" t="inlineStr">
        <is>
          <t>hazardous waste, for incineration</t>
        </is>
      </c>
      <c r="I1348" t="inlineStr">
        <is>
          <t>hazardous waste, for incineration</t>
        </is>
      </c>
    </row>
    <row r="1349">
      <c r="A1349" t="inlineStr">
        <is>
          <t>market group for electricity, medium voltage</t>
        </is>
      </c>
      <c r="B1349">
        <v>1</v>
      </c>
      <c r="C1349" t="inlineStr">
        <is>
          <t>GLO</t>
        </is>
      </c>
      <c r="D1349" t="inlineStr">
        <is>
          <t>kilowatt hour</t>
        </is>
      </c>
      <c r="F1349" t="inlineStr">
        <is>
          <t>technosphere</t>
        </is>
      </c>
      <c r="G1349" t="inlineStr">
        <is>
          <t>electricity, medium voltage</t>
        </is>
      </c>
      <c r="I1349" t="inlineStr">
        <is>
          <t>electricity, medium voltage</t>
        </is>
      </c>
    </row>
    <row r="1350">
      <c r="A1350" t="inlineStr">
        <is>
          <t>market for heat, district or industrial, natural gas</t>
        </is>
      </c>
      <c r="B1350">
        <v>5</v>
      </c>
      <c r="C1350" t="inlineStr">
        <is>
          <t>RoW</t>
        </is>
      </c>
      <c r="D1350" t="inlineStr">
        <is>
          <t>megajoule</t>
        </is>
      </c>
      <c r="F1350" t="inlineStr">
        <is>
          <t>technosphere</t>
        </is>
      </c>
      <c r="G1350" t="inlineStr">
        <is>
          <t>heat, district or industrial, natural gas</t>
        </is>
      </c>
      <c r="I1350" t="inlineStr">
        <is>
          <t>heat, district or industrial, natural gas</t>
        </is>
      </c>
    </row>
    <row r="1353">
      <c r="A1353" t="inlineStr">
        <is>
          <t>Activity</t>
        </is>
      </c>
      <c r="B1353" t="inlineStr">
        <is>
          <t xml:space="preserve">capacitor production, flexible, class 2, 0805</t>
        </is>
      </c>
    </row>
    <row r="1354">
      <c r="A1354" t="inlineStr">
        <is>
          <t>location</t>
        </is>
      </c>
      <c r="B1354" t="inlineStr">
        <is>
          <t>GLO</t>
        </is>
      </c>
    </row>
    <row r="1355">
      <c r="A1355" t="inlineStr">
        <is>
          <t>production amount</t>
        </is>
      </c>
      <c r="B1355">
        <v>1</v>
      </c>
    </row>
    <row r="1356">
      <c r="A1356" t="inlineStr">
        <is>
          <t>reference product</t>
        </is>
      </c>
      <c r="B1356" t="inlineStr">
        <is>
          <t xml:space="preserve">capacitor, flexible, class 2, 0805</t>
        </is>
      </c>
    </row>
    <row r="1357">
      <c r="A1357" t="inlineStr">
        <is>
          <t>unit</t>
        </is>
      </c>
      <c r="B1357" t="inlineStr">
        <is>
          <t>kilogram</t>
        </is>
      </c>
    </row>
    <row r="1358">
      <c r="A1358" t="inlineStr">
        <is>
          <t>source</t>
        </is>
      </c>
      <c r="B1358"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359">
      <c r="A1359" t="inlineStr">
        <is>
          <t>comment</t>
        </is>
      </c>
      <c r="B1359" t="inlineStr">
        <is>
          <t xml:space="preserve">Nomenclature revision, 2026-10-19. Former activity name: capacitor, flex Class2, 0805, declared material engineering reference. Former reference product: capacitor, flex Class2, 0805, declared material engineering reference. Activity/product labels and supplier references only; coefficients, formulas, uncertainty, declared output and unit are unchanged. Original engineering assumptions, functional-unit basis and limitations remain below.
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60">
      <c r="A1360" t="inlineStr">
        <is>
          <t xml:space="preserve">type</t>
        </is>
      </c>
      <c r="B1360" t="inlineStr">
        <is>
          <t xml:space="preserve">processwithreferenceproduct</t>
        </is>
      </c>
    </row>
    <row r="1361">
      <c r="A1361" t="inlineStr">
        <is>
          <t>Exchanges</t>
        </is>
      </c>
    </row>
    <row r="1362">
      <c r="A1362" t="inlineStr">
        <is>
          <t>name</t>
        </is>
      </c>
      <c r="B1362" t="inlineStr">
        <is>
          <t>amount</t>
        </is>
      </c>
      <c r="C1362" t="inlineStr">
        <is>
          <t>location</t>
        </is>
      </c>
      <c r="D1362" t="inlineStr">
        <is>
          <t>unit</t>
        </is>
      </c>
      <c r="E1362" t="inlineStr">
        <is>
          <t>categories</t>
        </is>
      </c>
      <c r="F1362" t="inlineStr">
        <is>
          <t>type</t>
        </is>
      </c>
      <c r="G1362" t="inlineStr">
        <is>
          <t>reference product</t>
        </is>
      </c>
      <c r="H1362" t="inlineStr">
        <is>
          <t>comment</t>
        </is>
      </c>
      <c r="I1362" t="inlineStr">
        <is>
          <t>product</t>
        </is>
      </c>
    </row>
    <row r="1363">
      <c r="A1363" t="inlineStr">
        <is>
          <t xml:space="preserve">capacitor production, flexible, class 2, 0805</t>
        </is>
      </c>
      <c r="B1363">
        <v>1</v>
      </c>
      <c r="C1363" t="inlineStr">
        <is>
          <t>GLO</t>
        </is>
      </c>
      <c r="D1363" t="inlineStr">
        <is>
          <t>kilogram</t>
        </is>
      </c>
      <c r="F1363" t="inlineStr">
        <is>
          <t>production</t>
        </is>
      </c>
      <c r="G1363" t="inlineStr">
        <is>
          <t xml:space="preserve">capacitor, flexible, class 2, 0805</t>
        </is>
      </c>
      <c r="I1363" t="inlineStr">
        <is>
          <t xml:space="preserve">capacitor, flexible, class 2, 0805</t>
        </is>
      </c>
    </row>
    <row r="1364">
      <c r="A1364" t="inlineStr">
        <is>
          <t xml:space="preserve">barium titanate production, for capacitors</t>
        </is>
      </c>
      <c r="B1364">
        <v>0.8811697139527788</v>
      </c>
      <c r="C1364" t="inlineStr">
        <is>
          <t>GLO</t>
        </is>
      </c>
      <c r="D1364" t="inlineStr">
        <is>
          <t>kilogram</t>
        </is>
      </c>
      <c r="F1364" t="inlineStr">
        <is>
          <t>technosphere</t>
        </is>
      </c>
      <c r="G1364" t="inlineStr">
        <is>
          <t xml:space="preserve">barium titanate, for capacitors</t>
        </is>
      </c>
      <c r="I1364" t="inlineStr">
        <is>
          <t xml:space="preserve">barium titanate, for capacitors</t>
        </is>
      </c>
    </row>
    <row r="1365">
      <c r="A1365" t="inlineStr">
        <is>
          <t>market for nickel, class 1</t>
        </is>
      </c>
      <c r="B1365">
        <v>0.0632577754348972</v>
      </c>
      <c r="C1365" t="inlineStr">
        <is>
          <t>GLO</t>
        </is>
      </c>
      <c r="D1365" t="inlineStr">
        <is>
          <t>kilogram</t>
        </is>
      </c>
      <c r="F1365" t="inlineStr">
        <is>
          <t>technosphere</t>
        </is>
      </c>
      <c r="G1365" t="inlineStr">
        <is>
          <t>nickel, class 1</t>
        </is>
      </c>
      <c r="I1365" t="inlineStr">
        <is>
          <t>nickel, class 1</t>
        </is>
      </c>
    </row>
    <row r="1366">
      <c r="A1366" t="inlineStr">
        <is>
          <t>market for copper, cathode</t>
        </is>
      </c>
      <c r="B1366">
        <v>0.03717781538717643</v>
      </c>
      <c r="C1366" t="inlineStr">
        <is>
          <t>GLO</t>
        </is>
      </c>
      <c r="D1366" t="inlineStr">
        <is>
          <t>kilogram</t>
        </is>
      </c>
      <c r="F1366" t="inlineStr">
        <is>
          <t>technosphere</t>
        </is>
      </c>
      <c r="G1366" t="inlineStr">
        <is>
          <t>copper, cathode</t>
        </is>
      </c>
      <c r="I1366" t="inlineStr">
        <is>
          <t>copper, cathode</t>
        </is>
      </c>
    </row>
    <row r="1367">
      <c r="A1367" t="inlineStr">
        <is>
          <t>market for silver</t>
        </is>
      </c>
      <c r="B1367">
        <v>0.024970174513775215</v>
      </c>
      <c r="C1367" t="inlineStr">
        <is>
          <t>GLO</t>
        </is>
      </c>
      <c r="D1367" t="inlineStr">
        <is>
          <t>kilogram</t>
        </is>
      </c>
      <c r="F1367" t="inlineStr">
        <is>
          <t>technosphere</t>
        </is>
      </c>
      <c r="G1367" t="inlineStr">
        <is>
          <t>silver</t>
        </is>
      </c>
      <c r="I1367" t="inlineStr">
        <is>
          <t>silver</t>
        </is>
      </c>
    </row>
    <row r="1368">
      <c r="A1368" t="inlineStr">
        <is>
          <t>market for tin</t>
        </is>
      </c>
      <c r="B1368">
        <v>0.027744638348639127</v>
      </c>
      <c r="C1368" t="inlineStr">
        <is>
          <t>GLO</t>
        </is>
      </c>
      <c r="D1368" t="inlineStr">
        <is>
          <t>kilogram</t>
        </is>
      </c>
      <c r="F1368" t="inlineStr">
        <is>
          <t>technosphere</t>
        </is>
      </c>
      <c r="G1368" t="inlineStr">
        <is>
          <t>tin</t>
        </is>
      </c>
      <c r="I1368" t="inlineStr">
        <is>
          <t>tin</t>
        </is>
      </c>
    </row>
    <row r="1369">
      <c r="A1369" t="inlineStr">
        <is>
          <t>market for hazardous waste, for incineration</t>
        </is>
      </c>
      <c r="B1369">
        <v>-0.05171600588186328</v>
      </c>
      <c r="C1369" t="inlineStr">
        <is>
          <t>RoW</t>
        </is>
      </c>
      <c r="D1369" t="inlineStr">
        <is>
          <t>kilogram</t>
        </is>
      </c>
      <c r="F1369" t="inlineStr">
        <is>
          <t>technosphere</t>
        </is>
      </c>
      <c r="G1369" t="inlineStr">
        <is>
          <t>hazardous waste, for incineration</t>
        </is>
      </c>
      <c r="I1369" t="inlineStr">
        <is>
          <t>hazardous waste, for incineration</t>
        </is>
      </c>
    </row>
    <row r="1370">
      <c r="A1370" t="inlineStr">
        <is>
          <t>market group for electricity, medium voltage</t>
        </is>
      </c>
      <c r="B1370">
        <v>1</v>
      </c>
      <c r="C1370" t="inlineStr">
        <is>
          <t>GLO</t>
        </is>
      </c>
      <c r="D1370" t="inlineStr">
        <is>
          <t>kilowatt hour</t>
        </is>
      </c>
      <c r="F1370" t="inlineStr">
        <is>
          <t>technosphere</t>
        </is>
      </c>
      <c r="G1370" t="inlineStr">
        <is>
          <t>electricity, medium voltage</t>
        </is>
      </c>
      <c r="I1370" t="inlineStr">
        <is>
          <t>electricity, medium voltage</t>
        </is>
      </c>
    </row>
    <row r="1371">
      <c r="A1371" t="inlineStr">
        <is>
          <t>market for heat, district or industrial, natural gas</t>
        </is>
      </c>
      <c r="B1371">
        <v>5</v>
      </c>
      <c r="C1371" t="inlineStr">
        <is>
          <t>RoW</t>
        </is>
      </c>
      <c r="D1371" t="inlineStr">
        <is>
          <t>megajoule</t>
        </is>
      </c>
      <c r="F1371" t="inlineStr">
        <is>
          <t>technosphere</t>
        </is>
      </c>
      <c r="G1371" t="inlineStr">
        <is>
          <t>heat, district or industrial, natural gas</t>
        </is>
      </c>
      <c r="I1371" t="inlineStr">
        <is>
          <t>heat, district or industrial, natural gas</t>
        </is>
      </c>
    </row>
    <row r="1374">
      <c r="A1374" t="inlineStr">
        <is>
          <t>Activity</t>
        </is>
      </c>
      <c r="B1374" t="inlineStr">
        <is>
          <t xml:space="preserve">capacitor production, c0g, 0402</t>
        </is>
      </c>
    </row>
    <row r="1375">
      <c r="A1375" t="inlineStr">
        <is>
          <t>location</t>
        </is>
      </c>
      <c r="B1375" t="inlineStr">
        <is>
          <t>GLO</t>
        </is>
      </c>
    </row>
    <row r="1376">
      <c r="A1376" t="inlineStr">
        <is>
          <t>production amount</t>
        </is>
      </c>
      <c r="B1376">
        <v>1</v>
      </c>
    </row>
    <row r="1377">
      <c r="A1377" t="inlineStr">
        <is>
          <t>reference product</t>
        </is>
      </c>
      <c r="B1377" t="inlineStr">
        <is>
          <t xml:space="preserve">capacitor, C0G, 0402</t>
        </is>
      </c>
    </row>
    <row r="1378">
      <c r="A1378" t="inlineStr">
        <is>
          <t>unit</t>
        </is>
      </c>
      <c r="B1378" t="inlineStr">
        <is>
          <t>kilogram</t>
        </is>
      </c>
    </row>
    <row r="1379">
      <c r="A1379" t="inlineStr">
        <is>
          <t>source</t>
        </is>
      </c>
      <c r="B1379"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380">
      <c r="A1380" t="inlineStr">
        <is>
          <t>comment</t>
        </is>
      </c>
      <c r="B1380" t="inlineStr">
        <is>
          <t xml:space="preserve">Nomenclature revision, 2026-10-19. Former activity name: capacitor, C0G, 0402, declared material engineering reference. Former reference product: capacitor, C0G, 0402, declared material engineering reference. Activity/product labels and supplier references only; coefficients, formulas, uncertainty, declared output and unit are unchanged. Original engineering assumptions, functional-unit basis and limitations remain below.
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81">
      <c r="A1381" t="inlineStr">
        <is>
          <t xml:space="preserve">type</t>
        </is>
      </c>
      <c r="B1381" t="inlineStr">
        <is>
          <t xml:space="preserve">processwithreferenceproduct</t>
        </is>
      </c>
    </row>
    <row r="1382">
      <c r="A1382" t="inlineStr">
        <is>
          <t>Exchanges</t>
        </is>
      </c>
    </row>
    <row r="1383">
      <c r="A1383" t="inlineStr">
        <is>
          <t>name</t>
        </is>
      </c>
      <c r="B1383" t="inlineStr">
        <is>
          <t>amount</t>
        </is>
      </c>
      <c r="C1383" t="inlineStr">
        <is>
          <t>location</t>
        </is>
      </c>
      <c r="D1383" t="inlineStr">
        <is>
          <t>unit</t>
        </is>
      </c>
      <c r="E1383" t="inlineStr">
        <is>
          <t>categories</t>
        </is>
      </c>
      <c r="F1383" t="inlineStr">
        <is>
          <t>type</t>
        </is>
      </c>
      <c r="G1383" t="inlineStr">
        <is>
          <t>reference product</t>
        </is>
      </c>
      <c r="H1383" t="inlineStr">
        <is>
          <t>comment</t>
        </is>
      </c>
      <c r="I1383" t="inlineStr">
        <is>
          <t>product</t>
        </is>
      </c>
    </row>
    <row r="1384">
      <c r="A1384" t="inlineStr">
        <is>
          <t xml:space="preserve">capacitor production, c0g, 0402</t>
        </is>
      </c>
      <c r="B1384">
        <v>1</v>
      </c>
      <c r="C1384" t="inlineStr">
        <is>
          <t>GLO</t>
        </is>
      </c>
      <c r="D1384" t="inlineStr">
        <is>
          <t>kilogram</t>
        </is>
      </c>
      <c r="F1384" t="inlineStr">
        <is>
          <t>production</t>
        </is>
      </c>
      <c r="G1384" t="inlineStr">
        <is>
          <t xml:space="preserve">capacitor, C0G, 0402</t>
        </is>
      </c>
      <c r="I1384" t="inlineStr">
        <is>
          <t xml:space="preserve">capacitor, C0G, 0402</t>
        </is>
      </c>
    </row>
    <row r="1385">
      <c r="A1385" t="inlineStr">
        <is>
          <t xml:space="preserve">calcium zirconate production, for capacitors</t>
        </is>
      </c>
      <c r="B1385">
        <v>0.780701754385965</v>
      </c>
      <c r="C1385" t="inlineStr">
        <is>
          <t>GLO</t>
        </is>
      </c>
      <c r="D1385" t="inlineStr">
        <is>
          <t>kilogram</t>
        </is>
      </c>
      <c r="F1385" t="inlineStr">
        <is>
          <t>technosphere</t>
        </is>
      </c>
      <c r="G1385" t="inlineStr">
        <is>
          <t xml:space="preserve">calcium zirconate, for capacitors</t>
        </is>
      </c>
      <c r="I1385" t="inlineStr">
        <is>
          <t xml:space="preserve">calcium zirconate, for capacitors</t>
        </is>
      </c>
    </row>
    <row r="1386">
      <c r="A1386" t="inlineStr">
        <is>
          <t>market for nickel, class 1</t>
        </is>
      </c>
      <c r="B1386">
        <v>0.07894736842105263</v>
      </c>
      <c r="C1386" t="inlineStr">
        <is>
          <t>GLO</t>
        </is>
      </c>
      <c r="D1386" t="inlineStr">
        <is>
          <t>kilogram</t>
        </is>
      </c>
      <c r="F1386" t="inlineStr">
        <is>
          <t>technosphere</t>
        </is>
      </c>
      <c r="G1386" t="inlineStr">
        <is>
          <t>nickel, class 1</t>
        </is>
      </c>
      <c r="I1386" t="inlineStr">
        <is>
          <t>nickel, class 1</t>
        </is>
      </c>
    </row>
    <row r="1387">
      <c r="A1387" t="inlineStr">
        <is>
          <t>market for copper, cathode</t>
        </is>
      </c>
      <c r="B1387">
        <v>0.008771929824561403</v>
      </c>
      <c r="C1387" t="inlineStr">
        <is>
          <t>GLO</t>
        </is>
      </c>
      <c r="D1387" t="inlineStr">
        <is>
          <t>kilogram</t>
        </is>
      </c>
      <c r="F1387" t="inlineStr">
        <is>
          <t>technosphere</t>
        </is>
      </c>
      <c r="G1387" t="inlineStr">
        <is>
          <t>copper, cathode</t>
        </is>
      </c>
      <c r="I1387" t="inlineStr">
        <is>
          <t>copper, cathode</t>
        </is>
      </c>
    </row>
    <row r="1388">
      <c r="A1388" t="inlineStr">
        <is>
          <t>market for tin</t>
        </is>
      </c>
      <c r="B1388">
        <v>0.04385964912280702</v>
      </c>
      <c r="C1388" t="inlineStr">
        <is>
          <t>GLO</t>
        </is>
      </c>
      <c r="D1388" t="inlineStr">
        <is>
          <t>kilogram</t>
        </is>
      </c>
      <c r="F1388" t="inlineStr">
        <is>
          <t>technosphere</t>
        </is>
      </c>
      <c r="G1388" t="inlineStr">
        <is>
          <t>tin</t>
        </is>
      </c>
      <c r="I1388" t="inlineStr">
        <is>
          <t>tin</t>
        </is>
      </c>
    </row>
    <row r="1389">
      <c r="A1389" t="inlineStr">
        <is>
          <t>market for hazardous waste, for incineration</t>
        </is>
      </c>
      <c r="B1389">
        <v>-0.045614035087719246</v>
      </c>
      <c r="C1389" t="inlineStr">
        <is>
          <t>RoW</t>
        </is>
      </c>
      <c r="D1389" t="inlineStr">
        <is>
          <t>kilogram</t>
        </is>
      </c>
      <c r="F1389" t="inlineStr">
        <is>
          <t>technosphere</t>
        </is>
      </c>
      <c r="G1389" t="inlineStr">
        <is>
          <t>hazardous waste, for incineration</t>
        </is>
      </c>
      <c r="I1389" t="inlineStr">
        <is>
          <t>hazardous waste, for incineration</t>
        </is>
      </c>
    </row>
    <row r="1390">
      <c r="A1390" t="inlineStr">
        <is>
          <t>market group for electricity, medium voltage</t>
        </is>
      </c>
      <c r="B1390">
        <v>1</v>
      </c>
      <c r="C1390" t="inlineStr">
        <is>
          <t>GLO</t>
        </is>
      </c>
      <c r="D1390" t="inlineStr">
        <is>
          <t>kilowatt hour</t>
        </is>
      </c>
      <c r="F1390" t="inlineStr">
        <is>
          <t>technosphere</t>
        </is>
      </c>
      <c r="G1390" t="inlineStr">
        <is>
          <t>electricity, medium voltage</t>
        </is>
      </c>
      <c r="I1390" t="inlineStr">
        <is>
          <t>electricity, medium voltage</t>
        </is>
      </c>
    </row>
    <row r="1391">
      <c r="A1391" t="inlineStr">
        <is>
          <t>market for heat, district or industrial, natural gas</t>
        </is>
      </c>
      <c r="B1391">
        <v>5</v>
      </c>
      <c r="C1391" t="inlineStr">
        <is>
          <t>RoW</t>
        </is>
      </c>
      <c r="D1391" t="inlineStr">
        <is>
          <t>megajoule</t>
        </is>
      </c>
      <c r="F1391" t="inlineStr">
        <is>
          <t>technosphere</t>
        </is>
      </c>
      <c r="G1391" t="inlineStr">
        <is>
          <t>heat, district or industrial, natural gas</t>
        </is>
      </c>
      <c r="I1391" t="inlineStr">
        <is>
          <t>heat, district or industrial, natural gas</t>
        </is>
      </c>
    </row>
    <row r="1394">
      <c r="A1394" t="inlineStr">
        <is>
          <t>Activity</t>
        </is>
      </c>
      <c r="B1394" t="inlineStr">
        <is>
          <t xml:space="preserve">capacitor assembly production, battery monitoring board, 134 capacitors</t>
        </is>
      </c>
    </row>
    <row r="1395">
      <c r="A1395" t="inlineStr">
        <is>
          <t>location</t>
        </is>
      </c>
      <c r="B1395" t="inlineStr">
        <is>
          <t>GLO</t>
        </is>
      </c>
    </row>
    <row r="1396">
      <c r="A1396" t="inlineStr">
        <is>
          <t>production amount</t>
        </is>
      </c>
      <c r="B1396">
        <v>1</v>
      </c>
    </row>
    <row r="1397">
      <c r="A1397" t="inlineStr">
        <is>
          <t>reference product</t>
        </is>
      </c>
      <c r="B1397" t="inlineStr">
        <is>
          <t xml:space="preserve">capacitor assembly, battery monitoring board, 134 capacitors</t>
        </is>
      </c>
    </row>
    <row r="1398">
      <c r="A1398" t="inlineStr">
        <is>
          <t>unit</t>
        </is>
      </c>
      <c r="B1398" t="inlineStr">
        <is>
          <t>unit</t>
        </is>
      </c>
    </row>
    <row r="1399">
      <c r="A1399" t="inlineStr">
        <is>
          <t>source</t>
        </is>
      </c>
      <c r="B1399"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400">
      <c r="A1400" t="inlineStr">
        <is>
          <t>comment</t>
        </is>
      </c>
      <c r="B1400" t="inlineStr">
        <is>
          <t xml:space="preserve">Nomenclature revision, 2026-10-19. Former activity name: capacitor set, 134 fitted battery monitor parts, engineering reference. Former reference product: capacitor set, 134 fitted battery monitor parts, engineering reference. Activity/product labels and supplier references only; coefficients, formulas, uncertainty, declared output and unit are unchanged. Original engineering assumptions, functional-unit basis and limitations remain below.
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401">
      <c r="A1401" t="inlineStr">
        <is>
          <t xml:space="preserve">type</t>
        </is>
      </c>
      <c r="B1401" t="inlineStr">
        <is>
          <t xml:space="preserve">processwithreferenceproduct</t>
        </is>
      </c>
    </row>
    <row r="1402">
      <c r="A1402" t="inlineStr">
        <is>
          <t>Exchanges</t>
        </is>
      </c>
    </row>
    <row r="1403">
      <c r="A1403" t="inlineStr">
        <is>
          <t>name</t>
        </is>
      </c>
      <c r="B1403" t="inlineStr">
        <is>
          <t>amount</t>
        </is>
      </c>
      <c r="C1403" t="inlineStr">
        <is>
          <t>location</t>
        </is>
      </c>
      <c r="D1403" t="inlineStr">
        <is>
          <t>unit</t>
        </is>
      </c>
      <c r="E1403" t="inlineStr">
        <is>
          <t>categories</t>
        </is>
      </c>
      <c r="F1403" t="inlineStr">
        <is>
          <t>type</t>
        </is>
      </c>
      <c r="G1403" t="inlineStr">
        <is>
          <t>reference product</t>
        </is>
      </c>
      <c r="H1403" t="inlineStr">
        <is>
          <t>comment</t>
        </is>
      </c>
      <c r="I1403" t="inlineStr">
        <is>
          <t>product</t>
        </is>
      </c>
    </row>
    <row r="1404">
      <c r="A1404" t="inlineStr">
        <is>
          <t xml:space="preserve">capacitor assembly production, battery monitoring board, 134 capacitors</t>
        </is>
      </c>
      <c r="B1404">
        <v>1</v>
      </c>
      <c r="C1404" t="inlineStr">
        <is>
          <t>GLO</t>
        </is>
      </c>
      <c r="D1404" t="inlineStr">
        <is>
          <t>unit</t>
        </is>
      </c>
      <c r="F1404" t="inlineStr">
        <is>
          <t>production</t>
        </is>
      </c>
      <c r="G1404" t="inlineStr">
        <is>
          <t xml:space="preserve">capacitor assembly, battery monitoring board, 134 capacitors</t>
        </is>
      </c>
      <c r="I1404" t="inlineStr">
        <is>
          <t xml:space="preserve">capacitor assembly, battery monitoring board, 134 capacitors</t>
        </is>
      </c>
    </row>
    <row r="1405">
      <c r="A1405" t="inlineStr">
        <is>
          <t xml:space="preserve">capacitor production, class 2, 0402</t>
        </is>
      </c>
      <c r="B1405">
        <v>7.809999999999999e-05</v>
      </c>
      <c r="C1405" t="inlineStr">
        <is>
          <t>GLO</t>
        </is>
      </c>
      <c r="D1405" t="inlineStr">
        <is>
          <t>kilogram</t>
        </is>
      </c>
      <c r="F1405" t="inlineStr">
        <is>
          <t>technosphere</t>
        </is>
      </c>
      <c r="G1405" t="inlineStr">
        <is>
          <t xml:space="preserve">capacitor, class 2, 0402</t>
        </is>
      </c>
      <c r="I1405" t="inlineStr">
        <is>
          <t xml:space="preserve">capacitor, class 2, 0402</t>
        </is>
      </c>
    </row>
    <row r="1406">
      <c r="A1406" t="inlineStr">
        <is>
          <t xml:space="preserve">capacitor production, class 2, 0603</t>
        </is>
      </c>
      <c r="B1406">
        <v>0.00016199999999999998</v>
      </c>
      <c r="C1406" t="inlineStr">
        <is>
          <t>GLO</t>
        </is>
      </c>
      <c r="D1406" t="inlineStr">
        <is>
          <t>kilogram</t>
        </is>
      </c>
      <c r="F1406" t="inlineStr">
        <is>
          <t>technosphere</t>
        </is>
      </c>
      <c r="G1406" t="inlineStr">
        <is>
          <t xml:space="preserve">capacitor, class 2, 0603</t>
        </is>
      </c>
      <c r="I1406" t="inlineStr">
        <is>
          <t xml:space="preserve">capacitor, class 2, 0603</t>
        </is>
      </c>
    </row>
    <row r="1407">
      <c r="A1407" t="inlineStr">
        <is>
          <t xml:space="preserve">capacitor production, class 2, 0805</t>
        </is>
      </c>
      <c r="B1407">
        <v>0.0007212399999999999</v>
      </c>
      <c r="C1407" t="inlineStr">
        <is>
          <t>GLO</t>
        </is>
      </c>
      <c r="D1407" t="inlineStr">
        <is>
          <t>kilogram</t>
        </is>
      </c>
      <c r="F1407" t="inlineStr">
        <is>
          <t>technosphere</t>
        </is>
      </c>
      <c r="G1407" t="inlineStr">
        <is>
          <t xml:space="preserve">capacitor, class 2, 0805</t>
        </is>
      </c>
      <c r="I1407" t="inlineStr">
        <is>
          <t xml:space="preserve">capacitor, class 2, 0805</t>
        </is>
      </c>
    </row>
    <row r="1408">
      <c r="A1408" t="inlineStr">
        <is>
          <t xml:space="preserve">capacitor production, class 2, 1206</t>
        </is>
      </c>
      <c r="B1408">
        <v>0.00028518</v>
      </c>
      <c r="C1408" t="inlineStr">
        <is>
          <t>GLO</t>
        </is>
      </c>
      <c r="D1408" t="inlineStr">
        <is>
          <t>kilogram</t>
        </is>
      </c>
      <c r="F1408" t="inlineStr">
        <is>
          <t>technosphere</t>
        </is>
      </c>
      <c r="G1408" t="inlineStr">
        <is>
          <t xml:space="preserve">capacitor, class 2, 1206</t>
        </is>
      </c>
      <c r="I1408" t="inlineStr">
        <is>
          <t xml:space="preserve">capacitor, class 2, 1206</t>
        </is>
      </c>
    </row>
    <row r="1409">
      <c r="A1409" t="inlineStr">
        <is>
          <t xml:space="preserve">capacitor production, flexible, class 2, 0805</t>
        </is>
      </c>
      <c r="B1409">
        <v>1.897e-05</v>
      </c>
      <c r="C1409" t="inlineStr">
        <is>
          <t>GLO</t>
        </is>
      </c>
      <c r="D1409" t="inlineStr">
        <is>
          <t>kilogram</t>
        </is>
      </c>
      <c r="F1409" t="inlineStr">
        <is>
          <t>technosphere</t>
        </is>
      </c>
      <c r="G1409" t="inlineStr">
        <is>
          <t xml:space="preserve">capacitor, flexible, class 2, 0805</t>
        </is>
      </c>
      <c r="I1409" t="inlineStr">
        <is>
          <t xml:space="preserve">capacitor, flexible, class 2, 0805</t>
        </is>
      </c>
    </row>
    <row r="1410">
      <c r="A1410" t="inlineStr">
        <is>
          <t xml:space="preserve">capacitor production, c0g, 0402</t>
        </is>
      </c>
      <c r="B1410">
        <v>8.12e-06</v>
      </c>
      <c r="C1410" t="inlineStr">
        <is>
          <t>GLO</t>
        </is>
      </c>
      <c r="D1410" t="inlineStr">
        <is>
          <t>kilogram</t>
        </is>
      </c>
      <c r="F1410" t="inlineStr">
        <is>
          <t>technosphere</t>
        </is>
      </c>
      <c r="G1410" t="inlineStr">
        <is>
          <t xml:space="preserve">capacitor, C0G, 0402</t>
        </is>
      </c>
      <c r="I1410" t="inlineStr">
        <is>
          <t xml:space="preserve">capacitor, C0G, 0402</t>
        </is>
      </c>
    </row>
    <row r="1413">
      <c r="A1413" t="inlineStr">
        <is>
          <t>Activity</t>
        </is>
      </c>
      <c r="B1413" t="inlineStr">
        <is>
          <t xml:space="preserve">ruthenium dioxide production, for resistor films</t>
        </is>
      </c>
    </row>
    <row r="1414">
      <c r="A1414" t="inlineStr">
        <is>
          <t>location</t>
        </is>
      </c>
      <c r="B1414" t="inlineStr">
        <is>
          <t>GLO</t>
        </is>
      </c>
    </row>
    <row r="1415">
      <c r="A1415" t="inlineStr">
        <is>
          <t>production amount</t>
        </is>
      </c>
      <c r="B1415">
        <v>1</v>
      </c>
    </row>
    <row r="1416">
      <c r="A1416" t="inlineStr">
        <is>
          <t>reference product</t>
        </is>
      </c>
      <c r="B1416" t="inlineStr">
        <is>
          <t xml:space="preserve">ruthenium dioxide, for resistor films</t>
        </is>
      </c>
    </row>
    <row r="1417">
      <c r="A1417" t="inlineStr">
        <is>
          <t>unit</t>
        </is>
      </c>
      <c r="B1417" t="inlineStr">
        <is>
          <t>kilogram</t>
        </is>
      </c>
    </row>
    <row r="1418">
      <c r="A1418" t="inlineStr">
        <is>
          <t>source</t>
        </is>
      </c>
      <c r="B1418" t="inlineStr">
        <is>
          <t>Bourns CR0603 Material Declaration,2022-08-01, https://www.bourns.com/docs/product-mds/cr0603_mds.pdf?sfvrsn=d79410bf_3 (manufacturer indexed declaration; direct download currently errors). Vishay CRCW...C doc28773 https://www.vishay.com/docs/28773/crcwce3.pdf package masses; TI TIDA020076 SLURB87 fitted BOM.</t>
        </is>
      </c>
    </row>
    <row r="1419">
      <c r="A1419" t="inlineStr">
        <is>
          <t>comment</t>
        </is>
      </c>
      <c r="B1419" t="inlineStr">
        <is>
          <t xml:space="preserve">Nomenclature revision, 2026-10-19. Former activity name: ruthenium dioxide, resistor film engineering reference. Former reference product: ruthenium dioxide, resistor film engineering reference. Activity/product labels and supplier references only; coefficients, formulas, uncertainty, declared output and unit are unchanged. Original engineering assumptions, functional-unit basis and limitations remain below.
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t>
        </is>
      </c>
    </row>
    <row r="1420">
      <c r="A1420" t="inlineStr">
        <is>
          <t xml:space="preserve">type</t>
        </is>
      </c>
      <c r="B1420" t="inlineStr">
        <is>
          <t xml:space="preserve">processwithreferenceproduct</t>
        </is>
      </c>
    </row>
    <row r="1421">
      <c r="A1421" t="inlineStr">
        <is>
          <t>Exchanges</t>
        </is>
      </c>
    </row>
    <row r="1422">
      <c r="A1422" t="inlineStr">
        <is>
          <t>name</t>
        </is>
      </c>
      <c r="B1422" t="inlineStr">
        <is>
          <t>amount</t>
        </is>
      </c>
      <c r="C1422" t="inlineStr">
        <is>
          <t>location</t>
        </is>
      </c>
      <c r="D1422" t="inlineStr">
        <is>
          <t>unit</t>
        </is>
      </c>
      <c r="E1422" t="inlineStr">
        <is>
          <t>categories</t>
        </is>
      </c>
      <c r="F1422" t="inlineStr">
        <is>
          <t>type</t>
        </is>
      </c>
      <c r="G1422" t="inlineStr">
        <is>
          <t>reference product</t>
        </is>
      </c>
      <c r="H1422" t="inlineStr">
        <is>
          <t>comment</t>
        </is>
      </c>
      <c r="I1422" t="inlineStr">
        <is>
          <t>product</t>
        </is>
      </c>
    </row>
    <row r="1423">
      <c r="A1423" t="inlineStr">
        <is>
          <t xml:space="preserve">ruthenium dioxide production, for resistor films</t>
        </is>
      </c>
      <c r="B1423">
        <v>1</v>
      </c>
      <c r="C1423" t="inlineStr">
        <is>
          <t>GLO</t>
        </is>
      </c>
      <c r="D1423" t="inlineStr">
        <is>
          <t>kilogram</t>
        </is>
      </c>
      <c r="F1423" t="inlineStr">
        <is>
          <t>production</t>
        </is>
      </c>
      <c r="G1423" t="inlineStr">
        <is>
          <t xml:space="preserve">ruthenium dioxide, for resistor films</t>
        </is>
      </c>
      <c r="I1423" t="inlineStr">
        <is>
          <t xml:space="preserve">ruthenium dioxide, for resistor films</t>
        </is>
      </c>
    </row>
    <row r="1424">
      <c r="A1424" t="inlineStr">
        <is>
          <t>platinum group metal, extraction and refinery operations</t>
        </is>
      </c>
      <c r="B1424">
        <v>0.759536477590405</v>
      </c>
      <c r="C1424" t="inlineStr">
        <is>
          <t>ZA</t>
        </is>
      </c>
      <c r="D1424" t="inlineStr">
        <is>
          <t>kilogram</t>
        </is>
      </c>
      <c r="F1424" t="inlineStr">
        <is>
          <t>technosphere</t>
        </is>
      </c>
      <c r="G1424" t="inlineStr">
        <is>
          <t>ruthenium</t>
        </is>
      </c>
      <c r="I1424" t="inlineStr">
        <is>
          <t>ruthenium</t>
        </is>
      </c>
    </row>
    <row r="1425">
      <c r="A1425" t="inlineStr">
        <is>
          <t>market for oxygen, liquid</t>
        </is>
      </c>
      <c r="B1425">
        <v>0.240463522409595</v>
      </c>
      <c r="C1425" t="inlineStr">
        <is>
          <t>RER</t>
        </is>
      </c>
      <c r="D1425" t="inlineStr">
        <is>
          <t>kilogram</t>
        </is>
      </c>
      <c r="F1425" t="inlineStr">
        <is>
          <t>technosphere</t>
        </is>
      </c>
      <c r="G1425" t="inlineStr">
        <is>
          <t>oxygen, liquid</t>
        </is>
      </c>
      <c r="I1425" t="inlineStr">
        <is>
          <t>oxygen, liquid</t>
        </is>
      </c>
    </row>
    <row r="1426">
      <c r="A1426" t="inlineStr">
        <is>
          <t>market for heat, district or industrial, natural gas</t>
        </is>
      </c>
      <c r="B1426">
        <v>3</v>
      </c>
      <c r="C1426" t="inlineStr">
        <is>
          <t>RoW</t>
        </is>
      </c>
      <c r="D1426" t="inlineStr">
        <is>
          <t>megajoule</t>
        </is>
      </c>
      <c r="F1426" t="inlineStr">
        <is>
          <t>technosphere</t>
        </is>
      </c>
      <c r="G1426" t="inlineStr">
        <is>
          <t>heat, district or industrial, natural gas</t>
        </is>
      </c>
      <c r="I1426" t="inlineStr">
        <is>
          <t>heat, district or industrial, natural gas</t>
        </is>
      </c>
    </row>
    <row r="1427">
      <c r="A1427" t="inlineStr">
        <is>
          <t>market group for electricity, medium voltage</t>
        </is>
      </c>
      <c r="B1427">
        <v>0.5</v>
      </c>
      <c r="C1427" t="inlineStr">
        <is>
          <t>GLO</t>
        </is>
      </c>
      <c r="D1427" t="inlineStr">
        <is>
          <t>kilowatt hour</t>
        </is>
      </c>
      <c r="F1427" t="inlineStr">
        <is>
          <t>technosphere</t>
        </is>
      </c>
      <c r="G1427" t="inlineStr">
        <is>
          <t>electricity, medium voltage</t>
        </is>
      </c>
      <c r="I1427" t="inlineStr">
        <is>
          <t>electricity, medium voltage</t>
        </is>
      </c>
    </row>
    <row r="1430">
      <c r="A1430" t="inlineStr">
        <is>
          <t>Activity</t>
        </is>
      </c>
      <c r="B1430" t="inlineStr">
        <is>
          <t xml:space="preserve">lead oxide production, for resistor glass</t>
        </is>
      </c>
    </row>
    <row r="1431">
      <c r="A1431" t="inlineStr">
        <is>
          <t>location</t>
        </is>
      </c>
      <c r="B1431" t="inlineStr">
        <is>
          <t>GLO</t>
        </is>
      </c>
    </row>
    <row r="1432">
      <c r="A1432" t="inlineStr">
        <is>
          <t>production amount</t>
        </is>
      </c>
      <c r="B1432">
        <v>1</v>
      </c>
    </row>
    <row r="1433">
      <c r="A1433" t="inlineStr">
        <is>
          <t>reference product</t>
        </is>
      </c>
      <c r="B1433" t="inlineStr">
        <is>
          <t xml:space="preserve">lead oxide, for resistor glass</t>
        </is>
      </c>
    </row>
    <row r="1434">
      <c r="A1434" t="inlineStr">
        <is>
          <t>unit</t>
        </is>
      </c>
      <c r="B1434" t="inlineStr">
        <is>
          <t>kilogram</t>
        </is>
      </c>
    </row>
    <row r="1435">
      <c r="A1435" t="inlineStr">
        <is>
          <t>source</t>
        </is>
      </c>
      <c r="B1435" t="inlineStr">
        <is>
          <t xml:space="preserve">Engineering calculation, not a published measured PbO manufacturing LCI: lead + oxygen at stoichiometry with a heat proxy (activity comment). Bourns CR0603 declaration supports the resistor composition analogue only, not PbO process performance: https://www.bourns.com/docs/product-mds/cr0603_mds.pdf?sfvrsn=d79410bf_3 . Lead-glass composition and processing remain engineering assumptions.</t>
        </is>
      </c>
    </row>
    <row r="1436">
      <c r="A1436" t="inlineStr">
        <is>
          <t>comment</t>
        </is>
      </c>
      <c r="B1436" t="inlineStr">
        <is>
          <t xml:space="preserve">Nomenclature revision, 2026-10-19. Former activity name: lead oxide, resistor glass engineering reference. Former reference product: lead oxide, resistor glass engineering reference. Activity/product labels and supplier references only; coefficients, formulas, uncertainty, declared output and unit are unchanged. Original engineering assumptions, functional-unit basis and limitations remain below.
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 PbO made from Pb and oxygen at stoichiometry; heat proxy, not measured lead-glass processing.</t>
        </is>
      </c>
    </row>
    <row r="1437">
      <c r="A1437" t="inlineStr">
        <is>
          <t xml:space="preserve">type</t>
        </is>
      </c>
      <c r="B1437" t="inlineStr">
        <is>
          <t xml:space="preserve">processwithreferenceproduct</t>
        </is>
      </c>
    </row>
    <row r="1438">
      <c r="A1438" t="inlineStr">
        <is>
          <t>Exchanges</t>
        </is>
      </c>
    </row>
    <row r="1439">
      <c r="A1439" t="inlineStr">
        <is>
          <t>name</t>
        </is>
      </c>
      <c r="B1439" t="inlineStr">
        <is>
          <t>amount</t>
        </is>
      </c>
      <c r="C1439" t="inlineStr">
        <is>
          <t>location</t>
        </is>
      </c>
      <c r="D1439" t="inlineStr">
        <is>
          <t>unit</t>
        </is>
      </c>
      <c r="E1439" t="inlineStr">
        <is>
          <t>categories</t>
        </is>
      </c>
      <c r="F1439" t="inlineStr">
        <is>
          <t>type</t>
        </is>
      </c>
      <c r="G1439" t="inlineStr">
        <is>
          <t>reference product</t>
        </is>
      </c>
      <c r="H1439" t="inlineStr">
        <is>
          <t>comment</t>
        </is>
      </c>
      <c r="I1439" t="inlineStr">
        <is>
          <t>product</t>
        </is>
      </c>
    </row>
    <row r="1440">
      <c r="A1440" t="inlineStr">
        <is>
          <t xml:space="preserve">lead oxide production, for resistor glass</t>
        </is>
      </c>
      <c r="B1440">
        <v>1</v>
      </c>
      <c r="C1440" t="inlineStr">
        <is>
          <t>GLO</t>
        </is>
      </c>
      <c r="D1440" t="inlineStr">
        <is>
          <t>kilogram</t>
        </is>
      </c>
      <c r="F1440" t="inlineStr">
        <is>
          <t>production</t>
        </is>
      </c>
      <c r="G1440" t="inlineStr">
        <is>
          <t xml:space="preserve">lead oxide, for resistor glass</t>
        </is>
      </c>
      <c r="I1440" t="inlineStr">
        <is>
          <t xml:space="preserve">lead oxide, for resistor glass</t>
        </is>
      </c>
    </row>
    <row r="1441">
      <c r="A1441" t="inlineStr">
        <is>
          <t>market for lead</t>
        </is>
      </c>
      <c r="B1441">
        <v>0.9283195713242441</v>
      </c>
      <c r="C1441" t="inlineStr">
        <is>
          <t>GLO</t>
        </is>
      </c>
      <c r="D1441" t="inlineStr">
        <is>
          <t>kilogram</t>
        </is>
      </c>
      <c r="F1441" t="inlineStr">
        <is>
          <t>technosphere</t>
        </is>
      </c>
      <c r="G1441" t="inlineStr">
        <is>
          <t>lead</t>
        </is>
      </c>
      <c r="I1441" t="inlineStr">
        <is>
          <t>lead</t>
        </is>
      </c>
    </row>
    <row r="1442">
      <c r="A1442" t="inlineStr">
        <is>
          <t>market for oxygen, liquid</t>
        </is>
      </c>
      <c r="B1442">
        <v>0.07168042867575572</v>
      </c>
      <c r="C1442" t="inlineStr">
        <is>
          <t>RER</t>
        </is>
      </c>
      <c r="D1442" t="inlineStr">
        <is>
          <t>kilogram</t>
        </is>
      </c>
      <c r="F1442" t="inlineStr">
        <is>
          <t>technosphere</t>
        </is>
      </c>
      <c r="G1442" t="inlineStr">
        <is>
          <t>oxygen, liquid</t>
        </is>
      </c>
      <c r="I1442" t="inlineStr">
        <is>
          <t>oxygen, liquid</t>
        </is>
      </c>
    </row>
    <row r="1443">
      <c r="A1443" t="inlineStr">
        <is>
          <t>market for heat, district or industrial, natural gas</t>
        </is>
      </c>
      <c r="B1443">
        <v>3</v>
      </c>
      <c r="C1443" t="inlineStr">
        <is>
          <t>RoW</t>
        </is>
      </c>
      <c r="D1443" t="inlineStr">
        <is>
          <t>megajoule</t>
        </is>
      </c>
      <c r="F1443" t="inlineStr">
        <is>
          <t>technosphere</t>
        </is>
      </c>
      <c r="G1443" t="inlineStr">
        <is>
          <t>heat, district or industrial, natural gas</t>
        </is>
      </c>
      <c r="I1443" t="inlineStr">
        <is>
          <t>heat, district or industrial, natural gas</t>
        </is>
      </c>
    </row>
    <row r="1446">
      <c r="A1446" t="inlineStr">
        <is>
          <t>Activity</t>
        </is>
      </c>
      <c r="B1446" t="inlineStr">
        <is>
          <t xml:space="preserve">thick-film resistor production</t>
        </is>
      </c>
    </row>
    <row r="1447">
      <c r="A1447" t="inlineStr">
        <is>
          <t>location</t>
        </is>
      </c>
      <c r="B1447" t="inlineStr">
        <is>
          <t>GLO</t>
        </is>
      </c>
    </row>
    <row r="1448">
      <c r="A1448" t="inlineStr">
        <is>
          <t>production amount</t>
        </is>
      </c>
      <c r="B1448">
        <v>1</v>
      </c>
    </row>
    <row r="1449">
      <c r="A1449" t="inlineStr">
        <is>
          <t>reference product</t>
        </is>
      </c>
      <c r="B1449" t="inlineStr">
        <is>
          <t xml:space="preserve">thick-film resistor</t>
        </is>
      </c>
    </row>
    <row r="1450">
      <c r="A1450" t="inlineStr">
        <is>
          <t>unit</t>
        </is>
      </c>
      <c r="B1450" t="inlineStr">
        <is>
          <t>kilogram</t>
        </is>
      </c>
    </row>
    <row r="1451">
      <c r="A1451" t="inlineStr">
        <is>
          <t>source</t>
        </is>
      </c>
      <c r="B1451" t="inlineStr">
        <is>
          <t>Bourns CR0603 Material Declaration,2022-08-01, https://www.bourns.com/docs/product-mds/cr0603_mds.pdf?sfvrsn=d79410bf_3 (manufacturer indexed declaration; direct download currently errors). Vishay CRCW...C doc28773 https://www.vishay.com/docs/28773/crcwce3.pdf package masses; TI TIDA020076 SLURB87 fitted BOM.</t>
        </is>
      </c>
    </row>
    <row r="1452">
      <c r="A1452" t="inlineStr">
        <is>
          <t>comment</t>
        </is>
      </c>
      <c r="B1452" t="inlineStr">
        <is>
          <t xml:space="preserve">Nomenclature revision, 2026-10-19. Former activity name: thick-film resistor, declared-material engineering reference. Former reference product: thick-film resistor, declared-material engineering reference. Activity/product labels and supplier references only; coefficients, formulas, uncertainty, declared output and unit are unchanged. Original engineering assumptions, functional-unit basis and limitations remain below.
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t>
        </is>
      </c>
    </row>
    <row r="1453">
      <c r="A1453" t="inlineStr">
        <is>
          <t xml:space="preserve">type</t>
        </is>
      </c>
      <c r="B1453" t="inlineStr">
        <is>
          <t xml:space="preserve">processwithreferenceproduct</t>
        </is>
      </c>
    </row>
    <row r="1454">
      <c r="A1454" t="inlineStr">
        <is>
          <t>Exchanges</t>
        </is>
      </c>
    </row>
    <row r="1455">
      <c r="A1455" t="inlineStr">
        <is>
          <t>name</t>
        </is>
      </c>
      <c r="B1455" t="inlineStr">
        <is>
          <t>amount</t>
        </is>
      </c>
      <c r="C1455" t="inlineStr">
        <is>
          <t>location</t>
        </is>
      </c>
      <c r="D1455" t="inlineStr">
        <is>
          <t>unit</t>
        </is>
      </c>
      <c r="E1455" t="inlineStr">
        <is>
          <t>categories</t>
        </is>
      </c>
      <c r="F1455" t="inlineStr">
        <is>
          <t>type</t>
        </is>
      </c>
      <c r="G1455" t="inlineStr">
        <is>
          <t>reference product</t>
        </is>
      </c>
      <c r="H1455" t="inlineStr">
        <is>
          <t>comment</t>
        </is>
      </c>
      <c r="I1455" t="inlineStr">
        <is>
          <t>product</t>
        </is>
      </c>
    </row>
    <row r="1456">
      <c r="A1456" t="inlineStr">
        <is>
          <t xml:space="preserve">thick-film resistor production</t>
        </is>
      </c>
      <c r="B1456">
        <v>1</v>
      </c>
      <c r="C1456" t="inlineStr">
        <is>
          <t>GLO</t>
        </is>
      </c>
      <c r="D1456" t="inlineStr">
        <is>
          <t>kilogram</t>
        </is>
      </c>
      <c r="F1456" t="inlineStr">
        <is>
          <t>production</t>
        </is>
      </c>
      <c r="G1456" t="inlineStr">
        <is>
          <t xml:space="preserve">thick-film resistor</t>
        </is>
      </c>
      <c r="I1456" t="inlineStr">
        <is>
          <t xml:space="preserve">thick-film resistor</t>
        </is>
      </c>
    </row>
    <row r="1457">
      <c r="A1457" t="inlineStr">
        <is>
          <t>market for aluminium oxide, non-metallurgical</t>
        </is>
      </c>
      <c r="B1457">
        <v>0.86834512207402</v>
      </c>
      <c r="C1457" t="inlineStr">
        <is>
          <t>IAI Area, EU27 &amp; EFTA</t>
        </is>
      </c>
      <c r="D1457" t="inlineStr">
        <is>
          <t>kilogram</t>
        </is>
      </c>
      <c r="F1457" t="inlineStr">
        <is>
          <t>technosphere</t>
        </is>
      </c>
      <c r="G1457" t="inlineStr">
        <is>
          <t>aluminium oxide, non-metallurgical</t>
        </is>
      </c>
      <c r="I1457" t="inlineStr">
        <is>
          <t>aluminium oxide, non-metallurgical</t>
        </is>
      </c>
    </row>
    <row r="1458">
      <c r="A1458" t="inlineStr">
        <is>
          <t>market for silica sand</t>
        </is>
      </c>
      <c r="B1458">
        <v>0.0381242158605055</v>
      </c>
      <c r="C1458" t="inlineStr">
        <is>
          <t>GLO</t>
        </is>
      </c>
      <c r="D1458" t="inlineStr">
        <is>
          <t>kilogram</t>
        </is>
      </c>
      <c r="F1458" t="inlineStr">
        <is>
          <t>technosphere</t>
        </is>
      </c>
      <c r="G1458" t="inlineStr">
        <is>
          <t>silica sand</t>
        </is>
      </c>
      <c r="I1458" t="inlineStr">
        <is>
          <t>silica sand</t>
        </is>
      </c>
    </row>
    <row r="1459">
      <c r="A1459" t="inlineStr">
        <is>
          <t>market for silver</t>
        </is>
      </c>
      <c r="B1459">
        <v>0.028665826622505382</v>
      </c>
      <c r="C1459" t="inlineStr">
        <is>
          <t>GLO</t>
        </is>
      </c>
      <c r="D1459" t="inlineStr">
        <is>
          <t>kilogram</t>
        </is>
      </c>
      <c r="F1459" t="inlineStr">
        <is>
          <t>technosphere</t>
        </is>
      </c>
      <c r="G1459" t="inlineStr">
        <is>
          <t>silver</t>
        </is>
      </c>
      <c r="I1459" t="inlineStr">
        <is>
          <t>silver</t>
        </is>
      </c>
    </row>
    <row r="1460">
      <c r="A1460" t="inlineStr">
        <is>
          <t>market for flat glass, uncoated</t>
        </is>
      </c>
      <c r="B1460">
        <v>0.0012165218361587303</v>
      </c>
      <c r="C1460" t="inlineStr">
        <is>
          <t>RER</t>
        </is>
      </c>
      <c r="D1460" t="inlineStr">
        <is>
          <t>kilogram</t>
        </is>
      </c>
      <c r="F1460" t="inlineStr">
        <is>
          <t>technosphere</t>
        </is>
      </c>
      <c r="G1460" t="inlineStr">
        <is>
          <t>flat glass, uncoated</t>
        </is>
      </c>
      <c r="I1460" t="inlineStr">
        <is>
          <t>flat glass, uncoated</t>
        </is>
      </c>
    </row>
    <row r="1461">
      <c r="A1461" t="inlineStr">
        <is>
          <t>market for epoxy resin, liquid</t>
        </is>
      </c>
      <c r="B1461">
        <v>0.018234219915578283</v>
      </c>
      <c r="C1461" t="inlineStr">
        <is>
          <t>RER</t>
        </is>
      </c>
      <c r="D1461" t="inlineStr">
        <is>
          <t>kilogram</t>
        </is>
      </c>
      <c r="F1461" t="inlineStr">
        <is>
          <t>technosphere</t>
        </is>
      </c>
      <c r="G1461" t="inlineStr">
        <is>
          <t>epoxy resin, liquid</t>
        </is>
      </c>
      <c r="I1461" t="inlineStr">
        <is>
          <t>epoxy resin, liquid</t>
        </is>
      </c>
    </row>
    <row r="1462">
      <c r="A1462" t="inlineStr">
        <is>
          <t>market for nickel, class 1</t>
        </is>
      </c>
      <c r="B1462">
        <v>0.048878595475191945</v>
      </c>
      <c r="C1462" t="inlineStr">
        <is>
          <t>GLO</t>
        </is>
      </c>
      <c r="D1462" t="inlineStr">
        <is>
          <t>kilogram</t>
        </is>
      </c>
      <c r="F1462" t="inlineStr">
        <is>
          <t>technosphere</t>
        </is>
      </c>
      <c r="G1462" t="inlineStr">
        <is>
          <t>nickel, class 1</t>
        </is>
      </c>
      <c r="I1462" t="inlineStr">
        <is>
          <t>nickel, class 1</t>
        </is>
      </c>
    </row>
    <row r="1463">
      <c r="A1463" t="inlineStr">
        <is>
          <t>market for chromium</t>
        </is>
      </c>
      <c r="B1463">
        <v>0.00027215253605340724</v>
      </c>
      <c r="C1463" t="inlineStr">
        <is>
          <t>GLO</t>
        </is>
      </c>
      <c r="D1463" t="inlineStr">
        <is>
          <t>kilogram</t>
        </is>
      </c>
      <c r="F1463" t="inlineStr">
        <is>
          <t>technosphere</t>
        </is>
      </c>
      <c r="G1463" t="inlineStr">
        <is>
          <t>chromium</t>
        </is>
      </c>
      <c r="I1463" t="inlineStr">
        <is>
          <t>chromium</t>
        </is>
      </c>
    </row>
    <row r="1464">
      <c r="A1464" t="inlineStr">
        <is>
          <t>market for tin</t>
        </is>
      </c>
      <c r="B1464">
        <v>0.04251022613154221</v>
      </c>
      <c r="C1464" t="inlineStr">
        <is>
          <t>GLO</t>
        </is>
      </c>
      <c r="D1464" t="inlineStr">
        <is>
          <t>kilogram</t>
        </is>
      </c>
      <c r="F1464" t="inlineStr">
        <is>
          <t>technosphere</t>
        </is>
      </c>
      <c r="G1464" t="inlineStr">
        <is>
          <t>tin</t>
        </is>
      </c>
      <c r="I1464" t="inlineStr">
        <is>
          <t>tin</t>
        </is>
      </c>
    </row>
    <row r="1465">
      <c r="A1465" t="inlineStr">
        <is>
          <t xml:space="preserve">lead oxide production, for resistor glass</t>
        </is>
      </c>
      <c r="B1465">
        <v>0.0008327867603234263</v>
      </c>
      <c r="C1465" t="inlineStr">
        <is>
          <t>GLO</t>
        </is>
      </c>
      <c r="D1465" t="inlineStr">
        <is>
          <t>kilogram</t>
        </is>
      </c>
      <c r="F1465" t="inlineStr">
        <is>
          <t>technosphere</t>
        </is>
      </c>
      <c r="G1465" t="inlineStr">
        <is>
          <t xml:space="preserve">lead oxide, for resistor glass</t>
        </is>
      </c>
      <c r="I1465" t="inlineStr">
        <is>
          <t xml:space="preserve">lead oxide, for resistor glass</t>
        </is>
      </c>
    </row>
    <row r="1466">
      <c r="A1466" t="inlineStr">
        <is>
          <t xml:space="preserve">ruthenium dioxide production, for resistor films</t>
        </is>
      </c>
      <c r="B1466">
        <v>0.003469944834680942</v>
      </c>
      <c r="C1466" t="inlineStr">
        <is>
          <t>GLO</t>
        </is>
      </c>
      <c r="D1466" t="inlineStr">
        <is>
          <t>kilogram</t>
        </is>
      </c>
      <c r="F1466" t="inlineStr">
        <is>
          <t>technosphere</t>
        </is>
      </c>
      <c r="G1466" t="inlineStr">
        <is>
          <t xml:space="preserve">ruthenium dioxide, for resistor films</t>
        </is>
      </c>
      <c r="I1466" t="inlineStr">
        <is>
          <t xml:space="preserve">ruthenium dioxide, for resistor films</t>
        </is>
      </c>
    </row>
    <row r="1467">
      <c r="A1467" t="inlineStr">
        <is>
          <t>market for palladium</t>
        </is>
      </c>
      <c r="B1467">
        <v>0.002081966900808565</v>
      </c>
      <c r="C1467" t="inlineStr">
        <is>
          <t>GLO</t>
        </is>
      </c>
      <c r="D1467" t="inlineStr">
        <is>
          <t>kilogram</t>
        </is>
      </c>
      <c r="F1467" t="inlineStr">
        <is>
          <t>technosphere</t>
        </is>
      </c>
      <c r="G1467" t="inlineStr">
        <is>
          <t>palladium</t>
        </is>
      </c>
      <c r="I1467" t="inlineStr">
        <is>
          <t>palladium</t>
        </is>
      </c>
    </row>
    <row r="1468">
      <c r="A1468" t="inlineStr">
        <is>
          <t>market for hazardous waste, for incineration</t>
        </is>
      </c>
      <c r="B1468">
        <v>-0.05263157894736836</v>
      </c>
      <c r="C1468" t="inlineStr">
        <is>
          <t>RoW</t>
        </is>
      </c>
      <c r="D1468" t="inlineStr">
        <is>
          <t>kilogram</t>
        </is>
      </c>
      <c r="F1468" t="inlineStr">
        <is>
          <t>technosphere</t>
        </is>
      </c>
      <c r="G1468" t="inlineStr">
        <is>
          <t>hazardous waste, for incineration</t>
        </is>
      </c>
      <c r="I1468" t="inlineStr">
        <is>
          <t>hazardous waste, for incineration</t>
        </is>
      </c>
    </row>
    <row r="1469">
      <c r="A1469" t="inlineStr">
        <is>
          <t>market group for electricity, medium voltage</t>
        </is>
      </c>
      <c r="B1469">
        <v>1</v>
      </c>
      <c r="C1469" t="inlineStr">
        <is>
          <t>GLO</t>
        </is>
      </c>
      <c r="D1469" t="inlineStr">
        <is>
          <t>kilowatt hour</t>
        </is>
      </c>
      <c r="F1469" t="inlineStr">
        <is>
          <t>technosphere</t>
        </is>
      </c>
      <c r="G1469" t="inlineStr">
        <is>
          <t>electricity, medium voltage</t>
        </is>
      </c>
      <c r="I1469" t="inlineStr">
        <is>
          <t>electricity, medium voltage</t>
        </is>
      </c>
    </row>
    <row r="1470">
      <c r="A1470" t="inlineStr">
        <is>
          <t>market for heat, district or industrial, natural gas</t>
        </is>
      </c>
      <c r="B1470">
        <v>5</v>
      </c>
      <c r="C1470" t="inlineStr">
        <is>
          <t>RoW</t>
        </is>
      </c>
      <c r="D1470" t="inlineStr">
        <is>
          <t>megajoule</t>
        </is>
      </c>
      <c r="F1470" t="inlineStr">
        <is>
          <t>technosphere</t>
        </is>
      </c>
      <c r="G1470" t="inlineStr">
        <is>
          <t>heat, district or industrial, natural gas</t>
        </is>
      </c>
      <c r="I1470" t="inlineStr">
        <is>
          <t>heat, district or industrial, natural gas</t>
        </is>
      </c>
    </row>
    <row r="1473">
      <c r="A1473" t="inlineStr">
        <is>
          <t>Activity</t>
        </is>
      </c>
      <c r="B1473" t="inlineStr">
        <is>
          <t xml:space="preserve">zero-ohm jumper production</t>
        </is>
      </c>
    </row>
    <row r="1474">
      <c r="A1474" t="inlineStr">
        <is>
          <t>location</t>
        </is>
      </c>
      <c r="B1474" t="inlineStr">
        <is>
          <t>GLO</t>
        </is>
      </c>
    </row>
    <row r="1475">
      <c r="A1475" t="inlineStr">
        <is>
          <t>production amount</t>
        </is>
      </c>
      <c r="B1475">
        <v>1</v>
      </c>
    </row>
    <row r="1476">
      <c r="A1476" t="inlineStr">
        <is>
          <t>reference product</t>
        </is>
      </c>
      <c r="B1476" t="inlineStr">
        <is>
          <t xml:space="preserve">zero-ohm jumper</t>
        </is>
      </c>
    </row>
    <row r="1477">
      <c r="A1477" t="inlineStr">
        <is>
          <t>unit</t>
        </is>
      </c>
      <c r="B1477" t="inlineStr">
        <is>
          <t>kilogram</t>
        </is>
      </c>
    </row>
    <row r="1478">
      <c r="A1478" t="inlineStr">
        <is>
          <t>source</t>
        </is>
      </c>
      <c r="B1478" t="inlineStr">
        <is>
          <t>Bourns CR0603 Material Declaration,2022-08-01, https://www.bourns.com/docs/product-mds/cr0603_mds.pdf?sfvrsn=d79410bf_3 (manufacturer indexed declaration; direct download currently errors). Vishay CRCW...C doc28773 https://www.vishay.com/docs/28773/crcwce3.pdf package masses; TI TIDA020076 SLURB87 fitted BOM.</t>
        </is>
      </c>
    </row>
    <row r="1479">
      <c r="A1479" t="inlineStr">
        <is>
          <t>comment</t>
        </is>
      </c>
      <c r="B1479" t="inlineStr">
        <is>
          <t xml:space="preserve">Nomenclature revision, 2026-10-19. Former activity name: zero-ohm jumper, declared-material engineering reference. Former reference product: zero-ohm jumper, declared-material engineering reference. Activity/product labels and supplier references only; coefficients, formulas, uncertainty, declared output and unit are unchanged. Original engineering assumptions, functional-unit basis and limitations remain below.
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t>
        </is>
      </c>
    </row>
    <row r="1480">
      <c r="A1480" t="inlineStr">
        <is>
          <t xml:space="preserve">type</t>
        </is>
      </c>
      <c r="B1480" t="inlineStr">
        <is>
          <t xml:space="preserve">processwithreferenceproduct</t>
        </is>
      </c>
    </row>
    <row r="1481">
      <c r="A1481" t="inlineStr">
        <is>
          <t>Exchanges</t>
        </is>
      </c>
    </row>
    <row r="1482">
      <c r="A1482" t="inlineStr">
        <is>
          <t>name</t>
        </is>
      </c>
      <c r="B1482" t="inlineStr">
        <is>
          <t>amount</t>
        </is>
      </c>
      <c r="C1482" t="inlineStr">
        <is>
          <t>location</t>
        </is>
      </c>
      <c r="D1482" t="inlineStr">
        <is>
          <t>unit</t>
        </is>
      </c>
      <c r="E1482" t="inlineStr">
        <is>
          <t>categories</t>
        </is>
      </c>
      <c r="F1482" t="inlineStr">
        <is>
          <t>type</t>
        </is>
      </c>
      <c r="G1482" t="inlineStr">
        <is>
          <t>reference product</t>
        </is>
      </c>
      <c r="H1482" t="inlineStr">
        <is>
          <t>comment</t>
        </is>
      </c>
      <c r="I1482" t="inlineStr">
        <is>
          <t>product</t>
        </is>
      </c>
    </row>
    <row r="1483">
      <c r="A1483" t="inlineStr">
        <is>
          <t xml:space="preserve">zero-ohm jumper production</t>
        </is>
      </c>
      <c r="B1483">
        <v>1</v>
      </c>
      <c r="C1483" t="inlineStr">
        <is>
          <t>GLO</t>
        </is>
      </c>
      <c r="D1483" t="inlineStr">
        <is>
          <t>kilogram</t>
        </is>
      </c>
      <c r="F1483" t="inlineStr">
        <is>
          <t>production</t>
        </is>
      </c>
      <c r="G1483" t="inlineStr">
        <is>
          <t xml:space="preserve">zero-ohm jumper</t>
        </is>
      </c>
      <c r="I1483" t="inlineStr">
        <is>
          <t xml:space="preserve">zero-ohm jumper</t>
        </is>
      </c>
    </row>
    <row r="1484">
      <c r="A1484" t="inlineStr">
        <is>
          <t>market for aluminium oxide, non-metallurgical</t>
        </is>
      </c>
      <c r="B1484">
        <v>0.86834512207402</v>
      </c>
      <c r="C1484" t="inlineStr">
        <is>
          <t>IAI Area, EU27 &amp; EFTA</t>
        </is>
      </c>
      <c r="D1484" t="inlineStr">
        <is>
          <t>kilogram</t>
        </is>
      </c>
      <c r="F1484" t="inlineStr">
        <is>
          <t>technosphere</t>
        </is>
      </c>
      <c r="G1484" t="inlineStr">
        <is>
          <t>aluminium oxide, non-metallurgical</t>
        </is>
      </c>
      <c r="I1484" t="inlineStr">
        <is>
          <t>aluminium oxide, non-metallurgical</t>
        </is>
      </c>
    </row>
    <row r="1485">
      <c r="A1485" t="inlineStr">
        <is>
          <t>market for silica sand</t>
        </is>
      </c>
      <c r="B1485">
        <v>0.03618104675308417</v>
      </c>
      <c r="C1485" t="inlineStr">
        <is>
          <t>GLO</t>
        </is>
      </c>
      <c r="D1485" t="inlineStr">
        <is>
          <t>kilogram</t>
        </is>
      </c>
      <c r="F1485" t="inlineStr">
        <is>
          <t>technosphere</t>
        </is>
      </c>
      <c r="G1485" t="inlineStr">
        <is>
          <t>silica sand</t>
        </is>
      </c>
      <c r="I1485" t="inlineStr">
        <is>
          <t>silica sand</t>
        </is>
      </c>
    </row>
    <row r="1486">
      <c r="A1486" t="inlineStr">
        <is>
          <t>market for silver</t>
        </is>
      </c>
      <c r="B1486">
        <v>0.03699369422573964</v>
      </c>
      <c r="C1486" t="inlineStr">
        <is>
          <t>GLO</t>
        </is>
      </c>
      <c r="D1486" t="inlineStr">
        <is>
          <t>kilogram</t>
        </is>
      </c>
      <c r="F1486" t="inlineStr">
        <is>
          <t>technosphere</t>
        </is>
      </c>
      <c r="G1486" t="inlineStr">
        <is>
          <t>silver</t>
        </is>
      </c>
      <c r="I1486" t="inlineStr">
        <is>
          <t>silver</t>
        </is>
      </c>
    </row>
    <row r="1487">
      <c r="A1487" t="inlineStr">
        <is>
          <t>market for flat glass, uncoated</t>
        </is>
      </c>
      <c r="B1487">
        <v>0.0012165218361587303</v>
      </c>
      <c r="C1487" t="inlineStr">
        <is>
          <t>RER</t>
        </is>
      </c>
      <c r="D1487" t="inlineStr">
        <is>
          <t>kilogram</t>
        </is>
      </c>
      <c r="F1487" t="inlineStr">
        <is>
          <t>technosphere</t>
        </is>
      </c>
      <c r="G1487" t="inlineStr">
        <is>
          <t>flat glass, uncoated</t>
        </is>
      </c>
      <c r="I1487" t="inlineStr">
        <is>
          <t>flat glass, uncoated</t>
        </is>
      </c>
    </row>
    <row r="1488">
      <c r="A1488" t="inlineStr">
        <is>
          <t>market for epoxy resin, liquid</t>
        </is>
      </c>
      <c r="B1488">
        <v>0.018234219915578283</v>
      </c>
      <c r="C1488" t="inlineStr">
        <is>
          <t>RER</t>
        </is>
      </c>
      <c r="D1488" t="inlineStr">
        <is>
          <t>kilogram</t>
        </is>
      </c>
      <c r="F1488" t="inlineStr">
        <is>
          <t>technosphere</t>
        </is>
      </c>
      <c r="G1488" t="inlineStr">
        <is>
          <t>epoxy resin, liquid</t>
        </is>
      </c>
      <c r="I1488" t="inlineStr">
        <is>
          <t>epoxy resin, liquid</t>
        </is>
      </c>
    </row>
    <row r="1489">
      <c r="A1489" t="inlineStr">
        <is>
          <t>market for nickel, class 1</t>
        </is>
      </c>
      <c r="B1489">
        <v>0.048878595475191945</v>
      </c>
      <c r="C1489" t="inlineStr">
        <is>
          <t>GLO</t>
        </is>
      </c>
      <c r="D1489" t="inlineStr">
        <is>
          <t>kilogram</t>
        </is>
      </c>
      <c r="F1489" t="inlineStr">
        <is>
          <t>technosphere</t>
        </is>
      </c>
      <c r="G1489" t="inlineStr">
        <is>
          <t>nickel, class 1</t>
        </is>
      </c>
      <c r="I1489" t="inlineStr">
        <is>
          <t>nickel, class 1</t>
        </is>
      </c>
    </row>
    <row r="1490">
      <c r="A1490" t="inlineStr">
        <is>
          <t>market for chromium</t>
        </is>
      </c>
      <c r="B1490">
        <v>0.00027215253605340724</v>
      </c>
      <c r="C1490" t="inlineStr">
        <is>
          <t>GLO</t>
        </is>
      </c>
      <c r="D1490" t="inlineStr">
        <is>
          <t>kilogram</t>
        </is>
      </c>
      <c r="F1490" t="inlineStr">
        <is>
          <t>technosphere</t>
        </is>
      </c>
      <c r="G1490" t="inlineStr">
        <is>
          <t>chromium</t>
        </is>
      </c>
      <c r="I1490" t="inlineStr">
        <is>
          <t>chromium</t>
        </is>
      </c>
    </row>
    <row r="1491">
      <c r="A1491" t="inlineStr">
        <is>
          <t>market for tin</t>
        </is>
      </c>
      <c r="B1491">
        <v>0.04251022613154221</v>
      </c>
      <c r="C1491" t="inlineStr">
        <is>
          <t>GLO</t>
        </is>
      </c>
      <c r="D1491" t="inlineStr">
        <is>
          <t>kilogram</t>
        </is>
      </c>
      <c r="F1491" t="inlineStr">
        <is>
          <t>technosphere</t>
        </is>
      </c>
      <c r="G1491" t="inlineStr">
        <is>
          <t>tin</t>
        </is>
      </c>
      <c r="I1491" t="inlineStr">
        <is>
          <t>tin</t>
        </is>
      </c>
    </row>
    <row r="1492">
      <c r="A1492" t="inlineStr">
        <is>
          <t>market for hazardous waste, for incineration</t>
        </is>
      </c>
      <c r="B1492">
        <v>-0.05263157894736836</v>
      </c>
      <c r="C1492" t="inlineStr">
        <is>
          <t>RoW</t>
        </is>
      </c>
      <c r="D1492" t="inlineStr">
        <is>
          <t>kilogram</t>
        </is>
      </c>
      <c r="F1492" t="inlineStr">
        <is>
          <t>technosphere</t>
        </is>
      </c>
      <c r="G1492" t="inlineStr">
        <is>
          <t>hazardous waste, for incineration</t>
        </is>
      </c>
      <c r="I1492" t="inlineStr">
        <is>
          <t>hazardous waste, for incineration</t>
        </is>
      </c>
    </row>
    <row r="1493">
      <c r="A1493" t="inlineStr">
        <is>
          <t>market group for electricity, medium voltage</t>
        </is>
      </c>
      <c r="B1493">
        <v>1</v>
      </c>
      <c r="C1493" t="inlineStr">
        <is>
          <t>GLO</t>
        </is>
      </c>
      <c r="D1493" t="inlineStr">
        <is>
          <t>kilowatt hour</t>
        </is>
      </c>
      <c r="F1493" t="inlineStr">
        <is>
          <t>technosphere</t>
        </is>
      </c>
      <c r="G1493" t="inlineStr">
        <is>
          <t>electricity, medium voltage</t>
        </is>
      </c>
      <c r="I1493" t="inlineStr">
        <is>
          <t>electricity, medium voltage</t>
        </is>
      </c>
    </row>
    <row r="1494">
      <c r="A1494" t="inlineStr">
        <is>
          <t>market for heat, district or industrial, natural gas</t>
        </is>
      </c>
      <c r="B1494">
        <v>5</v>
      </c>
      <c r="C1494" t="inlineStr">
        <is>
          <t>RoW</t>
        </is>
      </c>
      <c r="D1494" t="inlineStr">
        <is>
          <t>megajoule</t>
        </is>
      </c>
      <c r="F1494" t="inlineStr">
        <is>
          <t>technosphere</t>
        </is>
      </c>
      <c r="G1494" t="inlineStr">
        <is>
          <t>heat, district or industrial, natural gas</t>
        </is>
      </c>
      <c r="I1494" t="inlineStr">
        <is>
          <t>heat, district or industrial, natural gas</t>
        </is>
      </c>
    </row>
    <row r="1497">
      <c r="A1497" t="inlineStr">
        <is>
          <t>Activity</t>
        </is>
      </c>
      <c r="B1497" t="inlineStr">
        <is>
          <t xml:space="preserve">resistor assembly production, battery monitoring board, 128 resistors</t>
        </is>
      </c>
    </row>
    <row r="1498">
      <c r="A1498" t="inlineStr">
        <is>
          <t>location</t>
        </is>
      </c>
      <c r="B1498" t="inlineStr">
        <is>
          <t>GLO</t>
        </is>
      </c>
    </row>
    <row r="1499">
      <c r="A1499" t="inlineStr">
        <is>
          <t>production amount</t>
        </is>
      </c>
      <c r="B1499">
        <v>1</v>
      </c>
    </row>
    <row r="1500">
      <c r="A1500" t="inlineStr">
        <is>
          <t>reference product</t>
        </is>
      </c>
      <c r="B1500" t="inlineStr">
        <is>
          <t xml:space="preserve">resistor assembly, battery monitoring board, 128 resistors</t>
        </is>
      </c>
    </row>
    <row r="1501">
      <c r="A1501" t="inlineStr">
        <is>
          <t>unit</t>
        </is>
      </c>
      <c r="B1501" t="inlineStr">
        <is>
          <t>unit</t>
        </is>
      </c>
    </row>
    <row r="1502">
      <c r="A1502" t="inlineStr">
        <is>
          <t>source</t>
        </is>
      </c>
      <c r="B1502" t="inlineStr">
        <is>
          <t>Bourns CR0603 Material Declaration,2022-08-01, https://www.bourns.com/docs/product-mds/cr0603_mds.pdf?sfvrsn=d79410bf_3 (manufacturer indexed declaration; direct download currently errors). Vishay CRCW...C doc28773 https://www.vishay.com/docs/28773/crcwce3.pdf package masses; TI TIDA020076 SLURB87 fitted BOM.</t>
        </is>
      </c>
    </row>
    <row r="1503">
      <c r="A1503" t="inlineStr">
        <is>
          <t>comment</t>
        </is>
      </c>
      <c r="B1503" t="inlineStr">
        <is>
          <t xml:space="preserve">Nomenclature revision, 2026-10-19. Former activity name: resistor set, 128 fitted battery monitor parts, engineering reference. Former reference product: resistor set, 128 fitted battery monitor parts, engineering reference. Activity/product labels and supplier references only; coefficients, formulas, uncertainty, declared output and unit are unchanged. Original engineering assumptions, functional-unit basis and limitations remain below.
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t>
        </is>
      </c>
    </row>
    <row r="1504">
      <c r="A1504" t="inlineStr">
        <is>
          <t xml:space="preserve">type</t>
        </is>
      </c>
      <c r="B1504" t="inlineStr">
        <is>
          <t xml:space="preserve">processwithreferenceproduct</t>
        </is>
      </c>
    </row>
    <row r="1505">
      <c r="A1505" t="inlineStr">
        <is>
          <t>Exchanges</t>
        </is>
      </c>
    </row>
    <row r="1506">
      <c r="A1506" t="inlineStr">
        <is>
          <t>name</t>
        </is>
      </c>
      <c r="B1506" t="inlineStr">
        <is>
          <t>amount</t>
        </is>
      </c>
      <c r="C1506" t="inlineStr">
        <is>
          <t>location</t>
        </is>
      </c>
      <c r="D1506" t="inlineStr">
        <is>
          <t>unit</t>
        </is>
      </c>
      <c r="E1506" t="inlineStr">
        <is>
          <t>categories</t>
        </is>
      </c>
      <c r="F1506" t="inlineStr">
        <is>
          <t>type</t>
        </is>
      </c>
      <c r="G1506" t="inlineStr">
        <is>
          <t>reference product</t>
        </is>
      </c>
      <c r="H1506" t="inlineStr">
        <is>
          <t>comment</t>
        </is>
      </c>
      <c r="I1506" t="inlineStr">
        <is>
          <t>product</t>
        </is>
      </c>
    </row>
    <row r="1507">
      <c r="A1507" t="inlineStr">
        <is>
          <t xml:space="preserve">resistor assembly production, battery monitoring board, 128 resistors</t>
        </is>
      </c>
      <c r="B1507">
        <v>1</v>
      </c>
      <c r="C1507" t="inlineStr">
        <is>
          <t>GLO</t>
        </is>
      </c>
      <c r="D1507" t="inlineStr">
        <is>
          <t>unit</t>
        </is>
      </c>
      <c r="F1507" t="inlineStr">
        <is>
          <t>production</t>
        </is>
      </c>
      <c r="G1507" t="inlineStr">
        <is>
          <t xml:space="preserve">resistor assembly, battery monitoring board, 128 resistors</t>
        </is>
      </c>
      <c r="I1507" t="inlineStr">
        <is>
          <t xml:space="preserve">resistor assembly, battery monitoring board, 128 resistors</t>
        </is>
      </c>
    </row>
    <row r="1508">
      <c r="A1508" t="inlineStr">
        <is>
          <t xml:space="preserve">thick-film resistor production</t>
        </is>
      </c>
      <c r="B1508">
        <v>0.0004893</v>
      </c>
      <c r="C1508" t="inlineStr">
        <is>
          <t>GLO</t>
        </is>
      </c>
      <c r="D1508" t="inlineStr">
        <is>
          <t>kilogram</t>
        </is>
      </c>
      <c r="F1508" t="inlineStr">
        <is>
          <t>technosphere</t>
        </is>
      </c>
      <c r="G1508" t="inlineStr">
        <is>
          <t xml:space="preserve">thick-film resistor</t>
        </is>
      </c>
      <c r="I1508" t="inlineStr">
        <is>
          <t xml:space="preserve">thick-film resistor</t>
        </is>
      </c>
    </row>
    <row r="1509">
      <c r="A1509" t="inlineStr">
        <is>
          <t xml:space="preserve">zero-ohm jumper production</t>
        </is>
      </c>
      <c r="B1509">
        <v>4.6649999999999996e-05</v>
      </c>
      <c r="C1509" t="inlineStr">
        <is>
          <t>GLO</t>
        </is>
      </c>
      <c r="D1509" t="inlineStr">
        <is>
          <t>kilogram</t>
        </is>
      </c>
      <c r="F1509" t="inlineStr">
        <is>
          <t>technosphere</t>
        </is>
      </c>
      <c r="G1509" t="inlineStr">
        <is>
          <t xml:space="preserve">zero-ohm jumper</t>
        </is>
      </c>
      <c r="I1509" t="inlineStr">
        <is>
          <t xml:space="preserve">zero-ohm jumper</t>
        </is>
      </c>
    </row>
    <row r="1512">
      <c r="A1512" t="inlineStr">
        <is>
          <t>Activity</t>
        </is>
      </c>
      <c r="B1512" t="inlineStr">
        <is>
          <t xml:space="preserve">semiconductor package production, cc2662r1ftwrgzrq1</t>
        </is>
      </c>
    </row>
    <row r="1513">
      <c r="A1513" t="inlineStr">
        <is>
          <t>location</t>
        </is>
      </c>
      <c r="B1513" t="inlineStr">
        <is>
          <t>GLO</t>
        </is>
      </c>
    </row>
    <row r="1514">
      <c r="A1514" t="inlineStr">
        <is>
          <t>production amount</t>
        </is>
      </c>
      <c r="B1514">
        <v>1</v>
      </c>
    </row>
    <row r="1515">
      <c r="A1515" t="inlineStr">
        <is>
          <t>reference product</t>
        </is>
      </c>
      <c r="B1515" t="inlineStr">
        <is>
          <t xml:space="preserve">semiconductor package, CC2662R1FTWRGZRQ1</t>
        </is>
      </c>
    </row>
    <row r="1516">
      <c r="A1516" t="inlineStr">
        <is>
          <t>unit</t>
        </is>
      </c>
      <c r="B1516" t="inlineStr">
        <is>
          <t>unit</t>
        </is>
      </c>
    </row>
    <row r="1517">
      <c r="A1517" t="inlineStr">
        <is>
          <t>source</t>
        </is>
      </c>
      <c r="B1517" t="inlineStr">
        <is>
          <t>TI manufacturer material-content reports https://www.ti.com/quality-reliability-packaging-download/de-de/report?opn=LM5168FQDDARQ1 ; ?opn=TXU0204QPWRQ1 ; ?opn=CC2662R1FTWRGZRQ1 , accessed2026-10-18; TI TIDA020076 fitted BOM and CC2662 WBMS controller guide.</t>
        </is>
      </c>
    </row>
    <row r="1518">
      <c r="A1518" t="inlineStr">
        <is>
          <t>comment</t>
        </is>
      </c>
      <c r="B1518" t="inlineStr">
        <is>
          <t xml:space="preserve">Nomenclature revision, 2026-10-19. Former activity name: semiconductor package, CC2662R1FTWRGZRQ1, declared material reference. Former reference product: semiconductor package, CC2662R1FTWRGZRQ1, declared material reference. Activity/product labels and supplier references only; coefficients, formulas, uncertainty, declared output and unit are unchanged. Original engineering assumptions, functional-unit basis and limitations remain below.
APPROVED PACKAGE-SPECIFIC CONTROL SEMICONDUCTORS, issue57, 2026-10-18. TI manufacturer material-content reports https://www.ti.com/quality-reliability-packaging-download/de-de/report?opn=LM5168FQDDARQ1 ; ?opn=TXU0204QPWRQ1 ; ?opn=CC2662R1FTWRGZRQ1 , accessed2026-10-18; TI TIDA020076 fitted BOM and CC2662 WBMS controller guide. Use one explicitly selected first returned material declaration per part, never sum alternative assembly-site tables. LM5168 FlyBuck regulator,TXU0204 logic translator andCC2662 WBMS MCU have distinct die,frame,bonds,mold and plating. Sum constituent rows excluding subtotals to recover declared package mass. Retain actual Zn alloying,Ag attach and Au/Pd plating; no arbitraryZn-for-Sb conversion or global antimony deletion. Sb is not listed in these selected declarations, which is not proof of analyticalzeroSb in all electronics. Purchase fabricated die wafer area from declared Si mass at explicit300micrometrethickness,2330kg/m3; no second rawSi charge. Silica-sand supply is an explicit fused-silica proxy with missing fusion/purity energy. Fe uses lowalloy steel proxy, resin uses epoxy/phenolic analogues, elementalP/chlorine feeds are nominal material proxies. Proprietary composition remains unresolved. Package assembly1kWh/kg and100%final retention are engineering assumptions,not suppliermeasured yield or complete semiconductor packaging LCI. Module priorlogic allowances1.5g and0.4g are replaced by oneTXU and oneLM5168 package,consistent with fitted reference parts; released mass remains explicitly unresolved board components. Other actualMCU/isolation packages are still coveragegaps,not proven identical. Central5gMCU allowance becomes oneCC2662 (firstselectedsite) and residual mass,not dozens of fictitious MCU packages. BQ79616 monitor package unchanged. Fixed70g/490g board budgets and their downstream endoflife retained. No motherboard/chassis electronics added. Process service, film,purity,actualsite and unknown-component sensitivity remain necessary; no certifiedexactvehicleBOM claim.</t>
        </is>
      </c>
    </row>
    <row r="1519">
      <c r="A1519" t="inlineStr">
        <is>
          <t xml:space="preserve">type</t>
        </is>
      </c>
      <c r="B1519" t="inlineStr">
        <is>
          <t xml:space="preserve">processwithreferenceproduct</t>
        </is>
      </c>
    </row>
    <row r="1520">
      <c r="A1520" t="inlineStr">
        <is>
          <t>Exchanges</t>
        </is>
      </c>
    </row>
    <row r="1521">
      <c r="A1521" t="inlineStr">
        <is>
          <t>name</t>
        </is>
      </c>
      <c r="B1521" t="inlineStr">
        <is>
          <t>amount</t>
        </is>
      </c>
      <c r="C1521" t="inlineStr">
        <is>
          <t>location</t>
        </is>
      </c>
      <c r="D1521" t="inlineStr">
        <is>
          <t>unit</t>
        </is>
      </c>
      <c r="E1521" t="inlineStr">
        <is>
          <t>categories</t>
        </is>
      </c>
      <c r="F1521" t="inlineStr">
        <is>
          <t>type</t>
        </is>
      </c>
      <c r="G1521" t="inlineStr">
        <is>
          <t>reference product</t>
        </is>
      </c>
      <c r="H1521" t="inlineStr">
        <is>
          <t>comment</t>
        </is>
      </c>
      <c r="I1521" t="inlineStr">
        <is>
          <t>product</t>
        </is>
      </c>
    </row>
    <row r="1522">
      <c r="A1522" t="inlineStr">
        <is>
          <t xml:space="preserve">semiconductor package production, cc2662r1ftwrgzrq1</t>
        </is>
      </c>
      <c r="B1522">
        <v>1</v>
      </c>
      <c r="C1522" t="inlineStr">
        <is>
          <t>GLO</t>
        </is>
      </c>
      <c r="D1522" t="inlineStr">
        <is>
          <t>unit</t>
        </is>
      </c>
      <c r="F1522" t="inlineStr">
        <is>
          <t>production</t>
        </is>
      </c>
      <c r="G1522" t="inlineStr">
        <is>
          <t xml:space="preserve">semiconductor package, CC2662R1FTWRGZRQ1</t>
        </is>
      </c>
      <c r="I1522" t="inlineStr">
        <is>
          <t xml:space="preserve">semiconductor package, CC2662R1FTWRGZRQ1</t>
        </is>
      </c>
    </row>
    <row r="1523">
      <c r="A1523" t="inlineStr">
        <is>
          <t>market for copper, cathode</t>
        </is>
      </c>
      <c r="B1523">
        <v>5.935076499999999e-05</v>
      </c>
      <c r="C1523" t="inlineStr">
        <is>
          <t>GLO</t>
        </is>
      </c>
      <c r="D1523" t="inlineStr">
        <is>
          <t>kilogram</t>
        </is>
      </c>
      <c r="F1523" t="inlineStr">
        <is>
          <t>technosphere</t>
        </is>
      </c>
      <c r="G1523" t="inlineStr">
        <is>
          <t>copper, cathode</t>
        </is>
      </c>
      <c r="I1523" t="inlineStr">
        <is>
          <t>copper, cathode</t>
        </is>
      </c>
    </row>
    <row r="1524">
      <c r="A1524" t="inlineStr">
        <is>
          <t>market for nickel, class 1</t>
        </is>
      </c>
      <c r="B1524">
        <v>1.36973e-06</v>
      </c>
      <c r="C1524" t="inlineStr">
        <is>
          <t>GLO</t>
        </is>
      </c>
      <c r="D1524" t="inlineStr">
        <is>
          <t>kilogram</t>
        </is>
      </c>
      <c r="F1524" t="inlineStr">
        <is>
          <t>technosphere</t>
        </is>
      </c>
      <c r="G1524" t="inlineStr">
        <is>
          <t>nickel, class 1</t>
        </is>
      </c>
      <c r="I1524" t="inlineStr">
        <is>
          <t>nickel, class 1</t>
        </is>
      </c>
    </row>
    <row r="1525">
      <c r="A1525" t="inlineStr">
        <is>
          <t>market for gold</t>
        </is>
      </c>
      <c r="B1525">
        <v>1.1396e-08</v>
      </c>
      <c r="C1525" t="inlineStr">
        <is>
          <t>GLO</t>
        </is>
      </c>
      <c r="D1525" t="inlineStr">
        <is>
          <t>kilogram</t>
        </is>
      </c>
      <c r="F1525" t="inlineStr">
        <is>
          <t>technosphere</t>
        </is>
      </c>
      <c r="G1525" t="inlineStr">
        <is>
          <t>gold</t>
        </is>
      </c>
      <c r="I1525" t="inlineStr">
        <is>
          <t>gold</t>
        </is>
      </c>
    </row>
    <row r="1526">
      <c r="A1526" t="inlineStr">
        <is>
          <t>market for palladium</t>
        </is>
      </c>
      <c r="B1526">
        <v>6.671100000000001e-08</v>
      </c>
      <c r="C1526" t="inlineStr">
        <is>
          <t>GLO</t>
        </is>
      </c>
      <c r="D1526" t="inlineStr">
        <is>
          <t>kilogram</t>
        </is>
      </c>
      <c r="F1526" t="inlineStr">
        <is>
          <t>technosphere</t>
        </is>
      </c>
      <c r="G1526" t="inlineStr">
        <is>
          <t>palladium</t>
        </is>
      </c>
      <c r="I1526" t="inlineStr">
        <is>
          <t>palladium</t>
        </is>
      </c>
    </row>
    <row r="1527">
      <c r="A1527" t="inlineStr">
        <is>
          <t>market for silver</t>
        </is>
      </c>
      <c r="B1527">
        <v>1.7926779999999998e-06</v>
      </c>
      <c r="C1527" t="inlineStr">
        <is>
          <t>GLO</t>
        </is>
      </c>
      <c r="D1527" t="inlineStr">
        <is>
          <t>kilogram</t>
        </is>
      </c>
      <c r="F1527" t="inlineStr">
        <is>
          <t>technosphere</t>
        </is>
      </c>
      <c r="G1527" t="inlineStr">
        <is>
          <t>silver</t>
        </is>
      </c>
      <c r="I1527" t="inlineStr">
        <is>
          <t>silver</t>
        </is>
      </c>
    </row>
    <row r="1528">
      <c r="A1528" t="inlineStr">
        <is>
          <t>market for epoxy resin, liquid</t>
        </is>
      </c>
      <c r="B1528">
        <v>8.789149999999999e-06</v>
      </c>
      <c r="C1528" t="inlineStr">
        <is>
          <t>RER</t>
        </is>
      </c>
      <c r="D1528" t="inlineStr">
        <is>
          <t>kilogram</t>
        </is>
      </c>
      <c r="F1528" t="inlineStr">
        <is>
          <t>technosphere</t>
        </is>
      </c>
      <c r="G1528" t="inlineStr">
        <is>
          <t>epoxy resin, liquid</t>
        </is>
      </c>
      <c r="I1528" t="inlineStr">
        <is>
          <t>epoxy resin, liquid</t>
        </is>
      </c>
    </row>
    <row r="1529">
      <c r="A1529" t="inlineStr">
        <is>
          <t>market for steel, low-alloyed</t>
        </is>
      </c>
      <c r="B1529">
        <v>1.3915e-06</v>
      </c>
      <c r="C1529" t="inlineStr">
        <is>
          <t>GLO</t>
        </is>
      </c>
      <c r="D1529" t="inlineStr">
        <is>
          <t>kilogram</t>
        </is>
      </c>
      <c r="F1529" t="inlineStr">
        <is>
          <t>technosphere</t>
        </is>
      </c>
      <c r="G1529" t="inlineStr">
        <is>
          <t>steel, low-alloyed</t>
        </is>
      </c>
      <c r="I1529" t="inlineStr">
        <is>
          <t>steel, low-alloyed</t>
        </is>
      </c>
    </row>
    <row r="1530">
      <c r="A1530" t="inlineStr">
        <is>
          <t>market for phosphorus, white, liquid</t>
        </is>
      </c>
      <c r="B1530">
        <v>9.074999999999999e-09</v>
      </c>
      <c r="C1530" t="inlineStr">
        <is>
          <t>GLO</t>
        </is>
      </c>
      <c r="D1530" t="inlineStr">
        <is>
          <t>kilogram</t>
        </is>
      </c>
      <c r="F1530" t="inlineStr">
        <is>
          <t>technosphere</t>
        </is>
      </c>
      <c r="G1530" t="inlineStr">
        <is>
          <t>phosphorus, white, liquid</t>
        </is>
      </c>
      <c r="I1530" t="inlineStr">
        <is>
          <t>phosphorus, white, liquid</t>
        </is>
      </c>
    </row>
    <row r="1531">
      <c r="A1531" t="inlineStr">
        <is>
          <t>market for zinc</t>
        </is>
      </c>
      <c r="B1531">
        <v>6.049999999999999e-08</v>
      </c>
      <c r="C1531" t="inlineStr">
        <is>
          <t>GLO</t>
        </is>
      </c>
      <c r="D1531" t="inlineStr">
        <is>
          <t>kilogram</t>
        </is>
      </c>
      <c r="F1531" t="inlineStr">
        <is>
          <t>technosphere</t>
        </is>
      </c>
      <c r="G1531" t="inlineStr">
        <is>
          <t>zinc</t>
        </is>
      </c>
      <c r="I1531" t="inlineStr">
        <is>
          <t>zinc</t>
        </is>
      </c>
    </row>
    <row r="1532">
      <c r="A1532" t="inlineStr">
        <is>
          <t>market for silica sand</t>
        </is>
      </c>
      <c r="B1532">
        <v>6.2740964e-05</v>
      </c>
      <c r="C1532" t="inlineStr">
        <is>
          <t>GLO</t>
        </is>
      </c>
      <c r="D1532" t="inlineStr">
        <is>
          <t>kilogram</t>
        </is>
      </c>
      <c r="F1532" t="inlineStr">
        <is>
          <t>technosphere</t>
        </is>
      </c>
      <c r="G1532" t="inlineStr">
        <is>
          <t>silica sand</t>
        </is>
      </c>
      <c r="I1532" t="inlineStr">
        <is>
          <t>silica sand</t>
        </is>
      </c>
    </row>
    <row r="1533">
      <c r="A1533" t="inlineStr">
        <is>
          <t>market for carbon black</t>
        </is>
      </c>
      <c r="B1533">
        <v>2.1389e-07</v>
      </c>
      <c r="C1533" t="inlineStr">
        <is>
          <t>GLO</t>
        </is>
      </c>
      <c r="D1533" t="inlineStr">
        <is>
          <t>kilogram</t>
        </is>
      </c>
      <c r="F1533" t="inlineStr">
        <is>
          <t>technosphere</t>
        </is>
      </c>
      <c r="G1533" t="inlineStr">
        <is>
          <t>carbon black</t>
        </is>
      </c>
      <c r="I1533" t="inlineStr">
        <is>
          <t>carbon black</t>
        </is>
      </c>
    </row>
    <row r="1534">
      <c r="A1534" t="inlineStr">
        <is>
          <t>market for chlorine, gaseous</t>
        </is>
      </c>
      <c r="B1534">
        <v>7.129999999999999e-10</v>
      </c>
      <c r="C1534" t="inlineStr">
        <is>
          <t>RER</t>
        </is>
      </c>
      <c r="D1534" t="inlineStr">
        <is>
          <t>kilogram</t>
        </is>
      </c>
      <c r="F1534" t="inlineStr">
        <is>
          <t>technosphere</t>
        </is>
      </c>
      <c r="G1534" t="inlineStr">
        <is>
          <t>chlorine, gaseous</t>
        </is>
      </c>
      <c r="I1534" t="inlineStr">
        <is>
          <t>chlorine, gaseous</t>
        </is>
      </c>
    </row>
    <row r="1535">
      <c r="A1535" t="inlineStr">
        <is>
          <t>market for wafer, fabricated, for integrated circuit</t>
        </is>
      </c>
      <c r="B1535">
        <v>9.967440629470673e-06</v>
      </c>
      <c r="C1535" t="inlineStr">
        <is>
          <t>GLO</t>
        </is>
      </c>
      <c r="D1535" t="inlineStr">
        <is>
          <t>square meter</t>
        </is>
      </c>
      <c r="F1535" t="inlineStr">
        <is>
          <t>technosphere</t>
        </is>
      </c>
      <c r="G1535" t="inlineStr">
        <is>
          <t>wafer, fabricated, for integrated circuit</t>
        </is>
      </c>
      <c r="I1535" t="inlineStr">
        <is>
          <t>wafer, fabricated, for integrated circuit</t>
        </is>
      </c>
    </row>
    <row r="1536">
      <c r="A1536" t="inlineStr">
        <is>
          <t>market group for electricity, medium voltage</t>
        </is>
      </c>
      <c r="B1536">
        <v>0.00014276434799999994</v>
      </c>
      <c r="C1536" t="inlineStr">
        <is>
          <t>GLO</t>
        </is>
      </c>
      <c r="D1536" t="inlineStr">
        <is>
          <t>kilowatt hour</t>
        </is>
      </c>
      <c r="F1536" t="inlineStr">
        <is>
          <t>technosphere</t>
        </is>
      </c>
      <c r="G1536" t="inlineStr">
        <is>
          <t>electricity, medium voltage</t>
        </is>
      </c>
      <c r="I1536" t="inlineStr">
        <is>
          <t>electricity, medium voltage</t>
        </is>
      </c>
    </row>
    <row r="1539">
      <c r="A1539" t="inlineStr">
        <is>
          <t>Activity</t>
        </is>
      </c>
      <c r="B1539" t="inlineStr">
        <is>
          <t xml:space="preserve">semiconductor package production, lm5168fqddarq1</t>
        </is>
      </c>
    </row>
    <row r="1540">
      <c r="A1540" t="inlineStr">
        <is>
          <t>location</t>
        </is>
      </c>
      <c r="B1540" t="inlineStr">
        <is>
          <t>GLO</t>
        </is>
      </c>
    </row>
    <row r="1541">
      <c r="A1541" t="inlineStr">
        <is>
          <t>production amount</t>
        </is>
      </c>
      <c r="B1541">
        <v>1</v>
      </c>
    </row>
    <row r="1542">
      <c r="A1542" t="inlineStr">
        <is>
          <t>reference product</t>
        </is>
      </c>
      <c r="B1542" t="inlineStr">
        <is>
          <t xml:space="preserve">semiconductor package, LM5168FQDDARQ1</t>
        </is>
      </c>
    </row>
    <row r="1543">
      <c r="A1543" t="inlineStr">
        <is>
          <t>unit</t>
        </is>
      </c>
      <c r="B1543" t="inlineStr">
        <is>
          <t>unit</t>
        </is>
      </c>
    </row>
    <row r="1544">
      <c r="A1544" t="inlineStr">
        <is>
          <t>source</t>
        </is>
      </c>
      <c r="B1544" t="inlineStr">
        <is>
          <t>TI manufacturer material-content reports https://www.ti.com/quality-reliability-packaging-download/de-de/report?opn=LM5168FQDDARQ1 ; ?opn=TXU0204QPWRQ1 ; ?opn=CC2662R1FTWRGZRQ1 , accessed2026-10-18; TI TIDA020076 fitted BOM and CC2662 WBMS controller guide.</t>
        </is>
      </c>
    </row>
    <row r="1545">
      <c r="A1545" t="inlineStr">
        <is>
          <t>comment</t>
        </is>
      </c>
      <c r="B1545" t="inlineStr">
        <is>
          <t xml:space="preserve">Nomenclature revision, 2026-10-19. Former activity name: semiconductor package, LM5168FQDDARQ1, declared material reference. Former reference product: semiconductor package, LM5168FQDDARQ1, declared material reference. Activity/product labels and supplier references only; coefficients, formulas, uncertainty, declared output and unit are unchanged. Original engineering assumptions, functional-unit basis and limitations remain below.
APPROVED PACKAGE-SPECIFIC CONTROL SEMICONDUCTORS, issue57, 2026-10-18. TI manufacturer material-content reports https://www.ti.com/quality-reliability-packaging-download/de-de/report?opn=LM5168FQDDARQ1 ; ?opn=TXU0204QPWRQ1 ; ?opn=CC2662R1FTWRGZRQ1 , accessed2026-10-18; TI TIDA020076 fitted BOM and CC2662 WBMS controller guide. Use one explicitly selected first returned material declaration per part, never sum alternative assembly-site tables. LM5168 FlyBuck regulator,TXU0204 logic translator andCC2662 WBMS MCU have distinct die,frame,bonds,mold and plating. Sum constituent rows excluding subtotals to recover declared package mass. Retain actual Zn alloying,Ag attach and Au/Pd plating; no arbitraryZn-for-Sb conversion or global antimony deletion. Sb is not listed in these selected declarations, which is not proof of analyticalzeroSb in all electronics. Purchase fabricated die wafer area from declared Si mass at explicit300micrometrethickness,2330kg/m3; no second rawSi charge. Silica-sand supply is an explicit fused-silica proxy with missing fusion/purity energy. Fe uses lowalloy steel proxy, resin uses epoxy/phenolic analogues, elementalP/chlorine feeds are nominal material proxies. Proprietary composition remains unresolved. Package assembly1kWh/kg and100%final retention are engineering assumptions,not suppliermeasured yield or complete semiconductor packaging LCI. Module priorlogic allowances1.5g and0.4g are replaced by oneTXU and oneLM5168 package,consistent with fitted reference parts; released mass remains explicitly unresolved board components. Other actualMCU/isolation packages are still coveragegaps,not proven identical. Central5gMCU allowance becomes oneCC2662 (firstselectedsite) and residual mass,not dozens of fictitious MCU packages. BQ79616 monitor package unchanged. Fixed70g/490g board budgets and their downstream endoflife retained. No motherboard/chassis electronics added. Process service, film,purity,actualsite and unknown-component sensitivity remain necessary; no certifiedexactvehicleBOM claim.</t>
        </is>
      </c>
    </row>
    <row r="1546">
      <c r="A1546" t="inlineStr">
        <is>
          <t xml:space="preserve">type</t>
        </is>
      </c>
      <c r="B1546" t="inlineStr">
        <is>
          <t xml:space="preserve">processwithreferenceproduct</t>
        </is>
      </c>
    </row>
    <row r="1547">
      <c r="A1547" t="inlineStr">
        <is>
          <t>Exchanges</t>
        </is>
      </c>
    </row>
    <row r="1548">
      <c r="A1548" t="inlineStr">
        <is>
          <t>name</t>
        </is>
      </c>
      <c r="B1548" t="inlineStr">
        <is>
          <t>amount</t>
        </is>
      </c>
      <c r="C1548" t="inlineStr">
        <is>
          <t>location</t>
        </is>
      </c>
      <c r="D1548" t="inlineStr">
        <is>
          <t>unit</t>
        </is>
      </c>
      <c r="E1548" t="inlineStr">
        <is>
          <t>categories</t>
        </is>
      </c>
      <c r="F1548" t="inlineStr">
        <is>
          <t>type</t>
        </is>
      </c>
      <c r="G1548" t="inlineStr">
        <is>
          <t>reference product</t>
        </is>
      </c>
      <c r="H1548" t="inlineStr">
        <is>
          <t>comment</t>
        </is>
      </c>
      <c r="I1548" t="inlineStr">
        <is>
          <t>product</t>
        </is>
      </c>
    </row>
    <row r="1549">
      <c r="A1549" t="inlineStr">
        <is>
          <t xml:space="preserve">semiconductor package production, lm5168fqddarq1</t>
        </is>
      </c>
      <c r="B1549">
        <v>1</v>
      </c>
      <c r="C1549" t="inlineStr">
        <is>
          <t>GLO</t>
        </is>
      </c>
      <c r="D1549" t="inlineStr">
        <is>
          <t>unit</t>
        </is>
      </c>
      <c r="F1549" t="inlineStr">
        <is>
          <t>production</t>
        </is>
      </c>
      <c r="G1549" t="inlineStr">
        <is>
          <t xml:space="preserve">semiconductor package, LM5168FQDDARQ1</t>
        </is>
      </c>
      <c r="I1549" t="inlineStr">
        <is>
          <t xml:space="preserve">semiconductor package, LM5168FQDDARQ1</t>
        </is>
      </c>
    </row>
    <row r="1550">
      <c r="A1550" t="inlineStr">
        <is>
          <t>market for copper, cathode</t>
        </is>
      </c>
      <c r="B1550">
        <v>4.1931086e-05</v>
      </c>
      <c r="C1550" t="inlineStr">
        <is>
          <t>GLO</t>
        </is>
      </c>
      <c r="D1550" t="inlineStr">
        <is>
          <t>kilogram</t>
        </is>
      </c>
      <c r="F1550" t="inlineStr">
        <is>
          <t>technosphere</t>
        </is>
      </c>
      <c r="G1550" t="inlineStr">
        <is>
          <t>copper, cathode</t>
        </is>
      </c>
      <c r="I1550" t="inlineStr">
        <is>
          <t>copper, cathode</t>
        </is>
      </c>
    </row>
    <row r="1551">
      <c r="A1551" t="inlineStr">
        <is>
          <t>market for gold</t>
        </is>
      </c>
      <c r="B1551">
        <v>8.53e-09</v>
      </c>
      <c r="C1551" t="inlineStr">
        <is>
          <t>GLO</t>
        </is>
      </c>
      <c r="D1551" t="inlineStr">
        <is>
          <t>kilogram</t>
        </is>
      </c>
      <c r="F1551" t="inlineStr">
        <is>
          <t>technosphere</t>
        </is>
      </c>
      <c r="G1551" t="inlineStr">
        <is>
          <t>gold</t>
        </is>
      </c>
      <c r="I1551" t="inlineStr">
        <is>
          <t>gold</t>
        </is>
      </c>
    </row>
    <row r="1552">
      <c r="A1552" t="inlineStr">
        <is>
          <t>market for palladium</t>
        </is>
      </c>
      <c r="B1552">
        <v>4.4704e-08</v>
      </c>
      <c r="C1552" t="inlineStr">
        <is>
          <t>GLO</t>
        </is>
      </c>
      <c r="D1552" t="inlineStr">
        <is>
          <t>kilogram</t>
        </is>
      </c>
      <c r="F1552" t="inlineStr">
        <is>
          <t>technosphere</t>
        </is>
      </c>
      <c r="G1552" t="inlineStr">
        <is>
          <t>palladium</t>
        </is>
      </c>
      <c r="I1552" t="inlineStr">
        <is>
          <t>palladium</t>
        </is>
      </c>
    </row>
    <row r="1553">
      <c r="A1553" t="inlineStr">
        <is>
          <t>market for silver</t>
        </is>
      </c>
      <c r="B1553">
        <v>6.62439e-07</v>
      </c>
      <c r="C1553" t="inlineStr">
        <is>
          <t>GLO</t>
        </is>
      </c>
      <c r="D1553" t="inlineStr">
        <is>
          <t>kilogram</t>
        </is>
      </c>
      <c r="F1553" t="inlineStr">
        <is>
          <t>technosphere</t>
        </is>
      </c>
      <c r="G1553" t="inlineStr">
        <is>
          <t>silver</t>
        </is>
      </c>
      <c r="I1553" t="inlineStr">
        <is>
          <t>silver</t>
        </is>
      </c>
    </row>
    <row r="1554">
      <c r="A1554" t="inlineStr">
        <is>
          <t>market for epoxy resin, liquid</t>
        </is>
      </c>
      <c r="B1554">
        <v>5.0896739999999994e-06</v>
      </c>
      <c r="C1554" t="inlineStr">
        <is>
          <t>RER</t>
        </is>
      </c>
      <c r="D1554" t="inlineStr">
        <is>
          <t>kilogram</t>
        </is>
      </c>
      <c r="F1554" t="inlineStr">
        <is>
          <t>technosphere</t>
        </is>
      </c>
      <c r="G1554" t="inlineStr">
        <is>
          <t>epoxy resin, liquid</t>
        </is>
      </c>
      <c r="I1554" t="inlineStr">
        <is>
          <t>epoxy resin, liquid</t>
        </is>
      </c>
    </row>
    <row r="1555">
      <c r="A1555" t="inlineStr">
        <is>
          <t>market for steel, low-alloyed</t>
        </is>
      </c>
      <c r="B1555">
        <v>9.5667e-07</v>
      </c>
      <c r="C1555" t="inlineStr">
        <is>
          <t>GLO</t>
        </is>
      </c>
      <c r="D1555" t="inlineStr">
        <is>
          <t>kilogram</t>
        </is>
      </c>
      <c r="F1555" t="inlineStr">
        <is>
          <t>technosphere</t>
        </is>
      </c>
      <c r="G1555" t="inlineStr">
        <is>
          <t>steel, low-alloyed</t>
        </is>
      </c>
      <c r="I1555" t="inlineStr">
        <is>
          <t>steel, low-alloyed</t>
        </is>
      </c>
    </row>
    <row r="1556">
      <c r="A1556" t="inlineStr">
        <is>
          <t>market for phosphorus, white, liquid</t>
        </is>
      </c>
      <c r="B1556">
        <v>1.2441e-08</v>
      </c>
      <c r="C1556" t="inlineStr">
        <is>
          <t>GLO</t>
        </is>
      </c>
      <c r="D1556" t="inlineStr">
        <is>
          <t>kilogram</t>
        </is>
      </c>
      <c r="F1556" t="inlineStr">
        <is>
          <t>technosphere</t>
        </is>
      </c>
      <c r="G1556" t="inlineStr">
        <is>
          <t>phosphorus, white, liquid</t>
        </is>
      </c>
      <c r="I1556" t="inlineStr">
        <is>
          <t>phosphorus, white, liquid</t>
        </is>
      </c>
    </row>
    <row r="1557">
      <c r="A1557" t="inlineStr">
        <is>
          <t>market for lead</t>
        </is>
      </c>
      <c r="B1557">
        <v>8.58e-10</v>
      </c>
      <c r="C1557" t="inlineStr">
        <is>
          <t>GLO</t>
        </is>
      </c>
      <c r="D1557" t="inlineStr">
        <is>
          <t>kilogram</t>
        </is>
      </c>
      <c r="F1557" t="inlineStr">
        <is>
          <t>technosphere</t>
        </is>
      </c>
      <c r="G1557" t="inlineStr">
        <is>
          <t>lead</t>
        </is>
      </c>
      <c r="I1557" t="inlineStr">
        <is>
          <t>lead</t>
        </is>
      </c>
    </row>
    <row r="1558">
      <c r="A1558" t="inlineStr">
        <is>
          <t>market for zinc</t>
        </is>
      </c>
      <c r="B1558">
        <v>5.4912e-08</v>
      </c>
      <c r="C1558" t="inlineStr">
        <is>
          <t>GLO</t>
        </is>
      </c>
      <c r="D1558" t="inlineStr">
        <is>
          <t>kilogram</t>
        </is>
      </c>
      <c r="F1558" t="inlineStr">
        <is>
          <t>technosphere</t>
        </is>
      </c>
      <c r="G1558" t="inlineStr">
        <is>
          <t>zinc</t>
        </is>
      </c>
      <c r="I1558" t="inlineStr">
        <is>
          <t>zinc</t>
        </is>
      </c>
    </row>
    <row r="1559">
      <c r="A1559" t="inlineStr">
        <is>
          <t>market for nickel, class 1</t>
        </is>
      </c>
      <c r="B1559">
        <v>9.9876e-07</v>
      </c>
      <c r="C1559" t="inlineStr">
        <is>
          <t>GLO</t>
        </is>
      </c>
      <c r="D1559" t="inlineStr">
        <is>
          <t>kilogram</t>
        </is>
      </c>
      <c r="F1559" t="inlineStr">
        <is>
          <t>technosphere</t>
        </is>
      </c>
      <c r="G1559" t="inlineStr">
        <is>
          <t>nickel, class 1</t>
        </is>
      </c>
      <c r="I1559" t="inlineStr">
        <is>
          <t>nickel, class 1</t>
        </is>
      </c>
    </row>
    <row r="1560">
      <c r="A1560" t="inlineStr">
        <is>
          <t>market for phenolic resin</t>
        </is>
      </c>
      <c r="B1560">
        <v>1.6413549999999999e-06</v>
      </c>
      <c r="C1560" t="inlineStr">
        <is>
          <t>RER</t>
        </is>
      </c>
      <c r="D1560" t="inlineStr">
        <is>
          <t>kilogram</t>
        </is>
      </c>
      <c r="F1560" t="inlineStr">
        <is>
          <t>technosphere</t>
        </is>
      </c>
      <c r="G1560" t="inlineStr">
        <is>
          <t>phenolic resin</t>
        </is>
      </c>
      <c r="I1560" t="inlineStr">
        <is>
          <t>phenolic resin</t>
        </is>
      </c>
    </row>
    <row r="1561">
      <c r="A1561" t="inlineStr">
        <is>
          <t>market for silica sand</t>
        </is>
      </c>
      <c r="B1561">
        <v>4.0095957e-05</v>
      </c>
      <c r="C1561" t="inlineStr">
        <is>
          <t>GLO</t>
        </is>
      </c>
      <c r="D1561" t="inlineStr">
        <is>
          <t>kilogram</t>
        </is>
      </c>
      <c r="F1561" t="inlineStr">
        <is>
          <t>technosphere</t>
        </is>
      </c>
      <c r="G1561" t="inlineStr">
        <is>
          <t>silica sand</t>
        </is>
      </c>
      <c r="I1561" t="inlineStr">
        <is>
          <t>silica sand</t>
        </is>
      </c>
    </row>
    <row r="1562">
      <c r="A1562" t="inlineStr">
        <is>
          <t>market for carbon black</t>
        </is>
      </c>
      <c r="B1562">
        <v>2.34479e-07</v>
      </c>
      <c r="C1562" t="inlineStr">
        <is>
          <t>GLO</t>
        </is>
      </c>
      <c r="D1562" t="inlineStr">
        <is>
          <t>kilogram</t>
        </is>
      </c>
      <c r="F1562" t="inlineStr">
        <is>
          <t>technosphere</t>
        </is>
      </c>
      <c r="G1562" t="inlineStr">
        <is>
          <t>carbon black</t>
        </is>
      </c>
      <c r="I1562" t="inlineStr">
        <is>
          <t>carbon black</t>
        </is>
      </c>
    </row>
    <row r="1563">
      <c r="A1563" t="inlineStr">
        <is>
          <t>market for wafer, fabricated, for integrated circuit</t>
        </is>
      </c>
      <c r="B1563">
        <v>5.5324678111587985e-06</v>
      </c>
      <c r="C1563" t="inlineStr">
        <is>
          <t>GLO</t>
        </is>
      </c>
      <c r="D1563" t="inlineStr">
        <is>
          <t>square meter</t>
        </is>
      </c>
      <c r="F1563" t="inlineStr">
        <is>
          <t>technosphere</t>
        </is>
      </c>
      <c r="G1563" t="inlineStr">
        <is>
          <t>wafer, fabricated, for integrated circuit</t>
        </is>
      </c>
      <c r="I1563" t="inlineStr">
        <is>
          <t>wafer, fabricated, for integrated circuit</t>
        </is>
      </c>
    </row>
    <row r="1564">
      <c r="A1564" t="inlineStr">
        <is>
          <t>market group for electricity, medium voltage</t>
        </is>
      </c>
      <c r="B1564">
        <v>9.559906199999999e-05</v>
      </c>
      <c r="C1564" t="inlineStr">
        <is>
          <t>GLO</t>
        </is>
      </c>
      <c r="D1564" t="inlineStr">
        <is>
          <t>kilowatt hour</t>
        </is>
      </c>
      <c r="F1564" t="inlineStr">
        <is>
          <t>technosphere</t>
        </is>
      </c>
      <c r="G1564" t="inlineStr">
        <is>
          <t>electricity, medium voltage</t>
        </is>
      </c>
      <c r="I1564" t="inlineStr">
        <is>
          <t>electricity, medium voltage</t>
        </is>
      </c>
    </row>
    <row r="1567">
      <c r="A1567" t="inlineStr">
        <is>
          <t>Activity</t>
        </is>
      </c>
      <c r="B1567" t="inlineStr">
        <is>
          <t xml:space="preserve">semiconductor package production, txu0204qpwrq1</t>
        </is>
      </c>
    </row>
    <row r="1568">
      <c r="A1568" t="inlineStr">
        <is>
          <t>location</t>
        </is>
      </c>
      <c r="B1568" t="inlineStr">
        <is>
          <t>GLO</t>
        </is>
      </c>
    </row>
    <row r="1569">
      <c r="A1569" t="inlineStr">
        <is>
          <t>production amount</t>
        </is>
      </c>
      <c r="B1569">
        <v>1</v>
      </c>
    </row>
    <row r="1570">
      <c r="A1570" t="inlineStr">
        <is>
          <t>reference product</t>
        </is>
      </c>
      <c r="B1570" t="inlineStr">
        <is>
          <t xml:space="preserve">semiconductor package, TXU0204QPWRQ1</t>
        </is>
      </c>
    </row>
    <row r="1571">
      <c r="A1571" t="inlineStr">
        <is>
          <t>unit</t>
        </is>
      </c>
      <c r="B1571" t="inlineStr">
        <is>
          <t>unit</t>
        </is>
      </c>
    </row>
    <row r="1572">
      <c r="A1572" t="inlineStr">
        <is>
          <t>source</t>
        </is>
      </c>
      <c r="B1572" t="inlineStr">
        <is>
          <t>TI manufacturer material-content reports https://www.ti.com/quality-reliability-packaging-download/de-de/report?opn=LM5168FQDDARQ1 ; ?opn=TXU0204QPWRQ1 ; ?opn=CC2662R1FTWRGZRQ1 , accessed2026-10-18; TI TIDA020076 fitted BOM and CC2662 WBMS controller guide.</t>
        </is>
      </c>
    </row>
    <row r="1573">
      <c r="A1573" t="inlineStr">
        <is>
          <t>comment</t>
        </is>
      </c>
      <c r="B1573" t="inlineStr">
        <is>
          <t xml:space="preserve">Nomenclature revision, 2026-10-19. Former activity name: semiconductor package, TXU0204QPWRQ1, declared material reference. Former reference product: semiconductor package, TXU0204QPWRQ1, declared material reference. Activity/product labels and supplier references only; coefficients, formulas, uncertainty, declared output and unit are unchanged. Original engineering assumptions, functional-unit basis and limitations remain below.
APPROVED PACKAGE-SPECIFIC CONTROL SEMICONDUCTORS, issue57, 2026-10-18. TI manufacturer material-content reports https://www.ti.com/quality-reliability-packaging-download/de-de/report?opn=LM5168FQDDARQ1 ; ?opn=TXU0204QPWRQ1 ; ?opn=CC2662R1FTWRGZRQ1 , accessed2026-10-18; TI TIDA020076 fitted BOM and CC2662 WBMS controller guide. Use one explicitly selected first returned material declaration per part, never sum alternative assembly-site tables. LM5168 FlyBuck regulator,TXU0204 logic translator andCC2662 WBMS MCU have distinct die,frame,bonds,mold and plating. Sum constituent rows excluding subtotals to recover declared package mass. Retain actual Zn alloying,Ag attach and Au/Pd plating; no arbitraryZn-for-Sb conversion or global antimony deletion. Sb is not listed in these selected declarations, which is not proof of analyticalzeroSb in all electronics. Purchase fabricated die wafer area from declared Si mass at explicit300micrometrethickness,2330kg/m3; no second rawSi charge. Silica-sand supply is an explicit fused-silica proxy with missing fusion/purity energy. Fe uses lowalloy steel proxy, resin uses epoxy/phenolic analogues, elementalP/chlorine feeds are nominal material proxies. Proprietary composition remains unresolved. Package assembly1kWh/kg and100%final retention are engineering assumptions,not suppliermeasured yield or complete semiconductor packaging LCI. Module priorlogic allowances1.5g and0.4g are replaced by oneTXU and oneLM5168 package,consistent with fitted reference parts; released mass remains explicitly unresolved board components. Other actualMCU/isolation packages are still coveragegaps,not proven identical. Central5gMCU allowance becomes oneCC2662 (firstselectedsite) and residual mass,not dozens of fictitious MCU packages. BQ79616 monitor package unchanged. Fixed70g/490g board budgets and their downstream endoflife retained. No motherboard/chassis electronics added. Process service, film,purity,actualsite and unknown-component sensitivity remain necessary; no certifiedexactvehicleBOM claim.</t>
        </is>
      </c>
    </row>
    <row r="1574">
      <c r="A1574" t="inlineStr">
        <is>
          <t xml:space="preserve">type</t>
        </is>
      </c>
      <c r="B1574" t="inlineStr">
        <is>
          <t xml:space="preserve">processwithreferenceproduct</t>
        </is>
      </c>
    </row>
    <row r="1575">
      <c r="A1575" t="inlineStr">
        <is>
          <t>Exchanges</t>
        </is>
      </c>
    </row>
    <row r="1576">
      <c r="A1576" t="inlineStr">
        <is>
          <t>name</t>
        </is>
      </c>
      <c r="B1576" t="inlineStr">
        <is>
          <t>amount</t>
        </is>
      </c>
      <c r="C1576" t="inlineStr">
        <is>
          <t>location</t>
        </is>
      </c>
      <c r="D1576" t="inlineStr">
        <is>
          <t>unit</t>
        </is>
      </c>
      <c r="E1576" t="inlineStr">
        <is>
          <t>categories</t>
        </is>
      </c>
      <c r="F1576" t="inlineStr">
        <is>
          <t>type</t>
        </is>
      </c>
      <c r="G1576" t="inlineStr">
        <is>
          <t>reference product</t>
        </is>
      </c>
      <c r="H1576" t="inlineStr">
        <is>
          <t>comment</t>
        </is>
      </c>
      <c r="I1576" t="inlineStr">
        <is>
          <t>product</t>
        </is>
      </c>
    </row>
    <row r="1577">
      <c r="A1577" t="inlineStr">
        <is>
          <t xml:space="preserve">semiconductor package production, txu0204qpwrq1</t>
        </is>
      </c>
      <c r="B1577">
        <v>1</v>
      </c>
      <c r="C1577" t="inlineStr">
        <is>
          <t>GLO</t>
        </is>
      </c>
      <c r="D1577" t="inlineStr">
        <is>
          <t>unit</t>
        </is>
      </c>
      <c r="F1577" t="inlineStr">
        <is>
          <t>production</t>
        </is>
      </c>
      <c r="G1577" t="inlineStr">
        <is>
          <t xml:space="preserve">semiconductor package, TXU0204QPWRQ1</t>
        </is>
      </c>
      <c r="I1577" t="inlineStr">
        <is>
          <t xml:space="preserve">semiconductor package, TXU0204QPWRQ1</t>
        </is>
      </c>
    </row>
    <row r="1578">
      <c r="A1578" t="inlineStr">
        <is>
          <t>market for copper, cathode</t>
        </is>
      </c>
      <c r="B1578">
        <v>2.8695129999999998e-05</v>
      </c>
      <c r="C1578" t="inlineStr">
        <is>
          <t>GLO</t>
        </is>
      </c>
      <c r="D1578" t="inlineStr">
        <is>
          <t>kilogram</t>
        </is>
      </c>
      <c r="F1578" t="inlineStr">
        <is>
          <t>technosphere</t>
        </is>
      </c>
      <c r="G1578" t="inlineStr">
        <is>
          <t>copper, cathode</t>
        </is>
      </c>
      <c r="I1578" t="inlineStr">
        <is>
          <t>copper, cathode</t>
        </is>
      </c>
    </row>
    <row r="1579">
      <c r="A1579" t="inlineStr">
        <is>
          <t>market for palladium</t>
        </is>
      </c>
      <c r="B1579">
        <v>6.033e-09</v>
      </c>
      <c r="C1579" t="inlineStr">
        <is>
          <t>GLO</t>
        </is>
      </c>
      <c r="D1579" t="inlineStr">
        <is>
          <t>kilogram</t>
        </is>
      </c>
      <c r="F1579" t="inlineStr">
        <is>
          <t>technosphere</t>
        </is>
      </c>
      <c r="G1579" t="inlineStr">
        <is>
          <t>palladium</t>
        </is>
      </c>
      <c r="I1579" t="inlineStr">
        <is>
          <t>palladium</t>
        </is>
      </c>
    </row>
    <row r="1580">
      <c r="A1580" t="inlineStr">
        <is>
          <t>market for silver</t>
        </is>
      </c>
      <c r="B1580">
        <v>7.7583e-08</v>
      </c>
      <c r="C1580" t="inlineStr">
        <is>
          <t>GLO</t>
        </is>
      </c>
      <c r="D1580" t="inlineStr">
        <is>
          <t>kilogram</t>
        </is>
      </c>
      <c r="F1580" t="inlineStr">
        <is>
          <t>technosphere</t>
        </is>
      </c>
      <c r="G1580" t="inlineStr">
        <is>
          <t>silver</t>
        </is>
      </c>
      <c r="I1580" t="inlineStr">
        <is>
          <t>silver</t>
        </is>
      </c>
    </row>
    <row r="1581">
      <c r="A1581" t="inlineStr">
        <is>
          <t>market for epoxy resin, liquid</t>
        </is>
      </c>
      <c r="B1581">
        <v>6.4927309999999995e-06</v>
      </c>
      <c r="C1581" t="inlineStr">
        <is>
          <t>RER</t>
        </is>
      </c>
      <c r="D1581" t="inlineStr">
        <is>
          <t>kilogram</t>
        </is>
      </c>
      <c r="F1581" t="inlineStr">
        <is>
          <t>technosphere</t>
        </is>
      </c>
      <c r="G1581" t="inlineStr">
        <is>
          <t>epoxy resin, liquid</t>
        </is>
      </c>
      <c r="I1581" t="inlineStr">
        <is>
          <t>epoxy resin, liquid</t>
        </is>
      </c>
    </row>
    <row r="1582">
      <c r="A1582" t="inlineStr">
        <is>
          <t>market for steel, low-alloyed</t>
        </is>
      </c>
      <c r="B1582">
        <v>7.17654e-07</v>
      </c>
      <c r="C1582" t="inlineStr">
        <is>
          <t>GLO</t>
        </is>
      </c>
      <c r="D1582" t="inlineStr">
        <is>
          <t>kilogram</t>
        </is>
      </c>
      <c r="F1582" t="inlineStr">
        <is>
          <t>technosphere</t>
        </is>
      </c>
      <c r="G1582" t="inlineStr">
        <is>
          <t>steel, low-alloyed</t>
        </is>
      </c>
      <c r="I1582" t="inlineStr">
        <is>
          <t>steel, low-alloyed</t>
        </is>
      </c>
    </row>
    <row r="1583">
      <c r="A1583" t="inlineStr">
        <is>
          <t>market for phosphorus, white, liquid</t>
        </is>
      </c>
      <c r="B1583">
        <v>2.4254999999999998e-08</v>
      </c>
      <c r="C1583" t="inlineStr">
        <is>
          <t>GLO</t>
        </is>
      </c>
      <c r="D1583" t="inlineStr">
        <is>
          <t>kilogram</t>
        </is>
      </c>
      <c r="F1583" t="inlineStr">
        <is>
          <t>technosphere</t>
        </is>
      </c>
      <c r="G1583" t="inlineStr">
        <is>
          <t>phosphorus, white, liquid</t>
        </is>
      </c>
      <c r="I1583" t="inlineStr">
        <is>
          <t>phosphorus, white, liquid</t>
        </is>
      </c>
    </row>
    <row r="1584">
      <c r="A1584" t="inlineStr">
        <is>
          <t>market for zinc</t>
        </is>
      </c>
      <c r="B1584">
        <v>3.8219999999999994e-08</v>
      </c>
      <c r="C1584" t="inlineStr">
        <is>
          <t>GLO</t>
        </is>
      </c>
      <c r="D1584" t="inlineStr">
        <is>
          <t>kilogram</t>
        </is>
      </c>
      <c r="F1584" t="inlineStr">
        <is>
          <t>technosphere</t>
        </is>
      </c>
      <c r="G1584" t="inlineStr">
        <is>
          <t>zinc</t>
        </is>
      </c>
      <c r="I1584" t="inlineStr">
        <is>
          <t>zinc</t>
        </is>
      </c>
    </row>
    <row r="1585">
      <c r="A1585" t="inlineStr">
        <is>
          <t>market for nickel, class 1</t>
        </is>
      </c>
      <c r="B1585">
        <v>9.7022e-08</v>
      </c>
      <c r="C1585" t="inlineStr">
        <is>
          <t>GLO</t>
        </is>
      </c>
      <c r="D1585" t="inlineStr">
        <is>
          <t>kilogram</t>
        </is>
      </c>
      <c r="F1585" t="inlineStr">
        <is>
          <t>technosphere</t>
        </is>
      </c>
      <c r="G1585" t="inlineStr">
        <is>
          <t>nickel, class 1</t>
        </is>
      </c>
      <c r="I1585" t="inlineStr">
        <is>
          <t>nickel, class 1</t>
        </is>
      </c>
    </row>
    <row r="1586">
      <c r="A1586" t="inlineStr">
        <is>
          <t>market for gold</t>
        </is>
      </c>
      <c r="B1586">
        <v>7.96e-10</v>
      </c>
      <c r="C1586" t="inlineStr">
        <is>
          <t>GLO</t>
        </is>
      </c>
      <c r="D1586" t="inlineStr">
        <is>
          <t>kilogram</t>
        </is>
      </c>
      <c r="F1586" t="inlineStr">
        <is>
          <t>technosphere</t>
        </is>
      </c>
      <c r="G1586" t="inlineStr">
        <is>
          <t>gold</t>
        </is>
      </c>
      <c r="I1586" t="inlineStr">
        <is>
          <t>gold</t>
        </is>
      </c>
    </row>
    <row r="1587">
      <c r="A1587" t="inlineStr">
        <is>
          <t>market for silica sand</t>
        </is>
      </c>
      <c r="B1587">
        <v>3.7947141999999996e-05</v>
      </c>
      <c r="C1587" t="inlineStr">
        <is>
          <t>GLO</t>
        </is>
      </c>
      <c r="D1587" t="inlineStr">
        <is>
          <t>kilogram</t>
        </is>
      </c>
      <c r="F1587" t="inlineStr">
        <is>
          <t>technosphere</t>
        </is>
      </c>
      <c r="G1587" t="inlineStr">
        <is>
          <t>silica sand</t>
        </is>
      </c>
      <c r="I1587" t="inlineStr">
        <is>
          <t>silica sand</t>
        </is>
      </c>
    </row>
    <row r="1588">
      <c r="A1588" t="inlineStr">
        <is>
          <t>market for carbon black</t>
        </is>
      </c>
      <c r="B1588">
        <v>2.2321799999999998e-07</v>
      </c>
      <c r="C1588" t="inlineStr">
        <is>
          <t>GLO</t>
        </is>
      </c>
      <c r="D1588" t="inlineStr">
        <is>
          <t>kilogram</t>
        </is>
      </c>
      <c r="F1588" t="inlineStr">
        <is>
          <t>technosphere</t>
        </is>
      </c>
      <c r="G1588" t="inlineStr">
        <is>
          <t>carbon black</t>
        </is>
      </c>
      <c r="I1588" t="inlineStr">
        <is>
          <t>carbon black</t>
        </is>
      </c>
    </row>
    <row r="1589">
      <c r="A1589" t="inlineStr">
        <is>
          <t>market for wafer, fabricated, for integrated circuit</t>
        </is>
      </c>
      <c r="B1589">
        <v>4.5406151645207437e-07</v>
      </c>
      <c r="C1589" t="inlineStr">
        <is>
          <t>GLO</t>
        </is>
      </c>
      <c r="D1589" t="inlineStr">
        <is>
          <t>square meter</t>
        </is>
      </c>
      <c r="F1589" t="inlineStr">
        <is>
          <t>technosphere</t>
        </is>
      </c>
      <c r="G1589" t="inlineStr">
        <is>
          <t>wafer, fabricated, for integrated circuit</t>
        </is>
      </c>
      <c r="I1589" t="inlineStr">
        <is>
          <t>wafer, fabricated, for integrated circuit</t>
        </is>
      </c>
    </row>
    <row r="1590">
      <c r="A1590" t="inlineStr">
        <is>
          <t>market group for electricity, medium voltage</t>
        </is>
      </c>
      <c r="B1590">
        <v>7.4637181e-05</v>
      </c>
      <c r="C1590" t="inlineStr">
        <is>
          <t>GLO</t>
        </is>
      </c>
      <c r="D1590" t="inlineStr">
        <is>
          <t>kilowatt hour</t>
        </is>
      </c>
      <c r="F1590" t="inlineStr">
        <is>
          <t>technosphere</t>
        </is>
      </c>
      <c r="G1590" t="inlineStr">
        <is>
          <t>electricity, medium voltage</t>
        </is>
      </c>
      <c r="I1590" t="inlineStr">
        <is>
          <t>electricity, medium voltage</t>
        </is>
      </c>
    </row>
    <row r="1593">
      <c r="A1593" t="inlineStr">
        <is>
          <t>Activity</t>
        </is>
      </c>
      <c r="B1593" t="inlineStr">
        <is>
          <t xml:space="preserve">battery auxiliary interface and power conditioning unit production</t>
        </is>
      </c>
    </row>
    <row r="1594">
      <c r="A1594" t="inlineStr">
        <is>
          <t>location</t>
        </is>
      </c>
      <c r="B1594" t="inlineStr">
        <is>
          <t>GLO</t>
        </is>
      </c>
    </row>
    <row r="1595">
      <c r="A1595" t="inlineStr">
        <is>
          <t>production amount</t>
        </is>
      </c>
      <c r="B1595">
        <v>1</v>
      </c>
    </row>
    <row r="1596">
      <c r="A1596" t="inlineStr">
        <is>
          <t>reference product</t>
        </is>
      </c>
      <c r="B1596" t="inlineStr">
        <is>
          <t xml:space="preserve">battery auxiliary interface and power conditioning unit</t>
        </is>
      </c>
    </row>
    <row r="1597">
      <c r="A1597" t="inlineStr">
        <is>
          <t>unit</t>
        </is>
      </c>
      <c r="B1597" t="inlineStr">
        <is>
          <t>kilogram</t>
        </is>
      </c>
    </row>
    <row r="1598">
      <c r="A1598" t="inlineStr">
        <is>
          <t>source</t>
        </is>
      </c>
      <c r="B1598" t="inlineStr">
        <is>
          <t>TI TIDA020076 SLURB87 component classes; TI package declarations and KEMET/Bourns references documented in issues55-57; Wickerts2024 DOI10.1021/acssuschemeng.4c01782.s001 and Ellingsen2014 DOI10.1111/jiec.12072 regulator/board allowances. Additional interface BOM below is explicitly engineered,not manufacturermeasured.</t>
        </is>
      </c>
    </row>
    <row r="1599">
      <c r="A1599" t="inlineStr">
        <is>
          <t>comment</t>
        </is>
      </c>
      <c r="B1599" t="inlineStr">
        <is>
          <t xml:space="preserve">Nomenclature revision, 2026-10-19. Former activity name: battery auxiliary interface and power conditioning, engineering reference. Former reference product: battery auxiliary interface and power conditioning, engineering reference. Activity/product labels and supplier references only; coefficients, formulas, uncertainty, declared output and unit are unchanged. Original engineering assumptions, functional-unit basis and limitations remain below.
APPROVED AUXILIARY BATTERY BOARD BOUNDARY, issue58, 2026-10-18. TI TIDA020076 SLURB87 component classes; TI package declarations and KEMET/Bourns references documented in issues55-57; Wickerts2024 DOI10.1021/acssuschemeng.4c01782.s001 and Ellingsen2014 DOI10.1111/jiec.12072 regulator/board allowances. Additional interface BOM below is explicitly engineered,not manufacturermeasured. Replace the remaining0.84-1.03kg/reference generic mountedTHT regulator allowance by a scoped auxiliarypower/interface assembly, distinct from16x70g modulemonitorboards and the490g centralboard. No second fullBMS,centralprocessor,monitorASIC,tractionconverter or duplicated board area is added. Onekg finishedreference has glass0.24,epoxy0.16,copper0.18,ferrite0.15,Alheatspreaders0.10,nylonconnectors/insulation0.09,solder0.03,Class2capacitors0.025,nonzeroresistors0.005,logicpackages0.01 and regulatorpackages0.01kg. These are explicit function-level mass allowances with unknown actual counts/ratings; materialcomposition is an engineering sensitivity reference, not measured exact auxiliaryboards. 40%barelaminate and combined18%Cu include boardtracks and inductorwindings, so no additional wholeinductors or mountedboard proxy. Use package unit counts derived from actual selected package masses, and documented ceramic/resistor families; retain real preciousmetals without genericZn-as-Sb. Maintain total original regulator allowance and paired complete-control disposal, not invent a source-measured mass reduction. Replace the small unresolved generic mountedcomponent remainders inside existing central/moduleboards by this explicitly identified auxiliary-component analogue at unchanged residual mass; it includes laminate by engineering transfer, and is not evidence that the residual is an actual second fitted board. Their detailed fittedpart inputs remain, no recount. Retain uncertainty as actual-component coveragegaps: transformer/diode/isolationpart ratings,trace metals,laminate layout,thermaldesign,assemblyyield and exact topology. Test zero-to-double additional interface allowance as an explicit coverage sensitivity. Component supplymanufacture is separate from boardassembly2kWh/kg;100%final assemblyretention assumed. No chassis, native inventory mutation or extra EOL on top of currentcompletecontrol treatment.</t>
        </is>
      </c>
    </row>
    <row r="1600">
      <c r="A1600" t="inlineStr">
        <is>
          <t xml:space="preserve">type</t>
        </is>
      </c>
      <c r="B1600" t="inlineStr">
        <is>
          <t xml:space="preserve">processwithreferenceproduct</t>
        </is>
      </c>
    </row>
    <row r="1601">
      <c r="A1601" t="inlineStr">
        <is>
          <t>Exchanges</t>
        </is>
      </c>
    </row>
    <row r="1602">
      <c r="A1602" t="inlineStr">
        <is>
          <t>name</t>
        </is>
      </c>
      <c r="B1602" t="inlineStr">
        <is>
          <t>amount</t>
        </is>
      </c>
      <c r="C1602" t="inlineStr">
        <is>
          <t>location</t>
        </is>
      </c>
      <c r="D1602" t="inlineStr">
        <is>
          <t>unit</t>
        </is>
      </c>
      <c r="E1602" t="inlineStr">
        <is>
          <t>categories</t>
        </is>
      </c>
      <c r="F1602" t="inlineStr">
        <is>
          <t>type</t>
        </is>
      </c>
      <c r="G1602" t="inlineStr">
        <is>
          <t>reference product</t>
        </is>
      </c>
      <c r="H1602" t="inlineStr">
        <is>
          <t>comment</t>
        </is>
      </c>
      <c r="I1602" t="inlineStr">
        <is>
          <t>product</t>
        </is>
      </c>
    </row>
    <row r="1603">
      <c r="A1603" t="inlineStr">
        <is>
          <t xml:space="preserve">battery auxiliary interface and power conditioning unit production</t>
        </is>
      </c>
      <c r="B1603">
        <v>1</v>
      </c>
      <c r="C1603" t="inlineStr">
        <is>
          <t>GLO</t>
        </is>
      </c>
      <c r="D1603" t="inlineStr">
        <is>
          <t>kilogram</t>
        </is>
      </c>
      <c r="F1603" t="inlineStr">
        <is>
          <t>production</t>
        </is>
      </c>
      <c r="G1603" t="inlineStr">
        <is>
          <t xml:space="preserve">battery auxiliary interface and power conditioning unit</t>
        </is>
      </c>
      <c r="I1603" t="inlineStr">
        <is>
          <t xml:space="preserve">battery auxiliary interface and power conditioning unit</t>
        </is>
      </c>
    </row>
    <row r="1604">
      <c r="A1604" t="inlineStr">
        <is>
          <t>market for glass fibre</t>
        </is>
      </c>
      <c r="B1604">
        <v>0.24</v>
      </c>
      <c r="C1604" t="inlineStr">
        <is>
          <t>GLO</t>
        </is>
      </c>
      <c r="D1604" t="inlineStr">
        <is>
          <t>kilogram</t>
        </is>
      </c>
      <c r="F1604" t="inlineStr">
        <is>
          <t>technosphere</t>
        </is>
      </c>
      <c r="G1604" t="inlineStr">
        <is>
          <t>glass fibre</t>
        </is>
      </c>
      <c r="I1604" t="inlineStr">
        <is>
          <t>glass fibre</t>
        </is>
      </c>
    </row>
    <row r="1605">
      <c r="A1605" t="inlineStr">
        <is>
          <t>market for epoxy resin, liquid</t>
        </is>
      </c>
      <c r="B1605">
        <v>0.16</v>
      </c>
      <c r="C1605" t="inlineStr">
        <is>
          <t>RER</t>
        </is>
      </c>
      <c r="D1605" t="inlineStr">
        <is>
          <t>kilogram</t>
        </is>
      </c>
      <c r="F1605" t="inlineStr">
        <is>
          <t>technosphere</t>
        </is>
      </c>
      <c r="G1605" t="inlineStr">
        <is>
          <t>epoxy resin, liquid</t>
        </is>
      </c>
      <c r="I1605" t="inlineStr">
        <is>
          <t>epoxy resin, liquid</t>
        </is>
      </c>
    </row>
    <row r="1606">
      <c r="A1606" t="inlineStr">
        <is>
          <t>market for copper, cathode</t>
        </is>
      </c>
      <c r="B1606">
        <v>0.18</v>
      </c>
      <c r="C1606" t="inlineStr">
        <is>
          <t>GLO</t>
        </is>
      </c>
      <c r="D1606" t="inlineStr">
        <is>
          <t>kilogram</t>
        </is>
      </c>
      <c r="F1606" t="inlineStr">
        <is>
          <t>technosphere</t>
        </is>
      </c>
      <c r="G1606" t="inlineStr">
        <is>
          <t>copper, cathode</t>
        </is>
      </c>
      <c r="I1606" t="inlineStr">
        <is>
          <t>copper, cathode</t>
        </is>
      </c>
    </row>
    <row r="1607">
      <c r="A1607" t="inlineStr">
        <is>
          <t>market for ferrite</t>
        </is>
      </c>
      <c r="B1607">
        <v>0.15</v>
      </c>
      <c r="C1607" t="inlineStr">
        <is>
          <t>GLO</t>
        </is>
      </c>
      <c r="D1607" t="inlineStr">
        <is>
          <t>kilogram</t>
        </is>
      </c>
      <c r="F1607" t="inlineStr">
        <is>
          <t>technosphere</t>
        </is>
      </c>
      <c r="G1607" t="inlineStr">
        <is>
          <t>ferrite</t>
        </is>
      </c>
      <c r="I1607" t="inlineStr">
        <is>
          <t>ferrite</t>
        </is>
      </c>
    </row>
    <row r="1608">
      <c r="A1608" t="inlineStr">
        <is>
          <t>market for aluminium, wrought alloy</t>
        </is>
      </c>
      <c r="B1608">
        <v>0.1</v>
      </c>
      <c r="C1608" t="inlineStr">
        <is>
          <t>GLO</t>
        </is>
      </c>
      <c r="D1608" t="inlineStr">
        <is>
          <t>kilogram</t>
        </is>
      </c>
      <c r="F1608" t="inlineStr">
        <is>
          <t>technosphere</t>
        </is>
      </c>
      <c r="G1608" t="inlineStr">
        <is>
          <t>aluminium, wrought alloy</t>
        </is>
      </c>
      <c r="I1608" t="inlineStr">
        <is>
          <t>aluminium, wrought alloy</t>
        </is>
      </c>
    </row>
    <row r="1609">
      <c r="A1609" t="inlineStr">
        <is>
          <t>market for nylon 6</t>
        </is>
      </c>
      <c r="B1609">
        <v>0.09</v>
      </c>
      <c r="C1609" t="inlineStr">
        <is>
          <t>RER</t>
        </is>
      </c>
      <c r="D1609" t="inlineStr">
        <is>
          <t>kilogram</t>
        </is>
      </c>
      <c r="F1609" t="inlineStr">
        <is>
          <t>technosphere</t>
        </is>
      </c>
      <c r="G1609" t="inlineStr">
        <is>
          <t>nylon 6</t>
        </is>
      </c>
      <c r="I1609" t="inlineStr">
        <is>
          <t>nylon 6</t>
        </is>
      </c>
    </row>
    <row r="1610">
      <c r="A1610" t="inlineStr">
        <is>
          <t>market for solder, bar, Sn95.5Ag3.9Cu0.6, for electronics industry</t>
        </is>
      </c>
      <c r="B1610">
        <v>0.03</v>
      </c>
      <c r="C1610" t="inlineStr">
        <is>
          <t>GLO</t>
        </is>
      </c>
      <c r="D1610" t="inlineStr">
        <is>
          <t>kilogram</t>
        </is>
      </c>
      <c r="F1610" t="inlineStr">
        <is>
          <t>technosphere</t>
        </is>
      </c>
      <c r="G1610" t="inlineStr">
        <is>
          <t>solder, bar, Sn95.5Ag3.9Cu0.6, for electronics industry</t>
        </is>
      </c>
      <c r="I1610" t="inlineStr">
        <is>
          <t>solder, bar, Sn95.5Ag3.9Cu0.6, for electronics industry</t>
        </is>
      </c>
    </row>
    <row r="1611">
      <c r="A1611" t="inlineStr">
        <is>
          <t xml:space="preserve">capacitor production, class 2, 0603</t>
        </is>
      </c>
      <c r="B1611">
        <v>0.025</v>
      </c>
      <c r="C1611" t="inlineStr">
        <is>
          <t>GLO</t>
        </is>
      </c>
      <c r="D1611" t="inlineStr">
        <is>
          <t>kilogram</t>
        </is>
      </c>
      <c r="F1611" t="inlineStr">
        <is>
          <t>technosphere</t>
        </is>
      </c>
      <c r="G1611" t="inlineStr">
        <is>
          <t xml:space="preserve">capacitor, class 2, 0603</t>
        </is>
      </c>
      <c r="I1611" t="inlineStr">
        <is>
          <t xml:space="preserve">capacitor, class 2, 0603</t>
        </is>
      </c>
    </row>
    <row r="1612">
      <c r="A1612" t="inlineStr">
        <is>
          <t xml:space="preserve">thick-film resistor production</t>
        </is>
      </c>
      <c r="B1612">
        <v>0.005</v>
      </c>
      <c r="C1612" t="inlineStr">
        <is>
          <t>GLO</t>
        </is>
      </c>
      <c r="D1612" t="inlineStr">
        <is>
          <t>kilogram</t>
        </is>
      </c>
      <c r="F1612" t="inlineStr">
        <is>
          <t>technosphere</t>
        </is>
      </c>
      <c r="G1612" t="inlineStr">
        <is>
          <t xml:space="preserve">thick-film resistor</t>
        </is>
      </c>
      <c r="I1612" t="inlineStr">
        <is>
          <t xml:space="preserve">thick-film resistor</t>
        </is>
      </c>
    </row>
    <row r="1613">
      <c r="A1613" t="inlineStr">
        <is>
          <t xml:space="preserve">semiconductor package production, txu0204qpwrq1</t>
        </is>
      </c>
      <c r="B1613">
        <v>133.98148035628515</v>
      </c>
      <c r="C1613" t="inlineStr">
        <is>
          <t>GLO</t>
        </is>
      </c>
      <c r="D1613" t="inlineStr">
        <is>
          <t>unit</t>
        </is>
      </c>
      <c r="F1613" t="inlineStr">
        <is>
          <t>technosphere</t>
        </is>
      </c>
      <c r="G1613" t="inlineStr">
        <is>
          <t xml:space="preserve">semiconductor package, TXU0204QPWRQ1</t>
        </is>
      </c>
      <c r="I1613" t="inlineStr">
        <is>
          <t xml:space="preserve">semiconductor package, TXU0204QPWRQ1</t>
        </is>
      </c>
    </row>
    <row r="1614">
      <c r="A1614" t="inlineStr">
        <is>
          <t xml:space="preserve">semiconductor package production, lm5168fqddarq1</t>
        </is>
      </c>
      <c r="B1614">
        <v>104.60353680039248</v>
      </c>
      <c r="C1614" t="inlineStr">
        <is>
          <t>GLO</t>
        </is>
      </c>
      <c r="D1614" t="inlineStr">
        <is>
          <t>unit</t>
        </is>
      </c>
      <c r="F1614" t="inlineStr">
        <is>
          <t>technosphere</t>
        </is>
      </c>
      <c r="G1614" t="inlineStr">
        <is>
          <t xml:space="preserve">semiconductor package, LM5168FQDDARQ1</t>
        </is>
      </c>
      <c r="I1614" t="inlineStr">
        <is>
          <t xml:space="preserve">semiconductor package, LM5168FQDDARQ1</t>
        </is>
      </c>
    </row>
    <row r="1615">
      <c r="A1615" t="inlineStr">
        <is>
          <t>market group for electricity, medium voltage</t>
        </is>
      </c>
      <c r="B1615">
        <v>2</v>
      </c>
      <c r="C1615" t="inlineStr">
        <is>
          <t>GLO</t>
        </is>
      </c>
      <c r="D1615" t="inlineStr">
        <is>
          <t>kilowatt hour</t>
        </is>
      </c>
      <c r="F1615" t="inlineStr">
        <is>
          <t>technosphere</t>
        </is>
      </c>
      <c r="G1615" t="inlineStr">
        <is>
          <t>electricity, medium voltage</t>
        </is>
      </c>
      <c r="I1615" t="inlineStr">
        <is>
          <t>electricity, medium voltage</t>
        </is>
      </c>
    </row>
    <row r="1618">
      <c r="A1618" t="inlineStr">
        <is>
          <t>Activity</t>
        </is>
      </c>
      <c r="B1618" t="inlineStr">
        <is>
          <t xml:space="preserve">market for battery cell, lithium-sulfur, including end-of-life treatment</t>
        </is>
      </c>
    </row>
    <row r="1619">
      <c r="A1619" t="inlineStr">
        <is>
          <t>location</t>
        </is>
      </c>
      <c r="B1619" t="inlineStr">
        <is>
          <t>GLO</t>
        </is>
      </c>
    </row>
    <row r="1620">
      <c r="A1620" t="inlineStr">
        <is>
          <t>production amount</t>
        </is>
      </c>
      <c r="B1620">
        <v>1</v>
      </c>
    </row>
    <row r="1621">
      <c r="A1621" t="inlineStr">
        <is>
          <t>reference product</t>
        </is>
      </c>
      <c r="B1621" t="inlineStr">
        <is>
          <t xml:space="preserve">battery cell, Li-sulfur, Li-S, including end-of-life treatment</t>
        </is>
      </c>
    </row>
    <row r="1622">
      <c r="A1622" t="inlineStr">
        <is>
          <t>unit</t>
        </is>
      </c>
      <c r="B1622" t="inlineStr">
        <is>
          <t>kilogram</t>
        </is>
      </c>
    </row>
    <row r="1623">
      <c r="A1623" t="inlineStr">
        <is>
          <t>source</t>
        </is>
      </c>
      <c r="B1623" t="inlineStr">
        <is>
          <t xml:space="preserve">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Explicit reference links (source or inherited supplier evidence; the engineering adaptation is documented in the activity comment): https://doi.org/10.1021/acssuschemeng.3c00141 ; https://doi.org/10.1021/acssuschemeng.4c01782.s001 ; https://doi.org/10.1007/s11367-021-01976-0
Supplier lineage: battery cell production, Li-S.</t>
        </is>
      </c>
    </row>
    <row r="1624">
      <c r="A1624" t="inlineStr">
        <is>
          <t>comment</t>
        </is>
      </c>
      <c r="B1624" t="inlineStr">
        <is>
          <t xml:space="preserve">Nomenclature revision, 2026-10-19. Former activity name: market for battery cells, Li-sulfur, Li-S, density-scaled reference. Former reference product: market for battery cells, Li-sulfur, Li-S, density-scaled reference. Activity/product labels and supplier references only; coefficients, formulas, uncertainty, declared output and unit are unchanged. Original engineering assumptions, functional-unit basis and limitations remain below.
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t>
        </is>
      </c>
    </row>
    <row r="1625">
      <c r="A1625" t="inlineStr">
        <is>
          <t xml:space="preserve">type</t>
        </is>
      </c>
      <c r="B1625" t="inlineStr">
        <is>
          <t xml:space="preserve">processwithreferenceproduct</t>
        </is>
      </c>
    </row>
    <row r="1626">
      <c r="A1626" t="inlineStr">
        <is>
          <t>Exchanges</t>
        </is>
      </c>
    </row>
    <row r="1627">
      <c r="A1627" t="inlineStr">
        <is>
          <t>name</t>
        </is>
      </c>
      <c r="B1627" t="inlineStr">
        <is>
          <t>amount</t>
        </is>
      </c>
      <c r="C1627" t="inlineStr">
        <is>
          <t>location</t>
        </is>
      </c>
      <c r="D1627" t="inlineStr">
        <is>
          <t>unit</t>
        </is>
      </c>
      <c r="E1627" t="inlineStr">
        <is>
          <t>categories</t>
        </is>
      </c>
      <c r="F1627" t="inlineStr">
        <is>
          <t>type</t>
        </is>
      </c>
      <c r="G1627" t="inlineStr">
        <is>
          <t>reference product</t>
        </is>
      </c>
      <c r="H1627" t="inlineStr">
        <is>
          <t>comment</t>
        </is>
      </c>
      <c r="I1627" t="inlineStr">
        <is>
          <t>product</t>
        </is>
      </c>
    </row>
    <row r="1628">
      <c r="A1628" t="inlineStr">
        <is>
          <t xml:space="preserve">market for battery cell, lithium-sulfur, including end-of-life treatment</t>
        </is>
      </c>
      <c r="B1628">
        <v>1</v>
      </c>
      <c r="C1628" t="inlineStr">
        <is>
          <t>GLO</t>
        </is>
      </c>
      <c r="D1628" t="inlineStr">
        <is>
          <t>kilogram</t>
        </is>
      </c>
      <c r="F1628" t="inlineStr">
        <is>
          <t>production</t>
        </is>
      </c>
      <c r="G1628" t="inlineStr">
        <is>
          <t xml:space="preserve">battery cell, Li-sulfur, Li-S, including end-of-life treatment</t>
        </is>
      </c>
      <c r="I1628" t="inlineStr">
        <is>
          <t xml:space="preserve">battery cell, Li-sulfur, Li-S, including end-of-life treatment</t>
        </is>
      </c>
    </row>
    <row r="1629">
      <c r="A1629" t="inlineStr">
        <is>
          <t>battery cell production, Li-S</t>
        </is>
      </c>
      <c r="B1629">
        <v>1</v>
      </c>
      <c r="C1629" t="inlineStr">
        <is>
          <t>GLO</t>
        </is>
      </c>
      <c r="D1629" t="inlineStr">
        <is>
          <t>kilogram</t>
        </is>
      </c>
      <c r="F1629" t="inlineStr">
        <is>
          <t>technosphere</t>
        </is>
      </c>
      <c r="G1629" t="inlineStr">
        <is>
          <t>battery cell, LiS</t>
        </is>
      </c>
      <c r="I1629" t="inlineStr">
        <is>
          <t>battery cell, LiS</t>
        </is>
      </c>
    </row>
    <row r="1630">
      <c r="A1630" t="inlineStr">
        <is>
          <t>market group for transport, freight train</t>
        </is>
      </c>
      <c r="B1630">
        <v>0.309107277</v>
      </c>
      <c r="C1630" t="inlineStr">
        <is>
          <t>GLO</t>
        </is>
      </c>
      <c r="D1630" t="inlineStr">
        <is>
          <t>ton kilometer</t>
        </is>
      </c>
      <c r="F1630" t="inlineStr">
        <is>
          <t>technosphere</t>
        </is>
      </c>
      <c r="G1630" t="inlineStr">
        <is>
          <t>transport, freight train</t>
        </is>
      </c>
      <c r="I1630" t="inlineStr">
        <is>
          <t>transport, freight train</t>
        </is>
      </c>
    </row>
    <row r="1631">
      <c r="A1631" t="inlineStr">
        <is>
          <t>market group for transport, freight, inland waterways, barge</t>
        </is>
      </c>
      <c r="B1631">
        <v>0.02462741</v>
      </c>
      <c r="C1631" t="inlineStr">
        <is>
          <t>GLO</t>
        </is>
      </c>
      <c r="D1631" t="inlineStr">
        <is>
          <t>ton kilometer</t>
        </is>
      </c>
      <c r="F1631" t="inlineStr">
        <is>
          <t>technosphere</t>
        </is>
      </c>
      <c r="G1631" t="inlineStr">
        <is>
          <t>transport, freight, inland waterways, barge</t>
        </is>
      </c>
      <c r="I1631" t="inlineStr">
        <is>
          <t>transport, freight, inland waterways, barge</t>
        </is>
      </c>
    </row>
    <row r="1632">
      <c r="A1632" t="inlineStr">
        <is>
          <t>market group for transport, freight, lorry, unspecified</t>
        </is>
      </c>
      <c r="B1632">
        <v>0.208779765</v>
      </c>
      <c r="C1632" t="inlineStr">
        <is>
          <t>GLO</t>
        </is>
      </c>
      <c r="D1632" t="inlineStr">
        <is>
          <t>ton kilometer</t>
        </is>
      </c>
      <c r="F1632" t="inlineStr">
        <is>
          <t>technosphere</t>
        </is>
      </c>
      <c r="G1632" t="inlineStr">
        <is>
          <t>transport, freight, lorry, unspecified</t>
        </is>
      </c>
      <c r="I1632" t="inlineStr">
        <is>
          <t>transport, freight, lorry, unspecified</t>
        </is>
      </c>
    </row>
    <row r="1633">
      <c r="A1633" t="inlineStr">
        <is>
          <t>market for transport, freight, sea, container ship</t>
        </is>
      </c>
      <c r="B1633">
        <v>0.599015849</v>
      </c>
      <c r="C1633" t="inlineStr">
        <is>
          <t>GLO</t>
        </is>
      </c>
      <c r="D1633" t="inlineStr">
        <is>
          <t>ton kilometer</t>
        </is>
      </c>
      <c r="F1633" t="inlineStr">
        <is>
          <t>technosphere</t>
        </is>
      </c>
      <c r="G1633" t="inlineStr">
        <is>
          <t>transport, freight, sea, container ship</t>
        </is>
      </c>
      <c r="I1633" t="inlineStr">
        <is>
          <t>transport, freight, sea, container ship</t>
        </is>
      </c>
    </row>
    <row r="1634">
      <c r="A1634" t="inlineStr">
        <is>
          <t>market for used Li-ion battery</t>
        </is>
      </c>
      <c r="B1634">
        <v>-1</v>
      </c>
      <c r="C1634" t="inlineStr">
        <is>
          <t>GLO</t>
        </is>
      </c>
      <c r="D1634" t="inlineStr">
        <is>
          <t>kilogram</t>
        </is>
      </c>
      <c r="F1634" t="inlineStr">
        <is>
          <t>technosphere</t>
        </is>
      </c>
      <c r="G1634" t="inlineStr">
        <is>
          <t>used Li-ion battery</t>
        </is>
      </c>
      <c r="I1634" t="inlineStr">
        <is>
          <t>used Li-ion battery</t>
        </is>
      </c>
    </row>
    <row r="1637">
      <c r="A1637" t="inlineStr">
        <is>
          <t>Activity</t>
        </is>
      </c>
      <c r="B1637" t="inlineStr">
        <is>
          <t xml:space="preserve">battery pack component production and end-of-life treatment, lithium-sulfur, without cells and controls</t>
        </is>
      </c>
    </row>
    <row r="1638">
      <c r="A1638" t="inlineStr">
        <is>
          <t>location</t>
        </is>
      </c>
      <c r="B1638" t="inlineStr">
        <is>
          <t>GLO</t>
        </is>
      </c>
    </row>
    <row r="1639">
      <c r="A1639" t="inlineStr">
        <is>
          <t>production amount</t>
        </is>
      </c>
      <c r="B1639">
        <v>1</v>
      </c>
    </row>
    <row r="1640">
      <c r="A1640" t="inlineStr">
        <is>
          <t>reference product</t>
        </is>
      </c>
      <c r="B1640" t="inlineStr">
        <is>
          <t xml:space="preserve">battery pack component provision, Li-sulfur, Li-S, without cells and controls</t>
        </is>
      </c>
    </row>
    <row r="1641">
      <c r="A1641" t="inlineStr">
        <is>
          <t>unit</t>
        </is>
      </c>
      <c r="B1641" t="inlineStr">
        <is>
          <t xml:space="preserve">kilowatt hour</t>
        </is>
      </c>
    </row>
    <row r="1642">
      <c r="A1642" t="inlineStr">
        <is>
          <t>source</t>
        </is>
      </c>
      <c r="B1642" t="inlineStr">
        <is>
          <t xml:space="preserve">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Explicit reference links (source or inherited supplier evidence; the engineering adaptation is documented in the activity comment): https://doi.org/10.1021/acssuschemeng.3c00141
Supplier lineage: aluminium busbar production, for LiS battery ; bimetallic busbar production, for LiS battery ; copper busbar production, for LiS battery.</t>
        </is>
      </c>
    </row>
    <row r="1643">
      <c r="A1643" t="inlineStr">
        <is>
          <t>comment</t>
        </is>
      </c>
      <c r="B1643" t="inlineStr">
        <is>
          <t xml:space="preserve">APPROVED REFERENCE-UNIT CORRECTION, 2026-10-19. Current reference: Provision of the fixed noncell components attributed to one baseline nominal kWh of installed battery storage capacity. Unit field: kilowatt hour. Former reference: 1 unit = 1 kilowatt hour on the current basis. All supplier/product references and direct purchasers are updated together. Recipes are divided by this conversion factor and consumer doses multiplied by it; physical inputs, emissions and waste per original functional unit are preserved. This is noncell component provision per nominal kWh of installed storage capacity served, not electricity supplied and not a second complete battery. Cell capacity remains supplied separately. The noncell recipe and dose are unchanged; its non-kg reference keeps the approved fixed hardware outside cell-only density learning in future years. No new unit vocabulary, design, lifetime, manufacturing yield, recycling credit, primary/secondary share or runtime code change. Earlier source notes below retain their historical normalization; the current reference and amounts above supersede that normalization.
Nomenclature revision, 2026-10-19. Former activity name: battery fixed noncell hardware, Li-sulfur, Li-S, baseline-kWh reference. Former reference product: battery fixed noncell hardware, Li-sulfur, Li-S, baseline-kWh reference. Activity/product labels and supplier references only; coefficients, formulas, uncertainty, declared output and unit are unchanged. Original engineering assumptions, functional-unit basis and limitations remain below.
The reference remains the non-cell component package attributed to one baseline nominal kWh, not one complete physical battery pack.
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t>
        </is>
      </c>
    </row>
    <row r="1644">
      <c r="A1644" t="inlineStr">
        <is>
          <t xml:space="preserve">type</t>
        </is>
      </c>
      <c r="B1644" t="inlineStr">
        <is>
          <t xml:space="preserve">processwithreferenceproduct</t>
        </is>
      </c>
    </row>
    <row r="1645">
      <c r="A1645" t="inlineStr">
        <is>
          <t>Exchanges</t>
        </is>
      </c>
    </row>
    <row r="1646">
      <c r="A1646" t="inlineStr">
        <is>
          <t>name</t>
        </is>
      </c>
      <c r="B1646" t="inlineStr">
        <is>
          <t>amount</t>
        </is>
      </c>
      <c r="C1646" t="inlineStr">
        <is>
          <t>location</t>
        </is>
      </c>
      <c r="D1646" t="inlineStr">
        <is>
          <t>unit</t>
        </is>
      </c>
      <c r="E1646" t="inlineStr">
        <is>
          <t>categories</t>
        </is>
      </c>
      <c r="F1646" t="inlineStr">
        <is>
          <t>type</t>
        </is>
      </c>
      <c r="G1646" t="inlineStr">
        <is>
          <t>reference product</t>
        </is>
      </c>
      <c r="H1646" t="inlineStr">
        <is>
          <t>comment</t>
        </is>
      </c>
      <c r="I1646" t="inlineStr">
        <is>
          <t>product</t>
        </is>
      </c>
    </row>
    <row r="1647">
      <c r="A1647" t="inlineStr">
        <is>
          <t xml:space="preserve">battery pack component production and end-of-life treatment, lithium-sulfur, without cells and controls</t>
        </is>
      </c>
      <c r="B1647">
        <v>1</v>
      </c>
      <c r="C1647" t="inlineStr">
        <is>
          <t>GLO</t>
        </is>
      </c>
      <c r="D1647" t="inlineStr">
        <is>
          <t xml:space="preserve">kilowatt hour</t>
        </is>
      </c>
      <c r="F1647" t="inlineStr">
        <is>
          <t>production</t>
        </is>
      </c>
      <c r="G1647" t="inlineStr">
        <is>
          <t xml:space="preserve">battery pack component provision, Li-sulfur, Li-S, without cells and controls</t>
        </is>
      </c>
      <c r="I1647" t="inlineStr">
        <is>
          <t xml:space="preserve">battery pack component provision, Li-sulfur, Li-S, without cells and controls</t>
        </is>
      </c>
    </row>
    <row r="1648">
      <c r="A1648" t="inlineStr">
        <is>
          <t>aluminium busbar production, for LiS battery</t>
        </is>
      </c>
      <c r="B1648">
        <v>0.09496109495736559</v>
      </c>
      <c r="C1648" t="inlineStr">
        <is>
          <t>GLO</t>
        </is>
      </c>
      <c r="D1648" t="inlineStr">
        <is>
          <t>kilogram</t>
        </is>
      </c>
      <c r="F1648" t="inlineStr">
        <is>
          <t>technosphere</t>
        </is>
      </c>
      <c r="G1648" t="inlineStr">
        <is>
          <t>aluminium busbar</t>
        </is>
      </c>
      <c r="I1648" t="inlineStr">
        <is>
          <t>aluminium busbar</t>
        </is>
      </c>
    </row>
    <row r="1649">
      <c r="A1649" t="inlineStr">
        <is>
          <t>bimetallic busbar production, for LiS battery</t>
        </is>
      </c>
      <c r="B1649">
        <v>0.20477065203533737</v>
      </c>
      <c r="C1649" t="inlineStr">
        <is>
          <t>GLO</t>
        </is>
      </c>
      <c r="D1649" t="inlineStr">
        <is>
          <t>kilogram</t>
        </is>
      </c>
      <c r="F1649" t="inlineStr">
        <is>
          <t>technosphere</t>
        </is>
      </c>
      <c r="G1649" t="inlineStr">
        <is>
          <t>bimetallic busbar</t>
        </is>
      </c>
      <c r="I1649" t="inlineStr">
        <is>
          <t>bimetallic busbar</t>
        </is>
      </c>
    </row>
    <row r="1650">
      <c r="A1650" t="inlineStr">
        <is>
          <t>copper busbar production, for LiS battery</t>
        </is>
      </c>
      <c r="B1650">
        <v>0.029351611168640268</v>
      </c>
      <c r="C1650" t="inlineStr">
        <is>
          <t>GLO</t>
        </is>
      </c>
      <c r="D1650" t="inlineStr">
        <is>
          <t>kilogram</t>
        </is>
      </c>
      <c r="F1650" t="inlineStr">
        <is>
          <t>technosphere</t>
        </is>
      </c>
      <c r="G1650" t="inlineStr">
        <is>
          <t>copper busbar</t>
        </is>
      </c>
      <c r="I1650" t="inlineStr">
        <is>
          <t>copper busbar</t>
        </is>
      </c>
    </row>
    <row r="1651">
      <c r="A1651" t="inlineStr">
        <is>
          <t>market for polypropylene, granulate</t>
        </is>
      </c>
      <c r="B1651">
        <v>0.9496109495736557</v>
      </c>
      <c r="C1651" t="inlineStr">
        <is>
          <t>GLO</t>
        </is>
      </c>
      <c r="D1651" t="inlineStr">
        <is>
          <t>kilogram</t>
        </is>
      </c>
      <c r="F1651" t="inlineStr">
        <is>
          <t>technosphere</t>
        </is>
      </c>
      <c r="G1651" t="inlineStr">
        <is>
          <t>polypropylene, granulate</t>
        </is>
      </c>
      <c r="I1651" t="inlineStr">
        <is>
          <t>polypropylene, granulate</t>
        </is>
      </c>
    </row>
    <row r="1652">
      <c r="A1652" t="inlineStr">
        <is>
          <t>market for steel, low-alloyed</t>
        </is>
      </c>
      <c r="B1652">
        <v>0.8632826814305962</v>
      </c>
      <c r="C1652" t="inlineStr">
        <is>
          <t>GLO</t>
        </is>
      </c>
      <c r="D1652" t="inlineStr">
        <is>
          <t>kilogram</t>
        </is>
      </c>
      <c r="F1652" t="inlineStr">
        <is>
          <t>technosphere</t>
        </is>
      </c>
      <c r="G1652" t="inlineStr">
        <is>
          <t>steel, low-alloyed</t>
        </is>
      </c>
      <c r="I1652" t="inlineStr">
        <is>
          <t>steel, low-alloyed</t>
        </is>
      </c>
    </row>
    <row r="1653">
      <c r="A1653" t="inlineStr">
        <is>
          <t>market for injection moulding</t>
        </is>
      </c>
      <c r="B1653">
        <v>0.9496109495736557</v>
      </c>
      <c r="C1653" t="inlineStr">
        <is>
          <t>GLO</t>
        </is>
      </c>
      <c r="D1653" t="inlineStr">
        <is>
          <t>kilogram</t>
        </is>
      </c>
      <c r="F1653" t="inlineStr">
        <is>
          <t>technosphere</t>
        </is>
      </c>
      <c r="G1653" t="inlineStr">
        <is>
          <t>injection moulding</t>
        </is>
      </c>
      <c r="I1653" t="inlineStr">
        <is>
          <t>injection moulding</t>
        </is>
      </c>
    </row>
    <row r="1654">
      <c r="A1654" t="inlineStr">
        <is>
          <t>market for metal working, average for steel product manufacturing</t>
        </is>
      </c>
      <c r="B1654">
        <v>0.8632826814305962</v>
      </c>
      <c r="C1654" t="inlineStr">
        <is>
          <t>GLO</t>
        </is>
      </c>
      <c r="D1654" t="inlineStr">
        <is>
          <t>kilogram</t>
        </is>
      </c>
      <c r="F1654" t="inlineStr">
        <is>
          <t>technosphere</t>
        </is>
      </c>
      <c r="G1654" t="inlineStr">
        <is>
          <t>metal working, average for steel product manufacturing</t>
        </is>
      </c>
      <c r="I1654" t="inlineStr">
        <is>
          <t>metal working, average for steel product manufacturing</t>
        </is>
      </c>
    </row>
    <row r="1655">
      <c r="A1655" t="inlineStr">
        <is>
          <t>market group for transport, freight train</t>
        </is>
      </c>
      <c r="B1655">
        <v>0.6621006745176354</v>
      </c>
      <c r="C1655" t="inlineStr">
        <is>
          <t>GLO</t>
        </is>
      </c>
      <c r="D1655" t="inlineStr">
        <is>
          <t>ton kilometer</t>
        </is>
      </c>
      <c r="F1655" t="inlineStr">
        <is>
          <t>technosphere</t>
        </is>
      </c>
      <c r="G1655" t="inlineStr">
        <is>
          <t>transport, freight train</t>
        </is>
      </c>
      <c r="I1655" t="inlineStr">
        <is>
          <t>transport, freight train</t>
        </is>
      </c>
    </row>
    <row r="1656">
      <c r="A1656" t="inlineStr">
        <is>
          <t>market group for transport, freight, inland waterways, barge</t>
        </is>
      </c>
      <c r="B1656">
        <v>0.05275134552274666</v>
      </c>
      <c r="C1656" t="inlineStr">
        <is>
          <t>GLO</t>
        </is>
      </c>
      <c r="D1656" t="inlineStr">
        <is>
          <t>ton kilometer</t>
        </is>
      </c>
      <c r="F1656" t="inlineStr">
        <is>
          <t>technosphere</t>
        </is>
      </c>
      <c r="G1656" t="inlineStr">
        <is>
          <t>transport, freight, inland waterways, barge</t>
        </is>
      </c>
      <c r="I1656" t="inlineStr">
        <is>
          <t>transport, freight, inland waterways, barge</t>
        </is>
      </c>
    </row>
    <row r="1657">
      <c r="A1657" t="inlineStr">
        <is>
          <t>market group for transport, freight, lorry, unspecified</t>
        </is>
      </c>
      <c r="B1657">
        <v>0.44720145243340037</v>
      </c>
      <c r="C1657" t="inlineStr">
        <is>
          <t>GLO</t>
        </is>
      </c>
      <c r="D1657" t="inlineStr">
        <is>
          <t>ton kilometer</t>
        </is>
      </c>
      <c r="F1657" t="inlineStr">
        <is>
          <t>technosphere</t>
        </is>
      </c>
      <c r="G1657" t="inlineStr">
        <is>
          <t>transport, freight, lorry, unspecified</t>
        </is>
      </c>
      <c r="I1657" t="inlineStr">
        <is>
          <t>transport, freight, lorry, unspecified</t>
        </is>
      </c>
    </row>
    <row r="1658">
      <c r="A1658" t="inlineStr">
        <is>
          <t>market for transport, freight, sea, container ship</t>
        </is>
      </c>
      <c r="B1658">
        <v>1.2830781647034926</v>
      </c>
      <c r="C1658" t="inlineStr">
        <is>
          <t>GLO</t>
        </is>
      </c>
      <c r="D1658" t="inlineStr">
        <is>
          <t>ton kilometer</t>
        </is>
      </c>
      <c r="F1658" t="inlineStr">
        <is>
          <t>technosphere</t>
        </is>
      </c>
      <c r="G1658" t="inlineStr">
        <is>
          <t>transport, freight, sea, container ship</t>
        </is>
      </c>
      <c r="I1658" t="inlineStr">
        <is>
          <t>transport, freight, sea, container ship</t>
        </is>
      </c>
    </row>
    <row r="1659">
      <c r="A1659" t="inlineStr">
        <is>
          <t>market for used Li-ion battery</t>
        </is>
      </c>
      <c r="B1659">
        <v>-2.1419769891655944</v>
      </c>
      <c r="C1659" t="inlineStr">
        <is>
          <t>GLO</t>
        </is>
      </c>
      <c r="D1659" t="inlineStr">
        <is>
          <t>kilogram</t>
        </is>
      </c>
      <c r="F1659" t="inlineStr">
        <is>
          <t>technosphere</t>
        </is>
      </c>
      <c r="G1659" t="inlineStr">
        <is>
          <t>used Li-ion battery</t>
        </is>
      </c>
      <c r="I1659" t="inlineStr">
        <is>
          <t>used Li-ion battery</t>
        </is>
      </c>
    </row>
    <row r="1662">
      <c r="A1662" t="inlineStr">
        <is>
          <t>Activity</t>
        </is>
      </c>
      <c r="B1662" t="inlineStr">
        <is>
          <t xml:space="preserve">connector production, battery control board, plated contacts</t>
        </is>
      </c>
    </row>
    <row r="1663">
      <c r="A1663" t="inlineStr">
        <is>
          <t>location</t>
        </is>
      </c>
      <c r="B1663" t="inlineStr">
        <is>
          <t>GLO</t>
        </is>
      </c>
    </row>
    <row r="1664">
      <c r="A1664" t="inlineStr">
        <is>
          <t>production amount</t>
        </is>
      </c>
      <c r="B1664">
        <v>1</v>
      </c>
    </row>
    <row r="1665">
      <c r="A1665" t="inlineStr">
        <is>
          <t>reference product</t>
        </is>
      </c>
      <c r="B1665" t="inlineStr">
        <is>
          <t xml:space="preserve">connector, battery control board, plated contacts</t>
        </is>
      </c>
    </row>
    <row r="1666">
      <c r="A1666" t="inlineStr">
        <is>
          <t>unit</t>
        </is>
      </c>
      <c r="B1666" t="inlineStr">
        <is>
          <t>kilogram</t>
        </is>
      </c>
    </row>
    <row r="1667">
      <c r="A1667" t="inlineStr">
        <is>
          <t>source</t>
        </is>
      </c>
      <c r="B1667" t="inlineStr">
        <is>
          <t>TI TIDA020076 SLURB87 fittedBOM:sixheaders,46pins. Molex manufacturer705510038(4pin,1.023g),705550045(11pin,2.564g),705550040(6pin,1.420g),https://www.molex.com/en-us/products/part-detail/705550045 ; matingAu0.381um,tailSn1.905um,brass/phosphorbronze,highTthermoplastic. SamtecFTSH-105-01-F-DV-K,10pin,LCP/phosphorbronze,3microinch=0.0762umselectiveAu,matteSn: https://suddendocs.samtec.com/prints/ftsh-1xx-xx-xxx-dv-xxx-xxx-mkt.pdf .</t>
        </is>
      </c>
    </row>
    <row r="1668">
      <c r="A1668" t="inlineStr">
        <is>
          <t>comment</t>
        </is>
      </c>
      <c r="B1668" t="inlineStr">
        <is>
          <t xml:space="preserve">Nomenclature revision, 2026-10-19. Former activity name: connector, battery control header family, plated-material engineering reference. Former reference product: connector, battery control header family, plated-material engineering reference. Activity/product labels and supplier references only; coefficients, formulas, uncertainty, declared output and unit are unchanged. Original engineering assumptions, functional-unit basis and limitations remain below.
APPROVED BATTERY CONNECTOR MATERIAL/PLATING REFERENCE, issue68,2026-10-18. TI TIDA020076 SLURB87 fittedBOM:sixheaders,46pins. Molex manufacturer705510038(4pin,1.023g),705550045(11pin,2.564g),705550040(6pin,1.420g),https://www.molex.com/en-us/products/part-detail/705550045 ; matingAu0.381um,tailSn1.905um,brass/phosphorbronze,highTthermoplastic. SamtecFTSH-105-01-F-DV-K,10pin,LCP/phosphorbronze,3microinch=0.0762umselectiveAu,matteSn: https://suddendocs.samtec.com/prints/ftsh-1xx-xx-xxx-dv-xxx-xxx-mkt.pdf . Replace computerperipheralbusconnectors only in theexisting module/centralcontrolboards by a scopedcount-weightedheaderfamily. Actualfittedcohort=2x4pinMolex+2x11pinMolex+1x6pinMolex+1x10pinSamtec,not not-fittedconnectors. This defines referencecomposition; preserve20g/moduleboard and100g/centralboardconnector allowances because board-specific completeharness/matingconnectorcounts are unverified. These doses implyfractionalcohort equivalents,NOT a claimof sixheaders totalling20g or that thecentralboard has theTI layout. Thus materialproxy is improved while exactfullconnectorquantity remains a sourcegap. ForMolex36contacts use0.64mmsquaresection*10mmdevelopedlength,3mmmatingzone and3.30mmtail as explicitgeometryassumptions,not dimensionallycompleteCAD. Finishedmassusesmanufacturerweights; subtractAu/Ni/Snplate fromgeometricbulkmetal beforealloysplit,remainingmasshousing. Metalbaseengineering50/50brassCu70Zn30 andphosphorbronzeCu95.8Sn4P0.2; actualtwoallowedalloys proportions unknown. Samtecgeometry10x0.4mmsquare*(3.05+2.24+1)mmcontacts,6.2x3.43x2.24mmhousingminuspinholes;terminaldensity8800kg/m3,housing1400kg/m3 assumptions. Samtecactualnetmass unavailable; include calculatedhousing/contact/platingmass,not distributorpackagingweight. Nickelunderplate1.27um is a declaredengineeringassumption forbothfamilies,test0.5-2.5um; SamtectailSn1.905um borrowedMolexreference. Preserve trueAu,Ni,Sn,Cu,Zn,P; no zeroAu orallbulkmetal-as-gold. PA6/glassfiber70/30 is an explicitheat-resistantthermoplastic supplyproxy forMolex andLCP housing,not actualresinchemistry; resinflame-retardants andtraceadditives unresolved. Knownmaterialmanufacture95%retention withmatchedmixedwaste,1kWh/kgassemblyreference. Sensitivitycontactlength6-14mm,platedlength1-4mm,sourcegradevariantAu0.0762-0.762um,connectorallowance0.5-2x. No additionalboardarea,wholeelectronics orharness inventorydoublecount. Fixedboard/controlmass andexistingcompletecontrolEOL unchanged. These are actual referenceboardparts withunverifiedvehiclequalification,not certifiedautomotiveBOM.</t>
        </is>
      </c>
    </row>
    <row r="1669">
      <c r="A1669" t="inlineStr">
        <is>
          <t xml:space="preserve">type</t>
        </is>
      </c>
      <c r="B1669" t="inlineStr">
        <is>
          <t xml:space="preserve">processwithreferenceproduct</t>
        </is>
      </c>
    </row>
    <row r="1670">
      <c r="A1670" t="inlineStr">
        <is>
          <t>Exchanges</t>
        </is>
      </c>
    </row>
    <row r="1671">
      <c r="A1671" t="inlineStr">
        <is>
          <t>name</t>
        </is>
      </c>
      <c r="B1671" t="inlineStr">
        <is>
          <t>amount</t>
        </is>
      </c>
      <c r="C1671" t="inlineStr">
        <is>
          <t>location</t>
        </is>
      </c>
      <c r="D1671" t="inlineStr">
        <is>
          <t>unit</t>
        </is>
      </c>
      <c r="E1671" t="inlineStr">
        <is>
          <t>categories</t>
        </is>
      </c>
      <c r="F1671" t="inlineStr">
        <is>
          <t>type</t>
        </is>
      </c>
      <c r="G1671" t="inlineStr">
        <is>
          <t>reference product</t>
        </is>
      </c>
      <c r="H1671" t="inlineStr">
        <is>
          <t>comment</t>
        </is>
      </c>
      <c r="I1671" t="inlineStr">
        <is>
          <t>product</t>
        </is>
      </c>
    </row>
    <row r="1672">
      <c r="A1672" t="inlineStr">
        <is>
          <t xml:space="preserve">connector production, battery control board, plated contacts</t>
        </is>
      </c>
      <c r="B1672">
        <v>1</v>
      </c>
      <c r="C1672" t="inlineStr">
        <is>
          <t>GLO</t>
        </is>
      </c>
      <c r="D1672" t="inlineStr">
        <is>
          <t>kilogram</t>
        </is>
      </c>
      <c r="F1672" t="inlineStr">
        <is>
          <t>production</t>
        </is>
      </c>
      <c r="G1672" t="inlineStr">
        <is>
          <t xml:space="preserve">connector, battery control board, plated contacts</t>
        </is>
      </c>
      <c r="I1672" t="inlineStr">
        <is>
          <t xml:space="preserve">connector, battery control board, plated contacts</t>
        </is>
      </c>
    </row>
    <row r="1673">
      <c r="A1673" t="inlineStr">
        <is>
          <t>market for copper, cathode</t>
        </is>
      </c>
      <c r="B1673">
        <v>0.13581418990818575</v>
      </c>
      <c r="C1673" t="inlineStr">
        <is>
          <t>GLO</t>
        </is>
      </c>
      <c r="D1673" t="inlineStr">
        <is>
          <t>kilogram</t>
        </is>
      </c>
      <c r="F1673" t="inlineStr">
        <is>
          <t>technosphere</t>
        </is>
      </c>
      <c r="G1673" t="inlineStr">
        <is>
          <t>copper, cathode</t>
        </is>
      </c>
      <c r="I1673" t="inlineStr">
        <is>
          <t>copper, cathode</t>
        </is>
      </c>
    </row>
    <row r="1674">
      <c r="A1674" t="inlineStr">
        <is>
          <t>market for zinc</t>
        </is>
      </c>
      <c r="B1674">
        <v>0.02272660887810803</v>
      </c>
      <c r="C1674" t="inlineStr">
        <is>
          <t>GLO</t>
        </is>
      </c>
      <c r="D1674" t="inlineStr">
        <is>
          <t>kilogram</t>
        </is>
      </c>
      <c r="F1674" t="inlineStr">
        <is>
          <t>technosphere</t>
        </is>
      </c>
      <c r="G1674" t="inlineStr">
        <is>
          <t>zinc</t>
        </is>
      </c>
      <c r="I1674" t="inlineStr">
        <is>
          <t>zinc</t>
        </is>
      </c>
    </row>
    <row r="1675">
      <c r="A1675" t="inlineStr">
        <is>
          <t>market for tin</t>
        </is>
      </c>
      <c r="B1675">
        <v>0.0039931558057929115</v>
      </c>
      <c r="C1675" t="inlineStr">
        <is>
          <t>GLO</t>
        </is>
      </c>
      <c r="D1675" t="inlineStr">
        <is>
          <t>kilogram</t>
        </is>
      </c>
      <c r="F1675" t="inlineStr">
        <is>
          <t>technosphere</t>
        </is>
      </c>
      <c r="G1675" t="inlineStr">
        <is>
          <t>tin</t>
        </is>
      </c>
      <c r="I1675" t="inlineStr">
        <is>
          <t>tin</t>
        </is>
      </c>
    </row>
    <row r="1676">
      <c r="A1676" t="inlineStr">
        <is>
          <t>market for phosphorus, white, liquid</t>
        </is>
      </c>
      <c r="B1676">
        <v>0.00017282971995671607</v>
      </c>
      <c r="C1676" t="inlineStr">
        <is>
          <t>GLO</t>
        </is>
      </c>
      <c r="D1676" t="inlineStr">
        <is>
          <t>kilogram</t>
        </is>
      </c>
      <c r="F1676" t="inlineStr">
        <is>
          <t>technosphere</t>
        </is>
      </c>
      <c r="G1676" t="inlineStr">
        <is>
          <t>phosphorus, white, liquid</t>
        </is>
      </c>
      <c r="I1676" t="inlineStr">
        <is>
          <t>phosphorus, white, liquid</t>
        </is>
      </c>
    </row>
    <row r="1677">
      <c r="A1677" t="inlineStr">
        <is>
          <t>market for gold</t>
        </is>
      </c>
      <c r="B1677">
        <v>0.00025333548223235755</v>
      </c>
      <c r="C1677" t="inlineStr">
        <is>
          <t>GLO</t>
        </is>
      </c>
      <c r="D1677" t="inlineStr">
        <is>
          <t>kilogram</t>
        </is>
      </c>
      <c r="F1677" t="inlineStr">
        <is>
          <t>technosphere</t>
        </is>
      </c>
      <c r="G1677" t="inlineStr">
        <is>
          <t>gold</t>
        </is>
      </c>
      <c r="I1677" t="inlineStr">
        <is>
          <t>gold</t>
        </is>
      </c>
    </row>
    <row r="1678">
      <c r="A1678" t="inlineStr">
        <is>
          <t>market for nickel, class 1</t>
        </is>
      </c>
      <c r="B1678">
        <v>0.0013906889757348967</v>
      </c>
      <c r="C1678" t="inlineStr">
        <is>
          <t>GLO</t>
        </is>
      </c>
      <c r="D1678" t="inlineStr">
        <is>
          <t>kilogram</t>
        </is>
      </c>
      <c r="F1678" t="inlineStr">
        <is>
          <t>technosphere</t>
        </is>
      </c>
      <c r="G1678" t="inlineStr">
        <is>
          <t>nickel, class 1</t>
        </is>
      </c>
      <c r="I1678" t="inlineStr">
        <is>
          <t>nickel, class 1</t>
        </is>
      </c>
    </row>
    <row r="1679">
      <c r="A1679" t="inlineStr">
        <is>
          <t>market for nylon 6</t>
        </is>
      </c>
      <c r="B1679">
        <v>0.6217965391241506</v>
      </c>
      <c r="C1679" t="inlineStr">
        <is>
          <t>RER</t>
        </is>
      </c>
      <c r="D1679" t="inlineStr">
        <is>
          <t>kilogram</t>
        </is>
      </c>
      <c r="F1679" t="inlineStr">
        <is>
          <t>technosphere</t>
        </is>
      </c>
      <c r="G1679" t="inlineStr">
        <is>
          <t>nylon 6</t>
        </is>
      </c>
      <c r="I1679" t="inlineStr">
        <is>
          <t>nylon 6</t>
        </is>
      </c>
    </row>
    <row r="1680">
      <c r="A1680" t="inlineStr">
        <is>
          <t>market for glass fibre</t>
        </is>
      </c>
      <c r="B1680">
        <v>0.2664842310532074</v>
      </c>
      <c r="C1680" t="inlineStr">
        <is>
          <t>GLO</t>
        </is>
      </c>
      <c r="D1680" t="inlineStr">
        <is>
          <t>kilogram</t>
        </is>
      </c>
      <c r="F1680" t="inlineStr">
        <is>
          <t>technosphere</t>
        </is>
      </c>
      <c r="G1680" t="inlineStr">
        <is>
          <t>glass fibre</t>
        </is>
      </c>
      <c r="I1680" t="inlineStr">
        <is>
          <t>glass fibre</t>
        </is>
      </c>
    </row>
    <row r="1681">
      <c r="A1681" t="inlineStr">
        <is>
          <t>market for hazardous waste, for incineration</t>
        </is>
      </c>
      <c r="B1681">
        <v>-0.05263157894736836</v>
      </c>
      <c r="C1681" t="inlineStr">
        <is>
          <t>RoW</t>
        </is>
      </c>
      <c r="D1681" t="inlineStr">
        <is>
          <t>kilogram</t>
        </is>
      </c>
      <c r="F1681" t="inlineStr">
        <is>
          <t>technosphere</t>
        </is>
      </c>
      <c r="G1681" t="inlineStr">
        <is>
          <t>hazardous waste, for incineration</t>
        </is>
      </c>
      <c r="I1681" t="inlineStr">
        <is>
          <t>hazardous waste, for incineration</t>
        </is>
      </c>
    </row>
    <row r="1682">
      <c r="A1682" t="inlineStr">
        <is>
          <t>market group for electricity, medium voltage</t>
        </is>
      </c>
      <c r="B1682">
        <v>1</v>
      </c>
      <c r="C1682" t="inlineStr">
        <is>
          <t>GLO</t>
        </is>
      </c>
      <c r="D1682" t="inlineStr">
        <is>
          <t>kilowatt hour</t>
        </is>
      </c>
      <c r="F1682" t="inlineStr">
        <is>
          <t>technosphere</t>
        </is>
      </c>
      <c r="G1682" t="inlineStr">
        <is>
          <t>electricity, medium voltage</t>
        </is>
      </c>
      <c r="I1682" t="inlineStr">
        <is>
          <t>electricity, medium voltage</t>
        </is>
      </c>
    </row>
  </sheetData>
  <autoFilter ref="A1:O1081" xr:uid="{00000000-0009-0000-0000-000000000000}"/>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Battery - Li-S</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Sacchi, Romain</cp:lastModifiedBy>
  <dcterms:created xsi:type="dcterms:W3CDTF">2021-12-06T10:43:53Z</dcterms:created>
  <dcterms:modified xsi:type="dcterms:W3CDTF">2025-09-25T11:27:53Z</dcterms:modified>
</cp:coreProperties>
</file>