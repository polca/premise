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1"/>
  <workbookPr/>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92ADDE62-F391-1E48-B22D-C70267C828F7}" xr6:coauthVersionLast="47" xr6:coauthVersionMax="47" xr10:uidLastSave="{00000000-0000-0000-0000-000000000000}"/>
  <bookViews>
    <workbookView xWindow="0" yWindow="500" windowWidth="44800" windowHeight="23000" xr2:uid="{00000000-000D-0000-FFFF-FFFF00000000}"/>
  </bookViews>
  <sheets>
    <sheet name="Battery - Li-S" sheetId="1" r:id="rId1"/>
  </sheets>
  <definedNames>
    <definedName name="_xlnm._FilterDatabase" localSheetId="0" hidden="1">'Battery - Li-S'!$A$1:$O$1081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B95" i="1" l="1"/>
  <c r="J95" i="1" s="1"/>
  <c r="K95" i="1"/>
  <c r="B458" i="1"/>
  <c r="G518" i="1"/>
  <c r="E518" i="1"/>
  <c r="A518" i="1"/>
  <c r="B830" i="1"/>
  <c r="B829" i="1" l="1"/>
  <c r="B472" i="1" l="1"/>
  <c r="B163" i="1" l="1"/>
  <c r="B471" i="1"/>
  <c r="B981" i="1" l="1"/>
  <c r="B979" i="1"/>
  <c r="B978" i="1"/>
  <c r="B962" i="1" l="1"/>
  <c r="B944" i="1" l="1"/>
  <c r="B845" i="1" l="1"/>
  <c r="B846" i="1"/>
  <c r="B847" i="1"/>
  <c r="B100" i="1"/>
  <c r="B99" i="1"/>
  <c r="B98" i="1"/>
  <c r="B97" i="1"/>
  <c r="B96" i="1"/>
  <c r="B94" i="1"/>
  <c r="B93" i="1"/>
  <c r="B92" i="1"/>
  <c r="B91" i="1"/>
  <c r="B90" i="1"/>
  <c r="B89" i="1"/>
  <c r="B88" i="1"/>
  <c r="B87" i="1"/>
  <c r="B86" i="1"/>
  <c r="B85" i="1"/>
  <c r="B84" i="1"/>
  <c r="B83" i="1"/>
  <c r="B82" i="1"/>
  <c r="B81" i="1"/>
  <c r="B80" i="1"/>
  <c r="B79" i="1"/>
  <c r="B78" i="1"/>
  <c r="B77" i="1"/>
  <c r="B500" i="1" l="1"/>
  <c r="B505" i="1"/>
  <c r="B811" i="1"/>
  <c r="B759" i="1"/>
  <c r="B507" i="1"/>
  <c r="B506" i="1"/>
  <c r="B504" i="1"/>
  <c r="B503" i="1"/>
  <c r="B502" i="1"/>
  <c r="B501" i="1"/>
  <c r="B457" i="1" l="1"/>
  <c r="B456" i="1"/>
  <c r="B455" i="1"/>
  <c r="B454" i="1"/>
  <c r="B453" i="1"/>
  <c r="B452" i="1"/>
  <c r="B451" i="1"/>
  <c r="B450" i="1"/>
  <c r="B449" i="1"/>
  <c r="B831" i="1" l="1"/>
  <c r="B385" i="1"/>
  <c r="B384" i="1"/>
  <c r="B383" i="1"/>
  <c r="B363" i="1"/>
  <c r="B362" i="1"/>
  <c r="B361" i="1"/>
  <c r="B683" i="1"/>
  <c r="B682" i="1"/>
  <c r="B679" i="1"/>
  <c r="B677" i="1"/>
  <c r="B663" i="1"/>
  <c r="B662" i="1"/>
  <c r="B661" i="1"/>
  <c r="B660" i="1"/>
  <c r="B659" i="1"/>
  <c r="B658" i="1"/>
  <c r="B656" i="1"/>
  <c r="B655" i="1"/>
  <c r="B653" i="1"/>
  <c r="B652" i="1"/>
  <c r="B650" i="1"/>
  <c r="B636" i="1"/>
  <c r="B635" i="1"/>
  <c r="B634" i="1"/>
  <c r="B632" i="1"/>
  <c r="B631" i="1"/>
  <c r="B630" i="1"/>
  <c r="B629" i="1"/>
  <c r="B628" i="1"/>
  <c r="B627" i="1"/>
  <c r="B626" i="1"/>
  <c r="B625" i="1"/>
  <c r="B624" i="1"/>
  <c r="B623" i="1"/>
  <c r="B488" i="1"/>
  <c r="B487" i="1"/>
  <c r="B486" i="1"/>
  <c r="B60" i="1"/>
  <c r="B202" i="1"/>
  <c r="B582" i="1" l="1"/>
  <c r="B580" i="1"/>
  <c r="B562" i="1"/>
  <c r="B559" i="1"/>
  <c r="B540" i="1"/>
  <c r="B536" i="1"/>
  <c r="B778" i="1"/>
  <c r="B743" i="1"/>
  <c r="B726" i="1"/>
  <c r="B701" i="1"/>
  <c r="B678" i="1"/>
  <c r="B676" i="1"/>
  <c r="B622" i="1"/>
  <c r="B600" i="1"/>
  <c r="B324" i="1"/>
  <c r="B283" i="1"/>
  <c r="B263" i="1"/>
  <c r="B243" i="1"/>
  <c r="B242" i="1"/>
  <c r="B180" i="1"/>
  <c r="B161" i="1"/>
  <c r="B140" i="1"/>
  <c r="B116" i="1"/>
  <c r="B36" i="1"/>
  <c r="B16" i="1"/>
</calcChain>
</file>

<file path=xl/sharedStrings.xml><?xml version="1.0" encoding="utf-8"?>
<sst xmlns="http://schemas.openxmlformats.org/spreadsheetml/2006/main" count="3170" uniqueCount="464">
  <si>
    <t>Activity</t>
  </si>
  <si>
    <t>comment</t>
  </si>
  <si>
    <t>location</t>
  </si>
  <si>
    <t>GLO</t>
  </si>
  <si>
    <t>production amount</t>
  </si>
  <si>
    <t>reference product</t>
  </si>
  <si>
    <t>unit</t>
  </si>
  <si>
    <t>kilogram</t>
  </si>
  <si>
    <t>source</t>
  </si>
  <si>
    <t>Exchanges</t>
  </si>
  <si>
    <t>name</t>
  </si>
  <si>
    <t>amount</t>
  </si>
  <si>
    <t>type</t>
  </si>
  <si>
    <t>production</t>
  </si>
  <si>
    <t>market for aluminium, wrought alloy</t>
  </si>
  <si>
    <t>technosphere</t>
  </si>
  <si>
    <t>aluminium, wrought alloy</t>
  </si>
  <si>
    <t>RoW</t>
  </si>
  <si>
    <t>market for injection moulding</t>
  </si>
  <si>
    <t>injection moulding</t>
  </si>
  <si>
    <t>market for sheet rolling, aluminium</t>
  </si>
  <si>
    <t>sheet rolling, aluminium</t>
  </si>
  <si>
    <t>market group for electricity, medium voltage</t>
  </si>
  <si>
    <t>kilowatt hour</t>
  </si>
  <si>
    <t>electricity, medium voltage</t>
  </si>
  <si>
    <t>market for metal working factory</t>
  </si>
  <si>
    <t>metal working factory</t>
  </si>
  <si>
    <t>market for polyethylene terephthalate, granulate, amorphous</t>
  </si>
  <si>
    <t>polyethylene terephthalate, granulate, amorphous</t>
  </si>
  <si>
    <t>RER</t>
  </si>
  <si>
    <t>market for nylon 6</t>
  </si>
  <si>
    <t>nylon 6</t>
  </si>
  <si>
    <t>casting, brass</t>
  </si>
  <si>
    <t>market for heat, district or industrial, natural gas</t>
  </si>
  <si>
    <t>megajoule</t>
  </si>
  <si>
    <t>heat, district or industrial, natural gas</t>
  </si>
  <si>
    <t>market for polypropylene, granulate</t>
  </si>
  <si>
    <t>polypropylene, granulate</t>
  </si>
  <si>
    <t>market for chemical factory, organics</t>
  </si>
  <si>
    <t>chemical factory, organics</t>
  </si>
  <si>
    <t>market for polyvinylfluoride</t>
  </si>
  <si>
    <t>polyvinylfluoride</t>
  </si>
  <si>
    <t>categories</t>
  </si>
  <si>
    <t>air</t>
  </si>
  <si>
    <t>biosphere</t>
  </si>
  <si>
    <t>cubic meter</t>
  </si>
  <si>
    <t>sodium hydroxide, without water, in 50% solution state</t>
  </si>
  <si>
    <t>market for ammonia, anhydrous, liquid</t>
  </si>
  <si>
    <t>ammonia, anhydrous, liquid</t>
  </si>
  <si>
    <t>market for wastewater, average</t>
  </si>
  <si>
    <t>wastewater, average</t>
  </si>
  <si>
    <t>market for water, deionised</t>
  </si>
  <si>
    <t>water, deionised</t>
  </si>
  <si>
    <t>market for spent solvent mixture</t>
  </si>
  <si>
    <t>Europe without Switzerland</t>
  </si>
  <si>
    <t>spent solvent mixture</t>
  </si>
  <si>
    <t>market for sulfuric acid</t>
  </si>
  <si>
    <t>sulfuric acid</t>
  </si>
  <si>
    <t>market for aluminium casting facility</t>
  </si>
  <si>
    <t>aluminium casting facility</t>
  </si>
  <si>
    <t>market for phthalic anhydride</t>
  </si>
  <si>
    <t>phthalic anhydride</t>
  </si>
  <si>
    <t>market for silica sand</t>
  </si>
  <si>
    <t>silica sand</t>
  </si>
  <si>
    <t>market for hexafluoroethane</t>
  </si>
  <si>
    <t>hexafluoroethane</t>
  </si>
  <si>
    <t>market for acetone, liquid</t>
  </si>
  <si>
    <t>acetone, liquid</t>
  </si>
  <si>
    <t>market for nitrogen, liquid</t>
  </si>
  <si>
    <t>nitrogen, liquid</t>
  </si>
  <si>
    <t>database</t>
  </si>
  <si>
    <t>aluminium, primary, ingot</t>
  </si>
  <si>
    <t>market for plastic processing factory</t>
  </si>
  <si>
    <t>plastic processing factory</t>
  </si>
  <si>
    <t>batteries</t>
  </si>
  <si>
    <t xml:space="preserve">market for methane sulfonic acid </t>
  </si>
  <si>
    <t>methane sulfonic acid</t>
  </si>
  <si>
    <t>market for hydrogen fluoride</t>
  </si>
  <si>
    <t>hydrogen fluoride</t>
  </si>
  <si>
    <t>CF3SO2NHNa</t>
  </si>
  <si>
    <t>market for cooling energy</t>
  </si>
  <si>
    <t>cooling energy</t>
  </si>
  <si>
    <t>market for methanol</t>
  </si>
  <si>
    <t>methanol</t>
  </si>
  <si>
    <t>market for sodium methoxide</t>
  </si>
  <si>
    <t>sodium methoxide</t>
  </si>
  <si>
    <t>market for steam, in chemical industry</t>
  </si>
  <si>
    <t>steam, in chemical industry</t>
  </si>
  <si>
    <t>(Me3Si)2NH</t>
  </si>
  <si>
    <t>trimethylchlorosilane</t>
  </si>
  <si>
    <t>CF3SO2NNaSiMe3</t>
  </si>
  <si>
    <t>(CF3SO2)2NNa</t>
  </si>
  <si>
    <t>market for tetrahydrofuran</t>
  </si>
  <si>
    <t>tetrahydrofuran</t>
  </si>
  <si>
    <t>market for dichloromethane</t>
  </si>
  <si>
    <t>dichloromethane</t>
  </si>
  <si>
    <t>(CF3SO2)2NH</t>
  </si>
  <si>
    <t>lithium carbonate</t>
  </si>
  <si>
    <t>Pluronic P123</t>
  </si>
  <si>
    <t>market for ethylene oxide</t>
  </si>
  <si>
    <t>ethylene oxide</t>
  </si>
  <si>
    <t>SBA-15</t>
  </si>
  <si>
    <t xml:space="preserve">market for tetraethyl orthosilicate </t>
  </si>
  <si>
    <t xml:space="preserve">tetraethyl orthosilicate </t>
  </si>
  <si>
    <t>market for hydrochloric acid, without water, in 30% solution state</t>
  </si>
  <si>
    <t>hydrochloric acid, without water, in 30% solution state</t>
  </si>
  <si>
    <t>CMK-3</t>
  </si>
  <si>
    <t>market for sugar, from sugar beet</t>
  </si>
  <si>
    <t>sugar, from sugar beet</t>
  </si>
  <si>
    <t>lithium foil</t>
  </si>
  <si>
    <t>electrolysis of lithium chloride</t>
  </si>
  <si>
    <t>lithium</t>
  </si>
  <si>
    <t>separator</t>
  </si>
  <si>
    <t>market for fleece, polyethylene</t>
  </si>
  <si>
    <t>fleece, polyethylene</t>
  </si>
  <si>
    <t>cathode</t>
  </si>
  <si>
    <t>market for sulfur</t>
  </si>
  <si>
    <t>sulfur</t>
  </si>
  <si>
    <t>market for acetonitrile</t>
  </si>
  <si>
    <t>acetonitrile</t>
  </si>
  <si>
    <t>aluminium foil</t>
  </si>
  <si>
    <t>electrolyte</t>
  </si>
  <si>
    <t>DOL</t>
  </si>
  <si>
    <t>ethylene glycol dimethyl ether production</t>
  </si>
  <si>
    <t>ethylene glycol dimethyl ether</t>
  </si>
  <si>
    <t>LiNO3</t>
  </si>
  <si>
    <t>battery pouch</t>
  </si>
  <si>
    <t>negative tab</t>
  </si>
  <si>
    <t>positive tab</t>
  </si>
  <si>
    <t>market for precious metal refinery</t>
  </si>
  <si>
    <t>precious metal refinery</t>
  </si>
  <si>
    <t>market for electronic component factory</t>
  </si>
  <si>
    <t>electronic component factory</t>
  </si>
  <si>
    <t>operating battery factory</t>
  </si>
  <si>
    <t>aluminium busbar</t>
  </si>
  <si>
    <t>bimetallic busbar</t>
  </si>
  <si>
    <t>copper busbar</t>
  </si>
  <si>
    <t>market for steel, low-alloyed</t>
  </si>
  <si>
    <t>steel, low-alloyed</t>
  </si>
  <si>
    <t>market for metal working, average for steel product manufacturing</t>
  </si>
  <si>
    <t>metal working, average for steel product manufacturing</t>
  </si>
  <si>
    <t>BMS</t>
  </si>
  <si>
    <t>high voltage system</t>
  </si>
  <si>
    <t>low voltage system</t>
  </si>
  <si>
    <t>market for acrylonitrile-butadiene-styrene copolymer</t>
  </si>
  <si>
    <t>acrylonitrile-butadiene-styrene copolymer</t>
  </si>
  <si>
    <t>market for brass</t>
  </si>
  <si>
    <t>BMS board, assembled, w/o external connector</t>
  </si>
  <si>
    <t>brass</t>
  </si>
  <si>
    <t>market for casting, brass</t>
  </si>
  <si>
    <t>IBIS fasteners</t>
  </si>
  <si>
    <t>logic board, assembled, with external connector</t>
  </si>
  <si>
    <t>BMS board and devices, unassembled</t>
  </si>
  <si>
    <t>square meter</t>
  </si>
  <si>
    <t>market for capacitor, electrolyte type, &lt; 2cm height</t>
  </si>
  <si>
    <t>capacitor, electrolyte type, &lt; 2cm height</t>
  </si>
  <si>
    <t>market for capacitor, for surface-mounting</t>
  </si>
  <si>
    <t>capacitor, for surface-mounting</t>
  </si>
  <si>
    <t>market for diode, glass-, for surface-mounting</t>
  </si>
  <si>
    <t>diode, glass-, for surface-mounting</t>
  </si>
  <si>
    <t>market for electric connector, wire clamp</t>
  </si>
  <si>
    <t>electric connector, wire clamp</t>
  </si>
  <si>
    <t>market for inductor, low value multilayer chip</t>
  </si>
  <si>
    <t>inductor, low value multilayer chip</t>
  </si>
  <si>
    <t>market for inductor, miniature radio frequency chip</t>
  </si>
  <si>
    <t>inductor, miniature radio frequency chip</t>
  </si>
  <si>
    <t>market for inductor, ring core choke type</t>
  </si>
  <si>
    <t>inductor, ring core choke type</t>
  </si>
  <si>
    <t>market for integrated circuit, logic type</t>
  </si>
  <si>
    <t>integrated circuit, logic type</t>
  </si>
  <si>
    <t>market for integrated circuit, memory type</t>
  </si>
  <si>
    <t>integrated circuit, memory type</t>
  </si>
  <si>
    <t>market for light emitting diode</t>
  </si>
  <si>
    <t>light emitting diode</t>
  </si>
  <si>
    <t>market for resistor, surface-mounted</t>
  </si>
  <si>
    <t>resistor, surface-mounted</t>
  </si>
  <si>
    <t>market for switch, toggle type</t>
  </si>
  <si>
    <t>switch, toggle type</t>
  </si>
  <si>
    <t>market for transistor, surface-mounted</t>
  </si>
  <si>
    <t>transistor, surface-mounted</t>
  </si>
  <si>
    <t>market for [thio]carbamate-compound</t>
  </si>
  <si>
    <t>[thio]carbamate-compound</t>
  </si>
  <si>
    <t>market for butyl acetate</t>
  </si>
  <si>
    <t>butyl acetate</t>
  </si>
  <si>
    <t>market for dipropylene glycol monomethyl ether</t>
  </si>
  <si>
    <t>dipropylene glycol monomethyl ether</t>
  </si>
  <si>
    <t>market for isohexane</t>
  </si>
  <si>
    <t>isohexane</t>
  </si>
  <si>
    <t>market for monoethanolamine</t>
  </si>
  <si>
    <t>monoethanolamine</t>
  </si>
  <si>
    <t>market for solder, paste, Sn95.5Ag3.9Cu0.6, for electronics industry</t>
  </si>
  <si>
    <t>solder, paste, Sn95.5Ag3.9Cu0.6, for electronics industry</t>
  </si>
  <si>
    <t>market for hazardous waste, for incineration</t>
  </si>
  <si>
    <t>hazardous waste, for incineration</t>
  </si>
  <si>
    <t>Ethanol</t>
  </si>
  <si>
    <t>market for adipic acid</t>
  </si>
  <si>
    <t>adipic acid</t>
  </si>
  <si>
    <t>market for aluminium, primary, ingot</t>
  </si>
  <si>
    <t>market for cable, ribbon cable, 20-pin, with plugs</t>
  </si>
  <si>
    <t>cable, ribbon cable, 20-pin, with plugs</t>
  </si>
  <si>
    <t>market for copper scrap, sorted, pressed</t>
  </si>
  <si>
    <t>copper scrap, sorted, pressed</t>
  </si>
  <si>
    <t>market for copper, cathode</t>
  </si>
  <si>
    <t>copper, cathode</t>
  </si>
  <si>
    <t>market for metal working, average for aluminium product manufacturing</t>
  </si>
  <si>
    <t>metal working, average for aluminium product manufacturing</t>
  </si>
  <si>
    <t>metal working, average for copper product manufacturing</t>
  </si>
  <si>
    <t>metal working, average for metal product manufacturing</t>
  </si>
  <si>
    <t>market for nylon 6-6</t>
  </si>
  <si>
    <t>nylon 6-6</t>
  </si>
  <si>
    <t>market for polyphenylene sulfide</t>
  </si>
  <si>
    <t>polyphenylene sulfide</t>
  </si>
  <si>
    <t>market for synthetic rubber</t>
  </si>
  <si>
    <t>synthetic rubber</t>
  </si>
  <si>
    <t>market for tin</t>
  </si>
  <si>
    <t>tin</t>
  </si>
  <si>
    <t>market for electronic component, passive, unspecified</t>
  </si>
  <si>
    <t>electronic component, passive, unspecified</t>
  </si>
  <si>
    <t>battery rack</t>
  </si>
  <si>
    <t>market for cable, unspecified</t>
  </si>
  <si>
    <t>cable, unspecified</t>
  </si>
  <si>
    <t>market for fan, for power supply unit, desktop computer</t>
  </si>
  <si>
    <t>fan, for power supply unit, desktop computer</t>
  </si>
  <si>
    <t>rack housing</t>
  </si>
  <si>
    <t>market for powder coat, steel</t>
  </si>
  <si>
    <t>powder coat, steel</t>
  </si>
  <si>
    <t>fire suppression system</t>
  </si>
  <si>
    <t>carbon dioxide, liquid</t>
  </si>
  <si>
    <t>installation</t>
  </si>
  <si>
    <t>market for intermodal shipping container, 40-foot</t>
  </si>
  <si>
    <t>intermodal shipping container, 40-foot</t>
  </si>
  <si>
    <t>market for inverter, 500kW</t>
  </si>
  <si>
    <t>inverter, 500kW</t>
  </si>
  <si>
    <t>delivered electricity to the grid</t>
  </si>
  <si>
    <t>DE</t>
  </si>
  <si>
    <t>market for sulfur hexafluoride, liquid</t>
  </si>
  <si>
    <t>sulfur hexafluoride, liquid</t>
  </si>
  <si>
    <t>market for transmission network, electricity, medium voltage</t>
  </si>
  <si>
    <t>kilometer</t>
  </si>
  <si>
    <t>transmission network, electricity, medium voltage</t>
  </si>
  <si>
    <t>Sulfur hexafluoride</t>
  </si>
  <si>
    <t>electricity production, wind, 1-3MW turbine, onshore</t>
  </si>
  <si>
    <t>electricity, high voltage</t>
  </si>
  <si>
    <t>disassembled installation</t>
  </si>
  <si>
    <t>disassembled battery module</t>
  </si>
  <si>
    <t>market for aluminium, cast alloy</t>
  </si>
  <si>
    <t>aluminium, cast alloy</t>
  </si>
  <si>
    <t>market for metal working, average for copper product manufacturing</t>
  </si>
  <si>
    <t xml:space="preserve">market for metal working factory </t>
  </si>
  <si>
    <t>deactivated cell</t>
  </si>
  <si>
    <t>market for sodium hydroxide, without water, in 50% solution state</t>
  </si>
  <si>
    <t>market for soda ash, dense</t>
  </si>
  <si>
    <t>soda ash, dense</t>
  </si>
  <si>
    <t>market for nitric acid, without water, in 50% solution state</t>
  </si>
  <si>
    <t>market for hydrogen peroxide, without water, in 50% solution state</t>
  </si>
  <si>
    <t>market for carbon dioxide, in chemical industry</t>
  </si>
  <si>
    <t>carbon dioxide, in chemical industry</t>
  </si>
  <si>
    <t>market for municipal solid waste</t>
  </si>
  <si>
    <t>municipal solid waste</t>
  </si>
  <si>
    <t>market for aluminium scrap, post-consumer</t>
  </si>
  <si>
    <t>aluminium scrap, post-consumer</t>
  </si>
  <si>
    <t>market for scrap copper</t>
  </si>
  <si>
    <t>scrap copper</t>
  </si>
  <si>
    <t>market for scrap steel</t>
  </si>
  <si>
    <t>scrap steel</t>
  </si>
  <si>
    <t>market for electronics scrap</t>
  </si>
  <si>
    <t>electronics scrap</t>
  </si>
  <si>
    <t>market group for heat, district or industrial, natural gas</t>
  </si>
  <si>
    <t>market for heat, from steam, in chemical industry</t>
  </si>
  <si>
    <t>heat, from steam, in chemical industry</t>
  </si>
  <si>
    <t>market for methylchloride</t>
  </si>
  <si>
    <t>methylchloride</t>
  </si>
  <si>
    <t>market for silicon, metallurgical grade</t>
  </si>
  <si>
    <t>silicon, metallurgical grade</t>
  </si>
  <si>
    <t>market group for tap water</t>
  </si>
  <si>
    <t>tap water</t>
  </si>
  <si>
    <t>CH</t>
  </si>
  <si>
    <t>water</t>
  </si>
  <si>
    <t>market for ethylene glycol</t>
  </si>
  <si>
    <t>ethylene glycol</t>
  </si>
  <si>
    <t>market for formaldehyde</t>
  </si>
  <si>
    <t>formaldehyde</t>
  </si>
  <si>
    <t>market for polyethylene, low density, granulate</t>
  </si>
  <si>
    <t>polyethylene, low density, granulate</t>
  </si>
  <si>
    <t>market for lithium hydroxide</t>
  </si>
  <si>
    <t>lithium hydroxide</t>
  </si>
  <si>
    <t>nitric acid, without water, in 50% solution state</t>
  </si>
  <si>
    <t>Carbon dioxide, fossil</t>
  </si>
  <si>
    <t>market for aluminium scrap, new</t>
  </si>
  <si>
    <t>aluminium scrap, new</t>
  </si>
  <si>
    <t>market for sheet rolling, copper</t>
  </si>
  <si>
    <t>sheet rolling, copper</t>
  </si>
  <si>
    <t>Comment</t>
  </si>
  <si>
    <t>trifluoromethanesulphonyl fluoride (CF3SO2F)</t>
  </si>
  <si>
    <t>Originally from  Wickerts et al. (2023). Prospective Life Cycle Assessment of Lithium-Sulfur Batteries for Stationary Energy Storage. ACS Sustainable Chemistry &amp; Engineering. Synthesis from Desmarteau, D. D., &amp; Witz, M. (1991). N-fluoro-bis (trifluoromethanesulfonyl) imide. An improved synthesis. Journal of fluorine chemistry, 52(1), 7-12. Scaled-up production based on Piccinno, F., Hischier, R., Seeger, S., &amp; Som, C. (2016). From laboratory to industrial scale: a scale-up framework for chemical processes in life cycle assessment studies. Journal of Cleaner Production, 135, 1085-1097.</t>
  </si>
  <si>
    <t>natural resource::in water</t>
  </si>
  <si>
    <t>Originally from  Wickerts et al. (2023). Prospective Life Cycle Assessment of Lithium-Sulfur Batteries for Stationary Energy Storage. ACS Sustainable Chemistry &amp; Engineering. Ecoinvent process, modified based on Wickerts et al. (2021). Prospective Life-Cycle Modeling of Quantum Dot Nanoparticles for Use in Photon Upconversion Devices. ACS Sustainable Chemistry &amp; Engineering, 9(14), 5187-5195.</t>
  </si>
  <si>
    <t>water::surface water</t>
  </si>
  <si>
    <t>Originally from  Wickerts et al. (2023). Prospective Life Cycle Assessment of Lithium-Sulfur Batteries for Stationary Energy Storage. ACS Sustainable Chemistry &amp; Engineering.. Based on Deng et al. (2017). Life cycle assessment of lithium sulfur battery for electric vehicles. Journal of Power Sources, 343, 284-295.</t>
  </si>
  <si>
    <t>Originally from  Wickerts et al. (2023). Prospective Life Cycle Assessment of Lithium-Sulfur Batteries for Stationary Energy Storage. ACS Sustainable Chemistry &amp; Engineering. Based on Deng et al. (2017). Life cycle assessment of lithium sulfur battery for electric vehicles. Journal of Power Sources, 343, 284-295.</t>
  </si>
  <si>
    <t>Originally from  Wickerts et al. (2023). Prospective Life Cycle Assessment of Lithium-Sulfur Batteries for Stationary Energy Storage. ACS Sustainable Chemistry &amp; Engineering. General polymerization reaction from Moulijn et al. (2013), reaction temperature from Noshay and McGrath (1977), upscaling based on Piccinno et al. (2016)</t>
  </si>
  <si>
    <t>Originally from  Wickerts et al. (2023). Prospective Life Cycle Assessment of Lithium-Sulfur Batteries for Stationary Energy Storage. ACS Sustainable Chemistry &amp; Engineering. Synthesis from Jun et al., upscaling based on Piccinno et al. (2016)</t>
  </si>
  <si>
    <t>Originally from  Wickerts et al. (2023). Prospective Life Cycle Assessment of Lithium-Sulfur Batteries for Stationary Energy Storage. ACS Sustainable Chemistry &amp; Engineering. Based on data and descriptions from Deng et al. (2017), Chordia et al. (2021), Heimes et al. (2018) and Schnell et al. (2018)</t>
  </si>
  <si>
    <t>Originally from  Wickerts et al. (2023). Prospective Life Cycle Assessment of Lithium-Sulfur Batteries for Stationary Energy Storage. ACS Sustainable Chemistry &amp; Engineering. Based on Li et al. (2014)</t>
  </si>
  <si>
    <t>Originally from  Wickerts et al. (2023). Prospective Life Cycle Assessment of Lithium-Sulfur Batteries for Stationary Energy Storage. ACS Sustainable Chemistry &amp; Engineering.. Obtained from Chordia et al. (2021)</t>
  </si>
  <si>
    <t>Originally from  Wickerts et al. (2023). Prospective Life Cycle Assessment of Lithium-Sulfur Batteries for Stationary Energy Storage. ACS Sustainable Chemistry &amp; Engineering. Based on Arvidsson et al. (2018) and Kolosnitsyn and Karaseva (2015)</t>
  </si>
  <si>
    <t>Originally from  Wickerts et al. (2023). Prospective Life Cycle Assessment of Lithium-Sulfur Batteries for Stationary Energy Storage. ACS Sustainable Chemistry &amp; Engineering. Based on Chordia et al. (2021)</t>
  </si>
  <si>
    <t>Originally from  Wickerts et al. (2023). Prospective Life Cycle Assessment of Lithium-Sulfur Batteries for Stationary Energy Storage. ACS Sustainable Chemistry &amp; Engineering. Based on Ellingsen et al. (2014)</t>
  </si>
  <si>
    <t>Originally from  Wickerts et al. (2023). Prospective Life Cycle Assessment of Lithium-Sulfur Batteries for Stationary Energy Storage. ACS Sustainable Chemistry &amp; Engineering. Adapted from Chordia et al. (2021)</t>
  </si>
  <si>
    <t>Originally from  Wickerts et al. (2023). Prospective Life Cycle Assessment of Lithium-Sulfur Batteries for Stationary Energy Storage. ACS Sustainable Chemistry &amp; Engineering. Obtained from Chordia et al. (2021)</t>
  </si>
  <si>
    <t>Originally from  Wickerts et al. (2023). Prospective Life Cycle Assessment of Lithium-Sulfur Batteries for Stationary Energy Storage. ACS Sustainable Chemistry &amp; Engineering. Based on Ainsworth (2016), Peters and Weil (2017), Ellingsen et al. (2014)</t>
  </si>
  <si>
    <t>Originally from  Wickerts et al. (2023). Prospective Life Cycle Assessment of Lithium-Sulfur Batteries for Stationary Energy Storage. ACS Sustainable Chemistry &amp; Engineering. Obtained from Ellingsen et al. (2014)</t>
  </si>
  <si>
    <t>Originally from  Wickerts et al. (2023). Prospective Life Cycle Assessment of Lithium-Sulfur Batteries for Stationary Energy Storage. ACS Sustainable Chemistry &amp; Engineering. Production of the BMS components is based on Nordelöf and Alatalo (2018), and Ellingsen et al. (2014)</t>
  </si>
  <si>
    <t>Originally from  Wickerts et al. (2023). Prospective Life Cycle Assessment of Lithium-Sulfur Batteries for Stationary Energy Storage. ACS Sustainable Chemistry &amp; Engineering. Obtained from first author of Nordelöf and Alatalo (2018), Nordelöf et al. (2019) and Nordelöf (2019)</t>
  </si>
  <si>
    <t>NMVOC, non-methane volatile organic compounds</t>
  </si>
  <si>
    <t>Originally from  Wickerts et al. (2023). Prospective Life Cycle Assessment of Lithium-Sulfur Batteries for Stationary Energy Storage. ACS Sustainable Chemistry &amp; Engineering. Based on data from Peters and Weil (2017), Ainsworth (2016), Ellingsen et al. (2014), Pellow et al. (2020)</t>
  </si>
  <si>
    <t>Originally from  Wickerts et al. (2023). Prospective Life Cycle Assessment of Lithium-Sulfur Batteries for Stationary Energy Storage. ACS Sustainable Chemistry &amp; Engineering. Based on data from Peters and Weil (2017)</t>
  </si>
  <si>
    <t>Originally from  Wickerts et al. (2023). Prospective Life Cycle Assessment of Lithium-Sulfur Batteries for Stationary Energy Storage. ACS Sustainable Chemistry &amp; Engineering. Based on data from Pellow et al. (2020)</t>
  </si>
  <si>
    <t>Originally from  Wickerts et al. (2023). Prospective Life Cycle Assessment of Lithium-Sulfur Batteries for Stationary Energy Storage. ACS Sustainable Chemistry &amp; Engineering. Based on proxies from Pellow et al. (2020)</t>
  </si>
  <si>
    <t>Originally from  Wickerts et al. (2023). Prospective Life Cycle Assessment of Lithium-Sulfur Batteries for Stationary Energy Storage. ACS Sustainable Chemistry &amp; Engineering.</t>
  </si>
  <si>
    <t>trifluoromethanesulphonyl fluoride (CF3SO2F) production, for LiS battery</t>
  </si>
  <si>
    <t>CF3SO2NHNa production, for LiS battery</t>
  </si>
  <si>
    <r>
      <t>(Me</t>
    </r>
    <r>
      <rPr>
        <b/>
        <vertAlign val="subscript"/>
        <sz val="12"/>
        <color theme="1"/>
        <rFont val="Calibri"/>
        <family val="2"/>
        <scheme val="minor"/>
      </rPr>
      <t>3</t>
    </r>
    <r>
      <rPr>
        <b/>
        <sz val="12"/>
        <color theme="1"/>
        <rFont val="Calibri"/>
        <family val="2"/>
        <scheme val="minor"/>
      </rPr>
      <t>Si)</t>
    </r>
    <r>
      <rPr>
        <b/>
        <vertAlign val="subscript"/>
        <sz val="12"/>
        <color theme="1"/>
        <rFont val="Calibri"/>
        <family val="2"/>
        <scheme val="minor"/>
      </rPr>
      <t>2</t>
    </r>
    <r>
      <rPr>
        <b/>
        <sz val="12"/>
        <color theme="1"/>
        <rFont val="Calibri"/>
        <family val="2"/>
        <scheme val="minor"/>
      </rPr>
      <t>NH production, for LiS battery</t>
    </r>
  </si>
  <si>
    <t>(Me3Si)2NH production, for LiS battery</t>
  </si>
  <si>
    <t>trimethylchlorosilane production, for LiS battery</t>
  </si>
  <si>
    <r>
      <t>CF</t>
    </r>
    <r>
      <rPr>
        <b/>
        <vertAlign val="subscript"/>
        <sz val="12"/>
        <color rgb="FF000000"/>
        <rFont val="Calibri"/>
        <family val="2"/>
        <scheme val="minor"/>
      </rPr>
      <t>3</t>
    </r>
    <r>
      <rPr>
        <b/>
        <sz val="12"/>
        <color rgb="FF000000"/>
        <rFont val="Calibri"/>
        <family val="2"/>
        <scheme val="minor"/>
      </rPr>
      <t>SO</t>
    </r>
    <r>
      <rPr>
        <b/>
        <vertAlign val="subscript"/>
        <sz val="12"/>
        <color rgb="FF000000"/>
        <rFont val="Calibri"/>
        <family val="2"/>
        <scheme val="minor"/>
      </rPr>
      <t>2</t>
    </r>
    <r>
      <rPr>
        <b/>
        <sz val="12"/>
        <color rgb="FF000000"/>
        <rFont val="Calibri"/>
        <family val="2"/>
        <scheme val="minor"/>
      </rPr>
      <t>NNaSiMe</t>
    </r>
    <r>
      <rPr>
        <b/>
        <vertAlign val="subscript"/>
        <sz val="12"/>
        <color rgb="FF000000"/>
        <rFont val="Calibri"/>
        <family val="2"/>
        <scheme val="minor"/>
      </rPr>
      <t>3</t>
    </r>
    <r>
      <rPr>
        <b/>
        <sz val="12"/>
        <color rgb="FF000000"/>
        <rFont val="Calibri"/>
        <family val="2"/>
        <scheme val="minor"/>
      </rPr>
      <t xml:space="preserve"> </t>
    </r>
    <r>
      <rPr>
        <b/>
        <sz val="12"/>
        <color theme="1"/>
        <rFont val="Calibri"/>
        <family val="2"/>
        <scheme val="minor"/>
      </rPr>
      <t>production</t>
    </r>
    <r>
      <rPr>
        <b/>
        <sz val="12"/>
        <color rgb="FF000000"/>
        <rFont val="Calibri"/>
        <family val="2"/>
        <scheme val="minor"/>
      </rPr>
      <t>, for LiS battery</t>
    </r>
  </si>
  <si>
    <t>CF3SO2NNaSiMe3 production, for LiS battery</t>
  </si>
  <si>
    <t>(CF3SO2)2NNa production, for LiS battery</t>
  </si>
  <si>
    <t>(CF3SO2)2NH production, for LiS battery</t>
  </si>
  <si>
    <t>DOL production, for LiS battery</t>
  </si>
  <si>
    <t>LiNO3 production, for LiS battery</t>
  </si>
  <si>
    <t>Pluronic P123 production, for LiS battery</t>
  </si>
  <si>
    <t>SBA-15 production, for LiS battery</t>
  </si>
  <si>
    <t>CMK-3 production, for LiS battery</t>
  </si>
  <si>
    <t>lithium foil production, for LiS battery</t>
  </si>
  <si>
    <t>separator production, for LiS battery</t>
  </si>
  <si>
    <t>aluminium foil production, for LiS battery</t>
  </si>
  <si>
    <t>cathode production, for LiS battery</t>
  </si>
  <si>
    <t>electrolyte mixing and feeding, for LiS battery</t>
  </si>
  <si>
    <t>battery pouch production, for LiS battery</t>
  </si>
  <si>
    <t>positive tab production, for LiS battery</t>
  </si>
  <si>
    <t>negative tab production, for LiS battery</t>
  </si>
  <si>
    <t>factory construction and operation, for LiS battery</t>
  </si>
  <si>
    <t>battery module production, for LiS battery</t>
  </si>
  <si>
    <t>aluminium busbar production, for LiS battery</t>
  </si>
  <si>
    <t>bimetallic busbar production, for LiS battery</t>
  </si>
  <si>
    <t>copper busbar production, for LiS battery</t>
  </si>
  <si>
    <t>BMS production, for LiS battery</t>
  </si>
  <si>
    <t>high voltage system production, for LiS battery</t>
  </si>
  <si>
    <t>IBIS fasteners production, for LiS battery</t>
  </si>
  <si>
    <t>selective soldering for mounting larger external connector on BMS board, for LiS battery</t>
  </si>
  <si>
    <t>low voltage system production, for LiS battery</t>
  </si>
  <si>
    <t>Board components and panel input to logic board, for LiS battery</t>
  </si>
  <si>
    <t>board components and panel input to logic board, for LiS battery</t>
  </si>
  <si>
    <t>printed circuit board assembly, for LiS battery</t>
  </si>
  <si>
    <t>battery rack production, for LiS battery</t>
  </si>
  <si>
    <t>rack housing production, for LiS battery</t>
  </si>
  <si>
    <t>fire suppression system production, for LiS battery</t>
  </si>
  <si>
    <t>installation production, for LiS battery</t>
  </si>
  <si>
    <t>market for electricity, medium voltage, for LiS battery</t>
  </si>
  <si>
    <t>electricity voltage transformation from high to medium voltage, for LiS battery</t>
  </si>
  <si>
    <t>installation disassembly, for LiS battery</t>
  </si>
  <si>
    <t>battery module disassembly, for LiS battery</t>
  </si>
  <si>
    <t>battery cell deactivation, for LiS battery</t>
  </si>
  <si>
    <t>cell separation and grinding, for LiS battery</t>
  </si>
  <si>
    <t>hydrometallurgical recycling, for LiS battery</t>
  </si>
  <si>
    <t>LiTFSi, (CF3SO2)2NLi, production, for LiS battery</t>
  </si>
  <si>
    <t>LiTFSi, (CF3SO2)2NLi</t>
  </si>
  <si>
    <t>Multiplied by 10e6 to convert from gwh to kwh</t>
  </si>
  <si>
    <t>Multiplied by 10e6 to convert from TJ to MJ</t>
  </si>
  <si>
    <t>Location changed from "GLO" to "RoW". There is no GLO market for this activity</t>
  </si>
  <si>
    <t>Reference product was corrected</t>
  </si>
  <si>
    <t>Multiplied by 10e-3 to convert from kg to cubic meter</t>
  </si>
  <si>
    <t>propylene oxide, liquid</t>
  </si>
  <si>
    <t>use phase, for LiS battery</t>
  </si>
  <si>
    <t>market for propylene oxide, liquid</t>
  </si>
  <si>
    <t>note that this process is adjusted to have a lithium input instead of a aluminium input</t>
  </si>
  <si>
    <t>Multiplied by 10e-3 to convert from gram to kg</t>
  </si>
  <si>
    <t>Multiplied by 10e- to convert from gram to kg</t>
  </si>
  <si>
    <t>Multiplied by 10e3 as reference unit was changed from grams to kg</t>
  </si>
  <si>
    <t>Location changed from RoW to GLO</t>
  </si>
  <si>
    <t>Multiplied by 10e6 to convert from TJ to MJ. Location changed from GLO to RoW</t>
  </si>
  <si>
    <t>mounting, surface mount technology, Pb-free solder</t>
  </si>
  <si>
    <t>market for mounting, surface mount technology, Pb-free solder</t>
  </si>
  <si>
    <t>Activity name and product changed to match EI</t>
  </si>
  <si>
    <t>Location changed from GLO to RoW</t>
  </si>
  <si>
    <t>market for carbon dioxide, liquid</t>
  </si>
  <si>
    <t>market for concrete, normal strength</t>
  </si>
  <si>
    <t>concrete, normal strength</t>
  </si>
  <si>
    <t>Added 'strength' to match EI</t>
  </si>
  <si>
    <t>Original values in SI have been corrected. Additionally, unit changed from MWh to kWh</t>
  </si>
  <si>
    <t>heat production, natural gas, at industrial furnace &gt;100kW</t>
  </si>
  <si>
    <t>Reference product changed to match EI</t>
  </si>
  <si>
    <t>hydrogen peroxide, without water, in 50% solution state</t>
  </si>
  <si>
    <t>Multiplied by 10e-3 to convert from kilogram to cubic meter</t>
  </si>
  <si>
    <t>market for lithium carbonate, battery grade</t>
  </si>
  <si>
    <t>Changed to generic market to make it compatible with metals work</t>
  </si>
  <si>
    <t>lithium carbonate, battery grade</t>
  </si>
  <si>
    <t>Water, cooling, unspecified natural origin</t>
  </si>
  <si>
    <t>Water, river</t>
  </si>
  <si>
    <t>Methane, monochloro-, R-40</t>
  </si>
  <si>
    <t>Dimethyldichlorosilane</t>
  </si>
  <si>
    <t>Water, well, in ground</t>
  </si>
  <si>
    <t>Nitrogen</t>
  </si>
  <si>
    <t>Silicon</t>
  </si>
  <si>
    <t>Water</t>
  </si>
  <si>
    <t>Multiplied by 10e-3 to convert from gram to kg. Then multiplied by (1/0.046) to convert from unit of cell to kg of cell</t>
  </si>
  <si>
    <t>battery cell, LiS</t>
  </si>
  <si>
    <t>Source: Wickerts et al. (2023). Prospective Life Cycle Assessment of Lithium-Sulfur Batteries for Stationary Energy Storage. ACS Sustainable Chemistry &amp; Engineering. https://doi.org/10.1021/acssuschemeng.3c00141</t>
  </si>
  <si>
    <t>This is the functional unit for the cradle-to-grave boundary. Note that we have modified  "market for electricity, medium voltage". The upstream processes are provided below. See more details in the SI of the published paper. Source: Wickerts et al. (2023). Prospective Life Cycle Assessment of Lithium-Sulfur Batteries for Stationary Energy Storage. ACS Sustainable Chemistry &amp; Engineering. https://doi.org/10.1021/acssuschemeng.3c00141</t>
  </si>
  <si>
    <r>
      <t xml:space="preserve">This activity is aggregated to match the requirements of one battery rack, as it is modelled in the lithium-sulfur study. This includes both the BMS on a module level as well as on the rack level. BMS=battery management system. PCB=printed circut board. </t>
    </r>
    <r>
      <rPr>
        <b/>
        <sz val="11"/>
        <color theme="1"/>
        <rFont val="Calibri"/>
        <family val="2"/>
        <scheme val="minor"/>
      </rPr>
      <t>Source: Wickerts et al. (2023). Prospective Life Cycle Assessment of Lithium-Sulfur Batteries for Stationary Energy Storage. ACS Sustainable Chemistry &amp; Engineering. https://doi.org/10.1021/acssuschemeng.3c00141</t>
    </r>
  </si>
  <si>
    <t>Note that this is the updated dataset obtained from the published correction from Chordia et al. (2021) (which was not used in our published study). Source: Wickerts et al. (2023). Prospective Life Cycle Assessment of Lithium-Sulfur Batteries for Stationary Energy Storage. ACS Sustainable Chemistry &amp; Engineering. https://doi.org/10.1021/acssuschemeng.3c00141</t>
  </si>
  <si>
    <t>this is LiTFSI. Source: Wickerts et al. (2023). Prospective Life Cycle Assessment of Lithium-Sulfur Batteries for Stationary Energy Storage. ACS Sustainable Chemistry &amp; Engineering. https://doi.org/10.1021/acssuschemeng.3c00141</t>
  </si>
  <si>
    <t>Specific energy density: 150 Wh/kg. Projected up to 500 Wh/kg in an optimistic future || Cycle life: 1500 || Lifetime: 225 kWh/kg.Source: Wickerts et al. (2023). Prospective Life Cycle Assessment of Lithium-Sulfur Batteries for Stationary Energy Storage. ACS Sustainable Chemistry &amp; Engineering. https://doi.org/10.1021/acssuschemeng.3c00141</t>
  </si>
  <si>
    <t>battery, LiS module</t>
  </si>
  <si>
    <t>Original value multiplied by 0.03 to solve mass-allocation - and then divided by 0.03 to scale it to the production of 1 kg</t>
  </si>
  <si>
    <t>Original values in SI have been corrected. The specific electricity market that was created for the paper has been deleted and unified under the conventional market in Ecoinvent</t>
  </si>
  <si>
    <t>multiplied by (1/0.046) to convert from unit of cell to kg of cell</t>
  </si>
  <si>
    <t>Converted from battery unit to kilogram of battery. The size (41 litre) and total weight (25 kg) of a battery module, as well as the total battery cell weight in one module (19 kg), are obtained from Ainsworth</t>
  </si>
  <si>
    <t>converted from unit to kilogram</t>
  </si>
  <si>
    <t>converted from 'unit' to 'kilogram'</t>
  </si>
  <si>
    <t>Changed to negative</t>
  </si>
  <si>
    <t>EoL phase was not being considered</t>
  </si>
  <si>
    <t>cells to deactivation</t>
  </si>
  <si>
    <t>market for waste plastic, consumer electronics</t>
  </si>
  <si>
    <t>waste plastic, consumer electronics</t>
  </si>
  <si>
    <t>shredding and sorting, cell, for LiS battery</t>
  </si>
  <si>
    <t>shredded and sorted cell components</t>
  </si>
  <si>
    <t xml:space="preserve">shredded and sorted cell components </t>
  </si>
  <si>
    <t xml:space="preserve">shredded and sorted module components </t>
  </si>
  <si>
    <t>shredded and sorted module components</t>
  </si>
  <si>
    <t>shredding and sorting, module, for LiS battery</t>
  </si>
  <si>
    <t>shredding and sorting, installation, for LiS battery</t>
  </si>
  <si>
    <t xml:space="preserve">shredded and sorted installation components </t>
  </si>
  <si>
    <t>Market for aluminium or steel? Original inventory was not consistent</t>
  </si>
  <si>
    <t>Multiplied by 10e-3 to convert from kg to cubic meter. This should be negative, right?</t>
  </si>
  <si>
    <t>Should be negative</t>
  </si>
  <si>
    <t>Should be negative?</t>
  </si>
  <si>
    <t>market for extrusion, plastic film</t>
  </si>
  <si>
    <t>extrusion, plastic film</t>
  </si>
  <si>
    <t>battery cell production, Li-S</t>
  </si>
  <si>
    <t>battery cell</t>
  </si>
  <si>
    <t>A cell weight of 46 g is modeled, due to the slight difference in cell weight of the different cell compositions. The number of formed cells required to provide the function depends on the specific energy density. Consequently, fewer cells are required in the technical performance and combined scenarios because of the higher specific energy density considered in those scenarios. SI. S3.6.6. Source: Wickerts et al. (2023). Prospective Life Cycle Assessment of Lithium-Sulfur Batteries for Stationary Energy Storage. ACS Sustainable Chemistry &amp; Engineering. https://doi.org/10.1021/acssuschemeng.3c00141</t>
  </si>
  <si>
    <t>battery cell assembly, Li-S</t>
  </si>
  <si>
    <t>Originally from  Wickerts et al. (2023). Prospective Life Cycle Assessment of Lithium-Sulfur Batteries for Stationary Energy Storage. ACS Sustainable Chemistry &amp; Engineering. Based on Chordia et al. (2021).</t>
  </si>
  <si>
    <t>Source: Wickerts et al. (2023). Prospective Life Cycle Assessment of Lithium-Sulfur Batteries for Stationary Energy Storage. ACS Sustainable Chemistry &amp; Engineering. https://doi.org/10.1021/acssuschemeng.3c00141. Manufacturing of Li-S cells was based on the work by Chordia, M.; Nordelöf, A.; Ellingsen, L. A.-W. Environmental life cycle implications of upscaling lithium-ion battery production. Int. J. Life Cycle Assess. 2021, 26, 2024– 2039,  DOI: 10.1007/s11367-021-01976-0 8. Note that the factory construction and operation is included in this activity, and not in the "1 kWh storage capacity" as it is in the supporting information.</t>
  </si>
  <si>
    <t>Battery system mass: 321 kg</t>
  </si>
  <si>
    <t>market group for transport, freight train</t>
  </si>
  <si>
    <t>ton kilometer</t>
  </si>
  <si>
    <t>transport, freight train</t>
  </si>
  <si>
    <t>market group for transport, freight, inland waterways, barge</t>
  </si>
  <si>
    <t>transport, freight, inland waterways, barge</t>
  </si>
  <si>
    <t>market group for transport, freight, lorry, unspecified</t>
  </si>
  <si>
    <t>transport, freight, lorry, unspecified</t>
  </si>
  <si>
    <t>market for transport, freight, sea, container ship</t>
  </si>
  <si>
    <t>transport, freight, sea, container ship</t>
  </si>
  <si>
    <t>market for battery, Li-sulfur, Li-S</t>
  </si>
  <si>
    <t>battery, Li-S</t>
  </si>
  <si>
    <t>uncertainty type</t>
  </si>
  <si>
    <t>loc</t>
  </si>
  <si>
    <t>minimum</t>
  </si>
  <si>
    <t>maximum</t>
  </si>
  <si>
    <t>Original value in Wickerts et al., 2023 of 0.0412, representing a 4.5% leakage rate. This was reduced to 0.5% leakage rate. According to https://www.chlorinated-solvents.eu/wp-content/uploads/2021/05/Dichloromethane-paper.pdf, current leakage rate in the EU is 0.06%.</t>
  </si>
  <si>
    <t>This is a multi-output process, which produces dimethylchlorosilane (97%) but also trimethylchlorosilane (3%). The ecoinvent dataset for trimethylchlorosilane has been re-allocated to produce a proxy for dimethylchlorosilane production, based on a mass allocation. Note that, compared to the original values in ecoinvent and also Wickerts et al., 2023, we have reduced the emission of methyl chloride, a potent ozone-depleting gas, to 0.5%, instead of 4.5%, with a min-max of 0.06%-4.1%, as it seems to ignore current efforts in limiting venting of such gases and promoting recovery instead. According to this report (https://www.chlorinated-solvents.eu/wp-content/uploads/2021/05/Dichloromethane-paper.pdf), the current leak rate in the EU is about 0.06%. Source for Li-S battery: Wickerts et al. (2023). Prospective Life Cycle Assessment of Lithium-Sulfur Batteries for Stationary Energy Storage. ACS Sustainable Chemistry &amp; Engineering. https://doi.org/10.1021/acssuschemeng.3c00141. Source for trimethylchlorosilane: https://pubs.acs.org/doi/10.1021/acssuschemeng.1c00376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</si>
</sst>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00"/>
    <numFmt numFmtId="165" formatCode="0.000"/>
    <numFmt numFmtId="166" formatCode="0.0"/>
    <numFmt numFmtId="167" formatCode="0E+00"/>
    <numFmt numFmtId="168" formatCode="0.0E+00"/>
    <numFmt numFmtId="169" formatCode="0.00000"/>
    <numFmt numFmtId="170" formatCode="0.000000"/>
  </numFmts>
  <fonts count="18"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2"/>
      <color theme="1"/>
      <name val="Calibri"/>
      <family val="2"/>
      <scheme val="minor"/>
    </font>
    <font>
      <sz val="12"/>
      <color theme="1"/>
      <name val="Calibri"/>
      <family val="2"/>
      <scheme val="minor"/>
    </font>
    <font>
      <sz val="12"/>
      <color theme="1"/>
      <name val="Times New Roman"/>
      <family val="1"/>
    </font>
    <font>
      <b/>
      <vertAlign val="subscript"/>
      <sz val="12"/>
      <color theme="1"/>
      <name val="Calibri"/>
      <family val="2"/>
      <scheme val="minor"/>
    </font>
    <font>
      <b/>
      <sz val="12"/>
      <color rgb="FF000000"/>
      <name val="Calibri"/>
      <family val="2"/>
      <scheme val="minor"/>
    </font>
    <font>
      <b/>
      <vertAlign val="subscript"/>
      <sz val="12"/>
      <color rgb="FF000000"/>
      <name val="Calibri"/>
      <family val="2"/>
      <scheme val="minor"/>
    </font>
    <font>
      <sz val="11"/>
      <color theme="1"/>
      <name val="Calibri (Body)"/>
    </font>
    <font>
      <sz val="11"/>
      <color rgb="FF000000"/>
      <name val="Calibri"/>
      <family val="2"/>
      <scheme val="minor"/>
    </font>
    <font>
      <b/>
      <sz val="11"/>
      <color rgb="FF000000"/>
      <name val="Calibri"/>
      <family val="2"/>
      <scheme val="minor"/>
    </font>
    <font>
      <sz val="12"/>
      <color rgb="FF000000"/>
      <name val="Calibri"/>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3">
    <xf numFmtId="0" fontId="0" fillId="0" borderId="0"/>
    <xf numFmtId="0" fontId="6" fillId="0" borderId="0"/>
    <xf numFmtId="9" fontId="6" fillId="0" borderId="0" applyFont="0" applyFill="0" applyBorder="0" applyAlignment="0" applyProtection="0"/>
  </cellStyleXfs>
  <cellXfs count="29">
    <xf numFmtId="0" fontId="0" fillId="0" borderId="0" xfId="0"/>
    <xf numFmtId="0" fontId="8" fillId="0" borderId="0" xfId="0" applyFont="1"/>
    <xf numFmtId="0" fontId="7" fillId="0" borderId="0" xfId="0" applyFont="1"/>
    <xf numFmtId="11" fontId="0" fillId="0" borderId="0" xfId="0" applyNumberFormat="1"/>
    <xf numFmtId="165" fontId="0" fillId="0" borderId="0" xfId="0" applyNumberFormat="1"/>
    <xf numFmtId="2" fontId="0" fillId="0" borderId="0" xfId="0" applyNumberFormat="1"/>
    <xf numFmtId="0" fontId="9" fillId="0" borderId="0" xfId="0" applyFont="1"/>
    <xf numFmtId="166" fontId="0" fillId="0" borderId="0" xfId="0" applyNumberFormat="1"/>
    <xf numFmtId="164" fontId="0" fillId="0" borderId="0" xfId="0" applyNumberFormat="1"/>
    <xf numFmtId="0" fontId="10" fillId="0" borderId="0" xfId="0" applyFont="1"/>
    <xf numFmtId="0" fontId="0" fillId="2" borderId="0" xfId="0" applyFill="1"/>
    <xf numFmtId="0" fontId="12" fillId="0" borderId="0" xfId="0" applyFont="1"/>
    <xf numFmtId="167" fontId="0" fillId="0" borderId="0" xfId="0" applyNumberFormat="1"/>
    <xf numFmtId="168" fontId="0" fillId="0" borderId="0" xfId="0" applyNumberFormat="1"/>
    <xf numFmtId="0" fontId="14" fillId="0" borderId="0" xfId="0" applyFont="1"/>
    <xf numFmtId="0" fontId="15" fillId="0" borderId="0" xfId="0" applyFont="1"/>
    <xf numFmtId="0" fontId="5" fillId="0" borderId="0" xfId="0" applyFont="1"/>
    <xf numFmtId="169" fontId="0" fillId="0" borderId="0" xfId="0" applyNumberFormat="1"/>
    <xf numFmtId="1" fontId="0" fillId="0" borderId="0" xfId="0" applyNumberFormat="1"/>
    <xf numFmtId="0" fontId="16" fillId="0" borderId="0" xfId="0" applyFont="1"/>
    <xf numFmtId="2" fontId="15" fillId="0" borderId="0" xfId="0" applyNumberFormat="1" applyFont="1"/>
    <xf numFmtId="11" fontId="15" fillId="0" borderId="0" xfId="0" applyNumberFormat="1" applyFont="1"/>
    <xf numFmtId="0" fontId="17" fillId="0" borderId="0" xfId="0" applyFont="1"/>
    <xf numFmtId="170" fontId="0" fillId="0" borderId="0" xfId="0" applyNumberFormat="1"/>
    <xf numFmtId="165" fontId="15" fillId="0" borderId="0" xfId="0" applyNumberFormat="1" applyFont="1"/>
    <xf numFmtId="0" fontId="4" fillId="0" borderId="0" xfId="0" applyFont="1"/>
    <xf numFmtId="0" fontId="3" fillId="0" borderId="0" xfId="0" applyFont="1"/>
    <xf numFmtId="0" fontId="2" fillId="0" borderId="0" xfId="0" applyFont="1"/>
    <xf numFmtId="0" fontId="1" fillId="0" borderId="0" xfId="0" applyFont="1"/>
  </cellXfs>
  <cellStyles count="3">
    <cellStyle name="Normal" xfId="0" builtinId="0"/>
    <cellStyle name="Normal 2" xfId="1" xr:uid="{0E23583C-AEE8-A14E-BBED-EFF8448F4281}"/>
    <cellStyle name="Per cent 2" xfId="2" xr:uid="{D55BF8F8-B642-CC4D-B89F-8E306054978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1566"/>
  <sheetViews>
    <sheetView tabSelected="1" topLeftCell="A58" zoomScale="91" zoomScaleNormal="100" workbookViewId="0">
      <selection activeCell="B68" sqref="B68"/>
    </sheetView>
  </sheetViews>
  <sheetFormatPr baseColWidth="10" defaultColWidth="8.83203125" defaultRowHeight="15" x14ac:dyDescent="0.2"/>
  <cols>
    <col min="1" max="1" width="67.1640625" bestFit="1" customWidth="1"/>
    <col min="2" max="2" width="13.6640625" bestFit="1" customWidth="1"/>
    <col min="3" max="3" width="14.1640625" customWidth="1"/>
    <col min="4" max="5" width="26.1640625" bestFit="1" customWidth="1"/>
    <col min="6" max="6" width="36.5" customWidth="1"/>
    <col min="7" max="7" width="37.6640625" customWidth="1"/>
    <col min="9" max="9" width="9.5" bestFit="1" customWidth="1"/>
  </cols>
  <sheetData>
    <row r="1" spans="1:8" x14ac:dyDescent="0.2">
      <c r="A1" s="2" t="s">
        <v>70</v>
      </c>
      <c r="B1" t="s">
        <v>74</v>
      </c>
    </row>
    <row r="2" spans="1:8" x14ac:dyDescent="0.2">
      <c r="A2" s="2"/>
    </row>
    <row r="3" spans="1:8" x14ac:dyDescent="0.2">
      <c r="A3" s="2"/>
    </row>
    <row r="4" spans="1:8" ht="16" x14ac:dyDescent="0.2">
      <c r="A4" s="1" t="s">
        <v>0</v>
      </c>
      <c r="B4" s="1" t="s">
        <v>320</v>
      </c>
    </row>
    <row r="5" spans="1:8" ht="16" x14ac:dyDescent="0.2">
      <c r="A5" s="16" t="s">
        <v>1</v>
      </c>
      <c r="B5" s="16" t="inlineStr">
        <is>
          <t>APPROVED LI-S CF3SO2F SOURCE WASTE-DOSE ALIGNMENT, 2026-10-18. Wickerts et al., Prospective Life Cycle Assessment of Lithium-Sulfur Batteries for Stationary Energy Storage, DOI 10.1021/acssuschemeng.3c00141; supporting information Table S2, printed page S7 (PDF page 10), in the updated supporting file https://doi.org/10.1021/acssuschemeng.4c01782.s001. The table specifies 2.1E-1 kg organic waste sent to the market for spent solvent mixture, RoW, per 1 kg CF3SO2F output. Align the workbook treatment purchase from -0.22 to -0.21 kg/kg, retaining the negative waste-consumer sign. The source rounded material inputs 0.66 kg methanesulfonic acid plus 0.55 kg hydrogen fluoride minus 1 kg product also give 0.21 kg residual; this aggregate check is NOT an element-balanced reaction or validation of actual waste composition, water/hydrogen fates or industrial yield. The historical reason for the workbook value 0.22 is not established. Do not attribute this discrepancy to the 2024 published erratum: that correction concerns end-of-life tables S35/S36/S38, results S41 and Figure S17. The source generic 95 percent reaction yield, electricity proxy and spent-solvent treatment are retained modelling assumptions, not validated current industrial measurements. Keep all other material doses, 30 kWh electricity, chemical-factory formula/cache, supplier/product/geography, one-kg reference output, other chemical recipes and downstream battery capacity, density, cycle life and lifetime/per-MJ allocations unchanged. No new treatment route, recovery credit, primary/secondary share or global recipe renormalization is introduced. This is a small source-table alignment, not a demonstrated major critical-metal driver. The larger Li-S recipe/density, LiTFSI yield and silica template issues remain unresolved. Current net system metal effects remain unquantified without a full rebuild.
PREVIOUS SOURCE NOTES:
Source: Wickerts et al. (2023). Prospective Life Cycle Assessment of Lithium-Sulfur Batteries for Stationary Energy Storage. ACS Sustainable Chemistry &amp; Engineering. https://doi.org/10.1021/acssuschemeng.3c00141</t>
        </is>
      </c>
    </row>
    <row r="6" spans="1:8" x14ac:dyDescent="0.2">
      <c r="A6" t="s">
        <v>2</v>
      </c>
      <c r="B6" t="s">
        <v>3</v>
      </c>
    </row>
    <row r="7" spans="1:8" x14ac:dyDescent="0.2">
      <c r="A7" t="s">
        <v>4</v>
      </c>
      <c r="B7">
        <v>1</v>
      </c>
    </row>
    <row r="8" spans="1:8" x14ac:dyDescent="0.2">
      <c r="A8" t="s">
        <v>5</v>
      </c>
      <c r="B8" t="s">
        <v>293</v>
      </c>
    </row>
    <row r="9" spans="1:8" x14ac:dyDescent="0.2">
      <c r="A9" t="s">
        <v>6</v>
      </c>
      <c r="B9" t="s">
        <v>7</v>
      </c>
    </row>
    <row r="10" spans="1:8" x14ac:dyDescent="0.2">
      <c r="A10" t="s">
        <v>8</v>
      </c>
      <c r="B10" t="s">
        <v>294</v>
      </c>
    </row>
    <row r="11" spans="1:8" x14ac:dyDescent="0.2">
      <c r="A11" s="2" t="s">
        <v>9</v>
      </c>
    </row>
    <row r="12" spans="1:8" x14ac:dyDescent="0.2">
      <c r="A12" t="s">
        <v>10</v>
      </c>
      <c r="B12" t="s">
        <v>11</v>
      </c>
      <c r="C12" t="s">
        <v>6</v>
      </c>
      <c r="D12" t="s">
        <v>42</v>
      </c>
      <c r="E12" t="s">
        <v>2</v>
      </c>
      <c r="F12" t="s">
        <v>12</v>
      </c>
      <c r="G12" t="s">
        <v>5</v>
      </c>
      <c r="H12" t="s">
        <v>1</v>
      </c>
    </row>
    <row r="13" spans="1:8" x14ac:dyDescent="0.2">
      <c r="A13" t="s">
        <v>320</v>
      </c>
      <c r="B13">
        <v>1</v>
      </c>
      <c r="C13" t="s">
        <v>7</v>
      </c>
      <c r="E13" t="s">
        <v>3</v>
      </c>
      <c r="F13" t="s">
        <v>13</v>
      </c>
      <c r="G13" t="s">
        <v>293</v>
      </c>
    </row>
    <row r="14" spans="1:8" ht="16" x14ac:dyDescent="0.2">
      <c r="A14" s="9" t="s">
        <v>75</v>
      </c>
      <c r="B14" s="5">
        <v>0.66</v>
      </c>
      <c r="C14" t="s">
        <v>7</v>
      </c>
      <c r="E14" t="s">
        <v>3</v>
      </c>
      <c r="F14" t="s">
        <v>15</v>
      </c>
      <c r="G14" t="s">
        <v>76</v>
      </c>
    </row>
    <row r="15" spans="1:8" x14ac:dyDescent="0.2">
      <c r="A15" t="s">
        <v>77</v>
      </c>
      <c r="B15" s="5">
        <v>0.55000000000000004</v>
      </c>
      <c r="C15" t="s">
        <v>7</v>
      </c>
      <c r="E15" t="s">
        <v>17</v>
      </c>
      <c r="F15" t="s">
        <v>15</v>
      </c>
      <c r="G15" t="s">
        <v>78</v>
      </c>
    </row>
    <row r="16" spans="1:8" x14ac:dyDescent="0.2">
      <c r="A16" t="s">
        <v>38</v>
      </c>
      <c r="B16">
        <f>4*10^-10</f>
        <v>4.0000000000000001E-10</v>
      </c>
      <c r="C16" t="s">
        <v>6</v>
      </c>
      <c r="E16" t="s">
        <v>3</v>
      </c>
      <c r="F16" t="s">
        <v>15</v>
      </c>
      <c r="G16" t="s">
        <v>39</v>
      </c>
    </row>
    <row r="17" spans="1:7" x14ac:dyDescent="0.2">
      <c r="A17" t="s">
        <v>22</v>
      </c>
      <c r="B17" s="18">
        <v>30</v>
      </c>
      <c r="C17" t="s">
        <v>23</v>
      </c>
      <c r="E17" t="s">
        <v>54</v>
      </c>
      <c r="F17" t="s">
        <v>15</v>
      </c>
      <c r="G17" t="s">
        <v>24</v>
      </c>
    </row>
    <row r="18" spans="1:7" x14ac:dyDescent="0.2">
      <c r="A18" t="s">
        <v>53</v>
      </c>
      <c r="B18" s="5">
        <v>-0.21</v>
      </c>
      <c r="C18" t="s">
        <v>7</v>
      </c>
      <c r="E18" t="s">
        <v>17</v>
      </c>
      <c r="F18" t="s">
        <v>15</v>
      </c>
      <c r="G18" t="s">
        <v>55</v>
      </c>
    </row>
    <row r="19" spans="1:7" x14ac:dyDescent="0.2">
      <c r="B19" s="8"/>
    </row>
    <row r="20" spans="1:7" x14ac:dyDescent="0.2">
      <c r="B20" s="8"/>
    </row>
    <row r="22" spans="1:7" ht="16" x14ac:dyDescent="0.2">
      <c r="A22" s="1" t="s">
        <v>0</v>
      </c>
      <c r="B22" s="1" t="s">
        <v>321</v>
      </c>
    </row>
    <row r="23" spans="1:7" ht="16" x14ac:dyDescent="0.2">
      <c r="A23" s="16" t="s">
        <v>1</v>
      </c>
      <c r="B23" s="16" t="s">
        <v>408</v>
      </c>
    </row>
    <row r="24" spans="1:7" x14ac:dyDescent="0.2">
      <c r="A24" t="s">
        <v>2</v>
      </c>
      <c r="B24" t="s">
        <v>3</v>
      </c>
    </row>
    <row r="25" spans="1:7" x14ac:dyDescent="0.2">
      <c r="A25" t="s">
        <v>4</v>
      </c>
      <c r="B25">
        <v>1</v>
      </c>
    </row>
    <row r="26" spans="1:7" x14ac:dyDescent="0.2">
      <c r="A26" t="s">
        <v>5</v>
      </c>
      <c r="B26" t="s">
        <v>79</v>
      </c>
    </row>
    <row r="27" spans="1:7" x14ac:dyDescent="0.2">
      <c r="A27" t="s">
        <v>6</v>
      </c>
      <c r="B27" t="s">
        <v>7</v>
      </c>
    </row>
    <row r="28" spans="1:7" x14ac:dyDescent="0.2">
      <c r="A28" t="s">
        <v>8</v>
      </c>
      <c r="B28" t="s">
        <v>294</v>
      </c>
    </row>
    <row r="29" spans="1:7" x14ac:dyDescent="0.2">
      <c r="A29" s="2" t="s">
        <v>9</v>
      </c>
    </row>
    <row r="30" spans="1:7" x14ac:dyDescent="0.2">
      <c r="A30" t="s">
        <v>10</v>
      </c>
      <c r="B30" t="s">
        <v>11</v>
      </c>
      <c r="C30" t="s">
        <v>6</v>
      </c>
      <c r="D30" t="s">
        <v>42</v>
      </c>
      <c r="E30" t="s">
        <v>2</v>
      </c>
      <c r="F30" t="s">
        <v>12</v>
      </c>
      <c r="G30" t="s">
        <v>5</v>
      </c>
    </row>
    <row r="31" spans="1:7" x14ac:dyDescent="0.2">
      <c r="A31" t="s">
        <v>321</v>
      </c>
      <c r="B31">
        <v>1</v>
      </c>
      <c r="C31" t="s">
        <v>7</v>
      </c>
      <c r="E31" t="s">
        <v>3</v>
      </c>
      <c r="F31" t="s">
        <v>13</v>
      </c>
      <c r="G31" t="s">
        <v>79</v>
      </c>
    </row>
    <row r="32" spans="1:7" x14ac:dyDescent="0.2">
      <c r="A32" t="s">
        <v>47</v>
      </c>
      <c r="B32" s="7">
        <v>5</v>
      </c>
      <c r="C32" t="s">
        <v>7</v>
      </c>
      <c r="E32" t="s">
        <v>17</v>
      </c>
      <c r="F32" t="s">
        <v>15</v>
      </c>
      <c r="G32" t="s">
        <v>48</v>
      </c>
    </row>
    <row r="33" spans="1:7" x14ac:dyDescent="0.2">
      <c r="A33" t="s">
        <v>82</v>
      </c>
      <c r="B33" s="7">
        <v>1.6</v>
      </c>
      <c r="C33" t="s">
        <v>7</v>
      </c>
      <c r="E33" t="s">
        <v>3</v>
      </c>
      <c r="F33" t="s">
        <v>15</v>
      </c>
      <c r="G33" t="s">
        <v>83</v>
      </c>
    </row>
    <row r="34" spans="1:7" x14ac:dyDescent="0.2">
      <c r="A34" t="s">
        <v>84</v>
      </c>
      <c r="B34" s="5">
        <v>0.66</v>
      </c>
      <c r="C34" t="s">
        <v>7</v>
      </c>
      <c r="E34" t="s">
        <v>3</v>
      </c>
      <c r="F34" t="s">
        <v>15</v>
      </c>
      <c r="G34" t="s">
        <v>85</v>
      </c>
    </row>
    <row r="35" spans="1:7" x14ac:dyDescent="0.2">
      <c r="A35" t="s">
        <v>320</v>
      </c>
      <c r="B35" s="5">
        <v>0.94</v>
      </c>
      <c r="C35" t="s">
        <v>7</v>
      </c>
      <c r="E35" t="s">
        <v>3</v>
      </c>
      <c r="F35" t="s">
        <v>15</v>
      </c>
      <c r="G35" t="s">
        <v>293</v>
      </c>
    </row>
    <row r="36" spans="1:7" x14ac:dyDescent="0.2">
      <c r="A36" t="s">
        <v>38</v>
      </c>
      <c r="B36" s="12">
        <f>4*10^-10</f>
        <v>4.0000000000000001E-10</v>
      </c>
      <c r="C36" t="s">
        <v>6</v>
      </c>
      <c r="E36" t="s">
        <v>3</v>
      </c>
      <c r="F36" t="s">
        <v>15</v>
      </c>
      <c r="G36" t="s">
        <v>39</v>
      </c>
    </row>
    <row r="37" spans="1:7" x14ac:dyDescent="0.2">
      <c r="A37" t="s">
        <v>80</v>
      </c>
      <c r="B37" s="7">
        <v>5.9</v>
      </c>
      <c r="C37" t="s">
        <v>34</v>
      </c>
      <c r="E37" t="s">
        <v>3</v>
      </c>
      <c r="F37" t="s">
        <v>15</v>
      </c>
      <c r="G37" t="s">
        <v>81</v>
      </c>
    </row>
    <row r="38" spans="1:7" x14ac:dyDescent="0.2">
      <c r="A38" t="s">
        <v>22</v>
      </c>
      <c r="B38" s="8">
        <v>1.2999999999999999E-3</v>
      </c>
      <c r="C38" t="s">
        <v>23</v>
      </c>
      <c r="E38" t="s">
        <v>54</v>
      </c>
      <c r="F38" t="s">
        <v>15</v>
      </c>
      <c r="G38" t="s">
        <v>24</v>
      </c>
    </row>
    <row r="39" spans="1:7" x14ac:dyDescent="0.2">
      <c r="A39" t="s">
        <v>86</v>
      </c>
      <c r="B39" s="7">
        <v>7.8</v>
      </c>
      <c r="C39" t="s">
        <v>7</v>
      </c>
      <c r="E39" t="s">
        <v>17</v>
      </c>
      <c r="F39" t="s">
        <v>15</v>
      </c>
      <c r="G39" t="s">
        <v>87</v>
      </c>
    </row>
    <row r="40" spans="1:7" x14ac:dyDescent="0.2">
      <c r="A40" t="s">
        <v>53</v>
      </c>
      <c r="B40" s="7">
        <v>-2.2999999999999998</v>
      </c>
      <c r="C40" t="s">
        <v>7</v>
      </c>
      <c r="E40" t="s">
        <v>17</v>
      </c>
      <c r="F40" t="s">
        <v>15</v>
      </c>
      <c r="G40" t="s">
        <v>55</v>
      </c>
    </row>
    <row r="41" spans="1:7" x14ac:dyDescent="0.2">
      <c r="A41" t="s">
        <v>49</v>
      </c>
      <c r="B41" s="5">
        <v>-0.13</v>
      </c>
      <c r="C41" t="s">
        <v>45</v>
      </c>
      <c r="E41" t="s">
        <v>17</v>
      </c>
      <c r="F41" t="s">
        <v>15</v>
      </c>
      <c r="G41" t="s">
        <v>50</v>
      </c>
    </row>
    <row r="42" spans="1:7" x14ac:dyDescent="0.2">
      <c r="A42" t="s">
        <v>398</v>
      </c>
      <c r="B42" s="5">
        <v>0.13</v>
      </c>
      <c r="C42" t="s">
        <v>45</v>
      </c>
      <c r="D42" t="s">
        <v>295</v>
      </c>
      <c r="F42" t="s">
        <v>44</v>
      </c>
    </row>
    <row r="43" spans="1:7" x14ac:dyDescent="0.2">
      <c r="B43" s="8"/>
    </row>
    <row r="44" spans="1:7" x14ac:dyDescent="0.2">
      <c r="B44" s="8"/>
    </row>
    <row r="46" spans="1:7" ht="18" x14ac:dyDescent="0.25">
      <c r="A46" s="1" t="s">
        <v>0</v>
      </c>
      <c r="B46" s="1" t="s">
        <v>322</v>
      </c>
    </row>
    <row r="47" spans="1:7" ht="16" x14ac:dyDescent="0.2">
      <c r="A47" s="16" t="s">
        <v>1</v>
      </c>
      <c r="B47" s="16" t="s">
        <v>408</v>
      </c>
    </row>
    <row r="48" spans="1:7" x14ac:dyDescent="0.2">
      <c r="A48" t="s">
        <v>2</v>
      </c>
      <c r="B48" t="s">
        <v>3</v>
      </c>
    </row>
    <row r="49" spans="1:8" x14ac:dyDescent="0.2">
      <c r="A49" t="s">
        <v>4</v>
      </c>
      <c r="B49">
        <v>1</v>
      </c>
    </row>
    <row r="50" spans="1:8" x14ac:dyDescent="0.2">
      <c r="A50" t="s">
        <v>5</v>
      </c>
      <c r="B50" t="s">
        <v>88</v>
      </c>
    </row>
    <row r="51" spans="1:8" x14ac:dyDescent="0.2">
      <c r="A51" t="s">
        <v>6</v>
      </c>
      <c r="B51" t="s">
        <v>7</v>
      </c>
    </row>
    <row r="52" spans="1:8" x14ac:dyDescent="0.2">
      <c r="A52" t="s">
        <v>8</v>
      </c>
      <c r="B52" t="s">
        <v>294</v>
      </c>
    </row>
    <row r="53" spans="1:8" x14ac:dyDescent="0.2">
      <c r="A53" s="2" t="s">
        <v>9</v>
      </c>
    </row>
    <row r="54" spans="1:8" x14ac:dyDescent="0.2">
      <c r="A54" t="s">
        <v>10</v>
      </c>
      <c r="B54" t="s">
        <v>11</v>
      </c>
      <c r="C54" t="s">
        <v>6</v>
      </c>
      <c r="D54" t="s">
        <v>42</v>
      </c>
      <c r="E54" t="s">
        <v>2</v>
      </c>
      <c r="F54" t="s">
        <v>12</v>
      </c>
      <c r="G54" t="s">
        <v>5</v>
      </c>
      <c r="H54" t="s">
        <v>292</v>
      </c>
    </row>
    <row r="55" spans="1:8" x14ac:dyDescent="0.2">
      <c r="A55" t="s">
        <v>323</v>
      </c>
      <c r="B55">
        <v>1</v>
      </c>
      <c r="C55" t="s">
        <v>7</v>
      </c>
      <c r="E55" t="s">
        <v>3</v>
      </c>
      <c r="F55" t="s">
        <v>13</v>
      </c>
      <c r="G55" t="s">
        <v>88</v>
      </c>
    </row>
    <row r="56" spans="1:8" x14ac:dyDescent="0.2">
      <c r="A56" t="s">
        <v>324</v>
      </c>
      <c r="B56" s="7">
        <v>2.6</v>
      </c>
      <c r="C56" t="s">
        <v>7</v>
      </c>
      <c r="E56" t="s">
        <v>3</v>
      </c>
      <c r="F56" t="s">
        <v>15</v>
      </c>
      <c r="G56" t="s">
        <v>89</v>
      </c>
    </row>
    <row r="57" spans="1:8" x14ac:dyDescent="0.2">
      <c r="A57" t="s">
        <v>47</v>
      </c>
      <c r="B57" s="5">
        <v>0.64</v>
      </c>
      <c r="C57" t="s">
        <v>7</v>
      </c>
      <c r="E57" t="s">
        <v>17</v>
      </c>
      <c r="F57" t="s">
        <v>15</v>
      </c>
      <c r="G57" t="s">
        <v>48</v>
      </c>
      <c r="H57" t="s">
        <v>370</v>
      </c>
    </row>
    <row r="58" spans="1:8" x14ac:dyDescent="0.2">
      <c r="A58" t="s">
        <v>22</v>
      </c>
      <c r="B58" s="8">
        <v>3.5999999999999999E-3</v>
      </c>
      <c r="C58" t="s">
        <v>23</v>
      </c>
      <c r="E58" t="s">
        <v>54</v>
      </c>
      <c r="F58" t="s">
        <v>15</v>
      </c>
      <c r="G58" t="s">
        <v>24</v>
      </c>
    </row>
    <row r="59" spans="1:8" x14ac:dyDescent="0.2">
      <c r="A59" t="s">
        <v>86</v>
      </c>
      <c r="B59" s="7">
        <v>5.4</v>
      </c>
      <c r="C59" t="s">
        <v>7</v>
      </c>
      <c r="E59" t="s">
        <v>17</v>
      </c>
      <c r="F59" t="s">
        <v>15</v>
      </c>
      <c r="G59" t="s">
        <v>87</v>
      </c>
    </row>
    <row r="60" spans="1:8" x14ac:dyDescent="0.2">
      <c r="A60" t="s">
        <v>38</v>
      </c>
      <c r="B60" s="3">
        <f>0.0000000004</f>
        <v>4.0000000000000001E-10</v>
      </c>
      <c r="C60" t="s">
        <v>6</v>
      </c>
      <c r="E60" t="s">
        <v>3</v>
      </c>
      <c r="F60" t="s">
        <v>15</v>
      </c>
      <c r="G60" t="s">
        <v>39</v>
      </c>
    </row>
    <row r="61" spans="1:8" x14ac:dyDescent="0.2">
      <c r="A61" t="s">
        <v>53</v>
      </c>
      <c r="B61" s="7">
        <v>-2.2000000000000002</v>
      </c>
      <c r="C61" t="s">
        <v>7</v>
      </c>
      <c r="E61" t="s">
        <v>17</v>
      </c>
      <c r="F61" t="s">
        <v>15</v>
      </c>
      <c r="G61" t="s">
        <v>55</v>
      </c>
    </row>
    <row r="62" spans="1:8" x14ac:dyDescent="0.2">
      <c r="A62" t="s">
        <v>49</v>
      </c>
      <c r="B62" s="4">
        <v>-9.5000000000000001E-2</v>
      </c>
      <c r="C62" t="s">
        <v>45</v>
      </c>
      <c r="E62" t="s">
        <v>17</v>
      </c>
      <c r="F62" t="s">
        <v>15</v>
      </c>
      <c r="G62" t="s">
        <v>50</v>
      </c>
    </row>
    <row r="63" spans="1:8" x14ac:dyDescent="0.2">
      <c r="A63" t="s">
        <v>398</v>
      </c>
      <c r="B63" s="4">
        <v>9.5000000000000001E-2</v>
      </c>
      <c r="C63" t="s">
        <v>45</v>
      </c>
      <c r="D63" t="s">
        <v>295</v>
      </c>
      <c r="F63" t="s">
        <v>44</v>
      </c>
    </row>
    <row r="64" spans="1:8" x14ac:dyDescent="0.2">
      <c r="B64" s="8"/>
    </row>
    <row r="65" spans="1:12" x14ac:dyDescent="0.2">
      <c r="B65" s="8"/>
    </row>
    <row r="66" spans="1:12" x14ac:dyDescent="0.2">
      <c r="B66" s="8"/>
    </row>
    <row r="67" spans="1:12" ht="16" x14ac:dyDescent="0.2">
      <c r="A67" s="1" t="s">
        <v>0</v>
      </c>
      <c r="B67" s="1" t="s">
        <v>324</v>
      </c>
    </row>
    <row r="68" spans="1:12" x14ac:dyDescent="0.2">
      <c r="A68" t="s">
        <v>1</v>
      </c>
      <c r="B68" t="s">
        <v>463</v>
      </c>
    </row>
    <row r="69" spans="1:12" x14ac:dyDescent="0.2">
      <c r="A69" t="s">
        <v>2</v>
      </c>
      <c r="B69" t="s">
        <v>3</v>
      </c>
    </row>
    <row r="70" spans="1:12" x14ac:dyDescent="0.2">
      <c r="A70" t="s">
        <v>4</v>
      </c>
      <c r="B70">
        <v>1</v>
      </c>
    </row>
    <row r="71" spans="1:12" x14ac:dyDescent="0.2">
      <c r="A71" t="s">
        <v>5</v>
      </c>
      <c r="B71" t="s">
        <v>89</v>
      </c>
    </row>
    <row r="72" spans="1:12" x14ac:dyDescent="0.2">
      <c r="A72" t="s">
        <v>6</v>
      </c>
      <c r="B72" t="s">
        <v>7</v>
      </c>
    </row>
    <row r="73" spans="1:12" x14ac:dyDescent="0.2">
      <c r="A73" t="s">
        <v>8</v>
      </c>
      <c r="B73" t="s">
        <v>296</v>
      </c>
    </row>
    <row r="74" spans="1:12" x14ac:dyDescent="0.2">
      <c r="A74" s="2" t="s">
        <v>9</v>
      </c>
    </row>
    <row r="75" spans="1:12" x14ac:dyDescent="0.2">
      <c r="A75" t="s">
        <v>10</v>
      </c>
      <c r="B75" t="s">
        <v>11</v>
      </c>
      <c r="C75" t="s">
        <v>6</v>
      </c>
      <c r="D75" t="s">
        <v>42</v>
      </c>
      <c r="E75" t="s">
        <v>2</v>
      </c>
      <c r="F75" t="s">
        <v>12</v>
      </c>
      <c r="G75" t="s">
        <v>5</v>
      </c>
      <c r="H75" t="s">
        <v>1</v>
      </c>
      <c r="I75" t="s">
        <v>458</v>
      </c>
      <c r="J75" t="s">
        <v>459</v>
      </c>
      <c r="K75" t="s">
        <v>460</v>
      </c>
      <c r="L75" t="s">
        <v>461</v>
      </c>
    </row>
    <row r="76" spans="1:12" x14ac:dyDescent="0.2">
      <c r="A76" t="s">
        <v>324</v>
      </c>
      <c r="B76">
        <v>1</v>
      </c>
      <c r="C76" t="s">
        <v>7</v>
      </c>
      <c r="E76" t="s">
        <v>3</v>
      </c>
      <c r="F76" t="s">
        <v>13</v>
      </c>
      <c r="G76" t="s">
        <v>89</v>
      </c>
    </row>
    <row r="77" spans="1:12" x14ac:dyDescent="0.2">
      <c r="A77" t="s">
        <v>38</v>
      </c>
      <c r="B77">
        <f>0.0000000004</f>
        <v>4.0000000000000001E-10</v>
      </c>
      <c r="C77" t="s">
        <v>6</v>
      </c>
      <c r="E77" t="s">
        <v>3</v>
      </c>
      <c r="F77" t="s">
        <v>15</v>
      </c>
      <c r="G77" t="s">
        <v>39</v>
      </c>
      <c r="H77" t="s">
        <v>415</v>
      </c>
    </row>
    <row r="78" spans="1:12" x14ac:dyDescent="0.2">
      <c r="A78" t="s">
        <v>22</v>
      </c>
      <c r="B78" s="5">
        <f>0.416</f>
        <v>0.41599999999999998</v>
      </c>
      <c r="C78" t="s">
        <v>23</v>
      </c>
      <c r="E78" t="s">
        <v>3</v>
      </c>
      <c r="F78" t="s">
        <v>15</v>
      </c>
      <c r="G78" t="s">
        <v>24</v>
      </c>
    </row>
    <row r="79" spans="1:12" x14ac:dyDescent="0.2">
      <c r="A79" t="s">
        <v>267</v>
      </c>
      <c r="B79" s="7">
        <f>2.15</f>
        <v>2.15</v>
      </c>
      <c r="C79" t="s">
        <v>34</v>
      </c>
      <c r="E79" t="s">
        <v>3</v>
      </c>
      <c r="F79" t="s">
        <v>15</v>
      </c>
      <c r="G79" t="s">
        <v>35</v>
      </c>
    </row>
    <row r="80" spans="1:12" x14ac:dyDescent="0.2">
      <c r="A80" t="s">
        <v>268</v>
      </c>
      <c r="B80" s="4">
        <f>0.02998</f>
        <v>2.998E-2</v>
      </c>
      <c r="C80" t="s">
        <v>34</v>
      </c>
      <c r="E80" t="s">
        <v>29</v>
      </c>
      <c r="F80" t="s">
        <v>15</v>
      </c>
      <c r="G80" t="s">
        <v>269</v>
      </c>
    </row>
    <row r="81" spans="1:12" x14ac:dyDescent="0.2">
      <c r="A81" t="s">
        <v>268</v>
      </c>
      <c r="B81" s="5">
        <f>0.17002</f>
        <v>0.17002</v>
      </c>
      <c r="C81" t="s">
        <v>34</v>
      </c>
      <c r="E81" t="s">
        <v>17</v>
      </c>
      <c r="F81" t="s">
        <v>15</v>
      </c>
      <c r="G81" t="s">
        <v>269</v>
      </c>
    </row>
    <row r="82" spans="1:12" x14ac:dyDescent="0.2">
      <c r="A82" t="s">
        <v>270</v>
      </c>
      <c r="B82" s="5">
        <f>0.70572</f>
        <v>0.70572000000000001</v>
      </c>
      <c r="C82" t="s">
        <v>7</v>
      </c>
      <c r="E82" t="s">
        <v>17</v>
      </c>
      <c r="F82" t="s">
        <v>15</v>
      </c>
      <c r="G82" t="s">
        <v>271</v>
      </c>
    </row>
    <row r="83" spans="1:12" x14ac:dyDescent="0.2">
      <c r="A83" t="s">
        <v>270</v>
      </c>
      <c r="B83" s="5">
        <f>0.12023</f>
        <v>0.12023</v>
      </c>
      <c r="C83" t="s">
        <v>7</v>
      </c>
      <c r="E83" t="s">
        <v>29</v>
      </c>
      <c r="F83" t="s">
        <v>15</v>
      </c>
      <c r="G83" t="s">
        <v>271</v>
      </c>
    </row>
    <row r="84" spans="1:12" x14ac:dyDescent="0.2">
      <c r="A84" t="s">
        <v>68</v>
      </c>
      <c r="B84" s="4">
        <f>0.01491</f>
        <v>1.491E-2</v>
      </c>
      <c r="C84" t="s">
        <v>7</v>
      </c>
      <c r="E84" t="s">
        <v>17</v>
      </c>
      <c r="F84" t="s">
        <v>15</v>
      </c>
      <c r="G84" t="s">
        <v>69</v>
      </c>
    </row>
    <row r="85" spans="1:12" x14ac:dyDescent="0.2">
      <c r="A85" t="s">
        <v>68</v>
      </c>
      <c r="B85" s="8">
        <f>0.00409</f>
        <v>4.0899999999999999E-3</v>
      </c>
      <c r="C85" t="s">
        <v>7</v>
      </c>
      <c r="E85" t="s">
        <v>29</v>
      </c>
      <c r="F85" t="s">
        <v>15</v>
      </c>
      <c r="G85" t="s">
        <v>69</v>
      </c>
    </row>
    <row r="86" spans="1:12" x14ac:dyDescent="0.2">
      <c r="A86" t="s">
        <v>272</v>
      </c>
      <c r="B86" s="5">
        <f>0.22973</f>
        <v>0.22972999999999999</v>
      </c>
      <c r="C86" t="s">
        <v>7</v>
      </c>
      <c r="E86" t="s">
        <v>3</v>
      </c>
      <c r="F86" t="s">
        <v>15</v>
      </c>
      <c r="G86" t="s">
        <v>273</v>
      </c>
    </row>
    <row r="87" spans="1:12" x14ac:dyDescent="0.2">
      <c r="A87" t="s">
        <v>274</v>
      </c>
      <c r="B87">
        <f>0.026</f>
        <v>2.5999999999999999E-2</v>
      </c>
      <c r="C87" t="s">
        <v>7</v>
      </c>
      <c r="E87" t="s">
        <v>3</v>
      </c>
      <c r="F87" t="s">
        <v>15</v>
      </c>
      <c r="G87" t="s">
        <v>275</v>
      </c>
    </row>
    <row r="88" spans="1:12" x14ac:dyDescent="0.2">
      <c r="A88" t="s">
        <v>398</v>
      </c>
      <c r="B88" s="4">
        <f>0.0164</f>
        <v>1.6400000000000001E-2</v>
      </c>
      <c r="C88" t="s">
        <v>45</v>
      </c>
      <c r="D88" t="s">
        <v>295</v>
      </c>
      <c r="F88" t="s">
        <v>44</v>
      </c>
    </row>
    <row r="89" spans="1:12" x14ac:dyDescent="0.2">
      <c r="A89" t="s">
        <v>399</v>
      </c>
      <c r="B89">
        <f>0.00086</f>
        <v>8.5999999999999998E-4</v>
      </c>
      <c r="C89" t="s">
        <v>45</v>
      </c>
      <c r="D89" t="s">
        <v>295</v>
      </c>
      <c r="F89" t="s">
        <v>44</v>
      </c>
    </row>
    <row r="90" spans="1:12" x14ac:dyDescent="0.2">
      <c r="A90" t="s">
        <v>402</v>
      </c>
      <c r="B90">
        <f>0.00083</f>
        <v>8.3000000000000001E-4</v>
      </c>
      <c r="C90" t="s">
        <v>45</v>
      </c>
      <c r="D90" t="s">
        <v>295</v>
      </c>
      <c r="F90" t="s">
        <v>44</v>
      </c>
    </row>
    <row r="91" spans="1:12" x14ac:dyDescent="0.2">
      <c r="A91" t="s">
        <v>49</v>
      </c>
      <c r="B91" s="13">
        <f>(-0.00000176509)</f>
        <v>-1.76509E-6</v>
      </c>
      <c r="C91" t="s">
        <v>45</v>
      </c>
      <c r="E91" t="s">
        <v>17</v>
      </c>
      <c r="F91" t="s">
        <v>15</v>
      </c>
      <c r="G91" t="s">
        <v>50</v>
      </c>
    </row>
    <row r="92" spans="1:12" x14ac:dyDescent="0.2">
      <c r="A92" t="s">
        <v>49</v>
      </c>
      <c r="B92" s="13">
        <f>-0.000000091266</f>
        <v>-9.1266000000000005E-8</v>
      </c>
      <c r="C92" t="s">
        <v>45</v>
      </c>
      <c r="E92" t="s">
        <v>276</v>
      </c>
      <c r="F92" t="s">
        <v>15</v>
      </c>
      <c r="G92" t="s">
        <v>50</v>
      </c>
    </row>
    <row r="93" spans="1:12" x14ac:dyDescent="0.2">
      <c r="A93" t="s">
        <v>49</v>
      </c>
      <c r="B93" s="13">
        <f>-0.000000843646</f>
        <v>-8.4364599999999996E-7</v>
      </c>
      <c r="C93" t="s">
        <v>45</v>
      </c>
      <c r="E93" t="s">
        <v>54</v>
      </c>
      <c r="F93" t="s">
        <v>15</v>
      </c>
      <c r="G93" t="s">
        <v>50</v>
      </c>
    </row>
    <row r="94" spans="1:12" x14ac:dyDescent="0.2">
      <c r="A94" t="s">
        <v>401</v>
      </c>
      <c r="B94" s="13">
        <f>0.00289</f>
        <v>2.8900000000000002E-3</v>
      </c>
      <c r="C94" t="s">
        <v>7</v>
      </c>
      <c r="D94" t="s">
        <v>43</v>
      </c>
      <c r="F94" t="s">
        <v>44</v>
      </c>
    </row>
    <row r="95" spans="1:12" x14ac:dyDescent="0.2">
      <c r="A95" t="s">
        <v>400</v>
      </c>
      <c r="B95" s="13">
        <f>0.005*SUM(B82:B83)</f>
        <v>4.1297499999999997E-3</v>
      </c>
      <c r="C95" t="s">
        <v>7</v>
      </c>
      <c r="D95" t="s">
        <v>43</v>
      </c>
      <c r="F95" t="s">
        <v>44</v>
      </c>
      <c r="H95" t="s">
        <v>462</v>
      </c>
      <c r="I95">
        <v>5</v>
      </c>
      <c r="J95" s="13">
        <f>B95</f>
        <v>4.1297499999999997E-3</v>
      </c>
      <c r="K95">
        <f>0.0006*SUM(B82:B83)</f>
        <v>4.9556999999999997E-4</v>
      </c>
      <c r="L95">
        <v>4.1300000000000003E-2</v>
      </c>
    </row>
    <row r="96" spans="1:12" x14ac:dyDescent="0.2">
      <c r="A96" t="s">
        <v>403</v>
      </c>
      <c r="B96" s="13">
        <f>0.019</f>
        <v>1.9E-2</v>
      </c>
      <c r="C96" t="s">
        <v>7</v>
      </c>
      <c r="D96" t="s">
        <v>43</v>
      </c>
      <c r="F96" t="s">
        <v>44</v>
      </c>
    </row>
    <row r="97" spans="1:7" x14ac:dyDescent="0.2">
      <c r="A97" t="s">
        <v>404</v>
      </c>
      <c r="B97" s="13">
        <f>0.01091</f>
        <v>1.091E-2</v>
      </c>
      <c r="C97" t="s">
        <v>7</v>
      </c>
      <c r="D97" t="s">
        <v>297</v>
      </c>
      <c r="F97" t="s">
        <v>44</v>
      </c>
    </row>
    <row r="98" spans="1:7" x14ac:dyDescent="0.2">
      <c r="A98" t="s">
        <v>404</v>
      </c>
      <c r="B98" s="13">
        <f>0.00057</f>
        <v>5.6999999999999998E-4</v>
      </c>
      <c r="C98" t="s">
        <v>7</v>
      </c>
      <c r="D98" t="s">
        <v>277</v>
      </c>
      <c r="F98" t="s">
        <v>44</v>
      </c>
    </row>
    <row r="99" spans="1:7" x14ac:dyDescent="0.2">
      <c r="A99" t="s">
        <v>405</v>
      </c>
      <c r="B99" s="13">
        <f>0.03*0.001</f>
        <v>3.0000000000000001E-5</v>
      </c>
      <c r="C99" t="s">
        <v>45</v>
      </c>
      <c r="D99" t="s">
        <v>43</v>
      </c>
      <c r="F99" t="s">
        <v>44</v>
      </c>
    </row>
    <row r="100" spans="1:7" x14ac:dyDescent="0.2">
      <c r="A100" t="s">
        <v>405</v>
      </c>
      <c r="B100" s="13">
        <f>0.0167</f>
        <v>1.67E-2</v>
      </c>
      <c r="C100" t="s">
        <v>45</v>
      </c>
      <c r="D100" t="s">
        <v>277</v>
      </c>
      <c r="F100" t="s">
        <v>44</v>
      </c>
    </row>
    <row r="101" spans="1:7" x14ac:dyDescent="0.2">
      <c r="B101" s="3"/>
    </row>
    <row r="102" spans="1:7" x14ac:dyDescent="0.2">
      <c r="B102" s="3"/>
    </row>
    <row r="104" spans="1:7" ht="18" x14ac:dyDescent="0.25">
      <c r="A104" s="1" t="s">
        <v>0</v>
      </c>
      <c r="B104" s="11" t="s">
        <v>325</v>
      </c>
    </row>
    <row r="105" spans="1:7" ht="16" x14ac:dyDescent="0.2">
      <c r="A105" s="16" t="s">
        <v>1</v>
      </c>
      <c r="B105" s="22" t="s">
        <v>408</v>
      </c>
    </row>
    <row r="106" spans="1:7" x14ac:dyDescent="0.2">
      <c r="A106" t="s">
        <v>2</v>
      </c>
      <c r="B106" t="s">
        <v>3</v>
      </c>
    </row>
    <row r="107" spans="1:7" x14ac:dyDescent="0.2">
      <c r="A107" t="s">
        <v>4</v>
      </c>
      <c r="B107">
        <v>1</v>
      </c>
    </row>
    <row r="108" spans="1:7" x14ac:dyDescent="0.2">
      <c r="A108" t="s">
        <v>5</v>
      </c>
      <c r="B108" t="s">
        <v>90</v>
      </c>
    </row>
    <row r="109" spans="1:7" x14ac:dyDescent="0.2">
      <c r="A109" t="s">
        <v>6</v>
      </c>
      <c r="B109" t="s">
        <v>7</v>
      </c>
    </row>
    <row r="110" spans="1:7" x14ac:dyDescent="0.2">
      <c r="A110" t="s">
        <v>8</v>
      </c>
      <c r="B110" t="s">
        <v>294</v>
      </c>
    </row>
    <row r="111" spans="1:7" x14ac:dyDescent="0.2">
      <c r="A111" s="2" t="s">
        <v>9</v>
      </c>
    </row>
    <row r="112" spans="1:7" x14ac:dyDescent="0.2">
      <c r="A112" t="s">
        <v>10</v>
      </c>
      <c r="B112" t="s">
        <v>11</v>
      </c>
      <c r="C112" t="s">
        <v>6</v>
      </c>
      <c r="D112" t="s">
        <v>42</v>
      </c>
      <c r="E112" t="s">
        <v>2</v>
      </c>
      <c r="F112" t="s">
        <v>12</v>
      </c>
      <c r="G112" t="s">
        <v>5</v>
      </c>
    </row>
    <row r="113" spans="1:7" x14ac:dyDescent="0.2">
      <c r="A113" t="s">
        <v>326</v>
      </c>
      <c r="B113">
        <v>1</v>
      </c>
      <c r="C113" t="s">
        <v>7</v>
      </c>
      <c r="E113" t="s">
        <v>3</v>
      </c>
      <c r="F113" t="s">
        <v>13</v>
      </c>
      <c r="G113" t="s">
        <v>90</v>
      </c>
    </row>
    <row r="114" spans="1:7" x14ac:dyDescent="0.2">
      <c r="A114" t="s">
        <v>323</v>
      </c>
      <c r="B114">
        <v>2.2000000000000002</v>
      </c>
      <c r="C114" t="s">
        <v>7</v>
      </c>
      <c r="E114" t="s">
        <v>3</v>
      </c>
      <c r="F114" t="s">
        <v>15</v>
      </c>
      <c r="G114" t="s">
        <v>88</v>
      </c>
    </row>
    <row r="115" spans="1:7" x14ac:dyDescent="0.2">
      <c r="A115" t="s">
        <v>321</v>
      </c>
      <c r="B115">
        <v>0.76</v>
      </c>
      <c r="C115" t="s">
        <v>7</v>
      </c>
      <c r="E115" t="s">
        <v>3</v>
      </c>
      <c r="F115" t="s">
        <v>15</v>
      </c>
      <c r="G115" t="s">
        <v>79</v>
      </c>
    </row>
    <row r="116" spans="1:7" x14ac:dyDescent="0.2">
      <c r="A116" t="s">
        <v>38</v>
      </c>
      <c r="B116">
        <f>4*10^-10</f>
        <v>4.0000000000000001E-10</v>
      </c>
      <c r="C116" t="s">
        <v>6</v>
      </c>
      <c r="E116" t="s">
        <v>3</v>
      </c>
      <c r="F116" t="s">
        <v>15</v>
      </c>
      <c r="G116" t="s">
        <v>39</v>
      </c>
    </row>
    <row r="117" spans="1:7" x14ac:dyDescent="0.2">
      <c r="A117" t="s">
        <v>22</v>
      </c>
      <c r="B117">
        <v>2.3E-2</v>
      </c>
      <c r="C117" t="s">
        <v>23</v>
      </c>
      <c r="E117" t="s">
        <v>54</v>
      </c>
      <c r="F117" t="s">
        <v>15</v>
      </c>
      <c r="G117" t="s">
        <v>24</v>
      </c>
    </row>
    <row r="118" spans="1:7" x14ac:dyDescent="0.2">
      <c r="A118" t="s">
        <v>86</v>
      </c>
      <c r="B118">
        <v>16</v>
      </c>
      <c r="C118" t="s">
        <v>7</v>
      </c>
      <c r="E118" t="s">
        <v>17</v>
      </c>
      <c r="F118" t="s">
        <v>15</v>
      </c>
      <c r="G118" t="s">
        <v>87</v>
      </c>
    </row>
    <row r="119" spans="1:7" x14ac:dyDescent="0.2">
      <c r="A119" t="s">
        <v>53</v>
      </c>
      <c r="B119" s="7">
        <v>-2</v>
      </c>
      <c r="C119" t="s">
        <v>7</v>
      </c>
      <c r="E119" t="s">
        <v>17</v>
      </c>
      <c r="F119" t="s">
        <v>15</v>
      </c>
      <c r="G119" t="s">
        <v>55</v>
      </c>
    </row>
    <row r="120" spans="1:7" x14ac:dyDescent="0.2">
      <c r="A120" t="s">
        <v>49</v>
      </c>
      <c r="B120">
        <v>-0.28000000000000003</v>
      </c>
      <c r="C120" t="s">
        <v>45</v>
      </c>
      <c r="E120" t="s">
        <v>17</v>
      </c>
      <c r="F120" t="s">
        <v>15</v>
      </c>
      <c r="G120" t="s">
        <v>50</v>
      </c>
    </row>
    <row r="121" spans="1:7" x14ac:dyDescent="0.2">
      <c r="A121" t="s">
        <v>398</v>
      </c>
      <c r="B121">
        <v>0.28000000000000003</v>
      </c>
      <c r="C121" t="s">
        <v>45</v>
      </c>
      <c r="D121" t="s">
        <v>295</v>
      </c>
      <c r="F121" t="s">
        <v>44</v>
      </c>
    </row>
    <row r="125" spans="1:7" ht="16" x14ac:dyDescent="0.2">
      <c r="A125" s="1" t="s">
        <v>0</v>
      </c>
      <c r="B125" s="1" t="s">
        <v>327</v>
      </c>
    </row>
    <row r="126" spans="1:7" ht="16" x14ac:dyDescent="0.2">
      <c r="A126" s="16" t="s">
        <v>1</v>
      </c>
      <c r="B126" s="16" t="s">
        <v>408</v>
      </c>
    </row>
    <row r="127" spans="1:7" x14ac:dyDescent="0.2">
      <c r="A127" t="s">
        <v>2</v>
      </c>
      <c r="B127" t="s">
        <v>3</v>
      </c>
    </row>
    <row r="128" spans="1:7" x14ac:dyDescent="0.2">
      <c r="A128" t="s">
        <v>4</v>
      </c>
      <c r="B128">
        <v>1</v>
      </c>
    </row>
    <row r="129" spans="1:7" x14ac:dyDescent="0.2">
      <c r="A129" t="s">
        <v>5</v>
      </c>
      <c r="B129" t="s">
        <v>91</v>
      </c>
    </row>
    <row r="130" spans="1:7" x14ac:dyDescent="0.2">
      <c r="A130" t="s">
        <v>6</v>
      </c>
      <c r="B130" t="s">
        <v>7</v>
      </c>
    </row>
    <row r="131" spans="1:7" x14ac:dyDescent="0.2">
      <c r="A131" t="s">
        <v>8</v>
      </c>
      <c r="B131" t="s">
        <v>294</v>
      </c>
    </row>
    <row r="132" spans="1:7" x14ac:dyDescent="0.2">
      <c r="A132" s="2" t="s">
        <v>9</v>
      </c>
    </row>
    <row r="133" spans="1:7" x14ac:dyDescent="0.2">
      <c r="A133" t="s">
        <v>10</v>
      </c>
      <c r="B133" t="s">
        <v>11</v>
      </c>
      <c r="C133" t="s">
        <v>6</v>
      </c>
      <c r="D133" t="s">
        <v>42</v>
      </c>
      <c r="E133" t="s">
        <v>2</v>
      </c>
      <c r="F133" t="s">
        <v>12</v>
      </c>
      <c r="G133" t="s">
        <v>5</v>
      </c>
    </row>
    <row r="134" spans="1:7" x14ac:dyDescent="0.2">
      <c r="A134" t="s">
        <v>327</v>
      </c>
      <c r="B134">
        <v>1</v>
      </c>
      <c r="C134" t="s">
        <v>7</v>
      </c>
      <c r="E134" t="s">
        <v>3</v>
      </c>
      <c r="F134" t="s">
        <v>13</v>
      </c>
      <c r="G134" t="s">
        <v>91</v>
      </c>
    </row>
    <row r="135" spans="1:7" x14ac:dyDescent="0.2">
      <c r="A135" t="s">
        <v>326</v>
      </c>
      <c r="B135">
        <v>0.82</v>
      </c>
      <c r="C135" t="s">
        <v>7</v>
      </c>
      <c r="E135" t="s">
        <v>3</v>
      </c>
      <c r="F135" t="s">
        <v>15</v>
      </c>
      <c r="G135" t="s">
        <v>90</v>
      </c>
    </row>
    <row r="136" spans="1:7" x14ac:dyDescent="0.2">
      <c r="A136" t="s">
        <v>320</v>
      </c>
      <c r="B136">
        <v>0.52</v>
      </c>
      <c r="C136" t="s">
        <v>7</v>
      </c>
      <c r="E136" t="s">
        <v>3</v>
      </c>
      <c r="F136" t="s">
        <v>15</v>
      </c>
      <c r="G136" t="s">
        <v>293</v>
      </c>
    </row>
    <row r="137" spans="1:7" x14ac:dyDescent="0.2">
      <c r="A137" t="s">
        <v>92</v>
      </c>
      <c r="B137">
        <v>0.65</v>
      </c>
      <c r="C137" t="s">
        <v>7</v>
      </c>
      <c r="E137" t="s">
        <v>3</v>
      </c>
      <c r="F137" t="s">
        <v>15</v>
      </c>
      <c r="G137" t="s">
        <v>93</v>
      </c>
    </row>
    <row r="138" spans="1:7" x14ac:dyDescent="0.2">
      <c r="A138" t="s">
        <v>94</v>
      </c>
      <c r="B138">
        <v>1.3</v>
      </c>
      <c r="C138" t="s">
        <v>7</v>
      </c>
      <c r="E138" t="s">
        <v>17</v>
      </c>
      <c r="F138" t="s">
        <v>15</v>
      </c>
      <c r="G138" t="s">
        <v>95</v>
      </c>
    </row>
    <row r="139" spans="1:7" x14ac:dyDescent="0.2">
      <c r="A139" t="s">
        <v>51</v>
      </c>
      <c r="B139">
        <v>3.1</v>
      </c>
      <c r="C139" t="s">
        <v>7</v>
      </c>
      <c r="E139" t="s">
        <v>17</v>
      </c>
      <c r="F139" t="s">
        <v>15</v>
      </c>
      <c r="G139" t="s">
        <v>52</v>
      </c>
    </row>
    <row r="140" spans="1:7" x14ac:dyDescent="0.2">
      <c r="A140" t="s">
        <v>38</v>
      </c>
      <c r="B140">
        <f>4*10^-10</f>
        <v>4.0000000000000001E-10</v>
      </c>
      <c r="C140" t="s">
        <v>6</v>
      </c>
      <c r="E140" t="s">
        <v>3</v>
      </c>
      <c r="F140" t="s">
        <v>15</v>
      </c>
      <c r="G140" t="s">
        <v>39</v>
      </c>
    </row>
    <row r="141" spans="1:7" x14ac:dyDescent="0.2">
      <c r="A141" t="s">
        <v>22</v>
      </c>
      <c r="B141">
        <v>0.44</v>
      </c>
      <c r="C141" t="s">
        <v>23</v>
      </c>
      <c r="E141" t="s">
        <v>54</v>
      </c>
      <c r="F141" t="s">
        <v>15</v>
      </c>
      <c r="G141" t="s">
        <v>24</v>
      </c>
    </row>
    <row r="142" spans="1:7" x14ac:dyDescent="0.2">
      <c r="A142" t="s">
        <v>86</v>
      </c>
      <c r="B142">
        <v>26</v>
      </c>
      <c r="C142" t="s">
        <v>7</v>
      </c>
      <c r="E142" t="s">
        <v>17</v>
      </c>
      <c r="F142" t="s">
        <v>15</v>
      </c>
      <c r="G142" t="s">
        <v>87</v>
      </c>
    </row>
    <row r="143" spans="1:7" x14ac:dyDescent="0.2">
      <c r="A143" t="s">
        <v>53</v>
      </c>
      <c r="B143">
        <v>-5.4</v>
      </c>
      <c r="C143" t="s">
        <v>7</v>
      </c>
      <c r="E143" t="s">
        <v>17</v>
      </c>
      <c r="F143" t="s">
        <v>15</v>
      </c>
      <c r="G143" t="s">
        <v>55</v>
      </c>
    </row>
    <row r="144" spans="1:7" x14ac:dyDescent="0.2">
      <c r="A144" t="s">
        <v>49</v>
      </c>
      <c r="B144">
        <v>-0.38</v>
      </c>
      <c r="C144" t="s">
        <v>45</v>
      </c>
      <c r="E144" t="s">
        <v>17</v>
      </c>
      <c r="F144" t="s">
        <v>15</v>
      </c>
      <c r="G144" t="s">
        <v>50</v>
      </c>
    </row>
    <row r="145" spans="1:7" x14ac:dyDescent="0.2">
      <c r="A145" t="s">
        <v>398</v>
      </c>
      <c r="B145">
        <v>0.38</v>
      </c>
      <c r="C145" t="s">
        <v>45</v>
      </c>
      <c r="D145" t="s">
        <v>295</v>
      </c>
      <c r="F145" t="s">
        <v>44</v>
      </c>
    </row>
    <row r="149" spans="1:7" ht="16" x14ac:dyDescent="0.2">
      <c r="A149" s="1" t="s">
        <v>0</v>
      </c>
      <c r="B149" s="1" t="s">
        <v>328</v>
      </c>
    </row>
    <row r="150" spans="1:7" ht="16" x14ac:dyDescent="0.2">
      <c r="A150" s="16" t="s">
        <v>1</v>
      </c>
      <c r="B150" s="16" t="s">
        <v>408</v>
      </c>
    </row>
    <row r="151" spans="1:7" x14ac:dyDescent="0.2">
      <c r="A151" t="s">
        <v>2</v>
      </c>
      <c r="B151" t="s">
        <v>3</v>
      </c>
    </row>
    <row r="152" spans="1:7" x14ac:dyDescent="0.2">
      <c r="A152" t="s">
        <v>4</v>
      </c>
      <c r="B152">
        <v>1</v>
      </c>
    </row>
    <row r="153" spans="1:7" x14ac:dyDescent="0.2">
      <c r="A153" t="s">
        <v>5</v>
      </c>
      <c r="B153" t="s">
        <v>96</v>
      </c>
    </row>
    <row r="154" spans="1:7" x14ac:dyDescent="0.2">
      <c r="A154" t="s">
        <v>6</v>
      </c>
      <c r="B154" t="s">
        <v>7</v>
      </c>
    </row>
    <row r="155" spans="1:7" x14ac:dyDescent="0.2">
      <c r="A155" t="s">
        <v>8</v>
      </c>
      <c r="B155" t="s">
        <v>294</v>
      </c>
    </row>
    <row r="156" spans="1:7" x14ac:dyDescent="0.2">
      <c r="A156" s="2" t="s">
        <v>9</v>
      </c>
    </row>
    <row r="157" spans="1:7" x14ac:dyDescent="0.2">
      <c r="A157" t="s">
        <v>10</v>
      </c>
      <c r="B157" t="s">
        <v>11</v>
      </c>
      <c r="C157" t="s">
        <v>6</v>
      </c>
      <c r="D157" t="s">
        <v>2</v>
      </c>
      <c r="E157" t="s">
        <v>12</v>
      </c>
      <c r="F157" t="s">
        <v>5</v>
      </c>
      <c r="G157" t="s">
        <v>1</v>
      </c>
    </row>
    <row r="158" spans="1:7" x14ac:dyDescent="0.2">
      <c r="A158" t="s">
        <v>328</v>
      </c>
      <c r="B158">
        <v>1</v>
      </c>
      <c r="C158" t="s">
        <v>7</v>
      </c>
      <c r="D158" t="s">
        <v>3</v>
      </c>
      <c r="E158" t="s">
        <v>13</v>
      </c>
      <c r="F158" t="s">
        <v>96</v>
      </c>
    </row>
    <row r="159" spans="1:7" x14ac:dyDescent="0.2">
      <c r="A159" t="s">
        <v>327</v>
      </c>
      <c r="B159" s="8">
        <v>1.2</v>
      </c>
      <c r="C159" t="s">
        <v>7</v>
      </c>
      <c r="D159" t="s">
        <v>3</v>
      </c>
      <c r="E159" t="s">
        <v>15</v>
      </c>
      <c r="F159" t="s">
        <v>91</v>
      </c>
    </row>
    <row r="160" spans="1:7" x14ac:dyDescent="0.2">
      <c r="A160" t="s">
        <v>56</v>
      </c>
      <c r="B160" s="8">
        <v>2.5</v>
      </c>
      <c r="C160" t="s">
        <v>7</v>
      </c>
      <c r="D160" t="s">
        <v>17</v>
      </c>
      <c r="E160" t="s">
        <v>15</v>
      </c>
      <c r="F160" t="s">
        <v>57</v>
      </c>
    </row>
    <row r="161" spans="1:8" x14ac:dyDescent="0.2">
      <c r="A161" t="s">
        <v>38</v>
      </c>
      <c r="B161">
        <f>4*10^-10</f>
        <v>4.0000000000000001E-10</v>
      </c>
      <c r="C161" t="s">
        <v>6</v>
      </c>
      <c r="D161" t="s">
        <v>3</v>
      </c>
      <c r="E161" t="s">
        <v>15</v>
      </c>
      <c r="F161" t="s">
        <v>39</v>
      </c>
    </row>
    <row r="162" spans="1:8" x14ac:dyDescent="0.2">
      <c r="A162" t="s">
        <v>86</v>
      </c>
      <c r="B162" s="8">
        <v>0.12</v>
      </c>
      <c r="C162" t="s">
        <v>7</v>
      </c>
      <c r="D162" t="s">
        <v>17</v>
      </c>
      <c r="E162" t="s">
        <v>15</v>
      </c>
      <c r="F162" t="s">
        <v>87</v>
      </c>
    </row>
    <row r="163" spans="1:8" x14ac:dyDescent="0.2">
      <c r="A163" t="s">
        <v>49</v>
      </c>
      <c r="B163" s="8">
        <f>-2.7/1000</f>
        <v>-2.7000000000000001E-3</v>
      </c>
      <c r="C163" t="s">
        <v>45</v>
      </c>
      <c r="D163" t="s">
        <v>17</v>
      </c>
      <c r="E163" t="s">
        <v>15</v>
      </c>
      <c r="F163" t="s">
        <v>50</v>
      </c>
      <c r="G163" t="s">
        <v>435</v>
      </c>
    </row>
    <row r="164" spans="1:8" x14ac:dyDescent="0.2">
      <c r="B164" s="8"/>
    </row>
    <row r="165" spans="1:8" x14ac:dyDescent="0.2">
      <c r="B165" s="8"/>
    </row>
    <row r="167" spans="1:8" ht="16" x14ac:dyDescent="0.2">
      <c r="A167" s="1" t="s">
        <v>0</v>
      </c>
      <c r="B167" s="1" t="s">
        <v>366</v>
      </c>
    </row>
    <row r="168" spans="1:8" x14ac:dyDescent="0.2">
      <c r="A168" t="s">
        <v>1</v>
      </c>
      <c r="B168" t="inlineStr">
        <is>
          <t>APPROVED SALT-SPECIFIC ENGINEERING REFERENCE, item16, 2026-10-18. CN112536014B Example3 https://patents.google.com/patent/CN112536014B/en reports water:HTFSI:Li2CO3=2.8:7.54-7.56:1,110-115C neutralization, spray drying and99.1percent isolated LiTFSI yield. Adopt midpoint7.55, pure HTFSI and battery-grade carbonate as acid-limited feeds; consistent atomic masses Li6.94,H1.008,C12.011,F18.998403,N14.007,O15.999,S32.06g/mol. Perkg isolated salt: HTFSI=0.988230515068844, carbonate=0.13089145894951576, addedwater=0.3664960850586441kg. Assume complete acid conversion before0.9percent isolation loss: CO2=0.0773467098163841kg; excess carbonate=0.0010318008133847756kg and lost LiTFSI=0.00908173562058523kg. Filter residue and salt loss are routed to existing generic wastewater as an explicit hazardous-salt fate proxy, not credited recovery; wastewater inventory does not resolve fluorinated chemistry. Assume0.1kWh/kg auxiliaries, heat=((feedwater+neutralizationwater)*(4.18kJ/kg/K*75K+2.26MJ/kg)+0.5MJ)/0.70=2.1780844732991187MJ/kg; this is an engineering drying estimate, not measured patent utility data. Assume drying water is condensed and collected with salt losses/excess carbonate: the wastewater mass includes feedwater, stoichiometric neutralization water and residues at1000kg/m3. No additional dilution water is invented. Condensate collection and generic wastewater are fate proxies; dedicated fluorinated-salt treatment remains unrepresented. Preserve factory proxy4e-10unit/kg. Upstream HTFSI multistep synthesis remains an inherited source/proxy uncertainty; this corrects the final salt route without transferring unrelated LiPF6 yield. Sensitivities:95-99.1percent isolation yield,50-90percent thermal efficiency; patent scale-up, purification utilities and emissions remain gaps.
PREVIOUS NOTES (retained as history; the correction above takes precedence):
this is LiTFSI. Source: Wickerts et al. (2023). Prospective Life Cycle Assessment of Lithium-Sulfur Batteries for Stationary Energy Storage. ACS Sustainable Chemistry &amp; Engineering. https://doi.org/10.1021/acssuschemeng.3c00141</t>
        </is>
      </c>
    </row>
    <row r="169" spans="1:8" x14ac:dyDescent="0.2">
      <c r="A169" t="s">
        <v>2</v>
      </c>
      <c r="B169" t="s">
        <v>3</v>
      </c>
    </row>
    <row r="170" spans="1:8" x14ac:dyDescent="0.2">
      <c r="A170" t="s">
        <v>4</v>
      </c>
      <c r="B170">
        <v>1</v>
      </c>
    </row>
    <row r="171" spans="1:8" x14ac:dyDescent="0.2">
      <c r="A171" t="s">
        <v>5</v>
      </c>
      <c r="B171" t="s">
        <v>367</v>
      </c>
    </row>
    <row r="172" spans="1:8" x14ac:dyDescent="0.2">
      <c r="A172" t="s">
        <v>6</v>
      </c>
      <c r="B172" t="s">
        <v>7</v>
      </c>
    </row>
    <row r="173" spans="1:8" x14ac:dyDescent="0.2">
      <c r="A173" t="s">
        <v>8</v>
      </c>
      <c r="B173" t="s">
        <v>294</v>
      </c>
    </row>
    <row r="174" spans="1:8" x14ac:dyDescent="0.2">
      <c r="A174" s="2" t="s">
        <v>9</v>
      </c>
    </row>
    <row r="175" spans="1:8" x14ac:dyDescent="0.2">
      <c r="A175" t="s">
        <v>10</v>
      </c>
      <c r="B175" t="s">
        <v>11</v>
      </c>
      <c r="C175" t="s">
        <v>6</v>
      </c>
      <c r="D175" t="s">
        <v>42</v>
      </c>
      <c r="E175" t="s">
        <v>2</v>
      </c>
      <c r="F175" t="s">
        <v>12</v>
      </c>
      <c r="G175" t="s">
        <v>5</v>
      </c>
      <c r="H175" t="s">
        <v>1</v>
      </c>
    </row>
    <row r="176" spans="1:8" ht="16" x14ac:dyDescent="0.2">
      <c r="A176" s="16" t="s">
        <v>366</v>
      </c>
      <c r="B176">
        <v>1</v>
      </c>
      <c r="C176" t="s">
        <v>7</v>
      </c>
      <c r="E176" t="s">
        <v>3</v>
      </c>
      <c r="F176" t="s">
        <v>13</v>
      </c>
      <c r="G176" t="s">
        <v>367</v>
      </c>
    </row>
    <row r="177" spans="1:8" x14ac:dyDescent="0.2">
      <c r="A177" t="s">
        <v>328</v>
      </c>
      <c r="B177" s="7">
        <v>0.988230515068844</v>
      </c>
      <c r="C177" t="s">
        <v>7</v>
      </c>
      <c r="E177" t="s">
        <v>3</v>
      </c>
      <c r="F177" t="s">
        <v>15</v>
      </c>
      <c r="G177" t="s">
        <v>96</v>
      </c>
    </row>
    <row r="178" spans="1:8" x14ac:dyDescent="0.2">
      <c r="A178" t="s">
        <v>395</v>
      </c>
      <c r="B178" s="5">
        <v>0.13089145894951576</v>
      </c>
      <c r="C178" t="s">
        <v>7</v>
      </c>
      <c r="E178" t="s">
        <v>3</v>
      </c>
      <c r="F178" t="s">
        <v>15</v>
      </c>
      <c r="G178" t="s">
        <v>397</v>
      </c>
      <c r="H178" t="s">
        <v>396</v>
      </c>
    </row>
    <row r="179" spans="1:8" x14ac:dyDescent="0.2">
      <c r="A179" t="s">
        <v>51</v>
      </c>
      <c r="B179" s="18">
        <v>0.3664960850586441</v>
      </c>
      <c r="C179" t="s">
        <v>7</v>
      </c>
      <c r="E179" t="s">
        <v>17</v>
      </c>
      <c r="F179" t="s">
        <v>15</v>
      </c>
      <c r="G179" t="s">
        <v>52</v>
      </c>
    </row>
    <row r="180" spans="1:8" x14ac:dyDescent="0.2">
      <c r="A180" t="s">
        <v>38</v>
      </c>
      <c r="B180">
        <f>4*10^-10</f>
        <v>4.0000000000000001E-10</v>
      </c>
      <c r="C180" t="s">
        <v>6</v>
      </c>
      <c r="E180" t="s">
        <v>3</v>
      </c>
      <c r="F180" t="s">
        <v>15</v>
      </c>
      <c r="G180" t="s">
        <v>39</v>
      </c>
    </row>
    <row r="181" spans="1:8" x14ac:dyDescent="0.2">
      <c r="A181" t="s">
        <v>22</v>
      </c>
      <c r="B181" s="7">
        <v>0.1</v>
      </c>
      <c r="C181" t="s">
        <v>23</v>
      </c>
      <c r="E181" t="s">
        <v>54</v>
      </c>
      <c r="F181" t="s">
        <v>15</v>
      </c>
      <c r="G181" t="s">
        <v>24</v>
      </c>
    </row>
    <row r="182" spans="1:8" x14ac:dyDescent="0.2">
      <c r="A182" t="inlineStr">
        <is>
          <t>market for heat, district or industrial, natural gas</t>
        </is>
      </c>
      <c r="B182" s="7">
        <v>2.1780844732991187</v>
      </c>
      <c r="C182" t="inlineStr">
        <is>
          <t>megajoule</t>
        </is>
      </c>
      <c r="E182" t="s">
        <v>17</v>
      </c>
      <c r="F182" t="s">
        <v>15</v>
      </c>
      <c r="G182" t="inlineStr">
        <is>
          <t>heat, district or industrial, natural gas</t>
        </is>
      </c>
    </row>
    <row r="183" spans="1:8" x14ac:dyDescent="0.2">
      <c r="A183" t="s">
        <v>49</v>
      </c>
      <c r="B183" s="4">
        <v>-0.00040827134926061976</v>
      </c>
      <c r="C183" t="s">
        <v>45</v>
      </c>
      <c r="E183" t="s">
        <v>17</v>
      </c>
      <c r="F183" t="s">
        <v>15</v>
      </c>
      <c r="G183" t="s">
        <v>50</v>
      </c>
      <c r="H183" t="s">
        <v>436</v>
      </c>
    </row>
    <row r="184" spans="1:8" x14ac:dyDescent="0.2">
      <c r="A184" t="s">
        <v>287</v>
      </c>
      <c r="B184" s="4">
        <v>0.0773467098163841</v>
      </c>
      <c r="C184" t="s">
        <v>7</v>
      </c>
      <c r="D184" t="s">
        <v>43</v>
      </c>
      <c r="F184" t="s">
        <v>44</v>
      </c>
    </row>
    <row r="185" spans="1:8" x14ac:dyDescent="0.2">
      <c r="B185" s="8"/>
    </row>
    <row r="186" spans="1:8" x14ac:dyDescent="0.2">
      <c r="B186" s="8"/>
    </row>
    <row r="187" spans="1:8" x14ac:dyDescent="0.2">
      <c r="B187" s="8"/>
    </row>
    <row r="188" spans="1:8" ht="16" x14ac:dyDescent="0.2">
      <c r="A188" s="1" t="s">
        <v>0</v>
      </c>
      <c r="B188" s="1" t="s">
        <v>329</v>
      </c>
    </row>
    <row r="189" spans="1:8" ht="16" x14ac:dyDescent="0.2">
      <c r="A189" s="16" t="s">
        <v>1</v>
      </c>
      <c r="B189" s="16" t="s">
        <v>408</v>
      </c>
    </row>
    <row r="190" spans="1:8" x14ac:dyDescent="0.2">
      <c r="A190" t="s">
        <v>2</v>
      </c>
      <c r="B190" t="s">
        <v>3</v>
      </c>
    </row>
    <row r="191" spans="1:8" x14ac:dyDescent="0.2">
      <c r="A191" t="s">
        <v>4</v>
      </c>
      <c r="B191">
        <v>1</v>
      </c>
    </row>
    <row r="192" spans="1:8" x14ac:dyDescent="0.2">
      <c r="A192" t="s">
        <v>5</v>
      </c>
      <c r="B192" t="s">
        <v>122</v>
      </c>
    </row>
    <row r="193" spans="1:7" x14ac:dyDescent="0.2">
      <c r="A193" t="s">
        <v>6</v>
      </c>
      <c r="B193" t="s">
        <v>7</v>
      </c>
    </row>
    <row r="194" spans="1:7" x14ac:dyDescent="0.2">
      <c r="A194" t="s">
        <v>8</v>
      </c>
      <c r="B194" t="s">
        <v>298</v>
      </c>
    </row>
    <row r="195" spans="1:7" x14ac:dyDescent="0.2">
      <c r="A195" s="2" t="s">
        <v>9</v>
      </c>
    </row>
    <row r="196" spans="1:7" x14ac:dyDescent="0.2">
      <c r="A196" t="s">
        <v>10</v>
      </c>
      <c r="B196" t="s">
        <v>11</v>
      </c>
      <c r="C196" t="s">
        <v>6</v>
      </c>
      <c r="D196" t="s">
        <v>42</v>
      </c>
      <c r="E196" t="s">
        <v>2</v>
      </c>
      <c r="F196" t="s">
        <v>12</v>
      </c>
      <c r="G196" t="s">
        <v>5</v>
      </c>
    </row>
    <row r="197" spans="1:7" x14ac:dyDescent="0.2">
      <c r="A197" t="s">
        <v>329</v>
      </c>
      <c r="B197">
        <v>1</v>
      </c>
      <c r="C197" t="s">
        <v>7</v>
      </c>
      <c r="E197" t="s">
        <v>3</v>
      </c>
      <c r="F197" t="s">
        <v>13</v>
      </c>
      <c r="G197" t="s">
        <v>122</v>
      </c>
    </row>
    <row r="198" spans="1:7" x14ac:dyDescent="0.2">
      <c r="A198" t="s">
        <v>278</v>
      </c>
      <c r="B198" s="5">
        <v>0.874</v>
      </c>
      <c r="C198" t="s">
        <v>7</v>
      </c>
      <c r="E198" t="s">
        <v>3</v>
      </c>
      <c r="F198" t="s">
        <v>15</v>
      </c>
      <c r="G198" t="s">
        <v>279</v>
      </c>
    </row>
    <row r="199" spans="1:7" x14ac:dyDescent="0.2">
      <c r="A199" t="s">
        <v>280</v>
      </c>
      <c r="B199" s="5">
        <v>0.42299999999999999</v>
      </c>
      <c r="C199" t="s">
        <v>7</v>
      </c>
      <c r="E199" t="s">
        <v>17</v>
      </c>
      <c r="F199" t="s">
        <v>15</v>
      </c>
      <c r="G199" t="s">
        <v>281</v>
      </c>
    </row>
    <row r="200" spans="1:7" x14ac:dyDescent="0.2">
      <c r="A200" t="s">
        <v>86</v>
      </c>
      <c r="B200">
        <v>5.0999999999999996</v>
      </c>
      <c r="C200" t="s">
        <v>7</v>
      </c>
      <c r="E200" t="s">
        <v>17</v>
      </c>
      <c r="F200" t="s">
        <v>15</v>
      </c>
      <c r="G200" t="s">
        <v>87</v>
      </c>
    </row>
    <row r="201" spans="1:7" x14ac:dyDescent="0.2">
      <c r="A201" t="s">
        <v>274</v>
      </c>
      <c r="B201">
        <v>0.72</v>
      </c>
      <c r="C201" t="s">
        <v>7</v>
      </c>
      <c r="E201" t="s">
        <v>3</v>
      </c>
      <c r="F201" t="s">
        <v>15</v>
      </c>
      <c r="G201" t="s">
        <v>275</v>
      </c>
    </row>
    <row r="202" spans="1:7" x14ac:dyDescent="0.2">
      <c r="A202" t="s">
        <v>38</v>
      </c>
      <c r="B202">
        <f>0.0000000004</f>
        <v>4.0000000000000001E-10</v>
      </c>
      <c r="C202" t="s">
        <v>6</v>
      </c>
      <c r="E202" t="s">
        <v>3</v>
      </c>
      <c r="F202" t="s">
        <v>15</v>
      </c>
      <c r="G202" t="s">
        <v>39</v>
      </c>
    </row>
    <row r="203" spans="1:7" x14ac:dyDescent="0.2">
      <c r="A203" t="s">
        <v>22</v>
      </c>
      <c r="B203" s="5">
        <v>0.24199999999999999</v>
      </c>
      <c r="C203" t="s">
        <v>23</v>
      </c>
      <c r="E203" t="s">
        <v>54</v>
      </c>
      <c r="F203" t="s">
        <v>15</v>
      </c>
      <c r="G203" t="s">
        <v>24</v>
      </c>
    </row>
    <row r="204" spans="1:7" x14ac:dyDescent="0.2">
      <c r="A204" t="s">
        <v>53</v>
      </c>
      <c r="B204" s="7">
        <v>-1.02</v>
      </c>
      <c r="C204" t="s">
        <v>7</v>
      </c>
      <c r="E204" t="s">
        <v>17</v>
      </c>
      <c r="F204" t="s">
        <v>15</v>
      </c>
      <c r="G204" t="s">
        <v>55</v>
      </c>
    </row>
    <row r="208" spans="1:7" ht="16" x14ac:dyDescent="0.2">
      <c r="A208" s="1" t="s">
        <v>0</v>
      </c>
      <c r="B208" s="1" t="s">
        <v>330</v>
      </c>
    </row>
    <row r="209" spans="1:8" ht="16" x14ac:dyDescent="0.2">
      <c r="A209" s="16" t="s">
        <v>1</v>
      </c>
      <c r="B209" s="16" t="s">
        <v>408</v>
      </c>
    </row>
    <row r="210" spans="1:8" x14ac:dyDescent="0.2">
      <c r="A210" t="s">
        <v>2</v>
      </c>
      <c r="B210" t="s">
        <v>3</v>
      </c>
    </row>
    <row r="211" spans="1:8" x14ac:dyDescent="0.2">
      <c r="A211" t="s">
        <v>4</v>
      </c>
      <c r="B211">
        <v>1</v>
      </c>
    </row>
    <row r="212" spans="1:8" x14ac:dyDescent="0.2">
      <c r="A212" t="s">
        <v>5</v>
      </c>
      <c r="B212" t="s">
        <v>125</v>
      </c>
    </row>
    <row r="213" spans="1:8" x14ac:dyDescent="0.2">
      <c r="A213" t="s">
        <v>6</v>
      </c>
      <c r="B213" t="s">
        <v>7</v>
      </c>
    </row>
    <row r="214" spans="1:8" x14ac:dyDescent="0.2">
      <c r="A214" t="s">
        <v>8</v>
      </c>
      <c r="B214" t="s">
        <v>299</v>
      </c>
    </row>
    <row r="215" spans="1:8" x14ac:dyDescent="0.2">
      <c r="A215" s="2" t="s">
        <v>9</v>
      </c>
    </row>
    <row r="216" spans="1:8" x14ac:dyDescent="0.2">
      <c r="A216" t="s">
        <v>10</v>
      </c>
      <c r="B216" t="s">
        <v>11</v>
      </c>
      <c r="C216" t="s">
        <v>6</v>
      </c>
      <c r="D216" t="s">
        <v>42</v>
      </c>
      <c r="E216" t="s">
        <v>2</v>
      </c>
      <c r="F216" t="s">
        <v>12</v>
      </c>
      <c r="G216" t="s">
        <v>5</v>
      </c>
      <c r="H216" t="s">
        <v>1</v>
      </c>
    </row>
    <row r="217" spans="1:8" x14ac:dyDescent="0.2">
      <c r="A217" t="s">
        <v>330</v>
      </c>
      <c r="B217" s="8">
        <v>1</v>
      </c>
      <c r="C217" t="s">
        <v>7</v>
      </c>
      <c r="E217" t="s">
        <v>3</v>
      </c>
      <c r="F217" t="s">
        <v>13</v>
      </c>
      <c r="G217" t="s">
        <v>125</v>
      </c>
    </row>
    <row r="218" spans="1:8" x14ac:dyDescent="0.2">
      <c r="A218" t="s">
        <v>38</v>
      </c>
      <c r="B218" s="3">
        <v>4.0000000000000001E-10</v>
      </c>
      <c r="C218" t="s">
        <v>6</v>
      </c>
      <c r="E218" t="s">
        <v>3</v>
      </c>
      <c r="F218" t="s">
        <v>15</v>
      </c>
      <c r="G218" t="s">
        <v>39</v>
      </c>
    </row>
    <row r="219" spans="1:8" x14ac:dyDescent="0.2">
      <c r="A219" t="s">
        <v>22</v>
      </c>
      <c r="B219" s="8">
        <v>0.25</v>
      </c>
      <c r="C219" t="s">
        <v>23</v>
      </c>
      <c r="E219" t="s">
        <v>54</v>
      </c>
      <c r="F219" t="s">
        <v>15</v>
      </c>
      <c r="G219" t="s">
        <v>24</v>
      </c>
    </row>
    <row r="220" spans="1:8" x14ac:dyDescent="0.2">
      <c r="A220" t="s">
        <v>395</v>
      </c>
      <c r="B220" s="8">
        <v>0.48</v>
      </c>
      <c r="C220" t="s">
        <v>7</v>
      </c>
      <c r="E220" t="s">
        <v>3</v>
      </c>
      <c r="F220" t="s">
        <v>15</v>
      </c>
      <c r="G220" t="s">
        <v>397</v>
      </c>
      <c r="H220" t="s">
        <v>396</v>
      </c>
    </row>
    <row r="221" spans="1:8" x14ac:dyDescent="0.2">
      <c r="A221" t="s">
        <v>284</v>
      </c>
      <c r="B221" s="8">
        <v>3.3000000000000002E-2</v>
      </c>
      <c r="C221" t="s">
        <v>7</v>
      </c>
      <c r="E221" t="s">
        <v>3</v>
      </c>
      <c r="F221" t="s">
        <v>15</v>
      </c>
      <c r="G221" t="s">
        <v>285</v>
      </c>
    </row>
    <row r="222" spans="1:8" x14ac:dyDescent="0.2">
      <c r="A222" t="s">
        <v>253</v>
      </c>
      <c r="B222" s="8">
        <v>0.91</v>
      </c>
      <c r="C222" t="s">
        <v>7</v>
      </c>
      <c r="E222" t="s">
        <v>17</v>
      </c>
      <c r="F222" t="s">
        <v>15</v>
      </c>
      <c r="G222" t="s">
        <v>286</v>
      </c>
    </row>
    <row r="223" spans="1:8" x14ac:dyDescent="0.2">
      <c r="A223" t="s">
        <v>86</v>
      </c>
      <c r="B223" s="8">
        <v>0.7</v>
      </c>
      <c r="C223" t="s">
        <v>7</v>
      </c>
      <c r="E223" t="s">
        <v>17</v>
      </c>
      <c r="F223" t="s">
        <v>15</v>
      </c>
      <c r="G223" t="s">
        <v>87</v>
      </c>
    </row>
    <row r="224" spans="1:8" x14ac:dyDescent="0.2">
      <c r="A224" t="s">
        <v>274</v>
      </c>
      <c r="B224" s="8">
        <v>0.91</v>
      </c>
      <c r="C224" t="s">
        <v>7</v>
      </c>
      <c r="E224" t="s">
        <v>3</v>
      </c>
      <c r="F224" t="s">
        <v>15</v>
      </c>
      <c r="G224" t="s">
        <v>275</v>
      </c>
    </row>
    <row r="225" spans="1:7" x14ac:dyDescent="0.2">
      <c r="A225" t="s">
        <v>49</v>
      </c>
      <c r="B225" s="8">
        <v>-1E-3</v>
      </c>
      <c r="C225" t="s">
        <v>45</v>
      </c>
      <c r="E225" t="s">
        <v>17</v>
      </c>
      <c r="F225" t="s">
        <v>15</v>
      </c>
      <c r="G225" t="s">
        <v>50</v>
      </c>
    </row>
    <row r="226" spans="1:7" x14ac:dyDescent="0.2">
      <c r="A226" t="s">
        <v>287</v>
      </c>
      <c r="B226" s="8">
        <v>0.3</v>
      </c>
      <c r="C226" t="s">
        <v>7</v>
      </c>
      <c r="D226" t="s">
        <v>43</v>
      </c>
      <c r="F226" t="s">
        <v>44</v>
      </c>
    </row>
    <row r="227" spans="1:7" x14ac:dyDescent="0.2">
      <c r="B227" s="8"/>
    </row>
    <row r="228" spans="1:7" x14ac:dyDescent="0.2">
      <c r="B228" s="8"/>
    </row>
    <row r="229" spans="1:7" x14ac:dyDescent="0.2">
      <c r="B229" s="8"/>
    </row>
    <row r="230" spans="1:7" ht="16" x14ac:dyDescent="0.2">
      <c r="A230" s="1" t="s">
        <v>0</v>
      </c>
      <c r="B230" s="1" t="s">
        <v>331</v>
      </c>
    </row>
    <row r="231" spans="1:7" ht="16" x14ac:dyDescent="0.2">
      <c r="A231" s="16" t="s">
        <v>1</v>
      </c>
      <c r="B231" s="16" t="s">
        <v>408</v>
      </c>
    </row>
    <row r="232" spans="1:7" x14ac:dyDescent="0.2">
      <c r="A232" t="s">
        <v>2</v>
      </c>
      <c r="B232" t="s">
        <v>3</v>
      </c>
    </row>
    <row r="233" spans="1:7" x14ac:dyDescent="0.2">
      <c r="A233" t="s">
        <v>4</v>
      </c>
      <c r="B233">
        <v>1</v>
      </c>
    </row>
    <row r="234" spans="1:7" x14ac:dyDescent="0.2">
      <c r="A234" t="s">
        <v>5</v>
      </c>
      <c r="B234" t="s">
        <v>98</v>
      </c>
    </row>
    <row r="235" spans="1:7" x14ac:dyDescent="0.2">
      <c r="A235" t="s">
        <v>6</v>
      </c>
      <c r="B235" t="s">
        <v>7</v>
      </c>
    </row>
    <row r="236" spans="1:7" x14ac:dyDescent="0.2">
      <c r="A236" t="s">
        <v>8</v>
      </c>
      <c r="B236" t="s">
        <v>300</v>
      </c>
    </row>
    <row r="237" spans="1:7" x14ac:dyDescent="0.2">
      <c r="A237" s="2" t="s">
        <v>9</v>
      </c>
    </row>
    <row r="238" spans="1:7" x14ac:dyDescent="0.2">
      <c r="A238" t="s">
        <v>10</v>
      </c>
      <c r="B238" t="s">
        <v>11</v>
      </c>
      <c r="C238" t="s">
        <v>6</v>
      </c>
      <c r="D238" t="s">
        <v>2</v>
      </c>
      <c r="E238" t="s">
        <v>12</v>
      </c>
      <c r="F238" t="s">
        <v>5</v>
      </c>
      <c r="G238" t="s">
        <v>292</v>
      </c>
    </row>
    <row r="239" spans="1:7" x14ac:dyDescent="0.2">
      <c r="A239" t="s">
        <v>331</v>
      </c>
      <c r="B239">
        <v>1</v>
      </c>
      <c r="C239" t="s">
        <v>7</v>
      </c>
      <c r="D239" t="s">
        <v>3</v>
      </c>
      <c r="E239" t="s">
        <v>13</v>
      </c>
      <c r="F239" t="s">
        <v>98</v>
      </c>
    </row>
    <row r="240" spans="1:7" x14ac:dyDescent="0.2">
      <c r="A240" t="s">
        <v>99</v>
      </c>
      <c r="B240" s="5">
        <v>0.32</v>
      </c>
      <c r="C240" t="s">
        <v>7</v>
      </c>
      <c r="D240" t="s">
        <v>17</v>
      </c>
      <c r="E240" t="s">
        <v>15</v>
      </c>
      <c r="F240" t="s">
        <v>100</v>
      </c>
    </row>
    <row r="241" spans="1:7" x14ac:dyDescent="0.2">
      <c r="A241" t="s">
        <v>375</v>
      </c>
      <c r="B241" s="5">
        <v>0.74</v>
      </c>
      <c r="C241" t="s">
        <v>7</v>
      </c>
      <c r="D241" t="s">
        <v>17</v>
      </c>
      <c r="E241" t="s">
        <v>15</v>
      </c>
      <c r="F241" t="s">
        <v>373</v>
      </c>
      <c r="G241" t="s">
        <v>371</v>
      </c>
    </row>
    <row r="242" spans="1:7" x14ac:dyDescent="0.2">
      <c r="A242" t="s">
        <v>38</v>
      </c>
      <c r="B242">
        <f>4*10^-10</f>
        <v>4.0000000000000001E-10</v>
      </c>
      <c r="C242" t="s">
        <v>6</v>
      </c>
      <c r="D242" t="s">
        <v>3</v>
      </c>
      <c r="E242" t="s">
        <v>15</v>
      </c>
      <c r="F242" t="s">
        <v>39</v>
      </c>
    </row>
    <row r="243" spans="1:7" x14ac:dyDescent="0.2">
      <c r="A243" t="s">
        <v>22</v>
      </c>
      <c r="B243" s="13">
        <f>2.1*10^-7</f>
        <v>2.1E-7</v>
      </c>
      <c r="C243" t="s">
        <v>23</v>
      </c>
      <c r="D243" t="s">
        <v>54</v>
      </c>
      <c r="E243" t="s">
        <v>15</v>
      </c>
      <c r="F243" t="s">
        <v>24</v>
      </c>
    </row>
    <row r="244" spans="1:7" x14ac:dyDescent="0.2">
      <c r="A244" t="s">
        <v>86</v>
      </c>
      <c r="B244" s="5">
        <v>0.11</v>
      </c>
      <c r="C244" t="s">
        <v>7</v>
      </c>
      <c r="D244" t="s">
        <v>17</v>
      </c>
      <c r="E244" t="s">
        <v>15</v>
      </c>
      <c r="F244" t="s">
        <v>87</v>
      </c>
    </row>
    <row r="245" spans="1:7" x14ac:dyDescent="0.2">
      <c r="A245" t="s">
        <v>53</v>
      </c>
      <c r="B245" s="4">
        <v>-0.06</v>
      </c>
      <c r="C245" t="s">
        <v>7</v>
      </c>
      <c r="D245" t="s">
        <v>17</v>
      </c>
      <c r="E245" t="s">
        <v>15</v>
      </c>
      <c r="F245" t="s">
        <v>55</v>
      </c>
      <c r="G245" t="s">
        <v>437</v>
      </c>
    </row>
    <row r="246" spans="1:7" x14ac:dyDescent="0.2">
      <c r="B246" s="8"/>
    </row>
    <row r="247" spans="1:7" x14ac:dyDescent="0.2">
      <c r="B247" s="8"/>
    </row>
    <row r="249" spans="1:7" ht="16" x14ac:dyDescent="0.2">
      <c r="A249" s="1" t="s">
        <v>0</v>
      </c>
      <c r="B249" s="1" t="s">
        <v>332</v>
      </c>
    </row>
    <row r="250" spans="1:7" ht="16" x14ac:dyDescent="0.2">
      <c r="A250" s="16" t="s">
        <v>1</v>
      </c>
      <c r="B250" s="16" t="inlineStr">
        <is>
          <t>APPROVED ELEMENT-BALANCED TEMPLATE ENGINEERING REFERENCE, item17, 2026-10-18. Wickerts corrected SI DOI10.1021/acssuschemeng.4c01782.s001 Tables S15/S16 inherits Jun etal DOI10.1021/ja002261e. Original1.1kg TEOS cannot supply1kg drySiO2: theoretical1.1*60.0843/208.328kg. Treat the reported recipe as a batch and assume95percent isolated silicon yield, giving0.3013905643984486kg SBA15. Scale ALL batch reagents, electricity and factory together by3.3179539047478803perkg drySBA15. This95percent yield is an engineering assumption, not a reported measurement; morphology/wash losses/calcination are not fully resolved. CMK3 original2.1kg sucrose contains less than1kgcarbon; assume95percent carbon retention after pyrolysis, giving0.8400417182179777kg drycarbon per originalbatch. Scale template, sucrose, sulfuricacid,water,electricity,factory together by1.190417068953849. HF must dissolve SiO2: SiO2+6HF-&gt;H2SiF6+2H2O; use5percent molar excess, 2.0977184056400757kgHF/kgtemplate before carbon-batch normalization. No template/solvent recovery credit. Future energy efficiency, actual carbon retention, calcination emissions, alcohol/acid washes and fluorosilicate treatment remain coverage gaps; omitted flows are not zero emissions. Source factory/energy remain batch proxies rather than measured scale-up utilities. Sensitivities: silicon isolation80-100percent; carbon retention50-100percent; HF excess0-20percent. This is joint mass/energy normalization, not an isolated TEOS adjustment.
PREVIOUS NOTES (retained as history; the correction above takes precedence):
Source: Wickerts et al. (2023). Prospective Life Cycle Assessment of Lithium-Sulfur Batteries for Stationary Energy Storage. ACS Sustainable Chemistry &amp; Engineering. https://doi.org/10.1021/acssuschemeng.3c00141</t>
        </is>
      </c>
    </row>
    <row r="251" spans="1:7" x14ac:dyDescent="0.2">
      <c r="A251" t="s">
        <v>2</v>
      </c>
      <c r="B251" t="s">
        <v>3</v>
      </c>
    </row>
    <row r="252" spans="1:7" x14ac:dyDescent="0.2">
      <c r="A252" t="s">
        <v>4</v>
      </c>
      <c r="B252">
        <v>1</v>
      </c>
    </row>
    <row r="253" spans="1:7" x14ac:dyDescent="0.2">
      <c r="A253" t="s">
        <v>5</v>
      </c>
      <c r="B253" t="s">
        <v>101</v>
      </c>
    </row>
    <row r="254" spans="1:7" x14ac:dyDescent="0.2">
      <c r="A254" t="s">
        <v>6</v>
      </c>
      <c r="B254" t="s">
        <v>7</v>
      </c>
    </row>
    <row r="255" spans="1:7" x14ac:dyDescent="0.2">
      <c r="A255" t="s">
        <v>8</v>
      </c>
      <c r="B255" t="s">
        <v>301</v>
      </c>
    </row>
    <row r="256" spans="1:7" x14ac:dyDescent="0.2">
      <c r="A256" s="2" t="s">
        <v>9</v>
      </c>
    </row>
    <row r="257" spans="1:7" x14ac:dyDescent="0.2">
      <c r="A257" t="s">
        <v>10</v>
      </c>
      <c r="B257" t="s">
        <v>11</v>
      </c>
      <c r="C257" t="s">
        <v>6</v>
      </c>
      <c r="D257" t="s">
        <v>42</v>
      </c>
      <c r="E257" t="s">
        <v>2</v>
      </c>
      <c r="F257" t="s">
        <v>12</v>
      </c>
      <c r="G257" t="s">
        <v>5</v>
      </c>
    </row>
    <row r="258" spans="1:7" x14ac:dyDescent="0.2">
      <c r="A258" t="s">
        <v>332</v>
      </c>
      <c r="B258">
        <v>1</v>
      </c>
      <c r="C258" t="s">
        <v>7</v>
      </c>
      <c r="E258" t="s">
        <v>3</v>
      </c>
      <c r="F258" t="s">
        <v>13</v>
      </c>
      <c r="G258" t="s">
        <v>101</v>
      </c>
    </row>
    <row r="259" spans="1:7" x14ac:dyDescent="0.2">
      <c r="A259" t="s">
        <v>331</v>
      </c>
      <c r="B259" s="5">
        <v>1.7253360304688978</v>
      </c>
      <c r="C259" t="s">
        <v>7</v>
      </c>
      <c r="E259" t="s">
        <v>3</v>
      </c>
      <c r="F259" t="s">
        <v>15</v>
      </c>
      <c r="G259" t="s">
        <v>98</v>
      </c>
    </row>
    <row r="260" spans="1:7" x14ac:dyDescent="0.2">
      <c r="A260" s="14" t="s">
        <v>102</v>
      </c>
      <c r="B260" s="7">
        <v>3.6497492952226684</v>
      </c>
      <c r="C260" t="s">
        <v>7</v>
      </c>
      <c r="E260" t="s">
        <v>3</v>
      </c>
      <c r="F260" t="s">
        <v>15</v>
      </c>
      <c r="G260" t="s">
        <v>103</v>
      </c>
    </row>
    <row r="261" spans="1:7" x14ac:dyDescent="0.2">
      <c r="A261" t="s">
        <v>51</v>
      </c>
      <c r="B261" s="18">
        <v>59.72317028546185</v>
      </c>
      <c r="C261" t="s">
        <v>7</v>
      </c>
      <c r="E261" t="s">
        <v>17</v>
      </c>
      <c r="F261" t="s">
        <v>15</v>
      </c>
      <c r="G261" t="s">
        <v>52</v>
      </c>
    </row>
    <row r="262" spans="1:7" x14ac:dyDescent="0.2">
      <c r="A262" t="s">
        <v>104</v>
      </c>
      <c r="B262" s="7">
        <v>3.6497492952226684</v>
      </c>
      <c r="C262" t="s">
        <v>7</v>
      </c>
      <c r="E262" t="s">
        <v>17</v>
      </c>
      <c r="F262" t="s">
        <v>15</v>
      </c>
      <c r="G262" t="s">
        <v>105</v>
      </c>
    </row>
    <row r="263" spans="1:7" x14ac:dyDescent="0.2">
      <c r="A263" t="s">
        <v>38</v>
      </c>
      <c r="B263">
        <f>1.3271815618991522e-09</f>
        <v>1.3271815618991522e-09</v>
      </c>
      <c r="C263" t="s">
        <v>6</v>
      </c>
      <c r="E263" t="s">
        <v>3</v>
      </c>
      <c r="F263" t="s">
        <v>15</v>
      </c>
      <c r="G263" t="s">
        <v>39</v>
      </c>
    </row>
    <row r="264" spans="1:7" x14ac:dyDescent="0.2">
      <c r="A264" t="s">
        <v>22</v>
      </c>
      <c r="B264" s="18">
        <v>56.405216380713966</v>
      </c>
      <c r="C264" t="s">
        <v>23</v>
      </c>
      <c r="E264" t="s">
        <v>54</v>
      </c>
      <c r="F264" t="s">
        <v>15</v>
      </c>
      <c r="G264" t="s">
        <v>24</v>
      </c>
    </row>
    <row r="265" spans="1:7" x14ac:dyDescent="0.2">
      <c r="B265" s="4"/>
    </row>
    <row r="266" spans="1:7" x14ac:dyDescent="0.2">
      <c r="B266" s="3"/>
    </row>
    <row r="267" spans="1:7" x14ac:dyDescent="0.2">
      <c r="G267" s="3"/>
    </row>
    <row r="268" spans="1:7" ht="16" x14ac:dyDescent="0.2">
      <c r="A268" s="1" t="s">
        <v>0</v>
      </c>
      <c r="B268" s="1" t="s">
        <v>333</v>
      </c>
    </row>
    <row r="269" spans="1:7" ht="16" x14ac:dyDescent="0.2">
      <c r="A269" s="16" t="s">
        <v>1</v>
      </c>
      <c r="B269" s="16" t="inlineStr">
        <is>
          <t>APPROVED ELEMENT-BALANCED TEMPLATE ENGINEERING REFERENCE, item17, 2026-10-18. Wickerts corrected SI DOI10.1021/acssuschemeng.4c01782.s001 Tables S15/S16 inherits Jun etal DOI10.1021/ja002261e. Original1.1kg TEOS cannot supply1kg drySiO2: theoretical1.1*60.0843/208.328kg. Treat the reported recipe as a batch and assume95percent isolated silicon yield, giving0.3013905643984486kg SBA15. Scale ALL batch reagents, electricity and factory together by3.3179539047478803perkg drySBA15. This95percent yield is an engineering assumption, not a reported measurement; morphology/wash losses/calcination are not fully resolved. CMK3 original2.1kg sucrose contains less than1kgcarbon; assume95percent carbon retention after pyrolysis, giving0.8400417182179777kg drycarbon per originalbatch. Scale template, sucrose, sulfuricacid,water,electricity,factory together by1.190417068953849. HF must dissolve SiO2: SiO2+6HF-&gt;H2SiF6+2H2O; use5percent molar excess, 2.0977184056400757kgHF/kgtemplate before carbon-batch normalization. No template/solvent recovery credit. Future energy efficiency, actual carbon retention, calcination emissions, alcohol/acid washes and fluorosilicate treatment remain coverage gaps; omitted flows are not zero emissions. Source factory/energy remain batch proxies rather than measured scale-up utilities. Sensitivities: silicon isolation80-100percent; carbon retention50-100percent; HF excess0-20percent. This is joint mass/energy normalization, not an isolated TEOS adjustment.
PREVIOUS NOTES (retained as history; the correction above takes precedence):
Source: Wickerts et al. (2023). Prospective Life Cycle Assessment of Lithium-Sulfur Batteries for Stationary Energy Storage. ACS Sustainable Chemistry &amp; Engineering. https://doi.org/10.1021/acssuschemeng.3c00141</t>
        </is>
      </c>
    </row>
    <row r="270" spans="1:7" x14ac:dyDescent="0.2">
      <c r="A270" t="s">
        <v>2</v>
      </c>
      <c r="B270" t="s">
        <v>3</v>
      </c>
    </row>
    <row r="271" spans="1:7" x14ac:dyDescent="0.2">
      <c r="A271" t="s">
        <v>4</v>
      </c>
      <c r="B271">
        <v>1</v>
      </c>
    </row>
    <row r="272" spans="1:7" x14ac:dyDescent="0.2">
      <c r="A272" t="s">
        <v>5</v>
      </c>
      <c r="B272" t="s">
        <v>106</v>
      </c>
    </row>
    <row r="273" spans="1:7" x14ac:dyDescent="0.2">
      <c r="A273" t="s">
        <v>6</v>
      </c>
      <c r="B273" t="s">
        <v>7</v>
      </c>
    </row>
    <row r="274" spans="1:7" x14ac:dyDescent="0.2">
      <c r="A274" t="s">
        <v>8</v>
      </c>
      <c r="B274" t="s">
        <v>301</v>
      </c>
    </row>
    <row r="275" spans="1:7" x14ac:dyDescent="0.2">
      <c r="A275" s="2" t="s">
        <v>9</v>
      </c>
    </row>
    <row r="276" spans="1:7" x14ac:dyDescent="0.2">
      <c r="A276" t="s">
        <v>10</v>
      </c>
      <c r="B276" t="s">
        <v>11</v>
      </c>
      <c r="C276" t="s">
        <v>6</v>
      </c>
      <c r="D276" t="s">
        <v>42</v>
      </c>
      <c r="E276" t="s">
        <v>2</v>
      </c>
      <c r="F276" t="s">
        <v>12</v>
      </c>
      <c r="G276" t="s">
        <v>5</v>
      </c>
    </row>
    <row r="277" spans="1:7" x14ac:dyDescent="0.2">
      <c r="A277" t="s">
        <v>333</v>
      </c>
      <c r="B277">
        <v>1</v>
      </c>
      <c r="C277" t="s">
        <v>7</v>
      </c>
      <c r="E277" t="s">
        <v>3</v>
      </c>
      <c r="F277" t="s">
        <v>13</v>
      </c>
      <c r="G277" t="s">
        <v>106</v>
      </c>
    </row>
    <row r="278" spans="1:7" x14ac:dyDescent="0.2">
      <c r="A278" t="s">
        <v>332</v>
      </c>
      <c r="B278">
        <v>1.190417068953849</v>
      </c>
      <c r="C278" t="s">
        <v>7</v>
      </c>
      <c r="E278" t="s">
        <v>3</v>
      </c>
      <c r="F278" t="s">
        <v>15</v>
      </c>
      <c r="G278" t="s">
        <v>101</v>
      </c>
    </row>
    <row r="279" spans="1:7" x14ac:dyDescent="0.2">
      <c r="A279" t="s">
        <v>107</v>
      </c>
      <c r="B279" s="7">
        <v>2.499875844803083</v>
      </c>
      <c r="C279" t="s">
        <v>7</v>
      </c>
      <c r="E279" t="s">
        <v>3</v>
      </c>
      <c r="F279" t="s">
        <v>15</v>
      </c>
      <c r="G279" t="s">
        <v>108</v>
      </c>
    </row>
    <row r="280" spans="1:7" x14ac:dyDescent="0.2">
      <c r="A280" t="s">
        <v>56</v>
      </c>
      <c r="B280" s="5">
        <v>0.2737959258593853</v>
      </c>
      <c r="C280" t="s">
        <v>7</v>
      </c>
      <c r="E280" t="s">
        <v>17</v>
      </c>
      <c r="F280" t="s">
        <v>15</v>
      </c>
      <c r="G280" t="s">
        <v>57</v>
      </c>
    </row>
    <row r="281" spans="1:7" x14ac:dyDescent="0.2">
      <c r="A281" t="s">
        <v>77</v>
      </c>
      <c r="B281" s="7">
        <v>2.4971597959326</v>
      </c>
      <c r="C281" t="s">
        <v>7</v>
      </c>
      <c r="E281" t="s">
        <v>17</v>
      </c>
      <c r="F281" t="s">
        <v>15</v>
      </c>
      <c r="G281" t="s">
        <v>78</v>
      </c>
    </row>
    <row r="282" spans="1:7" x14ac:dyDescent="0.2">
      <c r="A282" t="s">
        <v>51</v>
      </c>
      <c r="B282" s="18">
        <v>11.90417068953849</v>
      </c>
      <c r="C282" t="s">
        <v>7</v>
      </c>
      <c r="E282" t="s">
        <v>17</v>
      </c>
      <c r="F282" t="s">
        <v>15</v>
      </c>
      <c r="G282" t="s">
        <v>52</v>
      </c>
    </row>
    <row r="283" spans="1:7" x14ac:dyDescent="0.2">
      <c r="A283" t="s">
        <v>38</v>
      </c>
      <c r="B283">
        <f>4.761668275815395e-10</f>
        <v>4.761668275815395e-10</v>
      </c>
      <c r="C283" t="s">
        <v>6</v>
      </c>
      <c r="E283" t="s">
        <v>3</v>
      </c>
      <c r="F283" t="s">
        <v>15</v>
      </c>
      <c r="G283" t="s">
        <v>39</v>
      </c>
    </row>
    <row r="284" spans="1:7" x14ac:dyDescent="0.2">
      <c r="A284" t="s">
        <v>22</v>
      </c>
      <c r="B284" s="18">
        <v>28.570009654892374</v>
      </c>
      <c r="C284" t="s">
        <v>23</v>
      </c>
      <c r="E284" t="s">
        <v>54</v>
      </c>
      <c r="F284" t="s">
        <v>15</v>
      </c>
      <c r="G284" t="s">
        <v>24</v>
      </c>
    </row>
    <row r="285" spans="1:7" x14ac:dyDescent="0.2">
      <c r="B285" s="8"/>
    </row>
    <row r="286" spans="1:7" x14ac:dyDescent="0.2">
      <c r="B286" s="8"/>
    </row>
    <row r="288" spans="1:7" ht="16" x14ac:dyDescent="0.2">
      <c r="A288" s="1" t="s">
        <v>0</v>
      </c>
      <c r="B288" s="1" t="s">
        <v>334</v>
      </c>
    </row>
    <row r="289" spans="1:17" ht="16" x14ac:dyDescent="0.2">
      <c r="A289" s="16" t="s">
        <v>1</v>
      </c>
      <c r="B289" s="16" t="inlineStr">
        <is>
          <t>APPROVED LITHIUM-FOIL ROLLING ENGINEERING REFERENCE, item31, 2026-10-18. Wickerts corrected SI DOI10.1021/acssuschemeng.4c01782.s001 TableS17 requires lithium-adapted rolling; processing assumptions below are an engineering completion, not reported measurements. Replace the ordinary aluminium-specific rolling service at4.95kgprocessed/kgfinishedLi foil by a dedicated material-neutral mechanical rolling service. Assume0.5kWh electricity perkg rolling throughput, hence2.475kWh perkgfinishedfoil additionally to source2.1kWh generalprocess electricity,4.2MJ cooling and5MJheat retained once. This represents4.95kg cumulative rolling throughput, NOT4.95kg retained lithium or a measured pass count. Assume98percent final lithium retention:1/0.98=1.0204081632653061kg Li from source electrolysis perkgfoil;0.02040816326530612kg process loss. No aluminium feed or aluminium scrap is inherited; ordinary Al rolling elsewhere unchanged. Treat loss through existing hazardous-waste incineration as an explicit reactive-lithium fate proxy; real inert handling/passivation and associated emissions are not modeled. No lithium recovery/secondary-supply credit. Source/reference utilities are engineering proxies; atmosphere/inert gas, lubrication, facility and practical rolling yield/energy remain gaps. Sensitivities90-100percent yield and0.1-1kWh/kg throughput; energy does not scale with yield here because throughput is declared perkgfinishedfoil. No source-specific measured yield is claimed.
PREVIOUS NOTES (retained as history; the correction above takes precedence):
Source: Wickerts et al. (2023). Prospective Life Cycle Assessment of Lithium-Sulfur Batteries for Stationary Energy Storage. ACS Sustainable Chemistry &amp; Engineering. https://doi.org/10.1021/acssuschemeng.3c00141</t>
        </is>
      </c>
    </row>
    <row r="290" spans="1:17" x14ac:dyDescent="0.2">
      <c r="A290" t="s">
        <v>2</v>
      </c>
      <c r="B290" t="s">
        <v>3</v>
      </c>
    </row>
    <row r="291" spans="1:17" x14ac:dyDescent="0.2">
      <c r="A291" t="s">
        <v>4</v>
      </c>
      <c r="B291">
        <v>1</v>
      </c>
    </row>
    <row r="292" spans="1:17" x14ac:dyDescent="0.2">
      <c r="A292" t="s">
        <v>5</v>
      </c>
      <c r="B292" t="s">
        <v>109</v>
      </c>
    </row>
    <row r="293" spans="1:17" x14ac:dyDescent="0.2">
      <c r="A293" t="s">
        <v>6</v>
      </c>
      <c r="B293" t="s">
        <v>7</v>
      </c>
    </row>
    <row r="294" spans="1:17" x14ac:dyDescent="0.2">
      <c r="A294" t="s">
        <v>8</v>
      </c>
      <c r="B294" t="s">
        <v>302</v>
      </c>
    </row>
    <row r="295" spans="1:17" x14ac:dyDescent="0.2">
      <c r="A295" s="2" t="s">
        <v>9</v>
      </c>
    </row>
    <row r="296" spans="1:17" x14ac:dyDescent="0.2">
      <c r="A296" t="s">
        <v>10</v>
      </c>
      <c r="B296" t="s">
        <v>11</v>
      </c>
      <c r="C296" t="s">
        <v>6</v>
      </c>
      <c r="D296" t="s">
        <v>42</v>
      </c>
      <c r="E296" t="s">
        <v>2</v>
      </c>
      <c r="F296" t="s">
        <v>12</v>
      </c>
      <c r="G296" t="s">
        <v>5</v>
      </c>
      <c r="H296" t="s">
        <v>292</v>
      </c>
    </row>
    <row r="297" spans="1:17" x14ac:dyDescent="0.2">
      <c r="A297" t="s">
        <v>334</v>
      </c>
      <c r="B297" s="5">
        <v>1</v>
      </c>
      <c r="C297" t="s">
        <v>7</v>
      </c>
      <c r="E297" t="s">
        <v>3</v>
      </c>
      <c r="F297" t="s">
        <v>13</v>
      </c>
      <c r="G297" t="s">
        <v>109</v>
      </c>
    </row>
    <row r="298" spans="1:17" x14ac:dyDescent="0.2">
      <c r="A298" t="s">
        <v>80</v>
      </c>
      <c r="B298" s="5">
        <v>4.2</v>
      </c>
      <c r="C298" t="s">
        <v>34</v>
      </c>
      <c r="E298" t="s">
        <v>3</v>
      </c>
      <c r="F298" t="s">
        <v>15</v>
      </c>
      <c r="G298" t="s">
        <v>81</v>
      </c>
    </row>
    <row r="299" spans="1:17" x14ac:dyDescent="0.2">
      <c r="A299" t="inlineStr">
        <is>
          <t>lithium foil rolling service, engineering reference</t>
        </is>
      </c>
      <c r="B299" s="5">
        <v>4.95</v>
      </c>
      <c r="C299" t="s">
        <v>7</v>
      </c>
      <c r="E299" t="inlineStr">
        <is>
          <t>GLO</t>
        </is>
      </c>
      <c r="F299" t="s">
        <v>15</v>
      </c>
      <c r="G299" t="inlineStr">
        <is>
          <t>lithium foil rolling service, engineering reference</t>
        </is>
      </c>
      <c r="H299" s="10" t="inlineStr">
        <is>
          <t>APPROVED LITHIUM-FOIL ROLLING ENGINEERING REFERENCE, item31, 2026-10-18. Wickerts corrected SI DOI10.1021/acssuschemeng.4c01782.s001 TableS17 requires lithium-adapted rolling; processing assumptions below are an engineering completion, not reported measurements. Replace the ordinary aluminium-specific rolling service at4.95kgprocessed/kgfinishedLi foil by a dedicated material-neutral mechanical rolling service. Assume0.5kWh electricity perkg rolling throughput, hence2.475kWh perkgfinishedfoil additionally to source2.1kWh generalprocess electricity,4.2MJ cooling and5MJheat retained once. This represents4.95kg cumulative rolling throughput, NOT4.95kg retained lithium or a measured pass count. Assume98percent final lithium retention:1/0.98=1.0204081632653061kg Li from source electrolysis perkgfoil;0.02040816326530612kg process loss. No aluminium feed or aluminium scrap is inherited; ordinary Al rolling elsewhere unchanged. Treat loss through existing hazardous-waste incineration as an explicit reactive-lithium fate proxy; real inert handling/passivation and associated emissions are not modeled. No lithium recovery/secondary-supply credit. Source/reference utilities are engineering proxies; atmosphere/inert gas, lubrication, facility and practical rolling yield/energy remain gaps. Sensitivities90-100percent yield and0.1-1kWh/kg throughput; energy does not scale with yield here because throughput is declared perkgfinishedfoil. No source-specific measured yield is claimed.</t>
        </is>
      </c>
      <c r="K299" s="10"/>
      <c r="L299" s="10"/>
      <c r="M299" s="10"/>
      <c r="N299" s="10"/>
      <c r="O299" s="10"/>
      <c r="P299" s="10"/>
      <c r="Q299" s="10"/>
    </row>
    <row r="300" spans="1:17" x14ac:dyDescent="0.2">
      <c r="A300" t="s">
        <v>22</v>
      </c>
      <c r="B300" s="5">
        <v>2.1</v>
      </c>
      <c r="C300" t="s">
        <v>23</v>
      </c>
      <c r="E300" t="s">
        <v>54</v>
      </c>
      <c r="F300" t="s">
        <v>15</v>
      </c>
      <c r="G300" t="s">
        <v>24</v>
      </c>
    </row>
    <row r="301" spans="1:17" x14ac:dyDescent="0.2">
      <c r="A301" t="s">
        <v>33</v>
      </c>
      <c r="B301" s="5">
        <v>5</v>
      </c>
      <c r="C301" t="s">
        <v>34</v>
      </c>
      <c r="E301" t="s">
        <v>17</v>
      </c>
      <c r="F301" t="s">
        <v>15</v>
      </c>
      <c r="G301" t="s">
        <v>35</v>
      </c>
    </row>
    <row r="302" spans="1:17" x14ac:dyDescent="0.2">
      <c r="A302" t="s">
        <v>110</v>
      </c>
      <c r="B302" s="5">
        <v>1.0204081632653061</v>
      </c>
      <c r="C302" t="s">
        <v>7</v>
      </c>
      <c r="E302" t="s">
        <v>3</v>
      </c>
      <c r="F302" t="s">
        <v>15</v>
      </c>
      <c r="G302" t="s">
        <v>111</v>
      </c>
    </row>
    <row r="303">
      <c r="A303" t="inlineStr">
        <is>
          <t>market for hazardous waste, for incineration</t>
        </is>
      </c>
      <c r="B303">
        <v>-0.020408163265306145</v>
      </c>
      <c r="C303" t="inlineStr">
        <is>
          <t>kilogram</t>
        </is>
      </c>
      <c r="E303" t="inlineStr">
        <is>
          <t>RoW</t>
        </is>
      </c>
      <c r="F303" t="inlineStr">
        <is>
          <t>technosphere</t>
        </is>
      </c>
      <c r="G303" t="inlineStr">
        <is>
          <t>hazardous waste, for incineration</t>
        </is>
      </c>
      <c r="H303" t="inlineStr">
        <is>
          <t>Assumed2percent lithium loss; reactive-metal fate proxy, not validated safe disposal or recovery.</t>
        </is>
      </c>
    </row>
    <row r="304" spans="1:17" x14ac:dyDescent="0.2">
      <c r="B304" s="4"/>
    </row>
    <row r="305" spans="1:7" x14ac:dyDescent="0.2">
      <c r="B305" s="4"/>
    </row>
    <row r="306" spans="1:7" ht="16" x14ac:dyDescent="0.2">
      <c r="A306" s="1" t="s">
        <v>0</v>
      </c>
      <c r="B306" s="1" t="s">
        <v>335</v>
      </c>
    </row>
    <row r="307" spans="1:7" ht="16" x14ac:dyDescent="0.2">
      <c r="A307" s="16" t="s">
        <v>1</v>
      </c>
      <c r="B307" s="16" t="s">
        <v>408</v>
      </c>
    </row>
    <row r="308" spans="1:7" x14ac:dyDescent="0.2">
      <c r="A308" t="s">
        <v>2</v>
      </c>
      <c r="B308" t="s">
        <v>3</v>
      </c>
    </row>
    <row r="309" spans="1:7" x14ac:dyDescent="0.2">
      <c r="A309" t="s">
        <v>4</v>
      </c>
      <c r="B309">
        <v>1</v>
      </c>
    </row>
    <row r="310" spans="1:7" x14ac:dyDescent="0.2">
      <c r="A310" t="s">
        <v>5</v>
      </c>
      <c r="B310" t="s">
        <v>112</v>
      </c>
    </row>
    <row r="311" spans="1:7" x14ac:dyDescent="0.2">
      <c r="A311" t="s">
        <v>6</v>
      </c>
      <c r="B311" t="s">
        <v>7</v>
      </c>
    </row>
    <row r="312" spans="1:7" x14ac:dyDescent="0.2">
      <c r="A312" t="s">
        <v>8</v>
      </c>
      <c r="B312" t="s">
        <v>303</v>
      </c>
    </row>
    <row r="313" spans="1:7" x14ac:dyDescent="0.2">
      <c r="A313" s="2" t="s">
        <v>9</v>
      </c>
    </row>
    <row r="314" spans="1:7" x14ac:dyDescent="0.2">
      <c r="A314" t="s">
        <v>10</v>
      </c>
      <c r="B314" t="s">
        <v>11</v>
      </c>
      <c r="C314" t="s">
        <v>6</v>
      </c>
      <c r="D314" t="s">
        <v>42</v>
      </c>
      <c r="E314" t="s">
        <v>2</v>
      </c>
      <c r="F314" t="s">
        <v>12</v>
      </c>
      <c r="G314" t="s">
        <v>5</v>
      </c>
    </row>
    <row r="315" spans="1:7" x14ac:dyDescent="0.2">
      <c r="A315" t="s">
        <v>335</v>
      </c>
      <c r="B315">
        <v>1</v>
      </c>
      <c r="C315" t="s">
        <v>7</v>
      </c>
      <c r="E315" t="s">
        <v>3</v>
      </c>
      <c r="F315" t="s">
        <v>13</v>
      </c>
      <c r="G315" t="s">
        <v>112</v>
      </c>
    </row>
    <row r="316" spans="1:7" x14ac:dyDescent="0.2">
      <c r="A316" t="s">
        <v>66</v>
      </c>
      <c r="B316" s="3">
        <v>0.14000000000000001</v>
      </c>
      <c r="C316" t="s">
        <v>7</v>
      </c>
      <c r="E316" t="s">
        <v>17</v>
      </c>
      <c r="F316" t="s">
        <v>15</v>
      </c>
      <c r="G316" t="s">
        <v>67</v>
      </c>
    </row>
    <row r="317" spans="1:7" x14ac:dyDescent="0.2">
      <c r="A317" t="s">
        <v>113</v>
      </c>
      <c r="B317">
        <v>0.12</v>
      </c>
      <c r="C317" t="s">
        <v>7</v>
      </c>
      <c r="E317" t="s">
        <v>3</v>
      </c>
      <c r="F317" t="s">
        <v>15</v>
      </c>
      <c r="G317" t="s">
        <v>114</v>
      </c>
    </row>
    <row r="318" spans="1:7" x14ac:dyDescent="0.2">
      <c r="A318" t="s">
        <v>64</v>
      </c>
      <c r="B318">
        <v>2.5999999999999999E-2</v>
      </c>
      <c r="C318" t="s">
        <v>7</v>
      </c>
      <c r="E318" t="s">
        <v>3</v>
      </c>
      <c r="F318" t="s">
        <v>15</v>
      </c>
      <c r="G318" t="s">
        <v>65</v>
      </c>
    </row>
    <row r="319" spans="1:7" x14ac:dyDescent="0.2">
      <c r="A319" t="s">
        <v>60</v>
      </c>
      <c r="B319">
        <v>0.28999999999999998</v>
      </c>
      <c r="C319" t="s">
        <v>7</v>
      </c>
      <c r="E319" t="s">
        <v>3</v>
      </c>
      <c r="F319" t="s">
        <v>15</v>
      </c>
      <c r="G319" t="s">
        <v>61</v>
      </c>
    </row>
    <row r="320" spans="1:7" x14ac:dyDescent="0.2">
      <c r="A320" t="s">
        <v>36</v>
      </c>
      <c r="B320" s="7">
        <v>1</v>
      </c>
      <c r="C320" t="s">
        <v>7</v>
      </c>
      <c r="E320" t="s">
        <v>3</v>
      </c>
      <c r="F320" t="s">
        <v>15</v>
      </c>
      <c r="G320" t="s">
        <v>37</v>
      </c>
    </row>
    <row r="321" spans="1:7" x14ac:dyDescent="0.2">
      <c r="A321" t="s">
        <v>40</v>
      </c>
      <c r="B321">
        <v>0.19</v>
      </c>
      <c r="C321" t="s">
        <v>7</v>
      </c>
      <c r="E321" t="s">
        <v>3</v>
      </c>
      <c r="F321" t="s">
        <v>15</v>
      </c>
      <c r="G321" t="s">
        <v>41</v>
      </c>
    </row>
    <row r="322" spans="1:7" x14ac:dyDescent="0.2">
      <c r="A322" t="s">
        <v>62</v>
      </c>
      <c r="B322">
        <v>0.22</v>
      </c>
      <c r="C322" t="s">
        <v>7</v>
      </c>
      <c r="E322" t="s">
        <v>3</v>
      </c>
      <c r="F322" t="s">
        <v>15</v>
      </c>
      <c r="G322" t="s">
        <v>63</v>
      </c>
    </row>
    <row r="323" spans="1:7" x14ac:dyDescent="0.2">
      <c r="A323" t="s">
        <v>282</v>
      </c>
      <c r="B323">
        <v>0.39</v>
      </c>
      <c r="C323" t="s">
        <v>7</v>
      </c>
      <c r="E323" t="s">
        <v>3</v>
      </c>
      <c r="F323" t="s">
        <v>15</v>
      </c>
      <c r="G323" t="s">
        <v>283</v>
      </c>
    </row>
    <row r="324" spans="1:7" x14ac:dyDescent="0.2">
      <c r="A324" t="s">
        <v>38</v>
      </c>
      <c r="B324">
        <f>4*10^-10</f>
        <v>4.0000000000000001E-10</v>
      </c>
      <c r="C324" t="s">
        <v>6</v>
      </c>
      <c r="E324" t="s">
        <v>3</v>
      </c>
      <c r="F324" t="s">
        <v>15</v>
      </c>
      <c r="G324" t="s">
        <v>39</v>
      </c>
    </row>
    <row r="325" spans="1:7" x14ac:dyDescent="0.2">
      <c r="A325" t="s">
        <v>22</v>
      </c>
      <c r="B325">
        <v>5.8000000000000003E-2</v>
      </c>
      <c r="C325" t="s">
        <v>23</v>
      </c>
      <c r="E325" t="s">
        <v>54</v>
      </c>
      <c r="F325" t="s">
        <v>15</v>
      </c>
      <c r="G325" t="s">
        <v>24</v>
      </c>
    </row>
    <row r="326" spans="1:7" x14ac:dyDescent="0.2">
      <c r="A326" t="s">
        <v>391</v>
      </c>
      <c r="B326">
        <v>0.19</v>
      </c>
      <c r="C326" t="s">
        <v>34</v>
      </c>
      <c r="E326" t="s">
        <v>17</v>
      </c>
      <c r="F326" t="s">
        <v>15</v>
      </c>
      <c r="G326" t="s">
        <v>35</v>
      </c>
    </row>
    <row r="327" spans="1:7" x14ac:dyDescent="0.2">
      <c r="A327" t="s">
        <v>53</v>
      </c>
      <c r="B327">
        <v>-1.4</v>
      </c>
      <c r="C327" t="s">
        <v>7</v>
      </c>
      <c r="E327" t="s">
        <v>17</v>
      </c>
      <c r="F327" t="s">
        <v>15</v>
      </c>
      <c r="G327" t="s">
        <v>55</v>
      </c>
    </row>
    <row r="331" spans="1:7" ht="16" x14ac:dyDescent="0.2">
      <c r="A331" s="1" t="s">
        <v>0</v>
      </c>
      <c r="B331" s="1" t="s">
        <v>336</v>
      </c>
    </row>
    <row r="332" spans="1:7" ht="16" x14ac:dyDescent="0.2">
      <c r="A332" s="16" t="s">
        <v>1</v>
      </c>
      <c r="B332" s="16" t="s">
        <v>408</v>
      </c>
    </row>
    <row r="333" spans="1:7" x14ac:dyDescent="0.2">
      <c r="A333" t="s">
        <v>2</v>
      </c>
      <c r="B333" t="s">
        <v>3</v>
      </c>
    </row>
    <row r="334" spans="1:7" x14ac:dyDescent="0.2">
      <c r="A334" t="s">
        <v>4</v>
      </c>
      <c r="B334">
        <v>1</v>
      </c>
    </row>
    <row r="335" spans="1:7" x14ac:dyDescent="0.2">
      <c r="A335" t="s">
        <v>5</v>
      </c>
      <c r="B335" t="s">
        <v>120</v>
      </c>
    </row>
    <row r="336" spans="1:7" x14ac:dyDescent="0.2">
      <c r="A336" t="s">
        <v>6</v>
      </c>
      <c r="B336" t="s">
        <v>7</v>
      </c>
    </row>
    <row r="337" spans="1:7" x14ac:dyDescent="0.2">
      <c r="A337" t="s">
        <v>8</v>
      </c>
      <c r="B337" t="s">
        <v>304</v>
      </c>
    </row>
    <row r="338" spans="1:7" x14ac:dyDescent="0.2">
      <c r="A338" s="2" t="s">
        <v>9</v>
      </c>
    </row>
    <row r="339" spans="1:7" x14ac:dyDescent="0.2">
      <c r="A339" t="s">
        <v>10</v>
      </c>
      <c r="B339" t="s">
        <v>11</v>
      </c>
      <c r="C339" t="s">
        <v>6</v>
      </c>
      <c r="D339" t="s">
        <v>42</v>
      </c>
      <c r="E339" t="s">
        <v>2</v>
      </c>
      <c r="F339" t="s">
        <v>12</v>
      </c>
      <c r="G339" t="s">
        <v>5</v>
      </c>
    </row>
    <row r="340" spans="1:7" x14ac:dyDescent="0.2">
      <c r="A340" t="s">
        <v>336</v>
      </c>
      <c r="B340">
        <v>1</v>
      </c>
      <c r="C340" t="s">
        <v>7</v>
      </c>
      <c r="E340" t="s">
        <v>3</v>
      </c>
      <c r="F340" t="s">
        <v>13</v>
      </c>
      <c r="G340" t="s">
        <v>120</v>
      </c>
    </row>
    <row r="341" spans="1:7" x14ac:dyDescent="0.2">
      <c r="A341" t="s">
        <v>14</v>
      </c>
      <c r="B341">
        <v>1</v>
      </c>
      <c r="C341" t="s">
        <v>7</v>
      </c>
      <c r="E341" t="s">
        <v>3</v>
      </c>
      <c r="F341" t="s">
        <v>15</v>
      </c>
      <c r="G341" t="s">
        <v>16</v>
      </c>
    </row>
    <row r="342" spans="1:7" x14ac:dyDescent="0.2">
      <c r="A342" t="s">
        <v>20</v>
      </c>
      <c r="B342">
        <v>1</v>
      </c>
      <c r="C342" t="s">
        <v>7</v>
      </c>
      <c r="E342" t="s">
        <v>3</v>
      </c>
      <c r="F342" t="s">
        <v>15</v>
      </c>
      <c r="G342" t="s">
        <v>21</v>
      </c>
    </row>
    <row r="346" spans="1:7" ht="16" x14ac:dyDescent="0.2">
      <c r="A346" s="1" t="s">
        <v>0</v>
      </c>
      <c r="B346" s="1" t="s">
        <v>337</v>
      </c>
    </row>
    <row r="347" spans="1:7" ht="16" x14ac:dyDescent="0.2">
      <c r="A347" s="16" t="s">
        <v>1</v>
      </c>
      <c r="B347" s="16" t="inlineStr">
        <is>
          <t>APPROVED Li-S BASE-DESIGN ENGINEERING RECONCILIATION, item15, 2026-10-18. Wickerts corrected SI, DOI10.1021/acssuschemeng.4c01782.s001 Tables S19/S21: use baseline B recipe with the existing150 Wh/kg-cell and1500-cycle reference, rather than technical T ingredients associated with500 Wh/kg. Per cell: Li4g, separator6g, cathode8g, electrolyte29g, pouch.13g, negative tab.12g, positive tab.069g. Detailed retained masses sum47.319g, conflicting with source46g average. Adopt47.319g as the explicit engineering mass basis (not a measured corrected source cell); no arbitrary rescaling of individual ingredients. At150 Wh/kg this is7.09785 Wh/cell. Cathode B perkg: sulfur.28, CMK3.22, PVDF.13, acetonitrile.044, foil.38, organic waste-.054; inputs1.054kg=1kg product+.054kg waste. Preserve process-specific energy and transport. Source PVDF binder uses the existing polyvinylfluoride supply as an explicitly retained cross-version fluoropolymer proxy; exact binder chemistry remains a coverage/model gap, not a verified PVDF route. Per-cell assembly/formation/factory requirements retain their source cell amounts and are divided by47.319g. Module408cells=19.306152kg plus.275Al busbar+.593bimetal+.085Cu+2.75PP+2.5steel =25.509152kg. Cell share is0.7568323713779275. The mobile capacity market normalizes exactly to1 gross kWh at.150kWh/kg-cell, with.120-.180 endpoints and paired waste masses. Future density factors remain the existing relative learning assumption with fixed recipe; this does not validate a future physical cell design, cycle aging or calendar life. Controls/cooling are treated separately under item13. Source average-mass conflict and future recipe evolution remain explicit gaps. This supersedes older24.971kg-module/46g-cell and500Wh/kg-composition statements below.
PREVIOUS NOTES (retained as history; the correction above takes precedence):
Source: Wickerts et al. (2023). Prospective Life Cycle Assessment of Lithium-Sulfur Batteries for Stationary Energy Storage. ACS Sustainable Chemistry &amp; Engineering. https://doi.org/10.1021/acssuschemeng.3c00141</t>
        </is>
      </c>
    </row>
    <row r="348" spans="1:7" x14ac:dyDescent="0.2">
      <c r="A348" t="s">
        <v>2</v>
      </c>
      <c r="B348" t="s">
        <v>3</v>
      </c>
    </row>
    <row r="349" spans="1:7" x14ac:dyDescent="0.2">
      <c r="A349" t="s">
        <v>4</v>
      </c>
      <c r="B349">
        <v>1</v>
      </c>
    </row>
    <row r="350" spans="1:7" x14ac:dyDescent="0.2">
      <c r="A350" t="s">
        <v>5</v>
      </c>
      <c r="B350" t="s">
        <v>115</v>
      </c>
    </row>
    <row r="351" spans="1:7" x14ac:dyDescent="0.2">
      <c r="A351" t="s">
        <v>6</v>
      </c>
      <c r="B351" t="s">
        <v>7</v>
      </c>
    </row>
    <row r="352" spans="1:7" x14ac:dyDescent="0.2">
      <c r="A352" t="s">
        <v>8</v>
      </c>
      <c r="B352" t="s">
        <v>305</v>
      </c>
    </row>
    <row r="353" spans="1:8" x14ac:dyDescent="0.2">
      <c r="A353" s="2" t="s">
        <v>9</v>
      </c>
    </row>
    <row r="354" spans="1:8" x14ac:dyDescent="0.2">
      <c r="A354" t="s">
        <v>10</v>
      </c>
      <c r="B354" t="s">
        <v>11</v>
      </c>
      <c r="C354" t="s">
        <v>6</v>
      </c>
      <c r="D354" t="s">
        <v>42</v>
      </c>
      <c r="E354" t="s">
        <v>2</v>
      </c>
      <c r="F354" t="s">
        <v>12</v>
      </c>
      <c r="G354" t="s">
        <v>5</v>
      </c>
      <c r="H354" t="s">
        <v>1</v>
      </c>
    </row>
    <row r="355" spans="1:8" x14ac:dyDescent="0.2">
      <c r="A355" t="s">
        <v>337</v>
      </c>
      <c r="B355">
        <v>1</v>
      </c>
      <c r="C355" t="s">
        <v>7</v>
      </c>
      <c r="E355" t="s">
        <v>3</v>
      </c>
      <c r="F355" t="s">
        <v>13</v>
      </c>
      <c r="G355" t="s">
        <v>115</v>
      </c>
    </row>
    <row r="356" spans="1:8" x14ac:dyDescent="0.2">
      <c r="A356" t="s">
        <v>116</v>
      </c>
      <c r="B356" s="5">
        <v>0.28</v>
      </c>
      <c r="C356" t="s">
        <v>7</v>
      </c>
      <c r="E356" t="s">
        <v>3</v>
      </c>
      <c r="F356" t="s">
        <v>15</v>
      </c>
      <c r="G356" t="s">
        <v>117</v>
      </c>
    </row>
    <row r="357" spans="1:8" x14ac:dyDescent="0.2">
      <c r="A357" t="s">
        <v>40</v>
      </c>
      <c r="B357" s="5">
        <v>0.13</v>
      </c>
      <c r="C357" t="s">
        <v>7</v>
      </c>
      <c r="E357" t="s">
        <v>3</v>
      </c>
      <c r="F357" t="s">
        <v>15</v>
      </c>
      <c r="G357" t="s">
        <v>41</v>
      </c>
    </row>
    <row r="358" spans="1:8" x14ac:dyDescent="0.2">
      <c r="A358" t="s">
        <v>118</v>
      </c>
      <c r="B358" s="4">
        <v>0.044</v>
      </c>
      <c r="C358" t="s">
        <v>7</v>
      </c>
      <c r="E358" t="s">
        <v>3</v>
      </c>
      <c r="F358" t="s">
        <v>15</v>
      </c>
      <c r="G358" t="s">
        <v>119</v>
      </c>
    </row>
    <row r="359" spans="1:8" x14ac:dyDescent="0.2">
      <c r="A359" t="s">
        <v>336</v>
      </c>
      <c r="B359" s="5">
        <v>0.38</v>
      </c>
      <c r="C359" t="s">
        <v>7</v>
      </c>
      <c r="E359" t="s">
        <v>3</v>
      </c>
      <c r="F359" t="s">
        <v>15</v>
      </c>
      <c r="G359" t="s">
        <v>120</v>
      </c>
    </row>
    <row r="360" spans="1:8" x14ac:dyDescent="0.2">
      <c r="A360" t="s">
        <v>333</v>
      </c>
      <c r="B360" s="5">
        <v>0.22</v>
      </c>
      <c r="C360" t="s">
        <v>7</v>
      </c>
      <c r="E360" t="s">
        <v>3</v>
      </c>
      <c r="F360" t="s">
        <v>15</v>
      </c>
      <c r="G360" t="s">
        <v>106</v>
      </c>
    </row>
    <row r="361" spans="1:8" x14ac:dyDescent="0.2">
      <c r="A361" t="s">
        <v>22</v>
      </c>
      <c r="B361" s="8">
        <f>0.00629*1000</f>
        <v>6.2899999999999991</v>
      </c>
      <c r="C361" t="s">
        <v>23</v>
      </c>
      <c r="E361" t="s">
        <v>54</v>
      </c>
      <c r="F361" t="s">
        <v>15</v>
      </c>
      <c r="G361" t="s">
        <v>24</v>
      </c>
      <c r="H361" t="s">
        <v>379</v>
      </c>
    </row>
    <row r="362" spans="1:8" x14ac:dyDescent="0.2">
      <c r="A362" t="s">
        <v>33</v>
      </c>
      <c r="B362" s="3">
        <f>0.00049*1000</f>
        <v>0.49</v>
      </c>
      <c r="C362" t="s">
        <v>34</v>
      </c>
      <c r="E362" t="s">
        <v>17</v>
      </c>
      <c r="F362" t="s">
        <v>15</v>
      </c>
      <c r="G362" t="s">
        <v>35</v>
      </c>
      <c r="H362" t="s">
        <v>379</v>
      </c>
    </row>
    <row r="363" spans="1:8" x14ac:dyDescent="0.2">
      <c r="A363" t="s">
        <v>80</v>
      </c>
      <c r="B363" s="4">
        <f>0.0164*1000</f>
        <v>16.400000000000002</v>
      </c>
      <c r="C363" t="s">
        <v>34</v>
      </c>
      <c r="E363" t="s">
        <v>3</v>
      </c>
      <c r="F363" t="s">
        <v>15</v>
      </c>
      <c r="G363" t="s">
        <v>81</v>
      </c>
      <c r="H363" t="s">
        <v>379</v>
      </c>
    </row>
    <row r="364" spans="1:8" x14ac:dyDescent="0.2">
      <c r="A364" t="s">
        <v>53</v>
      </c>
      <c r="B364" s="4">
        <v>-0.054</v>
      </c>
      <c r="C364" t="s">
        <v>7</v>
      </c>
      <c r="E364" t="s">
        <v>17</v>
      </c>
      <c r="F364" t="s">
        <v>15</v>
      </c>
      <c r="G364" t="s">
        <v>55</v>
      </c>
    </row>
    <row r="365" spans="1:8" x14ac:dyDescent="0.2">
      <c r="B365" s="8"/>
    </row>
    <row r="366" spans="1:8" x14ac:dyDescent="0.2">
      <c r="B366" s="8"/>
    </row>
    <row r="368" spans="1:8" ht="16" x14ac:dyDescent="0.2">
      <c r="A368" s="1" t="s">
        <v>0</v>
      </c>
      <c r="B368" s="1" t="s">
        <v>338</v>
      </c>
    </row>
    <row r="369" spans="1:8" ht="16" x14ac:dyDescent="0.2">
      <c r="A369" s="16" t="s">
        <v>1</v>
      </c>
      <c r="B369" s="16" t="s">
        <v>408</v>
      </c>
    </row>
    <row r="370" spans="1:8" x14ac:dyDescent="0.2">
      <c r="A370" t="s">
        <v>2</v>
      </c>
      <c r="B370" t="s">
        <v>3</v>
      </c>
    </row>
    <row r="371" spans="1:8" x14ac:dyDescent="0.2">
      <c r="A371" t="s">
        <v>4</v>
      </c>
      <c r="B371">
        <v>1</v>
      </c>
    </row>
    <row r="372" spans="1:8" x14ac:dyDescent="0.2">
      <c r="A372" t="s">
        <v>5</v>
      </c>
      <c r="B372" t="s">
        <v>121</v>
      </c>
    </row>
    <row r="373" spans="1:8" x14ac:dyDescent="0.2">
      <c r="A373" t="s">
        <v>6</v>
      </c>
      <c r="B373" t="s">
        <v>7</v>
      </c>
    </row>
    <row r="374" spans="1:8" x14ac:dyDescent="0.2">
      <c r="A374" t="s">
        <v>8</v>
      </c>
      <c r="B374" t="s">
        <v>306</v>
      </c>
    </row>
    <row r="375" spans="1:8" x14ac:dyDescent="0.2">
      <c r="A375" s="2" t="s">
        <v>9</v>
      </c>
    </row>
    <row r="376" spans="1:8" x14ac:dyDescent="0.2">
      <c r="A376" t="s">
        <v>10</v>
      </c>
      <c r="B376" t="s">
        <v>11</v>
      </c>
      <c r="C376" t="s">
        <v>6</v>
      </c>
      <c r="D376" t="s">
        <v>42</v>
      </c>
      <c r="E376" t="s">
        <v>2</v>
      </c>
      <c r="F376" t="s">
        <v>12</v>
      </c>
      <c r="G376" t="s">
        <v>5</v>
      </c>
      <c r="H376" t="s">
        <v>1</v>
      </c>
    </row>
    <row r="377" spans="1:8" x14ac:dyDescent="0.2">
      <c r="A377" t="s">
        <v>338</v>
      </c>
      <c r="B377">
        <v>1</v>
      </c>
      <c r="C377" t="s">
        <v>7</v>
      </c>
      <c r="E377" t="s">
        <v>3</v>
      </c>
      <c r="F377" t="s">
        <v>13</v>
      </c>
      <c r="G377" t="s">
        <v>121</v>
      </c>
    </row>
    <row r="378" spans="1:8" ht="16" x14ac:dyDescent="0.2">
      <c r="A378" s="16" t="s">
        <v>366</v>
      </c>
      <c r="B378" s="5">
        <v>0.28000000000000003</v>
      </c>
      <c r="C378" t="s">
        <v>7</v>
      </c>
      <c r="E378" t="s">
        <v>3</v>
      </c>
      <c r="F378" t="s">
        <v>15</v>
      </c>
      <c r="G378" t="s">
        <v>367</v>
      </c>
    </row>
    <row r="379" spans="1:8" x14ac:dyDescent="0.2">
      <c r="A379" t="s">
        <v>329</v>
      </c>
      <c r="B379" s="5">
        <v>0.32</v>
      </c>
      <c r="C379" t="s">
        <v>7</v>
      </c>
      <c r="E379" t="s">
        <v>3</v>
      </c>
      <c r="F379" t="s">
        <v>15</v>
      </c>
      <c r="G379" t="s">
        <v>122</v>
      </c>
    </row>
    <row r="380" spans="1:8" x14ac:dyDescent="0.2">
      <c r="A380" t="s">
        <v>330</v>
      </c>
      <c r="B380" s="4">
        <v>1.7999999999999999E-2</v>
      </c>
      <c r="C380" t="s">
        <v>7</v>
      </c>
      <c r="E380" t="s">
        <v>3</v>
      </c>
      <c r="F380" t="s">
        <v>15</v>
      </c>
      <c r="G380" t="s">
        <v>125</v>
      </c>
    </row>
    <row r="381" spans="1:8" x14ac:dyDescent="0.2">
      <c r="A381" t="s">
        <v>123</v>
      </c>
      <c r="B381" s="5">
        <v>0.39</v>
      </c>
      <c r="C381" t="s">
        <v>7</v>
      </c>
      <c r="E381" t="s">
        <v>17</v>
      </c>
      <c r="F381" t="s">
        <v>15</v>
      </c>
      <c r="G381" t="s">
        <v>124</v>
      </c>
    </row>
    <row r="382" spans="1:8" x14ac:dyDescent="0.2">
      <c r="A382" t="s">
        <v>68</v>
      </c>
      <c r="B382" s="7">
        <v>1.6</v>
      </c>
      <c r="C382" t="s">
        <v>7</v>
      </c>
      <c r="E382" t="s">
        <v>17</v>
      </c>
      <c r="F382" t="s">
        <v>15</v>
      </c>
      <c r="G382" t="s">
        <v>69</v>
      </c>
    </row>
    <row r="383" spans="1:8" x14ac:dyDescent="0.2">
      <c r="A383" t="s">
        <v>22</v>
      </c>
      <c r="B383" s="13">
        <f>0.0000247*1000</f>
        <v>2.47E-2</v>
      </c>
      <c r="C383" t="s">
        <v>23</v>
      </c>
      <c r="E383" t="s">
        <v>54</v>
      </c>
      <c r="F383" t="s">
        <v>15</v>
      </c>
      <c r="G383" t="s">
        <v>24</v>
      </c>
      <c r="H383" t="s">
        <v>379</v>
      </c>
    </row>
    <row r="384" spans="1:8" x14ac:dyDescent="0.2">
      <c r="A384" t="s">
        <v>33</v>
      </c>
      <c r="B384" s="13">
        <f>0.00042*1000</f>
        <v>0.42000000000000004</v>
      </c>
      <c r="C384" t="s">
        <v>34</v>
      </c>
      <c r="E384" t="s">
        <v>17</v>
      </c>
      <c r="F384" t="s">
        <v>15</v>
      </c>
      <c r="G384" t="s">
        <v>35</v>
      </c>
      <c r="H384" t="s">
        <v>379</v>
      </c>
    </row>
    <row r="385" spans="1:8" x14ac:dyDescent="0.2">
      <c r="A385" t="s">
        <v>80</v>
      </c>
      <c r="B385" s="13">
        <f>0.00036*1000</f>
        <v>0.36000000000000004</v>
      </c>
      <c r="C385" t="s">
        <v>34</v>
      </c>
      <c r="E385" t="s">
        <v>3</v>
      </c>
      <c r="F385" t="s">
        <v>15</v>
      </c>
      <c r="G385" t="s">
        <v>81</v>
      </c>
      <c r="H385" t="s">
        <v>379</v>
      </c>
    </row>
    <row r="386" spans="1:8" x14ac:dyDescent="0.2">
      <c r="B386" s="8"/>
    </row>
    <row r="387" spans="1:8" x14ac:dyDescent="0.2">
      <c r="B387" s="8"/>
    </row>
    <row r="388" spans="1:8" x14ac:dyDescent="0.2">
      <c r="B388" s="8"/>
    </row>
    <row r="389" spans="1:8" ht="16" x14ac:dyDescent="0.2">
      <c r="A389" s="11" t="s">
        <v>0</v>
      </c>
      <c r="B389" s="11" t="s">
        <v>339</v>
      </c>
      <c r="C389" s="11"/>
      <c r="D389" s="15"/>
      <c r="E389" s="15"/>
      <c r="F389" s="15"/>
      <c r="G389" s="15"/>
    </row>
    <row r="390" spans="1:8" ht="16" x14ac:dyDescent="0.2">
      <c r="A390" s="22" t="s">
        <v>1</v>
      </c>
      <c r="B390" s="22" t="s">
        <v>408</v>
      </c>
      <c r="C390" s="11"/>
      <c r="D390" s="15"/>
      <c r="E390" s="15"/>
      <c r="F390" s="15"/>
      <c r="G390" s="15"/>
    </row>
    <row r="391" spans="1:8" x14ac:dyDescent="0.2">
      <c r="A391" s="15" t="s">
        <v>2</v>
      </c>
      <c r="B391" s="15" t="s">
        <v>3</v>
      </c>
      <c r="C391" s="15"/>
      <c r="D391" s="15"/>
      <c r="E391" s="15"/>
      <c r="F391" s="15"/>
      <c r="G391" s="15"/>
    </row>
    <row r="392" spans="1:8" x14ac:dyDescent="0.2">
      <c r="A392" s="15" t="s">
        <v>4</v>
      </c>
      <c r="B392" s="15">
        <v>1</v>
      </c>
      <c r="C392" s="15"/>
      <c r="D392" s="15"/>
      <c r="E392" s="15"/>
      <c r="F392" s="15"/>
      <c r="G392" s="15"/>
    </row>
    <row r="393" spans="1:8" x14ac:dyDescent="0.2">
      <c r="A393" s="15" t="s">
        <v>5</v>
      </c>
      <c r="B393" s="15" t="s">
        <v>126</v>
      </c>
      <c r="C393" s="15"/>
      <c r="D393" s="15"/>
      <c r="E393" s="15"/>
      <c r="F393" s="15"/>
      <c r="G393" s="15"/>
    </row>
    <row r="394" spans="1:8" x14ac:dyDescent="0.2">
      <c r="A394" s="15" t="s">
        <v>6</v>
      </c>
      <c r="B394" s="15" t="s">
        <v>7</v>
      </c>
      <c r="C394" s="15"/>
      <c r="D394" s="15"/>
      <c r="E394" s="15"/>
      <c r="F394" s="15"/>
      <c r="G394" s="15"/>
    </row>
    <row r="395" spans="1:8" x14ac:dyDescent="0.2">
      <c r="A395" s="15" t="s">
        <v>8</v>
      </c>
      <c r="B395" s="15" t="s">
        <v>307</v>
      </c>
      <c r="C395" s="15"/>
      <c r="D395" s="15"/>
      <c r="E395" s="15"/>
      <c r="F395" s="15"/>
      <c r="G395" s="15"/>
    </row>
    <row r="396" spans="1:8" x14ac:dyDescent="0.2">
      <c r="A396" s="19" t="s">
        <v>9</v>
      </c>
      <c r="B396" s="15"/>
      <c r="C396" s="15"/>
      <c r="D396" s="15"/>
      <c r="E396" s="15"/>
      <c r="F396" s="15"/>
      <c r="G396" s="15"/>
    </row>
    <row r="397" spans="1:8" x14ac:dyDescent="0.2">
      <c r="A397" s="15" t="s">
        <v>10</v>
      </c>
      <c r="B397" s="15" t="s">
        <v>11</v>
      </c>
      <c r="C397" s="15" t="s">
        <v>6</v>
      </c>
      <c r="D397" s="15" t="s">
        <v>42</v>
      </c>
      <c r="E397" s="15" t="s">
        <v>2</v>
      </c>
      <c r="F397" s="15" t="s">
        <v>12</v>
      </c>
      <c r="G397" s="15" t="s">
        <v>5</v>
      </c>
    </row>
    <row r="398" spans="1:8" x14ac:dyDescent="0.2">
      <c r="A398" s="15" t="s">
        <v>339</v>
      </c>
      <c r="B398" s="15">
        <v>1</v>
      </c>
      <c r="C398" s="15" t="s">
        <v>7</v>
      </c>
      <c r="D398" s="15"/>
      <c r="E398" s="15" t="s">
        <v>3</v>
      </c>
      <c r="F398" s="15" t="s">
        <v>13</v>
      </c>
      <c r="G398" s="15" t="s">
        <v>126</v>
      </c>
    </row>
    <row r="399" spans="1:8" x14ac:dyDescent="0.2">
      <c r="A399" s="15" t="s">
        <v>288</v>
      </c>
      <c r="B399" s="15">
        <v>0.55000000000000004</v>
      </c>
      <c r="C399" s="15" t="s">
        <v>7</v>
      </c>
      <c r="D399" s="15"/>
      <c r="E399" s="15" t="s">
        <v>17</v>
      </c>
      <c r="F399" s="15" t="s">
        <v>15</v>
      </c>
      <c r="G399" s="15" t="s">
        <v>289</v>
      </c>
    </row>
    <row r="400" spans="1:8" x14ac:dyDescent="0.2">
      <c r="A400" s="15" t="s">
        <v>197</v>
      </c>
      <c r="B400" s="20">
        <v>0.129</v>
      </c>
      <c r="C400" s="15" t="s">
        <v>7</v>
      </c>
      <c r="D400" s="15"/>
      <c r="E400" s="15" t="s">
        <v>17</v>
      </c>
      <c r="F400" s="15" t="s">
        <v>15</v>
      </c>
      <c r="G400" s="15" t="s">
        <v>71</v>
      </c>
    </row>
    <row r="401" spans="1:8" x14ac:dyDescent="0.2">
      <c r="A401" s="15" t="s">
        <v>27</v>
      </c>
      <c r="B401" s="20">
        <v>0.13700000000000001</v>
      </c>
      <c r="C401" s="15" t="s">
        <v>7</v>
      </c>
      <c r="D401" s="15"/>
      <c r="E401" s="15" t="s">
        <v>3</v>
      </c>
      <c r="F401" s="15" t="s">
        <v>15</v>
      </c>
      <c r="G401" s="15" t="s">
        <v>28</v>
      </c>
    </row>
    <row r="402" spans="1:8" x14ac:dyDescent="0.2">
      <c r="A402" s="15" t="s">
        <v>36</v>
      </c>
      <c r="B402" s="20">
        <v>0.20599999999999999</v>
      </c>
      <c r="C402" s="15" t="s">
        <v>7</v>
      </c>
      <c r="D402" s="15"/>
      <c r="E402" s="15" t="s">
        <v>3</v>
      </c>
      <c r="F402" s="15" t="s">
        <v>15</v>
      </c>
      <c r="G402" s="15" t="s">
        <v>37</v>
      </c>
    </row>
    <row r="403" spans="1:8" x14ac:dyDescent="0.2">
      <c r="A403" s="15" t="s">
        <v>20</v>
      </c>
      <c r="B403" s="20">
        <v>0.66700000000000004</v>
      </c>
      <c r="C403" s="15" t="s">
        <v>7</v>
      </c>
      <c r="D403" s="15"/>
      <c r="E403" s="15" t="s">
        <v>3</v>
      </c>
      <c r="F403" s="15" t="s">
        <v>15</v>
      </c>
      <c r="G403" s="15" t="s">
        <v>21</v>
      </c>
    </row>
    <row r="404" spans="1:8" x14ac:dyDescent="0.2">
      <c r="A404" s="15" t="s">
        <v>438</v>
      </c>
      <c r="B404" s="15">
        <v>0.33</v>
      </c>
      <c r="C404" s="15" t="s">
        <v>7</v>
      </c>
      <c r="D404" s="15"/>
      <c r="E404" s="15" t="s">
        <v>3</v>
      </c>
      <c r="F404" s="15" t="s">
        <v>15</v>
      </c>
      <c r="G404" s="15" t="s">
        <v>439</v>
      </c>
    </row>
    <row r="405" spans="1:8" x14ac:dyDescent="0.2">
      <c r="A405" s="15"/>
      <c r="B405" s="15"/>
      <c r="C405" s="15"/>
      <c r="D405" s="15"/>
      <c r="E405" s="15"/>
      <c r="F405" s="15"/>
      <c r="G405" s="15"/>
    </row>
    <row r="406" spans="1:8" x14ac:dyDescent="0.2">
      <c r="A406" s="15"/>
      <c r="B406" s="15"/>
      <c r="C406" s="15"/>
      <c r="D406" s="15"/>
      <c r="E406" s="15"/>
      <c r="F406" s="15"/>
      <c r="G406" s="15"/>
    </row>
    <row r="407" spans="1:8" ht="16" x14ac:dyDescent="0.2">
      <c r="A407" s="11" t="s">
        <v>0</v>
      </c>
      <c r="B407" s="11" t="s">
        <v>340</v>
      </c>
      <c r="C407" s="11"/>
      <c r="D407" s="15"/>
      <c r="E407" s="15"/>
      <c r="F407" s="15"/>
      <c r="G407" s="15"/>
    </row>
    <row r="408" spans="1:8" ht="16" x14ac:dyDescent="0.2">
      <c r="A408" s="22" t="s">
        <v>1</v>
      </c>
      <c r="B408" s="22" t="s">
        <v>408</v>
      </c>
      <c r="C408" s="11"/>
      <c r="D408" s="15"/>
      <c r="E408" s="15"/>
      <c r="F408" s="15"/>
      <c r="G408" s="15"/>
    </row>
    <row r="409" spans="1:8" x14ac:dyDescent="0.2">
      <c r="A409" s="15" t="s">
        <v>2</v>
      </c>
      <c r="B409" s="15" t="s">
        <v>3</v>
      </c>
      <c r="C409" s="15"/>
      <c r="D409" s="15"/>
      <c r="E409" s="15"/>
      <c r="F409" s="15"/>
      <c r="G409" s="15"/>
    </row>
    <row r="410" spans="1:8" x14ac:dyDescent="0.2">
      <c r="A410" s="15" t="s">
        <v>4</v>
      </c>
      <c r="B410" s="15">
        <v>1</v>
      </c>
      <c r="C410" s="15"/>
      <c r="D410" s="15"/>
      <c r="E410" s="15"/>
      <c r="F410" s="15"/>
      <c r="G410" s="15"/>
    </row>
    <row r="411" spans="1:8" x14ac:dyDescent="0.2">
      <c r="A411" s="15" t="s">
        <v>5</v>
      </c>
      <c r="B411" s="15" t="s">
        <v>128</v>
      </c>
      <c r="C411" s="15"/>
      <c r="D411" s="15"/>
      <c r="E411" s="15"/>
      <c r="F411" s="15"/>
      <c r="G411" s="15"/>
    </row>
    <row r="412" spans="1:8" x14ac:dyDescent="0.2">
      <c r="A412" s="15" t="s">
        <v>6</v>
      </c>
      <c r="B412" s="15" t="s">
        <v>7</v>
      </c>
      <c r="C412" s="15"/>
      <c r="D412" s="15"/>
      <c r="E412" s="15"/>
      <c r="F412" s="15"/>
      <c r="G412" s="15"/>
    </row>
    <row r="413" spans="1:8" x14ac:dyDescent="0.2">
      <c r="A413" s="15" t="s">
        <v>8</v>
      </c>
      <c r="B413" s="15" t="s">
        <v>307</v>
      </c>
      <c r="C413" s="15"/>
      <c r="D413" s="15"/>
      <c r="E413" s="15"/>
      <c r="F413" s="15"/>
      <c r="G413" s="15"/>
    </row>
    <row r="414" spans="1:8" x14ac:dyDescent="0.2">
      <c r="A414" s="19" t="s">
        <v>9</v>
      </c>
      <c r="B414" s="15"/>
      <c r="C414" s="15"/>
      <c r="D414" s="15"/>
      <c r="E414" s="15"/>
      <c r="F414" s="15"/>
      <c r="G414" s="15"/>
    </row>
    <row r="415" spans="1:8" x14ac:dyDescent="0.2">
      <c r="A415" s="15" t="s">
        <v>10</v>
      </c>
      <c r="B415" s="15" t="s">
        <v>11</v>
      </c>
      <c r="C415" s="15" t="s">
        <v>6</v>
      </c>
      <c r="D415" s="15" t="s">
        <v>42</v>
      </c>
      <c r="E415" s="15" t="s">
        <v>2</v>
      </c>
      <c r="F415" s="15" t="s">
        <v>12</v>
      </c>
      <c r="G415" s="15" t="s">
        <v>5</v>
      </c>
      <c r="H415" s="15" t="s">
        <v>1</v>
      </c>
    </row>
    <row r="416" spans="1:8" x14ac:dyDescent="0.2">
      <c r="A416" s="15" t="s">
        <v>340</v>
      </c>
      <c r="B416">
        <v>1</v>
      </c>
      <c r="C416" t="s">
        <v>7</v>
      </c>
      <c r="E416" t="s">
        <v>3</v>
      </c>
      <c r="F416" t="s">
        <v>13</v>
      </c>
      <c r="G416" t="s">
        <v>128</v>
      </c>
    </row>
    <row r="417" spans="1:8" x14ac:dyDescent="0.2">
      <c r="A417" s="15" t="s">
        <v>197</v>
      </c>
      <c r="B417">
        <v>0.81</v>
      </c>
      <c r="C417" s="15" t="s">
        <v>7</v>
      </c>
      <c r="E417" s="15" t="s">
        <v>17</v>
      </c>
      <c r="F417" s="15" t="s">
        <v>15</v>
      </c>
      <c r="G417" t="s">
        <v>71</v>
      </c>
    </row>
    <row r="418" spans="1:8" x14ac:dyDescent="0.2">
      <c r="A418" s="15" t="s">
        <v>288</v>
      </c>
      <c r="B418">
        <v>0.2</v>
      </c>
      <c r="C418" s="15" t="s">
        <v>7</v>
      </c>
      <c r="E418" s="15" t="s">
        <v>17</v>
      </c>
      <c r="F418" s="15" t="s">
        <v>15</v>
      </c>
      <c r="G418" t="s">
        <v>289</v>
      </c>
    </row>
    <row r="419" spans="1:8" x14ac:dyDescent="0.2">
      <c r="A419" s="15" t="s">
        <v>20</v>
      </c>
      <c r="B419">
        <v>1</v>
      </c>
      <c r="C419" s="15" t="s">
        <v>7</v>
      </c>
      <c r="E419" s="15" t="s">
        <v>3</v>
      </c>
      <c r="F419" s="15" t="s">
        <v>15</v>
      </c>
      <c r="G419" t="s">
        <v>21</v>
      </c>
      <c r="H419" s="15" t="s">
        <v>380</v>
      </c>
    </row>
    <row r="420" spans="1:8" x14ac:dyDescent="0.2">
      <c r="A420" s="15" t="s">
        <v>58</v>
      </c>
      <c r="B420" s="3">
        <v>1.5E-10</v>
      </c>
      <c r="C420" s="15" t="s">
        <v>6</v>
      </c>
      <c r="E420" s="15" t="s">
        <v>3</v>
      </c>
      <c r="F420" s="15" t="s">
        <v>15</v>
      </c>
      <c r="G420" t="s">
        <v>59</v>
      </c>
    </row>
    <row r="421" spans="1:8" x14ac:dyDescent="0.2">
      <c r="A421" s="15"/>
      <c r="C421" s="15"/>
      <c r="E421" s="15"/>
      <c r="F421" s="15"/>
    </row>
    <row r="422" spans="1:8" x14ac:dyDescent="0.2">
      <c r="A422" s="15"/>
      <c r="C422" s="15"/>
      <c r="E422" s="15"/>
      <c r="F422" s="15"/>
    </row>
    <row r="423" spans="1:8" ht="16" x14ac:dyDescent="0.2">
      <c r="A423" s="11" t="s">
        <v>0</v>
      </c>
      <c r="B423" s="11" t="s">
        <v>341</v>
      </c>
      <c r="C423" s="11"/>
      <c r="D423" s="15"/>
      <c r="E423" s="15"/>
      <c r="F423" s="15"/>
      <c r="G423" s="15"/>
    </row>
    <row r="424" spans="1:8" ht="16" x14ac:dyDescent="0.2">
      <c r="A424" s="22" t="s">
        <v>1</v>
      </c>
      <c r="B424" s="22" t="s">
        <v>408</v>
      </c>
      <c r="C424" s="11"/>
      <c r="D424" s="15"/>
      <c r="E424" s="15"/>
      <c r="F424" s="15"/>
      <c r="G424" s="15"/>
    </row>
    <row r="425" spans="1:8" x14ac:dyDescent="0.2">
      <c r="A425" s="15" t="s">
        <v>2</v>
      </c>
      <c r="B425" s="15" t="s">
        <v>3</v>
      </c>
      <c r="C425" s="15"/>
      <c r="D425" s="15"/>
      <c r="E425" s="15"/>
      <c r="F425" s="15"/>
      <c r="G425" s="15"/>
    </row>
    <row r="426" spans="1:8" x14ac:dyDescent="0.2">
      <c r="A426" s="15" t="s">
        <v>4</v>
      </c>
      <c r="B426" s="15">
        <v>1</v>
      </c>
      <c r="C426" s="15"/>
      <c r="D426" s="15"/>
      <c r="E426" s="15"/>
      <c r="F426" s="15"/>
      <c r="G426" s="15"/>
    </row>
    <row r="427" spans="1:8" x14ac:dyDescent="0.2">
      <c r="A427" s="15" t="s">
        <v>5</v>
      </c>
      <c r="B427" s="15" t="s">
        <v>127</v>
      </c>
      <c r="C427" s="15"/>
      <c r="D427" s="15"/>
      <c r="E427" s="15"/>
      <c r="F427" s="15"/>
      <c r="G427" s="15"/>
    </row>
    <row r="428" spans="1:8" x14ac:dyDescent="0.2">
      <c r="A428" s="15" t="s">
        <v>6</v>
      </c>
      <c r="B428" s="15" t="s">
        <v>7</v>
      </c>
      <c r="C428" s="15"/>
      <c r="D428" s="15"/>
      <c r="E428" s="15"/>
      <c r="F428" s="15"/>
      <c r="G428" s="15"/>
    </row>
    <row r="429" spans="1:8" x14ac:dyDescent="0.2">
      <c r="A429" s="15" t="s">
        <v>8</v>
      </c>
      <c r="B429" s="15"/>
      <c r="C429" s="15"/>
      <c r="D429" s="15"/>
      <c r="E429" s="15"/>
      <c r="F429" s="15"/>
      <c r="G429" s="15"/>
    </row>
    <row r="430" spans="1:8" x14ac:dyDescent="0.2">
      <c r="A430" s="19" t="s">
        <v>9</v>
      </c>
      <c r="B430" s="15"/>
      <c r="C430" s="15"/>
      <c r="D430" s="15"/>
      <c r="E430" s="15"/>
      <c r="F430" s="15"/>
      <c r="G430" s="15"/>
    </row>
    <row r="431" spans="1:8" x14ac:dyDescent="0.2">
      <c r="A431" s="15" t="s">
        <v>10</v>
      </c>
      <c r="B431" s="15" t="s">
        <v>11</v>
      </c>
      <c r="C431" s="15" t="s">
        <v>6</v>
      </c>
      <c r="D431" s="15" t="s">
        <v>42</v>
      </c>
      <c r="E431" s="15" t="s">
        <v>2</v>
      </c>
      <c r="F431" s="15" t="s">
        <v>12</v>
      </c>
      <c r="G431" s="15" t="s">
        <v>5</v>
      </c>
    </row>
    <row r="432" spans="1:8" x14ac:dyDescent="0.2">
      <c r="A432" s="15" t="s">
        <v>341</v>
      </c>
      <c r="B432" s="15">
        <v>1</v>
      </c>
      <c r="C432" s="15" t="s">
        <v>7</v>
      </c>
      <c r="D432" s="15"/>
      <c r="E432" s="15" t="s">
        <v>3</v>
      </c>
      <c r="F432" s="15" t="s">
        <v>13</v>
      </c>
      <c r="G432" s="15" t="s">
        <v>127</v>
      </c>
    </row>
    <row r="433" spans="1:8" x14ac:dyDescent="0.2">
      <c r="A433" s="15" t="s">
        <v>202</v>
      </c>
      <c r="B433" s="15">
        <v>1</v>
      </c>
      <c r="C433" s="15" t="s">
        <v>7</v>
      </c>
      <c r="D433" s="15"/>
      <c r="E433" s="15" t="s">
        <v>3</v>
      </c>
      <c r="F433" s="15" t="s">
        <v>15</v>
      </c>
      <c r="G433" s="15" t="s">
        <v>203</v>
      </c>
    </row>
    <row r="434" spans="1:8" x14ac:dyDescent="0.2">
      <c r="A434" s="15" t="s">
        <v>290</v>
      </c>
      <c r="B434" s="15">
        <v>1</v>
      </c>
      <c r="C434" s="15" t="s">
        <v>7</v>
      </c>
      <c r="D434" s="15"/>
      <c r="E434" s="15" t="s">
        <v>3</v>
      </c>
      <c r="F434" s="15" t="s">
        <v>15</v>
      </c>
      <c r="G434" s="15" t="s">
        <v>291</v>
      </c>
    </row>
    <row r="435" spans="1:8" x14ac:dyDescent="0.2">
      <c r="A435" s="15" t="s">
        <v>247</v>
      </c>
      <c r="B435" s="21">
        <v>4.6000000000000001E-10</v>
      </c>
      <c r="C435" s="15" t="s">
        <v>7</v>
      </c>
      <c r="D435" s="15"/>
      <c r="E435" s="15" t="s">
        <v>3</v>
      </c>
      <c r="F435" s="15" t="s">
        <v>15</v>
      </c>
      <c r="G435" s="15" t="s">
        <v>206</v>
      </c>
    </row>
    <row r="436" spans="1:8" x14ac:dyDescent="0.2">
      <c r="A436" s="15"/>
      <c r="B436" s="15"/>
      <c r="C436" s="15"/>
      <c r="D436" s="15"/>
      <c r="E436" s="15"/>
      <c r="F436" s="15"/>
      <c r="G436" s="15"/>
    </row>
    <row r="437" spans="1:8" x14ac:dyDescent="0.2">
      <c r="A437" s="15"/>
      <c r="B437" s="15"/>
      <c r="C437" s="15"/>
      <c r="D437" s="15"/>
      <c r="E437" s="15"/>
      <c r="F437" s="15"/>
      <c r="G437" s="15"/>
    </row>
    <row r="438" spans="1:8" x14ac:dyDescent="0.2">
      <c r="A438" s="15"/>
    </row>
    <row r="439" spans="1:8" ht="16" x14ac:dyDescent="0.2">
      <c r="A439" s="1" t="s">
        <v>0</v>
      </c>
      <c r="B439" s="1" t="s">
        <v>443</v>
      </c>
    </row>
    <row r="440" spans="1:8" ht="16" x14ac:dyDescent="0.2">
      <c r="A440" s="16" t="s">
        <v>1</v>
      </c>
      <c r="B440" s="26" t="inlineStr">
        <is>
          <t>APPROVED Li-S BASE-DESIGN ENGINEERING RECONCILIATION, item15, 2026-10-18. Wickerts corrected SI, DOI10.1021/acssuschemeng.4c01782.s001 Tables S19/S21: use baseline B recipe with the existing150 Wh/kg-cell and1500-cycle reference, rather than technical T ingredients associated with500 Wh/kg. Per cell: Li4g, separator6g, cathode8g, electrolyte29g, pouch.13g, negative tab.12g, positive tab.069g. Detailed retained masses sum47.319g, conflicting with source46g average. Adopt47.319g as the explicit engineering mass basis (not a measured corrected source cell); no arbitrary rescaling of individual ingredients. At150 Wh/kg this is7.09785 Wh/cell. Cathode B perkg: sulfur.28, CMK3.22, PVDF.13, acetonitrile.044, foil.38, organic waste-.054; inputs1.054kg=1kg product+.054kg waste. Preserve process-specific energy and transport. Source PVDF binder uses the existing polyvinylfluoride supply as an explicitly retained cross-version fluoropolymer proxy; exact binder chemistry remains a coverage/model gap, not a verified PVDF route. Per-cell assembly/formation/factory requirements retain their source cell amounts and are divided by47.319g. Module408cells=19.306152kg plus.275Al busbar+.593bimetal+.085Cu+2.75PP+2.5steel =25.509152kg. Cell share is0.7568323713779275. The mobile capacity market normalizes exactly to1 gross kWh at.150kWh/kg-cell, with.120-.180 endpoints and paired waste masses. Future density factors remain the existing relative learning assumption with fixed recipe; this does not validate a future physical cell design, cycle aging or calendar life. Controls/cooling are treated separately under item13. Source average-mass conflict and future recipe evolution remain explicit gaps. This supersedes older24.971kg-module/46g-cell and500Wh/kg-composition statements below.
PREVIOUS NOTES (retained as history; the correction above takes precedence):
A cell weight of 46 g is modeled, due to the slight difference in cell weight of the different cell compositions. The number of formed cells required to provide the function depends on the specific energy density. Consequently, fewer cells are required in the technical performance and combined scenarios because of the higher specific energy density considered in those scenarios. SI. S3.6.6. Source: Wickerts et al. (2023). Prospective Life Cycle Assessment of Lithium-Sulfur Batteries for Stationary Energy Storage. ACS Sustainable Chemistry &amp; Engineering. https://doi.org/10.1021/acssuschemeng.3c00141</t>
        </is>
      </c>
    </row>
    <row r="441" spans="1:8" x14ac:dyDescent="0.2">
      <c r="A441" t="s">
        <v>2</v>
      </c>
      <c r="B441" t="s">
        <v>3</v>
      </c>
    </row>
    <row r="442" spans="1:8" x14ac:dyDescent="0.2">
      <c r="A442" t="s">
        <v>4</v>
      </c>
      <c r="B442">
        <v>1</v>
      </c>
    </row>
    <row r="443" spans="1:8" x14ac:dyDescent="0.2">
      <c r="A443" t="s">
        <v>5</v>
      </c>
      <c r="B443" t="s">
        <v>441</v>
      </c>
    </row>
    <row r="444" spans="1:8" x14ac:dyDescent="0.2">
      <c r="A444" t="s">
        <v>6</v>
      </c>
      <c r="B444" t="s">
        <v>7</v>
      </c>
    </row>
    <row r="445" spans="1:8" x14ac:dyDescent="0.2">
      <c r="A445" t="s">
        <v>8</v>
      </c>
      <c r="B445" t="s">
        <v>308</v>
      </c>
    </row>
    <row r="446" spans="1:8" x14ac:dyDescent="0.2">
      <c r="A446" s="2" t="s">
        <v>9</v>
      </c>
    </row>
    <row r="447" spans="1:8" x14ac:dyDescent="0.2">
      <c r="A447" t="s">
        <v>10</v>
      </c>
      <c r="B447" t="s">
        <v>11</v>
      </c>
      <c r="C447" t="s">
        <v>6</v>
      </c>
      <c r="D447" t="s">
        <v>42</v>
      </c>
      <c r="E447" t="s">
        <v>2</v>
      </c>
      <c r="F447" t="s">
        <v>12</v>
      </c>
      <c r="G447" t="s">
        <v>5</v>
      </c>
      <c r="H447" t="s">
        <v>1</v>
      </c>
    </row>
    <row r="448" spans="1:8" x14ac:dyDescent="0.2">
      <c r="A448" t="s">
        <v>443</v>
      </c>
      <c r="B448">
        <v>1</v>
      </c>
      <c r="C448" t="s">
        <v>7</v>
      </c>
      <c r="E448" t="s">
        <v>3</v>
      </c>
      <c r="F448" t="s">
        <v>13</v>
      </c>
      <c r="G448" t="s">
        <v>441</v>
      </c>
    </row>
    <row r="449" spans="1:8" x14ac:dyDescent="0.2">
      <c r="A449" t="s">
        <v>334</v>
      </c>
      <c r="B449" s="3">
        <f>0.004/0.047319</f>
        <v>0.08453264016568397</v>
      </c>
      <c r="C449" t="s">
        <v>7</v>
      </c>
      <c r="E449" t="s">
        <v>3</v>
      </c>
      <c r="F449" t="s">
        <v>15</v>
      </c>
      <c r="G449" t="s">
        <v>109</v>
      </c>
      <c r="H449" t="s">
        <v>406</v>
      </c>
    </row>
    <row r="450" spans="1:8" x14ac:dyDescent="0.2">
      <c r="A450" t="s">
        <v>335</v>
      </c>
      <c r="B450" s="3">
        <f>0.006/0.047319</f>
        <v>0.12679896024852597</v>
      </c>
      <c r="C450" t="s">
        <v>7</v>
      </c>
      <c r="E450" t="s">
        <v>3</v>
      </c>
      <c r="F450" t="s">
        <v>15</v>
      </c>
      <c r="G450" t="s">
        <v>112</v>
      </c>
      <c r="H450" t="s">
        <v>406</v>
      </c>
    </row>
    <row r="451" spans="1:8" x14ac:dyDescent="0.2">
      <c r="A451" t="s">
        <v>337</v>
      </c>
      <c r="B451" s="3">
        <f>0.008/0.047319</f>
        <v>0.16906528033136795</v>
      </c>
      <c r="C451" t="s">
        <v>7</v>
      </c>
      <c r="E451" t="s">
        <v>3</v>
      </c>
      <c r="F451" t="s">
        <v>15</v>
      </c>
      <c r="G451" t="s">
        <v>115</v>
      </c>
      <c r="H451" t="s">
        <v>406</v>
      </c>
    </row>
    <row r="452" spans="1:8" x14ac:dyDescent="0.2">
      <c r="A452" t="s">
        <v>338</v>
      </c>
      <c r="B452" s="3">
        <f>0.029/0.047319</f>
        <v>0.6128616412012089</v>
      </c>
      <c r="C452" t="s">
        <v>7</v>
      </c>
      <c r="E452" t="s">
        <v>3</v>
      </c>
      <c r="F452" t="s">
        <v>15</v>
      </c>
      <c r="G452" t="s">
        <v>121</v>
      </c>
      <c r="H452" t="s">
        <v>406</v>
      </c>
    </row>
    <row r="453" spans="1:8" x14ac:dyDescent="0.2">
      <c r="A453" t="s">
        <v>339</v>
      </c>
      <c r="B453" s="3">
        <f>0.00013/0.047319</f>
        <v>0.0027473108053847287</v>
      </c>
      <c r="C453" t="s">
        <v>7</v>
      </c>
      <c r="E453" t="s">
        <v>3</v>
      </c>
      <c r="F453" t="s">
        <v>15</v>
      </c>
      <c r="G453" t="s">
        <v>126</v>
      </c>
      <c r="H453" t="s">
        <v>406</v>
      </c>
    </row>
    <row r="454" spans="1:8" x14ac:dyDescent="0.2">
      <c r="A454" t="s">
        <v>341</v>
      </c>
      <c r="B454" s="3">
        <f>0.00012/0.047319</f>
        <v>0.002535979204970519</v>
      </c>
      <c r="C454" t="s">
        <v>7</v>
      </c>
      <c r="E454" t="s">
        <v>3</v>
      </c>
      <c r="F454" t="s">
        <v>15</v>
      </c>
      <c r="G454" t="s">
        <v>127</v>
      </c>
      <c r="H454" t="s">
        <v>406</v>
      </c>
    </row>
    <row r="455" spans="1:8" x14ac:dyDescent="0.2">
      <c r="A455" t="s">
        <v>340</v>
      </c>
      <c r="B455" s="3">
        <f>6.9e-05/0.047319</f>
        <v>0.0014581880428580485</v>
      </c>
      <c r="C455" t="s">
        <v>7</v>
      </c>
      <c r="E455" t="s">
        <v>3</v>
      </c>
      <c r="F455" t="s">
        <v>15</v>
      </c>
      <c r="G455" t="s">
        <v>128</v>
      </c>
      <c r="H455" t="s">
        <v>406</v>
      </c>
    </row>
    <row r="456" spans="1:8" x14ac:dyDescent="0.2">
      <c r="A456" t="s">
        <v>51</v>
      </c>
      <c r="B456" s="3">
        <f>0.031/0.047319</f>
        <v>0.6551279612840508</v>
      </c>
      <c r="C456" t="s">
        <v>7</v>
      </c>
      <c r="E456" t="s">
        <v>17</v>
      </c>
      <c r="F456" t="s">
        <v>15</v>
      </c>
      <c r="G456" t="s">
        <v>52</v>
      </c>
      <c r="H456" t="s">
        <v>406</v>
      </c>
    </row>
    <row r="457" spans="1:8" x14ac:dyDescent="0.2">
      <c r="A457" t="s">
        <v>22</v>
      </c>
      <c r="B457" s="13">
        <f>0.046/0.047319</f>
        <v>0.9721253619053657</v>
      </c>
      <c r="C457" t="s">
        <v>23</v>
      </c>
      <c r="E457" t="s">
        <v>54</v>
      </c>
      <c r="F457" t="s">
        <v>15</v>
      </c>
      <c r="G457" t="s">
        <v>24</v>
      </c>
    </row>
    <row r="458" spans="1:8" x14ac:dyDescent="0.2">
      <c r="A458" t="s">
        <v>49</v>
      </c>
      <c r="B458" s="23">
        <f>-3.1e-05/0.047319</f>
        <v>-0.0006551279612840509</v>
      </c>
      <c r="C458" t="s">
        <v>45</v>
      </c>
      <c r="E458" t="s">
        <v>17</v>
      </c>
      <c r="F458" t="s">
        <v>15</v>
      </c>
      <c r="G458" t="s">
        <v>50</v>
      </c>
      <c r="H458" t="s">
        <v>372</v>
      </c>
    </row>
    <row r="459" spans="1:8" x14ac:dyDescent="0.2">
      <c r="B459" s="8"/>
    </row>
    <row r="460" spans="1:8" ht="16" x14ac:dyDescent="0.2">
      <c r="A460" s="1" t="s">
        <v>0</v>
      </c>
      <c r="B460" s="1" t="s">
        <v>440</v>
      </c>
    </row>
    <row r="461" spans="1:8" x14ac:dyDescent="0.2">
      <c r="A461" t="s">
        <v>1</v>
      </c>
      <c r="B461" t="inlineStr">
        <is>
          <t>APPROVED Li-S BASE-DESIGN ENGINEERING RECONCILIATION, item15, 2026-10-18. Wickerts corrected SI, DOI10.1021/acssuschemeng.4c01782.s001 Tables S19/S21: use baseline B recipe with the existing150 Wh/kg-cell and1500-cycle reference, rather than technical T ingredients associated with500 Wh/kg. Per cell: Li4g, separator6g, cathode8g, electrolyte29g, pouch.13g, negative tab.12g, positive tab.069g. Detailed retained masses sum47.319g, conflicting with source46g average. Adopt47.319g as the explicit engineering mass basis (not a measured corrected source cell); no arbitrary rescaling of individual ingredients. At150 Wh/kg this is7.09785 Wh/cell. Cathode B perkg: sulfur.28, CMK3.22, PVDF.13, acetonitrile.044, foil.38, organic waste-.054; inputs1.054kg=1kg product+.054kg waste. Preserve process-specific energy and transport. Source PVDF binder uses the existing polyvinylfluoride supply as an explicitly retained cross-version fluoropolymer proxy; exact binder chemistry remains a coverage/model gap, not a verified PVDF route. Per-cell assembly/formation/factory requirements retain their source cell amounts and are divided by47.319g. Module408cells=19.306152kg plus.275Al busbar+.593bimetal+.085Cu+2.75PP+2.5steel =25.509152kg. Cell share is0.7568323713779275. The mobile capacity market normalizes exactly to1 gross kWh at.150kWh/kg-cell, with.120-.180 endpoints and paired waste masses. Future density factors remain the existing relative learning assumption with fixed recipe; this does not validate a future physical cell design, cycle aging or calendar life. Controls/cooling are treated separately under item13. Source average-mass conflict and future recipe evolution remain explicit gaps. This supersedes older24.971kg-module/46g-cell and500Wh/kg-composition statements below.
PREVIOUS NOTES (retained as history; the correction above takes precedence):
Source: Wickerts et al. (2023). Prospective Life Cycle Assessment of Lithium-Sulfur Batteries for Stationary Energy Storage. ACS Sustainable Chemistry &amp; Engineering. https://doi.org/10.1021/acssuschemeng.3c00141. Manufacturing of Li-S cells was based on the work by Chordia, M.; Nordelöf, A.; Ellingsen, L. A.-W. Environmental life cycle implications of upscaling lithium-ion battery production. Int. J. Life Cycle Assess. 2021, 26, 2024– 2039,  DOI: 10.1007/s11367-021-01976-0 8. Note that the factory construction and operation is included in this activity, and not in the "1 kWh storage capacity" as it is in the supporting information.</t>
        </is>
      </c>
      <c r="H461" s="5"/>
    </row>
    <row r="462" spans="1:8" x14ac:dyDescent="0.2">
      <c r="A462" t="s">
        <v>2</v>
      </c>
      <c r="B462" t="s">
        <v>3</v>
      </c>
    </row>
    <row r="463" spans="1:8" x14ac:dyDescent="0.2">
      <c r="A463" t="s">
        <v>4</v>
      </c>
      <c r="B463">
        <v>1</v>
      </c>
    </row>
    <row r="464" spans="1:8" x14ac:dyDescent="0.2">
      <c r="A464" t="s">
        <v>5</v>
      </c>
      <c r="B464" t="s">
        <v>407</v>
      </c>
    </row>
    <row r="465" spans="1:7" x14ac:dyDescent="0.2">
      <c r="A465" t="s">
        <v>6</v>
      </c>
      <c r="B465" t="s">
        <v>7</v>
      </c>
    </row>
    <row r="466" spans="1:7" x14ac:dyDescent="0.2">
      <c r="A466" t="s">
        <v>8</v>
      </c>
      <c r="B466" t="s">
        <v>444</v>
      </c>
    </row>
    <row r="467" spans="1:7" x14ac:dyDescent="0.2">
      <c r="A467" s="2" t="s">
        <v>9</v>
      </c>
    </row>
    <row r="468" spans="1:7" x14ac:dyDescent="0.2">
      <c r="A468" t="s">
        <v>10</v>
      </c>
      <c r="B468" t="s">
        <v>11</v>
      </c>
      <c r="C468" t="s">
        <v>6</v>
      </c>
      <c r="D468" t="s">
        <v>2</v>
      </c>
      <c r="E468" t="s">
        <v>12</v>
      </c>
      <c r="F468" t="s">
        <v>5</v>
      </c>
      <c r="G468" t="s">
        <v>1</v>
      </c>
    </row>
    <row r="469" spans="1:7" x14ac:dyDescent="0.2">
      <c r="A469" t="s">
        <v>440</v>
      </c>
      <c r="B469">
        <v>1</v>
      </c>
      <c r="C469" t="s">
        <v>7</v>
      </c>
      <c r="D469" t="s">
        <v>3</v>
      </c>
      <c r="E469" t="s">
        <v>13</v>
      </c>
      <c r="F469" t="s">
        <v>407</v>
      </c>
    </row>
    <row r="470" spans="1:7" x14ac:dyDescent="0.2">
      <c r="A470" t="s">
        <v>443</v>
      </c>
      <c r="B470">
        <v>1</v>
      </c>
      <c r="C470" t="s">
        <v>7</v>
      </c>
      <c r="D470" t="s">
        <v>3</v>
      </c>
      <c r="E470" t="s">
        <v>15</v>
      </c>
      <c r="F470" t="s">
        <v>441</v>
      </c>
    </row>
    <row r="471" spans="1:7" x14ac:dyDescent="0.2">
      <c r="A471" t="s">
        <v>22</v>
      </c>
      <c r="B471" s="5">
        <f>0.225/0.047319</f>
        <v>4.754961009319723</v>
      </c>
      <c r="C471" t="s">
        <v>23</v>
      </c>
      <c r="D471" t="s">
        <v>54</v>
      </c>
      <c r="E471" t="s">
        <v>15</v>
      </c>
      <c r="F471" t="s">
        <v>24</v>
      </c>
      <c r="G471" t="s">
        <v>417</v>
      </c>
    </row>
    <row r="472" spans="1:7" x14ac:dyDescent="0.2">
      <c r="A472" t="s">
        <v>342</v>
      </c>
      <c r="B472" s="13">
        <f>1.15e-08/0.047319</f>
        <v>2.4303134047634144e-07</v>
      </c>
      <c r="C472" t="s">
        <v>6</v>
      </c>
      <c r="D472" t="s">
        <v>3</v>
      </c>
      <c r="E472" t="s">
        <v>15</v>
      </c>
      <c r="F472" t="s">
        <v>133</v>
      </c>
      <c r="G472" t="s">
        <v>417</v>
      </c>
    </row>
    <row r="473" spans="1:7" x14ac:dyDescent="0.2">
      <c r="B473" s="8"/>
    </row>
    <row r="474" spans="1:7" ht="16" x14ac:dyDescent="0.2">
      <c r="A474" s="1" t="s">
        <v>0</v>
      </c>
      <c r="B474" s="1" t="s">
        <v>342</v>
      </c>
    </row>
    <row r="475" spans="1:7" x14ac:dyDescent="0.2">
      <c r="A475" t="s">
        <v>1</v>
      </c>
      <c r="B475" t="s">
        <v>411</v>
      </c>
    </row>
    <row r="476" spans="1:7" x14ac:dyDescent="0.2">
      <c r="A476" t="s">
        <v>2</v>
      </c>
      <c r="B476" t="s">
        <v>3</v>
      </c>
    </row>
    <row r="477" spans="1:7" x14ac:dyDescent="0.2">
      <c r="A477" t="s">
        <v>4</v>
      </c>
      <c r="B477">
        <v>1</v>
      </c>
    </row>
    <row r="478" spans="1:7" x14ac:dyDescent="0.2">
      <c r="A478" t="s">
        <v>5</v>
      </c>
      <c r="B478" t="s">
        <v>133</v>
      </c>
    </row>
    <row r="479" spans="1:7" x14ac:dyDescent="0.2">
      <c r="A479" t="s">
        <v>6</v>
      </c>
      <c r="B479" t="s">
        <v>6</v>
      </c>
    </row>
    <row r="480" spans="1:7" x14ac:dyDescent="0.2">
      <c r="A480" t="s">
        <v>8</v>
      </c>
      <c r="B480" t="s">
        <v>309</v>
      </c>
    </row>
    <row r="481" spans="1:7" x14ac:dyDescent="0.2">
      <c r="A481" s="2" t="s">
        <v>9</v>
      </c>
    </row>
    <row r="482" spans="1:7" x14ac:dyDescent="0.2">
      <c r="A482" t="s">
        <v>10</v>
      </c>
      <c r="B482" t="s">
        <v>11</v>
      </c>
      <c r="C482" t="s">
        <v>6</v>
      </c>
      <c r="D482" t="s">
        <v>2</v>
      </c>
      <c r="E482" t="s">
        <v>12</v>
      </c>
      <c r="F482" t="s">
        <v>5</v>
      </c>
      <c r="G482" t="s">
        <v>292</v>
      </c>
    </row>
    <row r="483" spans="1:7" x14ac:dyDescent="0.2">
      <c r="A483" t="s">
        <v>342</v>
      </c>
      <c r="B483">
        <v>1</v>
      </c>
      <c r="C483" t="s">
        <v>6</v>
      </c>
      <c r="D483" t="s">
        <v>3</v>
      </c>
      <c r="E483" t="s">
        <v>13</v>
      </c>
      <c r="F483" t="s">
        <v>133</v>
      </c>
    </row>
    <row r="484" spans="1:7" x14ac:dyDescent="0.2">
      <c r="A484" t="s">
        <v>129</v>
      </c>
      <c r="B484" s="4">
        <v>7.4999999999999997E-2</v>
      </c>
      <c r="C484" t="s">
        <v>6</v>
      </c>
      <c r="D484" t="s">
        <v>3</v>
      </c>
      <c r="E484" t="s">
        <v>15</v>
      </c>
      <c r="F484" t="s">
        <v>130</v>
      </c>
    </row>
    <row r="485" spans="1:7" x14ac:dyDescent="0.2">
      <c r="A485" t="s">
        <v>131</v>
      </c>
      <c r="B485" s="8">
        <v>7.0099999999999997E-3</v>
      </c>
      <c r="C485" t="s">
        <v>6</v>
      </c>
      <c r="D485" t="s">
        <v>3</v>
      </c>
      <c r="E485" t="s">
        <v>15</v>
      </c>
      <c r="F485" t="s">
        <v>132</v>
      </c>
    </row>
    <row r="486" spans="1:7" x14ac:dyDescent="0.2">
      <c r="A486" t="s">
        <v>22</v>
      </c>
      <c r="B486" s="13">
        <f>24.1*1000000</f>
        <v>24100000</v>
      </c>
      <c r="C486" t="s">
        <v>23</v>
      </c>
      <c r="D486" t="s">
        <v>54</v>
      </c>
      <c r="E486" t="s">
        <v>15</v>
      </c>
      <c r="F486" t="s">
        <v>24</v>
      </c>
      <c r="G486" t="s">
        <v>368</v>
      </c>
    </row>
    <row r="487" spans="1:7" x14ac:dyDescent="0.2">
      <c r="A487" t="s">
        <v>33</v>
      </c>
      <c r="B487" s="18">
        <f>48.3*1000000</f>
        <v>48300000</v>
      </c>
      <c r="C487" t="s">
        <v>34</v>
      </c>
      <c r="D487" t="s">
        <v>17</v>
      </c>
      <c r="E487" t="s">
        <v>15</v>
      </c>
      <c r="F487" t="s">
        <v>35</v>
      </c>
      <c r="G487" t="s">
        <v>381</v>
      </c>
    </row>
    <row r="488" spans="1:7" x14ac:dyDescent="0.2">
      <c r="A488" t="s">
        <v>80</v>
      </c>
      <c r="B488" s="18">
        <f>59.7*1000000</f>
        <v>59700000</v>
      </c>
      <c r="C488" t="s">
        <v>34</v>
      </c>
      <c r="D488" t="s">
        <v>3</v>
      </c>
      <c r="E488" t="s">
        <v>15</v>
      </c>
      <c r="F488" t="s">
        <v>81</v>
      </c>
      <c r="G488" t="s">
        <v>369</v>
      </c>
    </row>
    <row r="490" spans="1:7" ht="16" x14ac:dyDescent="0.2">
      <c r="A490" s="1" t="s">
        <v>0</v>
      </c>
      <c r="B490" s="1" t="s">
        <v>343</v>
      </c>
    </row>
    <row r="491" spans="1:7" ht="16" x14ac:dyDescent="0.2">
      <c r="A491" s="16" t="s">
        <v>1</v>
      </c>
      <c r="B491" s="16" t="inlineStr">
        <is>
          <t>APPROVED Li-S BASE-DESIGN ENGINEERING RECONCILIATION, item15, 2026-10-18. Wickerts corrected SI, DOI10.1021/acssuschemeng.4c01782.s001 Tables S19/S21: use baseline B recipe with the existing150 Wh/kg-cell and1500-cycle reference, rather than technical T ingredients associated with500 Wh/kg. Per cell: Li4g, separator6g, cathode8g, electrolyte29g, pouch.13g, negative tab.12g, positive tab.069g. Detailed retained masses sum47.319g, conflicting with source46g average. Adopt47.319g as the explicit engineering mass basis (not a measured corrected source cell); no arbitrary rescaling of individual ingredients. At150 Wh/kg this is7.09785 Wh/cell. Cathode B perkg: sulfur.28, CMK3.22, PVDF.13, acetonitrile.044, foil.38, organic waste-.054; inputs1.054kg=1kg product+.054kg waste. Preserve process-specific energy and transport. Source PVDF binder uses the existing polyvinylfluoride supply as an explicitly retained cross-version fluoropolymer proxy; exact binder chemistry remains a coverage/model gap, not a verified PVDF route. Per-cell assembly/formation/factory requirements retain their source cell amounts and are divided by47.319g. Module408cells=19.306152kg plus.275Al busbar+.593bimetal+.085Cu+2.75PP+2.5steel =25.509152kg. Cell share is0.7568323713779275. The mobile capacity market normalizes exactly to1 gross kWh at.150kWh/kg-cell, with.120-.180 endpoints and paired waste masses. Future density factors remain the existing relative learning assumption with fixed recipe; this does not validate a future physical cell design, cycle aging or calendar life. Controls/cooling are treated separately under item13. Source average-mass conflict and future recipe evolution remain explicit gaps. This supersedes older24.971kg-module/46g-cell and500Wh/kg-composition statements below.
PREVIOUS NOTES (retained as history; the correction above takes precedence):
APPROVED Li-S CELL/MODULE METADATA CLARIFICATION, 2026-10-18. The implemented 150 Wh/kg (0.150 kWh/kg) is a CELL-specific reference, not energy per kg module. The existing module recipe contains 408*0.046/24.971 = 0.7515918465419887 kg cell/kg module, giving 0.1127387769812983 kWh/kg module at that cell reference. At the inherited 1500 cycles, 225 kWh/kg applies to CELL mass; the corresponding reference is 169.10816547194747 kWh/kg MODULE. Market output is 1 kg battery module, not a 321 kg system (that was a copied Li-O2 label). These are explanatory conversions under existing assumptions; no recipe, density trajectory, cycle life, replacement or per-MJ allocation is changed. IMPORTANT UNRESOLVED DESIGN GAP: the Wickerts composition reference uses a 500 Wh/kg cell design, whereas the implemented baseline is 150 Wh/kg; this documentation does not reconcile their physical designs or validate complete BMS/cooling coverage. Historical statements below are retained only as history and the cell/module clarification above takes precedence.
PREVIOUS NOTES (retained as history; the correction above takes precedence):
Specific energy density: 150 Wh/kg. Projected up to 500 Wh/kg in an optimistic future || Cycle life: 1500 || Lifetime: 225 kWh/kg.Source: Wickerts et al. (2023). Prospective Life Cycle Assessment of Lithium-Sulfur Batteries for Stationary Energy Storage. ACS Sustainable Chemistry &amp; Engineering. https://doi.org/10.1021/acssuschemeng.3c00141</t>
        </is>
      </c>
    </row>
    <row r="492" spans="1:7" x14ac:dyDescent="0.2">
      <c r="A492" t="s">
        <v>2</v>
      </c>
      <c r="B492" t="s">
        <v>3</v>
      </c>
    </row>
    <row r="493" spans="1:7" x14ac:dyDescent="0.2">
      <c r="A493" t="s">
        <v>4</v>
      </c>
      <c r="B493">
        <v>1</v>
      </c>
    </row>
    <row r="494" spans="1:7" x14ac:dyDescent="0.2">
      <c r="A494" t="s">
        <v>5</v>
      </c>
      <c r="B494" t="s">
        <v>414</v>
      </c>
    </row>
    <row r="495" spans="1:7" x14ac:dyDescent="0.2">
      <c r="A495" t="s">
        <v>6</v>
      </c>
      <c r="B495" t="s">
        <v>7</v>
      </c>
    </row>
    <row r="496" spans="1:7" x14ac:dyDescent="0.2">
      <c r="A496" t="s">
        <v>8</v>
      </c>
      <c r="B496" t="s">
        <v>310</v>
      </c>
    </row>
    <row r="497" spans="1:11" x14ac:dyDescent="0.2">
      <c r="A497" s="2" t="s">
        <v>9</v>
      </c>
    </row>
    <row r="498" spans="1:11" x14ac:dyDescent="0.2">
      <c r="A498" t="s">
        <v>10</v>
      </c>
      <c r="B498" t="s">
        <v>11</v>
      </c>
      <c r="C498" t="s">
        <v>6</v>
      </c>
      <c r="D498" t="s">
        <v>42</v>
      </c>
      <c r="E498" t="s">
        <v>2</v>
      </c>
      <c r="F498" t="s">
        <v>12</v>
      </c>
      <c r="G498" t="s">
        <v>5</v>
      </c>
      <c r="H498" t="s">
        <v>1</v>
      </c>
    </row>
    <row r="499" spans="1:11" x14ac:dyDescent="0.2">
      <c r="A499" t="s">
        <v>343</v>
      </c>
      <c r="B499">
        <v>1</v>
      </c>
      <c r="C499" t="s">
        <v>7</v>
      </c>
      <c r="E499" t="s">
        <v>3</v>
      </c>
      <c r="F499" t="s">
        <v>13</v>
      </c>
      <c r="G499" t="s">
        <v>414</v>
      </c>
    </row>
    <row r="500" spans="1:11" x14ac:dyDescent="0.2">
      <c r="A500" t="s">
        <v>440</v>
      </c>
      <c r="B500" s="5">
        <f>19.306152/25.509152</f>
        <v>0.7568323713779275</v>
      </c>
      <c r="C500" t="s">
        <v>7</v>
      </c>
      <c r="E500" t="s">
        <v>3</v>
      </c>
      <c r="F500" t="s">
        <v>15</v>
      </c>
      <c r="G500" t="s">
        <v>407</v>
      </c>
      <c r="H500" t="s">
        <v>418</v>
      </c>
    </row>
    <row r="501" spans="1:11" x14ac:dyDescent="0.2">
      <c r="A501" t="s">
        <v>344</v>
      </c>
      <c r="B501" s="5">
        <f>0.275/25.509152</f>
        <v>0.010780444602784132</v>
      </c>
      <c r="C501" t="s">
        <v>7</v>
      </c>
      <c r="E501" t="s">
        <v>3</v>
      </c>
      <c r="F501" t="s">
        <v>15</v>
      </c>
      <c r="G501" t="s">
        <v>134</v>
      </c>
    </row>
    <row r="502" spans="1:11" x14ac:dyDescent="0.2">
      <c r="A502" t="s">
        <v>345</v>
      </c>
      <c r="B502" s="5">
        <f>0.593/25.509152</f>
        <v>0.023246558725276322</v>
      </c>
      <c r="C502" t="s">
        <v>7</v>
      </c>
      <c r="E502" t="s">
        <v>3</v>
      </c>
      <c r="F502" t="s">
        <v>15</v>
      </c>
      <c r="G502" t="s">
        <v>135</v>
      </c>
    </row>
    <row r="503" spans="1:11" ht="16" x14ac:dyDescent="0.2">
      <c r="A503" s="16" t="s">
        <v>346</v>
      </c>
      <c r="B503" s="4">
        <f>0.085/25.509152</f>
        <v>0.003332137422678731</v>
      </c>
      <c r="C503" t="s">
        <v>7</v>
      </c>
      <c r="E503" t="s">
        <v>3</v>
      </c>
      <c r="F503" t="s">
        <v>15</v>
      </c>
      <c r="G503" t="s">
        <v>136</v>
      </c>
    </row>
    <row r="504" spans="1:11" x14ac:dyDescent="0.2">
      <c r="A504" t="s">
        <v>36</v>
      </c>
      <c r="B504" s="7">
        <f>2.75/25.509152</f>
        <v>0.1078044460278413</v>
      </c>
      <c r="C504" t="s">
        <v>7</v>
      </c>
      <c r="E504" t="s">
        <v>3</v>
      </c>
      <c r="F504" t="s">
        <v>15</v>
      </c>
      <c r="G504" t="s">
        <v>37</v>
      </c>
      <c r="I504" s="23"/>
      <c r="J504" s="18"/>
      <c r="K504" s="18"/>
    </row>
    <row r="505" spans="1:11" x14ac:dyDescent="0.2">
      <c r="A505" t="s">
        <v>137</v>
      </c>
      <c r="B505" s="7">
        <f>2.5/25.509152</f>
        <v>0.0980040418434921</v>
      </c>
      <c r="C505" t="s">
        <v>7</v>
      </c>
      <c r="E505" t="s">
        <v>3</v>
      </c>
      <c r="F505" t="s">
        <v>15</v>
      </c>
      <c r="G505" t="s">
        <v>138</v>
      </c>
    </row>
    <row r="506" spans="1:11" x14ac:dyDescent="0.2">
      <c r="A506" t="s">
        <v>18</v>
      </c>
      <c r="B506" s="7">
        <f>2.75/25.509152</f>
        <v>0.1078044460278413</v>
      </c>
      <c r="C506" t="s">
        <v>7</v>
      </c>
      <c r="E506" t="s">
        <v>3</v>
      </c>
      <c r="F506" t="s">
        <v>15</v>
      </c>
      <c r="G506" t="s">
        <v>19</v>
      </c>
    </row>
    <row r="507" spans="1:11" x14ac:dyDescent="0.2">
      <c r="A507" t="s">
        <v>139</v>
      </c>
      <c r="B507" s="13">
        <f>2.5/25.509152</f>
        <v>0.0980040418434921</v>
      </c>
      <c r="C507" t="s">
        <v>7</v>
      </c>
      <c r="E507" t="s">
        <v>3</v>
      </c>
      <c r="F507" t="s">
        <v>15</v>
      </c>
      <c r="G507" t="s">
        <v>140</v>
      </c>
    </row>
    <row r="508" spans="1:11" x14ac:dyDescent="0.2">
      <c r="B508" s="8"/>
    </row>
    <row r="509" spans="1:11" ht="16" x14ac:dyDescent="0.2">
      <c r="A509" s="1" t="s">
        <v>0</v>
      </c>
      <c r="B509" s="1" t="s">
        <v>456</v>
      </c>
    </row>
    <row r="510" spans="1:11" ht="16" x14ac:dyDescent="0.2">
      <c r="A510" t="s">
        <v>1</v>
      </c>
      <c r="B510" s="28" t="inlineStr">
        <is>
          <t>APPROVED Li-S BASE-DESIGN ENGINEERING RECONCILIATION, item15, 2026-10-18. Wickerts corrected SI, DOI10.1021/acssuschemeng.4c01782.s001 Tables S19/S21: use baseline B recipe with the existing150 Wh/kg-cell and1500-cycle reference, rather than technical T ingredients associated with500 Wh/kg. Per cell: Li4g, separator6g, cathode8g, electrolyte29g, pouch.13g, negative tab.12g, positive tab.069g. Detailed retained masses sum47.319g, conflicting with source46g average. Adopt47.319g as the explicit engineering mass basis (not a measured corrected source cell); no arbitrary rescaling of individual ingredients. At150 Wh/kg this is7.09785 Wh/cell. Cathode B perkg: sulfur.28, CMK3.22, PVDF.13, acetonitrile.044, foil.38, organic waste-.054; inputs1.054kg=1kg product+.054kg waste. Preserve process-specific energy and transport. Source PVDF binder uses the existing polyvinylfluoride supply as an explicitly retained cross-version fluoropolymer proxy; exact binder chemistry remains a coverage/model gap, not a verified PVDF route. Per-cell assembly/formation/factory requirements retain their source cell amounts and are divided by47.319g. Module408cells=19.306152kg plus.275Al busbar+.593bimetal+.085Cu+2.75PP+2.5steel =25.509152kg. Cell share is0.7568323713779275. The mobile capacity market normalizes exactly to1 gross kWh at.150kWh/kg-cell, with.120-.180 endpoints and paired waste masses. Future density factors remain the existing relative learning assumption with fixed recipe; this does not validate a future physical cell design, cycle aging or calendar life. Controls/cooling are treated separately under item13. Source average-mass conflict and future recipe evolution remain explicit gaps. This supersedes older24.971kg-module/46g-cell and500Wh/kg-composition statements below.
PREVIOUS NOTES (retained as history; the correction above takes precedence):
APPROVED Li-S CELL/MODULE METADATA CLARIFICATION, 2026-10-18. The implemented 150 Wh/kg (0.150 kWh/kg) is a CELL-specific reference, not energy per kg module. The existing module recipe contains 408*0.046/24.971 = 0.7515918465419887 kg cell/kg module, giving 0.1127387769812983 kWh/kg module at that cell reference. At the inherited 1500 cycles, 225 kWh/kg applies to CELL mass; the corresponding reference is 169.10816547194747 kWh/kg MODULE. Market output is 1 kg battery module, not a 321 kg system (that was a copied Li-O2 label). These are explanatory conversions under existing assumptions; no recipe, density trajectory, cycle life, replacement or per-MJ allocation is changed. IMPORTANT UNRESOLVED DESIGN GAP: the Wickerts composition reference uses a 500 Wh/kg cell design, whereas the implemented baseline is 150 Wh/kg; this documentation does not reconcile their physical designs or validate complete BMS/cooling coverage. Historical statements below are retained only as history and the cell/module clarification above takes precedence.
PREVIOUS NOTES (retained as history; the correction above takes precedence):
Specific energy density: 150 Wh/kg. Projected up to 500 Wh/kg in an optimistic future || Cycle life: 1500 || Lifetime: 225 kWh/kg.Source: Wickerts et al. (2023). Prospective Life Cycle Assessment of Lithium-Sulfur Batteries for Stationary Energy Storage. ACS Sustainable Chemistry &amp; Engineering. https://doi.org/10.1021/acssuschemeng.3c00141</t>
        </is>
      </c>
    </row>
    <row r="511" spans="1:11" x14ac:dyDescent="0.2">
      <c r="A511" t="s">
        <v>2</v>
      </c>
      <c r="B511" t="s">
        <v>3</v>
      </c>
    </row>
    <row r="512" spans="1:11" x14ac:dyDescent="0.2">
      <c r="A512" t="s">
        <v>4</v>
      </c>
      <c r="B512">
        <v>1</v>
      </c>
    </row>
    <row r="513" spans="1:8" x14ac:dyDescent="0.2">
      <c r="A513" t="s">
        <v>5</v>
      </c>
      <c r="B513" t="s">
        <v>457</v>
      </c>
    </row>
    <row r="514" spans="1:8" x14ac:dyDescent="0.2">
      <c r="A514" t="s">
        <v>6</v>
      </c>
      <c r="B514" t="s">
        <v>7</v>
      </c>
    </row>
    <row r="515" spans="1:8" x14ac:dyDescent="0.2">
      <c r="A515" t="s">
        <v>8</v>
      </c>
      <c r="B515" t="s">
        <v>444</v>
      </c>
    </row>
    <row r="516" spans="1:8" x14ac:dyDescent="0.2">
      <c r="A516" s="2" t="s">
        <v>9</v>
      </c>
      <c r="B516" s="2"/>
      <c r="C516" s="2"/>
      <c r="D516" s="2"/>
      <c r="E516" s="2"/>
      <c r="F516" s="2"/>
      <c r="G516" s="2"/>
    </row>
    <row r="517" spans="1:8" x14ac:dyDescent="0.2">
      <c r="A517" s="2" t="s">
        <v>10</v>
      </c>
      <c r="B517" s="2" t="s">
        <v>11</v>
      </c>
      <c r="C517" s="2" t="s">
        <v>6</v>
      </c>
      <c r="D517" s="2" t="s">
        <v>42</v>
      </c>
      <c r="E517" s="2" t="s">
        <v>2</v>
      </c>
      <c r="F517" s="2" t="s">
        <v>12</v>
      </c>
      <c r="G517" s="2" t="s">
        <v>5</v>
      </c>
      <c r="H517" s="2" t="s">
        <v>1</v>
      </c>
    </row>
    <row r="518" spans="1:8" ht="16" x14ac:dyDescent="0.2">
      <c r="A518" s="27" t="str">
        <f>B509</f>
        <v>market for battery, Li-sulfur, Li-S</v>
      </c>
      <c r="B518">
        <v>1</v>
      </c>
      <c r="C518" t="s">
        <v>7</v>
      </c>
      <c r="E518" t="str">
        <f>B511</f>
        <v>GLO</v>
      </c>
      <c r="F518" t="s">
        <v>13</v>
      </c>
      <c r="G518" t="str">
        <f>B513</f>
        <v>battery, Li-S</v>
      </c>
      <c r="H518" t="inlineStr">
        <is>
          <t>One kg baseline engineering Li-S module; cell47.319g,408cells/module, module25.509152kg,150Wh/kg cell. See current activity comment; older copied whole-system labels are superseded.</t>
        </is>
      </c>
    </row>
    <row r="519" spans="1:8" x14ac:dyDescent="0.2">
      <c r="A519" t="s">
        <v>343</v>
      </c>
      <c r="B519">
        <v>1</v>
      </c>
      <c r="C519" t="s">
        <v>7</v>
      </c>
      <c r="E519" t="s">
        <v>3</v>
      </c>
      <c r="F519" t="s">
        <v>15</v>
      </c>
      <c r="G519" t="s">
        <v>414</v>
      </c>
    </row>
    <row r="520" spans="1:8" x14ac:dyDescent="0.2">
      <c r="A520" t="s">
        <v>447</v>
      </c>
      <c r="B520">
        <v>0.30910727700000001</v>
      </c>
      <c r="C520" t="s">
        <v>448</v>
      </c>
      <c r="E520" t="s">
        <v>3</v>
      </c>
      <c r="F520" t="s">
        <v>15</v>
      </c>
      <c r="G520" t="s">
        <v>449</v>
      </c>
    </row>
    <row r="521" spans="1:8" x14ac:dyDescent="0.2">
      <c r="A521" t="s">
        <v>450</v>
      </c>
      <c r="B521">
        <v>2.4627409999999999E-2</v>
      </c>
      <c r="C521" t="s">
        <v>448</v>
      </c>
      <c r="E521" t="s">
        <v>3</v>
      </c>
      <c r="F521" t="s">
        <v>15</v>
      </c>
      <c r="G521" t="s">
        <v>451</v>
      </c>
    </row>
    <row r="522" spans="1:8" x14ac:dyDescent="0.2">
      <c r="A522" t="s">
        <v>452</v>
      </c>
      <c r="B522">
        <v>0.20877976500000001</v>
      </c>
      <c r="C522" t="s">
        <v>448</v>
      </c>
      <c r="E522" t="s">
        <v>3</v>
      </c>
      <c r="F522" t="s">
        <v>15</v>
      </c>
      <c r="G522" t="s">
        <v>453</v>
      </c>
    </row>
    <row r="523" spans="1:8" x14ac:dyDescent="0.2">
      <c r="A523" t="s">
        <v>454</v>
      </c>
      <c r="B523">
        <v>0.59901584900000004</v>
      </c>
      <c r="C523" t="s">
        <v>448</v>
      </c>
      <c r="E523" t="s">
        <v>3</v>
      </c>
      <c r="F523" t="s">
        <v>15</v>
      </c>
      <c r="G523" t="s">
        <v>455</v>
      </c>
    </row>
    <row r="524" spans="1:8" x14ac:dyDescent="0.2">
      <c r="G524" s="3"/>
    </row>
    <row r="525" spans="1:8" ht="16" x14ac:dyDescent="0.2">
      <c r="A525" s="1" t="s">
        <v>0</v>
      </c>
      <c r="B525" s="1" t="s">
        <v>344</v>
      </c>
    </row>
    <row r="526" spans="1:8" ht="16" x14ac:dyDescent="0.2">
      <c r="A526" s="16" t="s">
        <v>1</v>
      </c>
      <c r="B526" s="16" t="s">
        <v>408</v>
      </c>
    </row>
    <row r="527" spans="1:8" x14ac:dyDescent="0.2">
      <c r="A527" t="s">
        <v>2</v>
      </c>
      <c r="B527" t="s">
        <v>3</v>
      </c>
    </row>
    <row r="528" spans="1:8" x14ac:dyDescent="0.2">
      <c r="A528" t="s">
        <v>4</v>
      </c>
      <c r="B528">
        <v>1</v>
      </c>
    </row>
    <row r="529" spans="1:8" x14ac:dyDescent="0.2">
      <c r="A529" t="s">
        <v>5</v>
      </c>
      <c r="B529" t="s">
        <v>134</v>
      </c>
    </row>
    <row r="530" spans="1:8" x14ac:dyDescent="0.2">
      <c r="A530" t="s">
        <v>6</v>
      </c>
      <c r="B530" t="s">
        <v>7</v>
      </c>
    </row>
    <row r="531" spans="1:8" x14ac:dyDescent="0.2">
      <c r="A531" t="s">
        <v>8</v>
      </c>
      <c r="B531" t="s">
        <v>311</v>
      </c>
    </row>
    <row r="532" spans="1:8" x14ac:dyDescent="0.2">
      <c r="A532" s="2" t="s">
        <v>9</v>
      </c>
    </row>
    <row r="533" spans="1:8" x14ac:dyDescent="0.2">
      <c r="A533" t="s">
        <v>10</v>
      </c>
      <c r="B533" t="s">
        <v>11</v>
      </c>
      <c r="C533" t="s">
        <v>6</v>
      </c>
      <c r="D533" t="s">
        <v>42</v>
      </c>
      <c r="E533" t="s">
        <v>2</v>
      </c>
      <c r="F533" t="s">
        <v>12</v>
      </c>
      <c r="G533" t="s">
        <v>5</v>
      </c>
      <c r="H533" t="s">
        <v>1</v>
      </c>
    </row>
    <row r="534" spans="1:8" x14ac:dyDescent="0.2">
      <c r="A534" t="s">
        <v>344</v>
      </c>
      <c r="B534">
        <v>1</v>
      </c>
      <c r="C534" t="s">
        <v>7</v>
      </c>
      <c r="E534" t="s">
        <v>3</v>
      </c>
      <c r="F534" t="s">
        <v>13</v>
      </c>
      <c r="G534" t="s">
        <v>134</v>
      </c>
    </row>
    <row r="535" spans="1:8" x14ac:dyDescent="0.2">
      <c r="A535" t="s">
        <v>144</v>
      </c>
      <c r="B535" s="4">
        <v>9.0999999999999998E-2</v>
      </c>
      <c r="C535" t="s">
        <v>7</v>
      </c>
      <c r="E535" t="s">
        <v>3</v>
      </c>
      <c r="F535" t="s">
        <v>15</v>
      </c>
      <c r="G535" t="s">
        <v>145</v>
      </c>
    </row>
    <row r="536" spans="1:8" x14ac:dyDescent="0.2">
      <c r="A536" t="s">
        <v>58</v>
      </c>
      <c r="B536" s="13">
        <f>1.4*10^-10</f>
        <v>1.4000000000000001E-10</v>
      </c>
      <c r="C536" t="s">
        <v>6</v>
      </c>
      <c r="E536" t="s">
        <v>3</v>
      </c>
      <c r="F536" t="s">
        <v>15</v>
      </c>
      <c r="G536" t="s">
        <v>59</v>
      </c>
    </row>
    <row r="537" spans="1:8" x14ac:dyDescent="0.2">
      <c r="A537" t="s">
        <v>245</v>
      </c>
      <c r="B537" s="5">
        <v>0.91</v>
      </c>
      <c r="C537" t="s">
        <v>7</v>
      </c>
      <c r="E537" t="s">
        <v>3</v>
      </c>
      <c r="F537" t="s">
        <v>15</v>
      </c>
      <c r="G537" t="s">
        <v>246</v>
      </c>
    </row>
    <row r="538" spans="1:8" x14ac:dyDescent="0.2">
      <c r="A538" t="s">
        <v>18</v>
      </c>
      <c r="B538" s="4">
        <v>9.0999999999999998E-2</v>
      </c>
      <c r="C538" t="s">
        <v>7</v>
      </c>
      <c r="E538" t="s">
        <v>3</v>
      </c>
      <c r="F538" t="s">
        <v>15</v>
      </c>
      <c r="G538" t="s">
        <v>19</v>
      </c>
    </row>
    <row r="539" spans="1:8" x14ac:dyDescent="0.2">
      <c r="A539" t="s">
        <v>205</v>
      </c>
      <c r="B539" s="5">
        <v>0.91</v>
      </c>
      <c r="C539" t="s">
        <v>7</v>
      </c>
      <c r="E539" t="s">
        <v>17</v>
      </c>
      <c r="F539" t="s">
        <v>15</v>
      </c>
      <c r="G539" t="s">
        <v>205</v>
      </c>
    </row>
    <row r="540" spans="1:8" x14ac:dyDescent="0.2">
      <c r="A540" t="s">
        <v>72</v>
      </c>
      <c r="B540" s="13">
        <f>6.7*10^-11</f>
        <v>6.7000000000000001E-11</v>
      </c>
      <c r="C540" t="s">
        <v>6</v>
      </c>
      <c r="E540" t="s">
        <v>3</v>
      </c>
      <c r="F540" t="s">
        <v>15</v>
      </c>
      <c r="G540" t="s">
        <v>73</v>
      </c>
      <c r="H540" t="s">
        <v>392</v>
      </c>
    </row>
    <row r="541" spans="1:8" x14ac:dyDescent="0.2">
      <c r="B541" s="8"/>
    </row>
    <row r="542" spans="1:8" x14ac:dyDescent="0.2">
      <c r="B542" s="8"/>
    </row>
    <row r="544" spans="1:8" ht="16" x14ac:dyDescent="0.2">
      <c r="A544" s="1" t="s">
        <v>0</v>
      </c>
      <c r="B544" s="1" t="s">
        <v>345</v>
      </c>
    </row>
    <row r="545" spans="1:6" ht="16" x14ac:dyDescent="0.2">
      <c r="A545" s="16" t="s">
        <v>1</v>
      </c>
      <c r="B545" s="16" t="s">
        <v>408</v>
      </c>
    </row>
    <row r="546" spans="1:6" x14ac:dyDescent="0.2">
      <c r="A546" t="s">
        <v>2</v>
      </c>
      <c r="B546" t="s">
        <v>3</v>
      </c>
    </row>
    <row r="547" spans="1:6" x14ac:dyDescent="0.2">
      <c r="A547" t="s">
        <v>4</v>
      </c>
      <c r="B547">
        <v>1</v>
      </c>
    </row>
    <row r="548" spans="1:6" x14ac:dyDescent="0.2">
      <c r="A548" t="s">
        <v>5</v>
      </c>
      <c r="B548" t="s">
        <v>135</v>
      </c>
    </row>
    <row r="549" spans="1:6" x14ac:dyDescent="0.2">
      <c r="A549" t="s">
        <v>6</v>
      </c>
      <c r="B549" t="s">
        <v>7</v>
      </c>
    </row>
    <row r="550" spans="1:6" x14ac:dyDescent="0.2">
      <c r="A550" t="s">
        <v>8</v>
      </c>
      <c r="B550" t="s">
        <v>311</v>
      </c>
    </row>
    <row r="551" spans="1:6" x14ac:dyDescent="0.2">
      <c r="A551" s="2" t="s">
        <v>9</v>
      </c>
    </row>
    <row r="552" spans="1:6" x14ac:dyDescent="0.2">
      <c r="A552" t="s">
        <v>10</v>
      </c>
      <c r="B552" t="s">
        <v>11</v>
      </c>
      <c r="C552" t="s">
        <v>6</v>
      </c>
      <c r="D552" t="s">
        <v>2</v>
      </c>
      <c r="E552" t="s">
        <v>12</v>
      </c>
      <c r="F552" t="s">
        <v>5</v>
      </c>
    </row>
    <row r="553" spans="1:6" x14ac:dyDescent="0.2">
      <c r="A553" t="s">
        <v>345</v>
      </c>
      <c r="B553">
        <v>1</v>
      </c>
      <c r="C553" t="s">
        <v>7</v>
      </c>
      <c r="D553" t="s">
        <v>3</v>
      </c>
      <c r="E553" t="s">
        <v>13</v>
      </c>
      <c r="F553" t="s">
        <v>135</v>
      </c>
    </row>
    <row r="554" spans="1:6" x14ac:dyDescent="0.2">
      <c r="A554" t="s">
        <v>144</v>
      </c>
      <c r="B554" s="5">
        <v>0.17</v>
      </c>
      <c r="C554" t="s">
        <v>7</v>
      </c>
      <c r="D554" t="s">
        <v>3</v>
      </c>
      <c r="E554" t="s">
        <v>15</v>
      </c>
      <c r="F554" t="s">
        <v>145</v>
      </c>
    </row>
    <row r="555" spans="1:6" x14ac:dyDescent="0.2">
      <c r="A555" t="s">
        <v>245</v>
      </c>
      <c r="B555" s="5">
        <v>0.25</v>
      </c>
      <c r="C555" t="s">
        <v>7</v>
      </c>
      <c r="D555" t="s">
        <v>3</v>
      </c>
      <c r="E555" t="s">
        <v>15</v>
      </c>
      <c r="F555" t="s">
        <v>246</v>
      </c>
    </row>
    <row r="556" spans="1:6" x14ac:dyDescent="0.2">
      <c r="A556" t="s">
        <v>200</v>
      </c>
      <c r="B556" s="4">
        <v>8.5999999999999993E-2</v>
      </c>
      <c r="C556" t="s">
        <v>7</v>
      </c>
      <c r="D556" t="s">
        <v>3</v>
      </c>
      <c r="E556" t="s">
        <v>15</v>
      </c>
      <c r="F556" t="s">
        <v>201</v>
      </c>
    </row>
    <row r="557" spans="1:6" x14ac:dyDescent="0.2">
      <c r="A557" t="s">
        <v>202</v>
      </c>
      <c r="B557" s="5">
        <v>0.49</v>
      </c>
      <c r="C557" t="s">
        <v>7</v>
      </c>
      <c r="D557" t="s">
        <v>3</v>
      </c>
      <c r="E557" t="s">
        <v>15</v>
      </c>
      <c r="F557" t="s">
        <v>203</v>
      </c>
    </row>
    <row r="558" spans="1:6" x14ac:dyDescent="0.2">
      <c r="A558" t="s">
        <v>18</v>
      </c>
      <c r="B558" s="5">
        <v>0.17</v>
      </c>
      <c r="C558" t="s">
        <v>7</v>
      </c>
      <c r="D558" t="s">
        <v>3</v>
      </c>
      <c r="E558" t="s">
        <v>15</v>
      </c>
      <c r="F558" t="s">
        <v>19</v>
      </c>
    </row>
    <row r="559" spans="1:6" x14ac:dyDescent="0.2">
      <c r="A559" t="s">
        <v>25</v>
      </c>
      <c r="B559" s="13">
        <f>3.8*10^-10</f>
        <v>3.7999999999999998E-10</v>
      </c>
      <c r="C559" t="s">
        <v>6</v>
      </c>
      <c r="D559" t="s">
        <v>3</v>
      </c>
      <c r="E559" t="s">
        <v>15</v>
      </c>
      <c r="F559" t="s">
        <v>26</v>
      </c>
    </row>
    <row r="560" spans="1:6" x14ac:dyDescent="0.2">
      <c r="A560" t="s">
        <v>204</v>
      </c>
      <c r="B560" s="5">
        <v>0.25</v>
      </c>
      <c r="C560" t="s">
        <v>7</v>
      </c>
      <c r="D560" t="s">
        <v>3</v>
      </c>
      <c r="E560" t="s">
        <v>15</v>
      </c>
      <c r="F560" t="s">
        <v>205</v>
      </c>
    </row>
    <row r="561" spans="1:6" x14ac:dyDescent="0.2">
      <c r="A561" t="s">
        <v>247</v>
      </c>
      <c r="B561" s="5">
        <v>0.56999999999999995</v>
      </c>
      <c r="C561" t="s">
        <v>7</v>
      </c>
      <c r="D561" t="s">
        <v>3</v>
      </c>
      <c r="E561" t="s">
        <v>15</v>
      </c>
      <c r="F561" t="s">
        <v>206</v>
      </c>
    </row>
    <row r="562" spans="1:6" x14ac:dyDescent="0.2">
      <c r="A562" t="s">
        <v>72</v>
      </c>
      <c r="B562" s="13">
        <f>1.3*10^-10</f>
        <v>1.3000000000000002E-10</v>
      </c>
      <c r="C562" t="s">
        <v>6</v>
      </c>
      <c r="D562" t="s">
        <v>3</v>
      </c>
      <c r="E562" t="s">
        <v>15</v>
      </c>
      <c r="F562" t="s">
        <v>73</v>
      </c>
    </row>
    <row r="563" spans="1:6" x14ac:dyDescent="0.2">
      <c r="B563" s="8"/>
    </row>
    <row r="564" spans="1:6" x14ac:dyDescent="0.2">
      <c r="B564" s="8"/>
    </row>
    <row r="566" spans="1:6" ht="16" x14ac:dyDescent="0.2">
      <c r="A566" s="1" t="s">
        <v>0</v>
      </c>
      <c r="B566" s="1" t="s">
        <v>346</v>
      </c>
    </row>
    <row r="567" spans="1:6" ht="16" x14ac:dyDescent="0.2">
      <c r="A567" s="16" t="s">
        <v>1</v>
      </c>
      <c r="B567" s="16" t="s">
        <v>408</v>
      </c>
    </row>
    <row r="568" spans="1:6" x14ac:dyDescent="0.2">
      <c r="A568" t="s">
        <v>2</v>
      </c>
      <c r="B568" t="s">
        <v>3</v>
      </c>
    </row>
    <row r="569" spans="1:6" x14ac:dyDescent="0.2">
      <c r="A569" t="s">
        <v>4</v>
      </c>
      <c r="B569">
        <v>1</v>
      </c>
    </row>
    <row r="570" spans="1:6" x14ac:dyDescent="0.2">
      <c r="A570" t="s">
        <v>5</v>
      </c>
      <c r="B570" t="s">
        <v>136</v>
      </c>
    </row>
    <row r="571" spans="1:6" x14ac:dyDescent="0.2">
      <c r="A571" t="s">
        <v>6</v>
      </c>
      <c r="B571" t="s">
        <v>7</v>
      </c>
    </row>
    <row r="572" spans="1:6" x14ac:dyDescent="0.2">
      <c r="A572" t="s">
        <v>8</v>
      </c>
      <c r="B572" t="s">
        <v>311</v>
      </c>
    </row>
    <row r="573" spans="1:6" x14ac:dyDescent="0.2">
      <c r="A573" s="2" t="s">
        <v>9</v>
      </c>
    </row>
    <row r="574" spans="1:6" x14ac:dyDescent="0.2">
      <c r="A574" t="s">
        <v>10</v>
      </c>
      <c r="B574" t="s">
        <v>11</v>
      </c>
      <c r="C574" t="s">
        <v>6</v>
      </c>
      <c r="D574" t="s">
        <v>2</v>
      </c>
      <c r="E574" t="s">
        <v>12</v>
      </c>
      <c r="F574" t="s">
        <v>5</v>
      </c>
    </row>
    <row r="575" spans="1:6" x14ac:dyDescent="0.2">
      <c r="A575" t="s">
        <v>346</v>
      </c>
      <c r="B575">
        <v>1</v>
      </c>
      <c r="C575" t="s">
        <v>7</v>
      </c>
      <c r="D575" t="s">
        <v>3</v>
      </c>
      <c r="E575" t="s">
        <v>13</v>
      </c>
      <c r="F575" t="s">
        <v>136</v>
      </c>
    </row>
    <row r="576" spans="1:6" x14ac:dyDescent="0.2">
      <c r="A576" t="s">
        <v>144</v>
      </c>
      <c r="B576" s="4">
        <v>3.1E-2</v>
      </c>
      <c r="C576" t="s">
        <v>7</v>
      </c>
      <c r="D576" t="s">
        <v>3</v>
      </c>
      <c r="E576" t="s">
        <v>15</v>
      </c>
      <c r="F576" t="s">
        <v>145</v>
      </c>
    </row>
    <row r="577" spans="1:7" x14ac:dyDescent="0.2">
      <c r="A577" t="s">
        <v>202</v>
      </c>
      <c r="B577" s="5">
        <v>0.82</v>
      </c>
      <c r="C577" t="s">
        <v>7</v>
      </c>
      <c r="D577" t="s">
        <v>3</v>
      </c>
      <c r="E577" t="s">
        <v>15</v>
      </c>
      <c r="F577" t="s">
        <v>203</v>
      </c>
    </row>
    <row r="578" spans="1:7" x14ac:dyDescent="0.2">
      <c r="A578" t="s">
        <v>18</v>
      </c>
      <c r="B578" s="4">
        <v>3.1E-2</v>
      </c>
      <c r="C578" t="s">
        <v>7</v>
      </c>
      <c r="D578" t="s">
        <v>3</v>
      </c>
      <c r="E578" t="s">
        <v>15</v>
      </c>
      <c r="F578" t="s">
        <v>19</v>
      </c>
    </row>
    <row r="579" spans="1:7" x14ac:dyDescent="0.2">
      <c r="A579" t="s">
        <v>200</v>
      </c>
      <c r="B579" s="5">
        <v>0.15</v>
      </c>
      <c r="C579" t="s">
        <v>7</v>
      </c>
      <c r="D579" t="s">
        <v>3</v>
      </c>
      <c r="E579" t="s">
        <v>15</v>
      </c>
      <c r="F579" t="s">
        <v>201</v>
      </c>
    </row>
    <row r="580" spans="1:7" x14ac:dyDescent="0.2">
      <c r="A580" t="s">
        <v>248</v>
      </c>
      <c r="B580" s="13">
        <f>4.4*10^-10</f>
        <v>4.4000000000000003E-10</v>
      </c>
      <c r="C580" t="s">
        <v>6</v>
      </c>
      <c r="D580" t="s">
        <v>3</v>
      </c>
      <c r="E580" t="s">
        <v>15</v>
      </c>
      <c r="F580" t="s">
        <v>26</v>
      </c>
    </row>
    <row r="581" spans="1:7" x14ac:dyDescent="0.2">
      <c r="A581" t="s">
        <v>247</v>
      </c>
      <c r="B581" s="5">
        <v>0.97</v>
      </c>
      <c r="C581" t="s">
        <v>7</v>
      </c>
      <c r="D581" t="s">
        <v>3</v>
      </c>
      <c r="E581" t="s">
        <v>15</v>
      </c>
      <c r="F581" t="s">
        <v>206</v>
      </c>
    </row>
    <row r="582" spans="1:7" x14ac:dyDescent="0.2">
      <c r="A582" t="s">
        <v>72</v>
      </c>
      <c r="B582" s="13">
        <f>2.3*10^-11</f>
        <v>2.2999999999999998E-11</v>
      </c>
      <c r="C582" t="s">
        <v>6</v>
      </c>
      <c r="D582" t="s">
        <v>3</v>
      </c>
      <c r="E582" t="s">
        <v>15</v>
      </c>
      <c r="F582" t="s">
        <v>73</v>
      </c>
    </row>
    <row r="583" spans="1:7" x14ac:dyDescent="0.2">
      <c r="B583" s="8"/>
    </row>
    <row r="584" spans="1:7" x14ac:dyDescent="0.2">
      <c r="B584" s="3"/>
      <c r="G584" s="3"/>
    </row>
    <row r="586" spans="1:7" ht="16" x14ac:dyDescent="0.2">
      <c r="A586" s="1" t="s">
        <v>0</v>
      </c>
      <c r="B586" s="1" t="s">
        <v>347</v>
      </c>
    </row>
    <row r="587" spans="1:7" x14ac:dyDescent="0.2">
      <c r="A587" t="s">
        <v>1</v>
      </c>
      <c r="B587" t="inlineStr">
        <is>
          <t>APPROVED Li-S BMS FASTENER SOURCE-CONFLICT NOTE, 2026-10-18. The adapted Wickerts supporting information Table S26 lists IBIS fasteners at 2.8E-3 kg per BMS inventory, while its cited original Ellingsen et al. (2014) supporting-information detailed BMS component inventory lists IBIS fasteners at 2.8E-2 kg. The original source therefore supports retaining the existing 0.028 kg fastener input (B602). Do not silently reduce it tenfold to match the adapted table. This records an unresolved source conflict; it does not validate complete BMS sizing, module/rack allocation, cooling coverage or metal composition. All BMS quantities and suppliers remain unchanged.
PREVIOUS NOTES (retained as history; the correction above takes precedence):
This activity is aggregated to match the requirements of one battery rack, as it is modelled in the lithium-sulfur study. This includes both the BMS on a module level as well as on the rack level. BMS=battery management system. PCB=printed circut board. Source: Wickerts et al. (2023). Prospective Life Cycle Assessment of Lithium-Sulfur Batteries for Stationary Energy Storage. ACS Sustainable Chemistry &amp; Engineering. https://doi.org/10.1021/acssuschemeng.3c00141</t>
        </is>
      </c>
    </row>
    <row r="588" spans="1:7" x14ac:dyDescent="0.2">
      <c r="A588" t="s">
        <v>2</v>
      </c>
      <c r="B588" t="s">
        <v>3</v>
      </c>
    </row>
    <row r="589" spans="1:7" x14ac:dyDescent="0.2">
      <c r="A589" t="s">
        <v>4</v>
      </c>
      <c r="B589">
        <v>1</v>
      </c>
    </row>
    <row r="590" spans="1:7" x14ac:dyDescent="0.2">
      <c r="A590" t="s">
        <v>5</v>
      </c>
      <c r="B590" t="s">
        <v>141</v>
      </c>
    </row>
    <row r="591" spans="1:7" x14ac:dyDescent="0.2">
      <c r="A591" t="s">
        <v>6</v>
      </c>
      <c r="B591" t="s">
        <v>6</v>
      </c>
    </row>
    <row r="592" spans="1:7" x14ac:dyDescent="0.2">
      <c r="A592" t="s">
        <v>8</v>
      </c>
      <c r="B592" t="s">
        <v>312</v>
      </c>
    </row>
    <row r="593" spans="1:7" x14ac:dyDescent="0.2">
      <c r="A593" s="2" t="s">
        <v>9</v>
      </c>
    </row>
    <row r="594" spans="1:7" x14ac:dyDescent="0.2">
      <c r="A594" t="s">
        <v>10</v>
      </c>
      <c r="B594" t="s">
        <v>11</v>
      </c>
      <c r="C594" t="s">
        <v>6</v>
      </c>
      <c r="D594" t="s">
        <v>42</v>
      </c>
      <c r="E594" t="s">
        <v>2</v>
      </c>
      <c r="F594" t="s">
        <v>12</v>
      </c>
      <c r="G594" t="s">
        <v>5</v>
      </c>
    </row>
    <row r="595" spans="1:7" x14ac:dyDescent="0.2">
      <c r="A595" t="s">
        <v>347</v>
      </c>
      <c r="B595">
        <v>1</v>
      </c>
      <c r="C595" t="s">
        <v>6</v>
      </c>
      <c r="E595" t="s">
        <v>3</v>
      </c>
      <c r="F595" t="s">
        <v>13</v>
      </c>
      <c r="G595" t="s">
        <v>141</v>
      </c>
    </row>
    <row r="596" spans="1:7" x14ac:dyDescent="0.2">
      <c r="A596" t="s">
        <v>144</v>
      </c>
      <c r="B596" s="17">
        <v>8.9999999999999998E-4</v>
      </c>
      <c r="C596" t="s">
        <v>7</v>
      </c>
      <c r="E596" t="s">
        <v>3</v>
      </c>
      <c r="F596" t="s">
        <v>15</v>
      </c>
      <c r="G596" t="s">
        <v>145</v>
      </c>
    </row>
    <row r="597" spans="1:7" x14ac:dyDescent="0.2">
      <c r="A597" t="s">
        <v>354</v>
      </c>
      <c r="B597" s="5">
        <v>0.152</v>
      </c>
      <c r="C597" t="s">
        <v>153</v>
      </c>
      <c r="E597" t="s">
        <v>3</v>
      </c>
      <c r="F597" t="s">
        <v>15</v>
      </c>
      <c r="G597" t="s">
        <v>147</v>
      </c>
    </row>
    <row r="598" spans="1:7" x14ac:dyDescent="0.2">
      <c r="A598" t="s">
        <v>146</v>
      </c>
      <c r="B598" s="4">
        <v>2.5999999999999999E-2</v>
      </c>
      <c r="C598" t="s">
        <v>7</v>
      </c>
      <c r="E598" t="s">
        <v>17</v>
      </c>
      <c r="F598" t="s">
        <v>15</v>
      </c>
      <c r="G598" t="s">
        <v>148</v>
      </c>
    </row>
    <row r="599" spans="1:7" x14ac:dyDescent="0.2">
      <c r="A599" t="s">
        <v>149</v>
      </c>
      <c r="B599" s="4">
        <v>0.03</v>
      </c>
      <c r="C599" t="s">
        <v>7</v>
      </c>
      <c r="E599" t="s">
        <v>3</v>
      </c>
      <c r="F599" t="s">
        <v>15</v>
      </c>
      <c r="G599" t="s">
        <v>32</v>
      </c>
    </row>
    <row r="600" spans="1:7" x14ac:dyDescent="0.2">
      <c r="A600" t="s">
        <v>131</v>
      </c>
      <c r="B600" s="13">
        <f>8.99*10^-8</f>
        <v>8.9900000000000004E-8</v>
      </c>
      <c r="C600" t="s">
        <v>6</v>
      </c>
      <c r="E600" t="s">
        <v>3</v>
      </c>
      <c r="F600" t="s">
        <v>15</v>
      </c>
      <c r="G600" t="s">
        <v>132</v>
      </c>
    </row>
    <row r="601" spans="1:7" x14ac:dyDescent="0.2">
      <c r="A601" t="s">
        <v>348</v>
      </c>
      <c r="B601" s="7">
        <v>2.8</v>
      </c>
      <c r="C601" t="s">
        <v>7</v>
      </c>
      <c r="E601" t="s">
        <v>3</v>
      </c>
      <c r="F601" t="s">
        <v>15</v>
      </c>
      <c r="G601" t="s">
        <v>142</v>
      </c>
    </row>
    <row r="602" spans="1:7" x14ac:dyDescent="0.2">
      <c r="A602" t="s">
        <v>349</v>
      </c>
      <c r="B602" s="4">
        <v>2.8000000000000001E-2</v>
      </c>
      <c r="C602" t="s">
        <v>7</v>
      </c>
      <c r="E602" t="s">
        <v>3</v>
      </c>
      <c r="F602" t="s">
        <v>15</v>
      </c>
      <c r="G602" t="s">
        <v>150</v>
      </c>
    </row>
    <row r="603" spans="1:7" x14ac:dyDescent="0.2">
      <c r="A603" t="s">
        <v>18</v>
      </c>
      <c r="B603" s="13">
        <v>0.04</v>
      </c>
      <c r="C603" t="s">
        <v>7</v>
      </c>
      <c r="E603" t="s">
        <v>3</v>
      </c>
      <c r="F603" t="s">
        <v>15</v>
      </c>
      <c r="G603" t="s">
        <v>19</v>
      </c>
    </row>
    <row r="604" spans="1:7" x14ac:dyDescent="0.2">
      <c r="A604" t="s">
        <v>350</v>
      </c>
      <c r="B604" s="4">
        <v>6.7699999999999996E-2</v>
      </c>
      <c r="C604" t="s">
        <v>153</v>
      </c>
      <c r="E604" t="s">
        <v>3</v>
      </c>
      <c r="F604" t="s">
        <v>15</v>
      </c>
      <c r="G604" t="s">
        <v>151</v>
      </c>
    </row>
    <row r="605" spans="1:7" x14ac:dyDescent="0.2">
      <c r="A605" t="s">
        <v>351</v>
      </c>
      <c r="B605" s="7">
        <v>1.2</v>
      </c>
      <c r="C605" t="s">
        <v>7</v>
      </c>
      <c r="E605" t="s">
        <v>3</v>
      </c>
      <c r="F605" t="s">
        <v>15</v>
      </c>
      <c r="G605" t="s">
        <v>143</v>
      </c>
    </row>
    <row r="606" spans="1:7" x14ac:dyDescent="0.2">
      <c r="A606" t="s">
        <v>139</v>
      </c>
      <c r="B606" s="7">
        <v>3.8</v>
      </c>
      <c r="C606" t="s">
        <v>7</v>
      </c>
      <c r="E606" t="s">
        <v>3</v>
      </c>
      <c r="F606" t="s">
        <v>15</v>
      </c>
      <c r="G606" t="s">
        <v>140</v>
      </c>
    </row>
    <row r="607" spans="1:7" x14ac:dyDescent="0.2">
      <c r="A607" t="s">
        <v>30</v>
      </c>
      <c r="B607" s="8">
        <v>8.5000000000000006E-3</v>
      </c>
      <c r="C607" t="s">
        <v>7</v>
      </c>
      <c r="E607" t="s">
        <v>17</v>
      </c>
      <c r="F607" t="s">
        <v>15</v>
      </c>
      <c r="G607" t="s">
        <v>31</v>
      </c>
    </row>
    <row r="608" spans="1:7" x14ac:dyDescent="0.2">
      <c r="A608" t="s">
        <v>27</v>
      </c>
      <c r="B608" s="4">
        <v>3.1E-2</v>
      </c>
      <c r="C608" t="s">
        <v>7</v>
      </c>
      <c r="E608" t="s">
        <v>3</v>
      </c>
      <c r="F608" t="s">
        <v>15</v>
      </c>
      <c r="G608" t="s">
        <v>28</v>
      </c>
    </row>
    <row r="609" spans="1:8" x14ac:dyDescent="0.2">
      <c r="A609" t="s">
        <v>137</v>
      </c>
      <c r="B609" s="7">
        <v>3.8</v>
      </c>
      <c r="C609" t="s">
        <v>7</v>
      </c>
      <c r="E609" t="s">
        <v>3</v>
      </c>
      <c r="F609" t="s">
        <v>15</v>
      </c>
      <c r="G609" t="s">
        <v>138</v>
      </c>
    </row>
    <row r="610" spans="1:8" x14ac:dyDescent="0.2">
      <c r="B610" s="8"/>
    </row>
    <row r="611" spans="1:8" x14ac:dyDescent="0.2">
      <c r="B611" s="8"/>
    </row>
    <row r="612" spans="1:8" x14ac:dyDescent="0.2">
      <c r="G612" s="3"/>
    </row>
    <row r="613" spans="1:8" ht="16" x14ac:dyDescent="0.2">
      <c r="A613" s="1" t="s">
        <v>0</v>
      </c>
      <c r="B613" s="1" t="s">
        <v>353</v>
      </c>
    </row>
    <row r="614" spans="1:8" ht="16" x14ac:dyDescent="0.2">
      <c r="A614" s="16" t="s">
        <v>1</v>
      </c>
      <c r="B614" s="16" t="s">
        <v>408</v>
      </c>
    </row>
    <row r="615" spans="1:8" x14ac:dyDescent="0.2">
      <c r="A615" t="s">
        <v>2</v>
      </c>
      <c r="B615" t="s">
        <v>3</v>
      </c>
    </row>
    <row r="616" spans="1:8" x14ac:dyDescent="0.2">
      <c r="A616" t="s">
        <v>4</v>
      </c>
      <c r="B616">
        <v>1</v>
      </c>
    </row>
    <row r="617" spans="1:8" x14ac:dyDescent="0.2">
      <c r="A617" t="s">
        <v>5</v>
      </c>
      <c r="B617" t="s">
        <v>152</v>
      </c>
    </row>
    <row r="618" spans="1:8" x14ac:dyDescent="0.2">
      <c r="A618" t="s">
        <v>6</v>
      </c>
      <c r="B618" t="s">
        <v>153</v>
      </c>
    </row>
    <row r="619" spans="1:8" x14ac:dyDescent="0.2">
      <c r="A619" t="s">
        <v>8</v>
      </c>
      <c r="B619" t="s">
        <v>313</v>
      </c>
    </row>
    <row r="620" spans="1:8" x14ac:dyDescent="0.2">
      <c r="A620" s="2" t="s">
        <v>9</v>
      </c>
    </row>
    <row r="621" spans="1:8" x14ac:dyDescent="0.2">
      <c r="A621" t="s">
        <v>10</v>
      </c>
      <c r="B621" t="s">
        <v>11</v>
      </c>
      <c r="C621" t="s">
        <v>6</v>
      </c>
      <c r="D621" t="s">
        <v>42</v>
      </c>
      <c r="E621" t="s">
        <v>2</v>
      </c>
      <c r="F621" t="s">
        <v>12</v>
      </c>
      <c r="G621" t="s">
        <v>5</v>
      </c>
      <c r="H621" t="s">
        <v>1</v>
      </c>
    </row>
    <row r="622" spans="1:8" x14ac:dyDescent="0.2">
      <c r="A622" t="s">
        <v>352</v>
      </c>
      <c r="B622">
        <f>0.07/0.07</f>
        <v>1</v>
      </c>
      <c r="C622" t="s">
        <v>153</v>
      </c>
      <c r="E622" t="s">
        <v>3</v>
      </c>
      <c r="F622" t="s">
        <v>13</v>
      </c>
      <c r="G622" t="s">
        <v>152</v>
      </c>
    </row>
    <row r="623" spans="1:8" x14ac:dyDescent="0.2">
      <c r="A623" t="s">
        <v>154</v>
      </c>
      <c r="B623" s="18">
        <f>38.4/0.07/1000</f>
        <v>0.5485714285714286</v>
      </c>
      <c r="C623" t="s">
        <v>7</v>
      </c>
      <c r="E623" t="s">
        <v>3</v>
      </c>
      <c r="F623" t="s">
        <v>15</v>
      </c>
      <c r="G623" t="s">
        <v>155</v>
      </c>
      <c r="H623" t="s">
        <v>377</v>
      </c>
    </row>
    <row r="624" spans="1:8" x14ac:dyDescent="0.2">
      <c r="A624" t="s">
        <v>156</v>
      </c>
      <c r="B624" s="18">
        <f>19.7/0.07/1000</f>
        <v>0.28142857142857136</v>
      </c>
      <c r="C624" t="s">
        <v>7</v>
      </c>
      <c r="E624" t="s">
        <v>3</v>
      </c>
      <c r="F624" t="s">
        <v>15</v>
      </c>
      <c r="G624" t="s">
        <v>157</v>
      </c>
      <c r="H624" t="s">
        <v>377</v>
      </c>
    </row>
    <row r="625" spans="1:14" x14ac:dyDescent="0.2">
      <c r="A625" t="s">
        <v>158</v>
      </c>
      <c r="B625" s="7">
        <f>5.6/0.07/1000</f>
        <v>7.9999999999999988E-2</v>
      </c>
      <c r="C625" t="s">
        <v>7</v>
      </c>
      <c r="E625" t="s">
        <v>3</v>
      </c>
      <c r="F625" t="s">
        <v>15</v>
      </c>
      <c r="G625" t="s">
        <v>159</v>
      </c>
      <c r="H625" t="s">
        <v>377</v>
      </c>
    </row>
    <row r="626" spans="1:14" x14ac:dyDescent="0.2">
      <c r="A626" t="s">
        <v>160</v>
      </c>
      <c r="B626" s="18">
        <f>49.8/0.07/1000</f>
        <v>0.7114285714285713</v>
      </c>
      <c r="C626" t="s">
        <v>7</v>
      </c>
      <c r="E626" t="s">
        <v>3</v>
      </c>
      <c r="F626" t="s">
        <v>15</v>
      </c>
      <c r="G626" t="s">
        <v>161</v>
      </c>
      <c r="H626" t="s">
        <v>377</v>
      </c>
    </row>
    <row r="627" spans="1:14" x14ac:dyDescent="0.2">
      <c r="A627" t="s">
        <v>162</v>
      </c>
      <c r="B627" s="5">
        <f>0.2/0.07/1000</f>
        <v>2.8571428571428571E-3</v>
      </c>
      <c r="C627" t="s">
        <v>7</v>
      </c>
      <c r="E627" t="s">
        <v>3</v>
      </c>
      <c r="F627" t="s">
        <v>15</v>
      </c>
      <c r="G627" t="s">
        <v>163</v>
      </c>
      <c r="H627" t="s">
        <v>377</v>
      </c>
    </row>
    <row r="628" spans="1:14" x14ac:dyDescent="0.2">
      <c r="A628" t="s">
        <v>164</v>
      </c>
      <c r="B628" s="7">
        <f>3.6/0.07/1000</f>
        <v>5.1428571428571421E-2</v>
      </c>
      <c r="C628" t="s">
        <v>7</v>
      </c>
      <c r="E628" t="s">
        <v>3</v>
      </c>
      <c r="F628" t="s">
        <v>15</v>
      </c>
      <c r="G628" t="s">
        <v>165</v>
      </c>
      <c r="H628" t="s">
        <v>377</v>
      </c>
    </row>
    <row r="629" spans="1:14" x14ac:dyDescent="0.2">
      <c r="A629" t="s">
        <v>166</v>
      </c>
      <c r="B629" s="18">
        <f>59.1/0.07/1000</f>
        <v>0.84428571428571419</v>
      </c>
      <c r="C629" t="s">
        <v>7</v>
      </c>
      <c r="E629" t="s">
        <v>3</v>
      </c>
      <c r="F629" t="s">
        <v>15</v>
      </c>
      <c r="G629" t="s">
        <v>167</v>
      </c>
      <c r="H629" t="s">
        <v>377</v>
      </c>
    </row>
    <row r="630" spans="1:14" x14ac:dyDescent="0.2">
      <c r="A630" t="s">
        <v>168</v>
      </c>
      <c r="B630" s="18">
        <f>67.4/0.07/1000</f>
        <v>0.96285714285714286</v>
      </c>
      <c r="C630" t="s">
        <v>7</v>
      </c>
      <c r="E630" t="s">
        <v>3</v>
      </c>
      <c r="F630" t="s">
        <v>15</v>
      </c>
      <c r="G630" t="s">
        <v>169</v>
      </c>
      <c r="H630" t="s">
        <v>377</v>
      </c>
    </row>
    <row r="631" spans="1:14" x14ac:dyDescent="0.2">
      <c r="A631" t="s">
        <v>170</v>
      </c>
      <c r="B631" s="5">
        <f>0.4/0.07/1000</f>
        <v>5.7142857142857143E-3</v>
      </c>
      <c r="C631" t="s">
        <v>7</v>
      </c>
      <c r="E631" t="s">
        <v>3</v>
      </c>
      <c r="F631" t="s">
        <v>15</v>
      </c>
      <c r="G631" t="s">
        <v>171</v>
      </c>
      <c r="H631" t="s">
        <v>377</v>
      </c>
    </row>
    <row r="632" spans="1:14" x14ac:dyDescent="0.2">
      <c r="A632" t="s">
        <v>172</v>
      </c>
      <c r="B632" s="5">
        <f>0.1/0.07/1000</f>
        <v>1.4285714285714286E-3</v>
      </c>
      <c r="C632" t="s">
        <v>7</v>
      </c>
      <c r="E632" t="s">
        <v>3</v>
      </c>
      <c r="F632" t="s">
        <v>15</v>
      </c>
      <c r="G632" t="s">
        <v>173</v>
      </c>
      <c r="H632" t="s">
        <v>377</v>
      </c>
      <c r="N632" s="5"/>
    </row>
    <row r="633" spans="1:14" x14ac:dyDescent="0.2">
      <c r="A633" t="s">
        <v>383</v>
      </c>
      <c r="B633" s="5">
        <v>1.004</v>
      </c>
      <c r="C633" t="s">
        <v>153</v>
      </c>
      <c r="E633" t="s">
        <v>3</v>
      </c>
      <c r="F633" t="s">
        <v>15</v>
      </c>
      <c r="G633" t="s">
        <v>382</v>
      </c>
      <c r="H633" t="s">
        <v>384</v>
      </c>
    </row>
    <row r="634" spans="1:14" x14ac:dyDescent="0.2">
      <c r="A634" t="s">
        <v>174</v>
      </c>
      <c r="B634" s="7">
        <f>3.1/0.07/1000</f>
        <v>4.4285714285714282E-2</v>
      </c>
      <c r="C634" t="s">
        <v>7</v>
      </c>
      <c r="E634" t="s">
        <v>3</v>
      </c>
      <c r="F634" t="s">
        <v>15</v>
      </c>
      <c r="G634" t="s">
        <v>175</v>
      </c>
      <c r="H634" t="s">
        <v>377</v>
      </c>
    </row>
    <row r="635" spans="1:14" x14ac:dyDescent="0.2">
      <c r="A635" t="s">
        <v>176</v>
      </c>
      <c r="B635" s="7">
        <f>3.1/0.07/1000</f>
        <v>4.4285714285714282E-2</v>
      </c>
      <c r="C635" t="s">
        <v>7</v>
      </c>
      <c r="E635" t="s">
        <v>3</v>
      </c>
      <c r="F635" t="s">
        <v>15</v>
      </c>
      <c r="G635" t="s">
        <v>177</v>
      </c>
      <c r="H635" t="s">
        <v>377</v>
      </c>
    </row>
    <row r="636" spans="1:14" x14ac:dyDescent="0.2">
      <c r="A636" t="s">
        <v>178</v>
      </c>
      <c r="B636" s="7">
        <f>5.6/0.07/1000</f>
        <v>7.9999999999999988E-2</v>
      </c>
      <c r="C636" t="s">
        <v>7</v>
      </c>
      <c r="E636" t="s">
        <v>3</v>
      </c>
      <c r="F636" t="s">
        <v>15</v>
      </c>
      <c r="G636" t="s">
        <v>179</v>
      </c>
      <c r="H636" t="s">
        <v>377</v>
      </c>
    </row>
    <row r="637" spans="1:14" x14ac:dyDescent="0.2">
      <c r="B637" s="8"/>
    </row>
    <row r="638" spans="1:14" x14ac:dyDescent="0.2">
      <c r="B638" s="8"/>
    </row>
    <row r="640" spans="1:14" ht="16" x14ac:dyDescent="0.2">
      <c r="A640" s="1" t="s">
        <v>0</v>
      </c>
      <c r="B640" s="1" t="s">
        <v>354</v>
      </c>
    </row>
    <row r="641" spans="1:8" ht="16" x14ac:dyDescent="0.2">
      <c r="A641" s="16" t="s">
        <v>1</v>
      </c>
      <c r="B641" s="16" t="s">
        <v>408</v>
      </c>
    </row>
    <row r="642" spans="1:8" x14ac:dyDescent="0.2">
      <c r="A642" t="s">
        <v>2</v>
      </c>
      <c r="B642" t="s">
        <v>3</v>
      </c>
    </row>
    <row r="643" spans="1:8" x14ac:dyDescent="0.2">
      <c r="A643" t="s">
        <v>4</v>
      </c>
      <c r="B643">
        <v>1</v>
      </c>
    </row>
    <row r="644" spans="1:8" x14ac:dyDescent="0.2">
      <c r="A644" t="s">
        <v>5</v>
      </c>
      <c r="B644" t="s">
        <v>147</v>
      </c>
    </row>
    <row r="645" spans="1:8" x14ac:dyDescent="0.2">
      <c r="A645" t="s">
        <v>6</v>
      </c>
      <c r="B645" t="s">
        <v>153</v>
      </c>
    </row>
    <row r="646" spans="1:8" x14ac:dyDescent="0.2">
      <c r="A646" t="s">
        <v>8</v>
      </c>
      <c r="B646" t="s">
        <v>313</v>
      </c>
    </row>
    <row r="647" spans="1:8" x14ac:dyDescent="0.2">
      <c r="A647" s="2" t="s">
        <v>9</v>
      </c>
    </row>
    <row r="648" spans="1:8" x14ac:dyDescent="0.2">
      <c r="A648" t="s">
        <v>10</v>
      </c>
      <c r="B648" t="s">
        <v>11</v>
      </c>
      <c r="C648" t="s">
        <v>6</v>
      </c>
      <c r="D648" t="s">
        <v>42</v>
      </c>
      <c r="E648" t="s">
        <v>2</v>
      </c>
      <c r="F648" t="s">
        <v>12</v>
      </c>
      <c r="G648" t="s">
        <v>5</v>
      </c>
      <c r="H648" t="s">
        <v>1</v>
      </c>
    </row>
    <row r="649" spans="1:8" x14ac:dyDescent="0.2">
      <c r="A649" t="s">
        <v>354</v>
      </c>
      <c r="B649">
        <v>1</v>
      </c>
      <c r="C649" t="s">
        <v>153</v>
      </c>
      <c r="E649" t="s">
        <v>3</v>
      </c>
      <c r="F649" t="s">
        <v>13</v>
      </c>
      <c r="G649" t="s">
        <v>147</v>
      </c>
    </row>
    <row r="650" spans="1:8" x14ac:dyDescent="0.2">
      <c r="A650" t="s">
        <v>180</v>
      </c>
      <c r="B650">
        <f>70/1000</f>
        <v>7.0000000000000007E-2</v>
      </c>
      <c r="C650" t="s">
        <v>7</v>
      </c>
      <c r="E650" t="s">
        <v>3</v>
      </c>
      <c r="F650" t="s">
        <v>15</v>
      </c>
      <c r="G650" t="s">
        <v>181</v>
      </c>
      <c r="H650" t="s">
        <v>378</v>
      </c>
    </row>
    <row r="651" spans="1:8" x14ac:dyDescent="0.2">
      <c r="A651" t="s">
        <v>353</v>
      </c>
      <c r="B651">
        <v>1</v>
      </c>
      <c r="C651" t="s">
        <v>153</v>
      </c>
      <c r="E651" t="s">
        <v>3</v>
      </c>
      <c r="F651" t="s">
        <v>15</v>
      </c>
      <c r="G651" t="s">
        <v>152</v>
      </c>
    </row>
    <row r="652" spans="1:8" x14ac:dyDescent="0.2">
      <c r="A652" t="s">
        <v>182</v>
      </c>
      <c r="B652">
        <f>24/1000</f>
        <v>2.4E-2</v>
      </c>
      <c r="C652" t="s">
        <v>7</v>
      </c>
      <c r="E652" t="s">
        <v>17</v>
      </c>
      <c r="F652" t="s">
        <v>15</v>
      </c>
      <c r="G652" t="s">
        <v>183</v>
      </c>
      <c r="H652" t="s">
        <v>378</v>
      </c>
    </row>
    <row r="653" spans="1:8" x14ac:dyDescent="0.2">
      <c r="A653" t="s">
        <v>184</v>
      </c>
      <c r="B653">
        <f>65/1000</f>
        <v>6.5000000000000002E-2</v>
      </c>
      <c r="C653" t="s">
        <v>7</v>
      </c>
      <c r="E653" t="s">
        <v>17</v>
      </c>
      <c r="F653" t="s">
        <v>15</v>
      </c>
      <c r="G653" t="s">
        <v>185</v>
      </c>
      <c r="H653" t="s">
        <v>378</v>
      </c>
    </row>
    <row r="654" spans="1:8" x14ac:dyDescent="0.2">
      <c r="A654" t="s">
        <v>22</v>
      </c>
      <c r="B654">
        <v>46</v>
      </c>
      <c r="C654" t="s">
        <v>23</v>
      </c>
      <c r="E654" t="s">
        <v>54</v>
      </c>
      <c r="F654" t="s">
        <v>15</v>
      </c>
      <c r="G654" t="s">
        <v>24</v>
      </c>
    </row>
    <row r="655" spans="1:8" x14ac:dyDescent="0.2">
      <c r="A655" t="s">
        <v>186</v>
      </c>
      <c r="B655">
        <f>126/1000</f>
        <v>0.126</v>
      </c>
      <c r="C655" t="s">
        <v>7</v>
      </c>
      <c r="E655" t="s">
        <v>3</v>
      </c>
      <c r="F655" t="s">
        <v>15</v>
      </c>
      <c r="G655" t="s">
        <v>187</v>
      </c>
      <c r="H655" t="s">
        <v>378</v>
      </c>
    </row>
    <row r="656" spans="1:8" x14ac:dyDescent="0.2">
      <c r="A656" t="s">
        <v>188</v>
      </c>
      <c r="B656">
        <f>10/1000</f>
        <v>0.01</v>
      </c>
      <c r="C656" t="s">
        <v>7</v>
      </c>
      <c r="E656" t="s">
        <v>3</v>
      </c>
      <c r="F656" t="s">
        <v>15</v>
      </c>
      <c r="G656" t="s">
        <v>189</v>
      </c>
      <c r="H656" t="s">
        <v>378</v>
      </c>
    </row>
    <row r="657" spans="1:11" x14ac:dyDescent="0.2">
      <c r="A657" t="s">
        <v>68</v>
      </c>
      <c r="B657">
        <v>64</v>
      </c>
      <c r="C657" t="s">
        <v>7</v>
      </c>
      <c r="E657" t="s">
        <v>17</v>
      </c>
      <c r="F657" t="s">
        <v>15</v>
      </c>
      <c r="G657" t="s">
        <v>69</v>
      </c>
      <c r="H657" t="s">
        <v>385</v>
      </c>
    </row>
    <row r="658" spans="1:11" x14ac:dyDescent="0.2">
      <c r="A658" t="s">
        <v>190</v>
      </c>
      <c r="B658">
        <f>94/1000</f>
        <v>9.4E-2</v>
      </c>
      <c r="C658" t="s">
        <v>7</v>
      </c>
      <c r="E658" t="s">
        <v>3</v>
      </c>
      <c r="F658" t="s">
        <v>15</v>
      </c>
      <c r="G658" t="s">
        <v>191</v>
      </c>
      <c r="H658" t="s">
        <v>378</v>
      </c>
    </row>
    <row r="659" spans="1:11" x14ac:dyDescent="0.2">
      <c r="A659" t="s">
        <v>51</v>
      </c>
      <c r="B659">
        <f>320/1000</f>
        <v>0.32</v>
      </c>
      <c r="C659" t="s">
        <v>7</v>
      </c>
      <c r="E659" t="s">
        <v>17</v>
      </c>
      <c r="F659" t="s">
        <v>15</v>
      </c>
      <c r="G659" t="s">
        <v>52</v>
      </c>
      <c r="H659" t="s">
        <v>378</v>
      </c>
      <c r="K659" s="3"/>
    </row>
    <row r="660" spans="1:11" x14ac:dyDescent="0.2">
      <c r="A660" t="s">
        <v>192</v>
      </c>
      <c r="B660">
        <f>-3/1000</f>
        <v>-3.0000000000000001E-3</v>
      </c>
      <c r="C660" t="s">
        <v>7</v>
      </c>
      <c r="E660" t="s">
        <v>17</v>
      </c>
      <c r="F660" t="s">
        <v>15</v>
      </c>
      <c r="G660" t="s">
        <v>193</v>
      </c>
      <c r="H660" t="s">
        <v>378</v>
      </c>
    </row>
    <row r="661" spans="1:11" x14ac:dyDescent="0.2">
      <c r="A661" t="s">
        <v>53</v>
      </c>
      <c r="B661">
        <f>-75/1000</f>
        <v>-7.4999999999999997E-2</v>
      </c>
      <c r="C661" t="s">
        <v>7</v>
      </c>
      <c r="E661" t="s">
        <v>17</v>
      </c>
      <c r="F661" t="s">
        <v>15</v>
      </c>
      <c r="G661" t="s">
        <v>55</v>
      </c>
      <c r="H661" t="s">
        <v>378</v>
      </c>
    </row>
    <row r="662" spans="1:11" x14ac:dyDescent="0.2">
      <c r="A662" t="s">
        <v>194</v>
      </c>
      <c r="B662" s="18">
        <f>4/1000</f>
        <v>4.0000000000000001E-3</v>
      </c>
      <c r="C662" t="s">
        <v>7</v>
      </c>
      <c r="D662" t="s">
        <v>43</v>
      </c>
      <c r="F662" t="s">
        <v>44</v>
      </c>
      <c r="H662" t="s">
        <v>378</v>
      </c>
    </row>
    <row r="663" spans="1:11" x14ac:dyDescent="0.2">
      <c r="A663" t="s">
        <v>314</v>
      </c>
      <c r="B663">
        <f>155/1000</f>
        <v>0.155</v>
      </c>
      <c r="C663" t="s">
        <v>7</v>
      </c>
      <c r="D663" t="s">
        <v>43</v>
      </c>
      <c r="F663" t="s">
        <v>44</v>
      </c>
      <c r="H663" t="s">
        <v>378</v>
      </c>
    </row>
    <row r="664" spans="1:11" x14ac:dyDescent="0.2">
      <c r="B664" s="3"/>
    </row>
    <row r="667" spans="1:11" ht="16" x14ac:dyDescent="0.2">
      <c r="A667" s="1" t="s">
        <v>0</v>
      </c>
      <c r="B667" s="1" t="s">
        <v>350</v>
      </c>
    </row>
    <row r="668" spans="1:11" ht="16" x14ac:dyDescent="0.2">
      <c r="A668" s="16" t="s">
        <v>1</v>
      </c>
      <c r="B668" s="16" t="s">
        <v>408</v>
      </c>
    </row>
    <row r="669" spans="1:11" x14ac:dyDescent="0.2">
      <c r="A669" t="s">
        <v>2</v>
      </c>
      <c r="B669" t="s">
        <v>3</v>
      </c>
    </row>
    <row r="670" spans="1:11" x14ac:dyDescent="0.2">
      <c r="A670" t="s">
        <v>4</v>
      </c>
      <c r="B670">
        <v>1</v>
      </c>
    </row>
    <row r="671" spans="1:11" x14ac:dyDescent="0.2">
      <c r="A671" t="s">
        <v>5</v>
      </c>
      <c r="B671" t="s">
        <v>151</v>
      </c>
    </row>
    <row r="672" spans="1:11" x14ac:dyDescent="0.2">
      <c r="A672" t="s">
        <v>6</v>
      </c>
      <c r="B672" t="s">
        <v>153</v>
      </c>
    </row>
    <row r="673" spans="1:7" x14ac:dyDescent="0.2">
      <c r="A673" t="s">
        <v>8</v>
      </c>
      <c r="B673" t="s">
        <v>313</v>
      </c>
    </row>
    <row r="674" spans="1:7" x14ac:dyDescent="0.2">
      <c r="A674" s="2" t="s">
        <v>9</v>
      </c>
    </row>
    <row r="675" spans="1:7" x14ac:dyDescent="0.2">
      <c r="A675" t="s">
        <v>10</v>
      </c>
      <c r="B675" t="s">
        <v>11</v>
      </c>
      <c r="C675" t="s">
        <v>6</v>
      </c>
      <c r="D675" t="s">
        <v>2</v>
      </c>
      <c r="E675" t="s">
        <v>12</v>
      </c>
      <c r="F675" t="s">
        <v>5</v>
      </c>
      <c r="G675" t="s">
        <v>1</v>
      </c>
    </row>
    <row r="676" spans="1:7" x14ac:dyDescent="0.2">
      <c r="A676" t="s">
        <v>350</v>
      </c>
      <c r="B676">
        <f>0.5/0.5</f>
        <v>1</v>
      </c>
      <c r="C676" t="s">
        <v>153</v>
      </c>
      <c r="D676" t="s">
        <v>3</v>
      </c>
      <c r="E676" t="s">
        <v>13</v>
      </c>
      <c r="F676" t="s">
        <v>151</v>
      </c>
    </row>
    <row r="677" spans="1:7" x14ac:dyDescent="0.2">
      <c r="A677" t="s">
        <v>195</v>
      </c>
      <c r="B677" s="18">
        <f>10/1000</f>
        <v>0.01</v>
      </c>
      <c r="C677" t="s">
        <v>7</v>
      </c>
      <c r="D677" t="s">
        <v>3</v>
      </c>
      <c r="E677" t="s">
        <v>15</v>
      </c>
      <c r="F677" t="s">
        <v>196</v>
      </c>
      <c r="G677" t="s">
        <v>378</v>
      </c>
    </row>
    <row r="678" spans="1:7" x14ac:dyDescent="0.2">
      <c r="A678" t="s">
        <v>354</v>
      </c>
      <c r="B678" s="7">
        <f>0.5/0.5</f>
        <v>1</v>
      </c>
      <c r="C678" t="s">
        <v>153</v>
      </c>
      <c r="D678" t="s">
        <v>3</v>
      </c>
      <c r="E678" t="s">
        <v>15</v>
      </c>
      <c r="F678" t="s">
        <v>147</v>
      </c>
    </row>
    <row r="679" spans="1:7" x14ac:dyDescent="0.2">
      <c r="A679" t="s">
        <v>160</v>
      </c>
      <c r="B679" s="13">
        <f>19000/1000</f>
        <v>19</v>
      </c>
      <c r="C679" t="s">
        <v>7</v>
      </c>
      <c r="D679" t="s">
        <v>3</v>
      </c>
      <c r="E679" t="s">
        <v>15</v>
      </c>
      <c r="F679" t="s">
        <v>161</v>
      </c>
      <c r="G679" t="s">
        <v>378</v>
      </c>
    </row>
    <row r="680" spans="1:7" x14ac:dyDescent="0.2">
      <c r="A680" t="s">
        <v>22</v>
      </c>
      <c r="B680" s="18">
        <v>72.400000000000006</v>
      </c>
      <c r="C680" t="s">
        <v>23</v>
      </c>
      <c r="D680" t="s">
        <v>54</v>
      </c>
      <c r="E680" t="s">
        <v>15</v>
      </c>
      <c r="F680" t="s">
        <v>24</v>
      </c>
    </row>
    <row r="681" spans="1:7" x14ac:dyDescent="0.2">
      <c r="A681" t="s">
        <v>68</v>
      </c>
      <c r="B681" s="18">
        <v>21</v>
      </c>
      <c r="C681" t="s">
        <v>7</v>
      </c>
      <c r="D681" t="s">
        <v>17</v>
      </c>
      <c r="E681" t="s">
        <v>15</v>
      </c>
      <c r="F681" t="s">
        <v>69</v>
      </c>
    </row>
    <row r="682" spans="1:7" x14ac:dyDescent="0.2">
      <c r="A682" t="s">
        <v>190</v>
      </c>
      <c r="B682" s="18">
        <f>442/1000</f>
        <v>0.442</v>
      </c>
      <c r="C682" t="s">
        <v>7</v>
      </c>
      <c r="D682" t="s">
        <v>3</v>
      </c>
      <c r="E682" t="s">
        <v>15</v>
      </c>
      <c r="F682" t="s">
        <v>191</v>
      </c>
      <c r="G682" t="s">
        <v>378</v>
      </c>
    </row>
    <row r="683" spans="1:7" x14ac:dyDescent="0.2">
      <c r="A683" t="s">
        <v>51</v>
      </c>
      <c r="B683" s="18">
        <f>180/1000</f>
        <v>0.18</v>
      </c>
      <c r="C683" t="s">
        <v>7</v>
      </c>
      <c r="D683" t="s">
        <v>17</v>
      </c>
      <c r="E683" t="s">
        <v>15</v>
      </c>
      <c r="F683" t="s">
        <v>52</v>
      </c>
      <c r="G683" t="s">
        <v>378</v>
      </c>
    </row>
    <row r="684" spans="1:7" x14ac:dyDescent="0.2">
      <c r="B684" s="8"/>
    </row>
    <row r="685" spans="1:7" x14ac:dyDescent="0.2">
      <c r="B685" s="8"/>
    </row>
    <row r="687" spans="1:7" ht="16" x14ac:dyDescent="0.2">
      <c r="A687" s="1" t="s">
        <v>0</v>
      </c>
      <c r="B687" s="1" t="s">
        <v>348</v>
      </c>
    </row>
    <row r="688" spans="1:7" ht="16" x14ac:dyDescent="0.2">
      <c r="A688" s="16" t="s">
        <v>1</v>
      </c>
      <c r="B688" s="16" t="s">
        <v>408</v>
      </c>
    </row>
    <row r="689" spans="1:6" x14ac:dyDescent="0.2">
      <c r="A689" t="s">
        <v>2</v>
      </c>
      <c r="B689" t="s">
        <v>3</v>
      </c>
    </row>
    <row r="690" spans="1:6" x14ac:dyDescent="0.2">
      <c r="A690" t="s">
        <v>4</v>
      </c>
      <c r="B690">
        <v>1</v>
      </c>
    </row>
    <row r="691" spans="1:6" x14ac:dyDescent="0.2">
      <c r="A691" t="s">
        <v>5</v>
      </c>
      <c r="B691" t="s">
        <v>142</v>
      </c>
    </row>
    <row r="692" spans="1:6" x14ac:dyDescent="0.2">
      <c r="A692" t="s">
        <v>6</v>
      </c>
      <c r="B692" t="s">
        <v>7</v>
      </c>
    </row>
    <row r="693" spans="1:6" x14ac:dyDescent="0.2">
      <c r="A693" t="s">
        <v>8</v>
      </c>
      <c r="B693" t="s">
        <v>311</v>
      </c>
    </row>
    <row r="694" spans="1:6" x14ac:dyDescent="0.2">
      <c r="A694" s="2" t="s">
        <v>9</v>
      </c>
    </row>
    <row r="695" spans="1:6" x14ac:dyDescent="0.2">
      <c r="A695" t="s">
        <v>10</v>
      </c>
      <c r="B695" t="s">
        <v>11</v>
      </c>
      <c r="C695" t="s">
        <v>6</v>
      </c>
      <c r="D695" t="s">
        <v>2</v>
      </c>
      <c r="E695" t="s">
        <v>12</v>
      </c>
      <c r="F695" t="s">
        <v>5</v>
      </c>
    </row>
    <row r="696" spans="1:6" x14ac:dyDescent="0.2">
      <c r="A696" t="s">
        <v>348</v>
      </c>
      <c r="B696">
        <v>1</v>
      </c>
      <c r="C696" t="s">
        <v>7</v>
      </c>
      <c r="D696" t="s">
        <v>3</v>
      </c>
      <c r="E696" t="s">
        <v>13</v>
      </c>
      <c r="F696" t="s">
        <v>142</v>
      </c>
    </row>
    <row r="697" spans="1:6" x14ac:dyDescent="0.2">
      <c r="A697" t="s">
        <v>197</v>
      </c>
      <c r="B697" s="5">
        <v>0.12</v>
      </c>
      <c r="C697" t="s">
        <v>7</v>
      </c>
      <c r="D697" t="s">
        <v>17</v>
      </c>
      <c r="E697" t="s">
        <v>15</v>
      </c>
      <c r="F697" t="s">
        <v>71</v>
      </c>
    </row>
    <row r="698" spans="1:6" x14ac:dyDescent="0.2">
      <c r="A698" t="s">
        <v>198</v>
      </c>
      <c r="B698" s="5">
        <v>0.45</v>
      </c>
      <c r="C698" t="s">
        <v>7</v>
      </c>
      <c r="D698" t="s">
        <v>3</v>
      </c>
      <c r="E698" t="s">
        <v>15</v>
      </c>
      <c r="F698" t="s">
        <v>199</v>
      </c>
    </row>
    <row r="699" spans="1:6" x14ac:dyDescent="0.2">
      <c r="A699" t="s">
        <v>200</v>
      </c>
      <c r="B699" s="4">
        <v>4.1000000000000002E-2</v>
      </c>
      <c r="C699" t="s">
        <v>7</v>
      </c>
      <c r="D699" t="s">
        <v>3</v>
      </c>
      <c r="E699" t="s">
        <v>15</v>
      </c>
      <c r="F699" t="s">
        <v>201</v>
      </c>
    </row>
    <row r="700" spans="1:6" x14ac:dyDescent="0.2">
      <c r="A700" t="s">
        <v>202</v>
      </c>
      <c r="B700" s="5">
        <v>0.23</v>
      </c>
      <c r="C700" t="s">
        <v>7</v>
      </c>
      <c r="D700" t="s">
        <v>3</v>
      </c>
      <c r="E700" t="s">
        <v>15</v>
      </c>
      <c r="F700" t="s">
        <v>203</v>
      </c>
    </row>
    <row r="701" spans="1:6" x14ac:dyDescent="0.2">
      <c r="A701" t="s">
        <v>131</v>
      </c>
      <c r="B701" s="13">
        <f>2*10^-8</f>
        <v>2E-8</v>
      </c>
      <c r="C701" t="s">
        <v>6</v>
      </c>
      <c r="D701" t="s">
        <v>3</v>
      </c>
      <c r="E701" t="s">
        <v>15</v>
      </c>
      <c r="F701" t="s">
        <v>132</v>
      </c>
    </row>
    <row r="702" spans="1:6" x14ac:dyDescent="0.2">
      <c r="A702" t="s">
        <v>18</v>
      </c>
      <c r="B702" s="5">
        <v>0.14000000000000001</v>
      </c>
      <c r="C702" t="s">
        <v>7</v>
      </c>
      <c r="D702" t="s">
        <v>3</v>
      </c>
      <c r="E702" t="s">
        <v>15</v>
      </c>
      <c r="F702" t="s">
        <v>19</v>
      </c>
    </row>
    <row r="703" spans="1:6" x14ac:dyDescent="0.2">
      <c r="A703" t="s">
        <v>204</v>
      </c>
      <c r="B703" s="5">
        <v>0.12</v>
      </c>
      <c r="C703" t="s">
        <v>7</v>
      </c>
      <c r="D703" t="s">
        <v>3</v>
      </c>
      <c r="E703" t="s">
        <v>15</v>
      </c>
      <c r="F703" t="s">
        <v>205</v>
      </c>
    </row>
    <row r="704" spans="1:6" x14ac:dyDescent="0.2">
      <c r="A704" t="s">
        <v>206</v>
      </c>
      <c r="B704" s="5">
        <v>0.27</v>
      </c>
      <c r="C704" t="s">
        <v>7</v>
      </c>
      <c r="D704" t="s">
        <v>17</v>
      </c>
      <c r="E704" t="s">
        <v>15</v>
      </c>
      <c r="F704" t="s">
        <v>206</v>
      </c>
    </row>
    <row r="705" spans="1:7" x14ac:dyDescent="0.2">
      <c r="A705" t="s">
        <v>207</v>
      </c>
      <c r="B705">
        <v>1.6E-2</v>
      </c>
      <c r="C705" t="s">
        <v>7</v>
      </c>
      <c r="D705" t="s">
        <v>17</v>
      </c>
      <c r="E705" t="s">
        <v>15</v>
      </c>
      <c r="F705" t="s">
        <v>207</v>
      </c>
      <c r="G705" s="3"/>
    </row>
    <row r="706" spans="1:7" x14ac:dyDescent="0.2">
      <c r="A706" t="s">
        <v>139</v>
      </c>
      <c r="B706" s="8">
        <v>1.4E-3</v>
      </c>
      <c r="C706" t="s">
        <v>7</v>
      </c>
      <c r="D706" t="s">
        <v>3</v>
      </c>
      <c r="E706" t="s">
        <v>15</v>
      </c>
      <c r="F706" t="s">
        <v>140</v>
      </c>
    </row>
    <row r="707" spans="1:7" x14ac:dyDescent="0.2">
      <c r="A707" t="s">
        <v>208</v>
      </c>
      <c r="B707" s="4">
        <v>4.3999999999999997E-2</v>
      </c>
      <c r="C707" t="s">
        <v>7</v>
      </c>
      <c r="D707" t="s">
        <v>17</v>
      </c>
      <c r="E707" t="s">
        <v>15</v>
      </c>
      <c r="F707" t="s">
        <v>209</v>
      </c>
    </row>
    <row r="708" spans="1:7" x14ac:dyDescent="0.2">
      <c r="A708" t="s">
        <v>27</v>
      </c>
      <c r="B708" s="8">
        <v>5.7000000000000002E-3</v>
      </c>
      <c r="C708" t="s">
        <v>7</v>
      </c>
      <c r="D708" t="s">
        <v>3</v>
      </c>
      <c r="E708" t="s">
        <v>15</v>
      </c>
      <c r="F708" t="s">
        <v>28</v>
      </c>
    </row>
    <row r="709" spans="1:7" x14ac:dyDescent="0.2">
      <c r="A709" t="s">
        <v>210</v>
      </c>
      <c r="B709" s="4">
        <v>3.2000000000000001E-2</v>
      </c>
      <c r="C709" t="s">
        <v>7</v>
      </c>
      <c r="D709" t="s">
        <v>3</v>
      </c>
      <c r="E709" t="s">
        <v>15</v>
      </c>
      <c r="F709" t="s">
        <v>211</v>
      </c>
    </row>
    <row r="710" spans="1:7" x14ac:dyDescent="0.2">
      <c r="A710" t="s">
        <v>137</v>
      </c>
      <c r="B710" s="8">
        <v>1.4E-3</v>
      </c>
      <c r="C710" t="s">
        <v>7</v>
      </c>
      <c r="D710" t="s">
        <v>3</v>
      </c>
      <c r="E710" t="s">
        <v>15</v>
      </c>
      <c r="F710" t="s">
        <v>138</v>
      </c>
    </row>
    <row r="711" spans="1:7" x14ac:dyDescent="0.2">
      <c r="A711" t="s">
        <v>212</v>
      </c>
      <c r="B711" s="8">
        <v>3.5999999999999999E-3</v>
      </c>
      <c r="C711" t="s">
        <v>7</v>
      </c>
      <c r="D711" t="s">
        <v>3</v>
      </c>
      <c r="E711" t="s">
        <v>15</v>
      </c>
      <c r="F711" t="s">
        <v>213</v>
      </c>
    </row>
    <row r="712" spans="1:7" x14ac:dyDescent="0.2">
      <c r="A712" t="s">
        <v>214</v>
      </c>
      <c r="B712" s="4">
        <v>1.6E-2</v>
      </c>
      <c r="C712" t="s">
        <v>7</v>
      </c>
      <c r="D712" t="s">
        <v>3</v>
      </c>
      <c r="E712" t="s">
        <v>15</v>
      </c>
      <c r="F712" t="s">
        <v>215</v>
      </c>
    </row>
    <row r="713" spans="1:7" x14ac:dyDescent="0.2">
      <c r="B713" s="8"/>
    </row>
    <row r="714" spans="1:7" x14ac:dyDescent="0.2">
      <c r="B714" s="8"/>
    </row>
    <row r="716" spans="1:7" ht="16" x14ac:dyDescent="0.2">
      <c r="A716" s="1" t="s">
        <v>0</v>
      </c>
      <c r="B716" s="1" t="s">
        <v>351</v>
      </c>
    </row>
    <row r="717" spans="1:7" ht="16" x14ac:dyDescent="0.2">
      <c r="A717" s="16" t="s">
        <v>1</v>
      </c>
      <c r="B717" s="16" t="s">
        <v>408</v>
      </c>
    </row>
    <row r="718" spans="1:7" x14ac:dyDescent="0.2">
      <c r="A718" t="s">
        <v>2</v>
      </c>
      <c r="B718" t="s">
        <v>3</v>
      </c>
    </row>
    <row r="719" spans="1:7" x14ac:dyDescent="0.2">
      <c r="A719" t="s">
        <v>4</v>
      </c>
      <c r="B719">
        <v>1</v>
      </c>
    </row>
    <row r="720" spans="1:7" x14ac:dyDescent="0.2">
      <c r="A720" t="s">
        <v>5</v>
      </c>
      <c r="B720" t="s">
        <v>143</v>
      </c>
    </row>
    <row r="721" spans="1:7" x14ac:dyDescent="0.2">
      <c r="A721" t="s">
        <v>6</v>
      </c>
      <c r="B721" t="s">
        <v>7</v>
      </c>
    </row>
    <row r="722" spans="1:7" x14ac:dyDescent="0.2">
      <c r="A722" t="s">
        <v>8</v>
      </c>
      <c r="B722" t="s">
        <v>311</v>
      </c>
    </row>
    <row r="723" spans="1:7" x14ac:dyDescent="0.2">
      <c r="A723" s="2" t="s">
        <v>9</v>
      </c>
    </row>
    <row r="724" spans="1:7" x14ac:dyDescent="0.2">
      <c r="A724" t="s">
        <v>10</v>
      </c>
      <c r="B724" t="s">
        <v>11</v>
      </c>
      <c r="C724" t="s">
        <v>6</v>
      </c>
      <c r="D724" t="s">
        <v>42</v>
      </c>
      <c r="E724" t="s">
        <v>2</v>
      </c>
      <c r="F724" t="s">
        <v>12</v>
      </c>
      <c r="G724" t="s">
        <v>5</v>
      </c>
    </row>
    <row r="725" spans="1:7" x14ac:dyDescent="0.2">
      <c r="A725" t="s">
        <v>351</v>
      </c>
      <c r="B725">
        <v>1</v>
      </c>
      <c r="C725" t="s">
        <v>7</v>
      </c>
      <c r="E725" t="s">
        <v>3</v>
      </c>
      <c r="F725" t="s">
        <v>13</v>
      </c>
      <c r="G725" t="s">
        <v>143</v>
      </c>
    </row>
    <row r="726" spans="1:7" x14ac:dyDescent="0.2">
      <c r="A726" t="s">
        <v>131</v>
      </c>
      <c r="B726" s="13">
        <f>2*10^-8</f>
        <v>2E-8</v>
      </c>
      <c r="C726" t="s">
        <v>6</v>
      </c>
      <c r="E726" t="s">
        <v>3</v>
      </c>
      <c r="F726" t="s">
        <v>15</v>
      </c>
      <c r="G726" t="s">
        <v>132</v>
      </c>
    </row>
    <row r="727" spans="1:7" x14ac:dyDescent="0.2">
      <c r="A727" t="s">
        <v>216</v>
      </c>
      <c r="B727" s="5">
        <v>0.97</v>
      </c>
      <c r="C727" t="s">
        <v>7</v>
      </c>
      <c r="E727" t="s">
        <v>3</v>
      </c>
      <c r="F727" t="s">
        <v>15</v>
      </c>
      <c r="G727" t="s">
        <v>217</v>
      </c>
    </row>
    <row r="728" spans="1:7" x14ac:dyDescent="0.2">
      <c r="A728" t="s">
        <v>18</v>
      </c>
      <c r="B728" s="4">
        <v>2.9000000000000001E-2</v>
      </c>
      <c r="C728" t="s">
        <v>7</v>
      </c>
      <c r="E728" t="s">
        <v>3</v>
      </c>
      <c r="F728" t="s">
        <v>15</v>
      </c>
      <c r="G728" t="s">
        <v>19</v>
      </c>
    </row>
    <row r="729" spans="1:7" x14ac:dyDescent="0.2">
      <c r="A729" t="s">
        <v>208</v>
      </c>
      <c r="B729" s="4">
        <v>2.9000000000000001E-2</v>
      </c>
      <c r="C729" t="s">
        <v>7</v>
      </c>
      <c r="E729" t="s">
        <v>17</v>
      </c>
      <c r="F729" t="s">
        <v>15</v>
      </c>
      <c r="G729" t="s">
        <v>209</v>
      </c>
    </row>
    <row r="730" spans="1:7" x14ac:dyDescent="0.2">
      <c r="B730" s="8"/>
    </row>
    <row r="731" spans="1:7" x14ac:dyDescent="0.2">
      <c r="B731" s="8"/>
    </row>
    <row r="732" spans="1:7" x14ac:dyDescent="0.2">
      <c r="G732" s="3"/>
    </row>
    <row r="733" spans="1:7" ht="16" x14ac:dyDescent="0.2">
      <c r="A733" s="1" t="s">
        <v>0</v>
      </c>
      <c r="B733" s="1" t="s">
        <v>349</v>
      </c>
    </row>
    <row r="734" spans="1:7" ht="16" x14ac:dyDescent="0.2">
      <c r="A734" s="16" t="s">
        <v>1</v>
      </c>
      <c r="B734" s="16" t="s">
        <v>408</v>
      </c>
    </row>
    <row r="735" spans="1:7" x14ac:dyDescent="0.2">
      <c r="A735" t="s">
        <v>2</v>
      </c>
      <c r="B735" t="s">
        <v>3</v>
      </c>
    </row>
    <row r="736" spans="1:7" x14ac:dyDescent="0.2">
      <c r="A736" t="s">
        <v>4</v>
      </c>
      <c r="B736">
        <v>1</v>
      </c>
    </row>
    <row r="737" spans="1:7" x14ac:dyDescent="0.2">
      <c r="A737" t="s">
        <v>5</v>
      </c>
      <c r="B737" t="s">
        <v>150</v>
      </c>
    </row>
    <row r="738" spans="1:7" x14ac:dyDescent="0.2">
      <c r="A738" t="s">
        <v>6</v>
      </c>
      <c r="B738" t="s">
        <v>7</v>
      </c>
    </row>
    <row r="739" spans="1:7" x14ac:dyDescent="0.2">
      <c r="A739" t="s">
        <v>8</v>
      </c>
      <c r="B739" t="s">
        <v>311</v>
      </c>
    </row>
    <row r="740" spans="1:7" x14ac:dyDescent="0.2">
      <c r="A740" s="2" t="s">
        <v>9</v>
      </c>
    </row>
    <row r="741" spans="1:7" x14ac:dyDescent="0.2">
      <c r="A741" t="s">
        <v>10</v>
      </c>
      <c r="B741" t="s">
        <v>11</v>
      </c>
      <c r="C741" t="s">
        <v>6</v>
      </c>
      <c r="D741" t="s">
        <v>42</v>
      </c>
      <c r="E741" t="s">
        <v>2</v>
      </c>
      <c r="F741" t="s">
        <v>12</v>
      </c>
      <c r="G741" t="s">
        <v>5</v>
      </c>
    </row>
    <row r="742" spans="1:7" x14ac:dyDescent="0.2">
      <c r="A742" t="s">
        <v>349</v>
      </c>
      <c r="B742">
        <v>1</v>
      </c>
      <c r="C742" t="s">
        <v>7</v>
      </c>
      <c r="E742" t="s">
        <v>3</v>
      </c>
      <c r="F742" t="s">
        <v>13</v>
      </c>
      <c r="G742" t="s">
        <v>150</v>
      </c>
    </row>
    <row r="743" spans="1:7" x14ac:dyDescent="0.2">
      <c r="A743" t="s">
        <v>25</v>
      </c>
      <c r="B743" s="13">
        <f>4.6*10^-10</f>
        <v>4.5999999999999996E-10</v>
      </c>
      <c r="C743" t="s">
        <v>6</v>
      </c>
      <c r="E743" t="s">
        <v>3</v>
      </c>
      <c r="F743" t="s">
        <v>15</v>
      </c>
      <c r="G743" t="s">
        <v>26</v>
      </c>
    </row>
    <row r="744" spans="1:7" x14ac:dyDescent="0.2">
      <c r="A744" t="s">
        <v>139</v>
      </c>
      <c r="B744" s="7">
        <v>1</v>
      </c>
      <c r="C744" t="s">
        <v>7</v>
      </c>
      <c r="E744" t="s">
        <v>3</v>
      </c>
      <c r="F744" t="s">
        <v>15</v>
      </c>
      <c r="G744" t="s">
        <v>140</v>
      </c>
    </row>
    <row r="745" spans="1:7" x14ac:dyDescent="0.2">
      <c r="A745" t="s">
        <v>137</v>
      </c>
      <c r="B745" s="7">
        <v>1</v>
      </c>
      <c r="C745" t="s">
        <v>7</v>
      </c>
      <c r="E745" t="s">
        <v>3</v>
      </c>
      <c r="F745" t="s">
        <v>15</v>
      </c>
      <c r="G745" t="s">
        <v>138</v>
      </c>
    </row>
    <row r="746" spans="1:7" x14ac:dyDescent="0.2">
      <c r="B746" s="8"/>
    </row>
    <row r="747" spans="1:7" x14ac:dyDescent="0.2">
      <c r="B747" s="8"/>
    </row>
    <row r="749" spans="1:7" ht="16" x14ac:dyDescent="0.2">
      <c r="A749" s="1" t="s">
        <v>0</v>
      </c>
      <c r="B749" s="1" t="s">
        <v>355</v>
      </c>
    </row>
    <row r="750" spans="1:7" ht="16" x14ac:dyDescent="0.2">
      <c r="A750" s="16" t="s">
        <v>1</v>
      </c>
      <c r="B750" s="16" t="inlineStr">
        <is>
          <t>APPROVED Li-S BASE-DESIGN ENGINEERING RECONCILIATION, item15, 2026-10-18. Wickerts corrected SI, DOI10.1021/acssuschemeng.4c01782.s001 Tables S19/S21: use baseline B recipe with the existing150 Wh/kg-cell and1500-cycle reference, rather than technical T ingredients associated with500 Wh/kg. Per cell: Li4g, separator6g, cathode8g, electrolyte29g, pouch.13g, negative tab.12g, positive tab.069g. Detailed retained masses sum47.319g, conflicting with source46g average. Adopt47.319g as the explicit engineering mass basis (not a measured corrected source cell); no arbitrary rescaling of individual ingredients. At150 Wh/kg this is7.09785 Wh/cell. Cathode B perkg: sulfur.28, CMK3.22, PVDF.13, acetonitrile.044, foil.38, organic waste-.054; inputs1.054kg=1kg product+.054kg waste. Preserve process-specific energy and transport. Source PVDF binder uses the existing polyvinylfluoride supply as an explicitly retained cross-version fluoropolymer proxy; exact binder chemistry remains a coverage/model gap, not a verified PVDF route. Per-cell assembly/formation/factory requirements retain their source cell amounts and are divided by47.319g. Module408cells=19.306152kg plus.275Al busbar+.593bimetal+.085Cu+2.75PP+2.5steel =25.509152kg. Cell share is0.7568323713779275. The mobile capacity market normalizes exactly to1 gross kWh at.150kWh/kg-cell, with.120-.180 endpoints and paired waste masses. Future density factors remain the existing relative learning assumption with fixed recipe; this does not validate a future physical cell design, cycle aging or calendar life. Controls/cooling are treated separately under item13. Source average-mass conflict and future recipe evolution remain explicit gaps. This supersedes older24.971kg-module/46g-cell and500Wh/kg-composition statements below.
PREVIOUS NOTES (retained as history; the correction above takes precedence):
Source: Wickerts et al. (2023). Prospective Life Cycle Assessment of Lithium-Sulfur Batteries for Stationary Energy Storage. ACS Sustainable Chemistry &amp; Engineering. https://doi.org/10.1021/acssuschemeng.3c00141</t>
        </is>
      </c>
    </row>
    <row r="751" spans="1:7" x14ac:dyDescent="0.2">
      <c r="A751" t="s">
        <v>2</v>
      </c>
      <c r="B751" t="s">
        <v>3</v>
      </c>
    </row>
    <row r="752" spans="1:7" x14ac:dyDescent="0.2">
      <c r="A752" t="s">
        <v>4</v>
      </c>
      <c r="B752">
        <v>1</v>
      </c>
    </row>
    <row r="753" spans="1:7" x14ac:dyDescent="0.2">
      <c r="A753" t="s">
        <v>5</v>
      </c>
      <c r="B753" t="s">
        <v>218</v>
      </c>
    </row>
    <row r="754" spans="1:7" x14ac:dyDescent="0.2">
      <c r="A754" t="s">
        <v>6</v>
      </c>
      <c r="B754" t="s">
        <v>6</v>
      </c>
    </row>
    <row r="755" spans="1:7" x14ac:dyDescent="0.2">
      <c r="A755" t="s">
        <v>8</v>
      </c>
      <c r="B755" t="s">
        <v>315</v>
      </c>
    </row>
    <row r="756" spans="1:7" ht="16" x14ac:dyDescent="0.2">
      <c r="A756" s="1" t="s">
        <v>9</v>
      </c>
    </row>
    <row r="757" spans="1:7" x14ac:dyDescent="0.2">
      <c r="A757" t="s">
        <v>10</v>
      </c>
      <c r="B757" t="s">
        <v>11</v>
      </c>
      <c r="C757" t="s">
        <v>6</v>
      </c>
      <c r="D757" t="s">
        <v>2</v>
      </c>
      <c r="E757" t="s">
        <v>12</v>
      </c>
      <c r="F757" t="s">
        <v>5</v>
      </c>
      <c r="G757" t="s">
        <v>1</v>
      </c>
    </row>
    <row r="758" spans="1:7" ht="16" x14ac:dyDescent="0.2">
      <c r="A758" s="16" t="s">
        <v>355</v>
      </c>
      <c r="B758">
        <v>1</v>
      </c>
      <c r="C758" t="s">
        <v>6</v>
      </c>
      <c r="D758" t="s">
        <v>3</v>
      </c>
      <c r="E758" t="s">
        <v>13</v>
      </c>
      <c r="F758" t="s">
        <v>218</v>
      </c>
    </row>
    <row r="759" spans="1:7" x14ac:dyDescent="0.2">
      <c r="A759" t="s">
        <v>343</v>
      </c>
      <c r="B759">
        <f>16*25.509152</f>
        <v>408.146432</v>
      </c>
      <c r="C759" t="s">
        <v>7</v>
      </c>
      <c r="D759" t="s">
        <v>3</v>
      </c>
      <c r="E759" t="s">
        <v>15</v>
      </c>
      <c r="F759" t="s">
        <v>414</v>
      </c>
      <c r="G759" t="s">
        <v>419</v>
      </c>
    </row>
    <row r="760" spans="1:7" x14ac:dyDescent="0.2">
      <c r="A760" t="s">
        <v>347</v>
      </c>
      <c r="B760">
        <v>1</v>
      </c>
      <c r="C760" t="s">
        <v>6</v>
      </c>
      <c r="D760" t="s">
        <v>3</v>
      </c>
      <c r="E760" t="s">
        <v>15</v>
      </c>
      <c r="F760" t="s">
        <v>141</v>
      </c>
    </row>
    <row r="761" spans="1:7" x14ac:dyDescent="0.2">
      <c r="A761" t="s">
        <v>219</v>
      </c>
      <c r="B761">
        <v>1.8</v>
      </c>
      <c r="C761" t="s">
        <v>7</v>
      </c>
      <c r="D761" t="s">
        <v>3</v>
      </c>
      <c r="E761" t="s">
        <v>15</v>
      </c>
      <c r="F761" t="s">
        <v>220</v>
      </c>
    </row>
    <row r="762" spans="1:7" x14ac:dyDescent="0.2">
      <c r="A762" t="s">
        <v>356</v>
      </c>
      <c r="B762">
        <v>50</v>
      </c>
      <c r="C762" t="s">
        <v>7</v>
      </c>
      <c r="D762" t="s">
        <v>3</v>
      </c>
      <c r="E762" t="s">
        <v>15</v>
      </c>
      <c r="F762" t="s">
        <v>223</v>
      </c>
    </row>
    <row r="763" spans="1:7" x14ac:dyDescent="0.2">
      <c r="A763" t="s">
        <v>221</v>
      </c>
      <c r="B763">
        <v>17</v>
      </c>
      <c r="C763" t="s">
        <v>7</v>
      </c>
      <c r="D763" t="s">
        <v>3</v>
      </c>
      <c r="E763" t="s">
        <v>15</v>
      </c>
      <c r="F763" t="s">
        <v>222</v>
      </c>
    </row>
    <row r="764" spans="1:7" x14ac:dyDescent="0.2">
      <c r="A764" t="s">
        <v>25</v>
      </c>
      <c r="B764" s="13">
        <v>2.1E-7</v>
      </c>
      <c r="C764" t="s">
        <v>6</v>
      </c>
      <c r="D764" t="s">
        <v>3</v>
      </c>
      <c r="E764" t="s">
        <v>15</v>
      </c>
      <c r="F764" t="s">
        <v>26</v>
      </c>
    </row>
    <row r="766" spans="1:7" x14ac:dyDescent="0.2">
      <c r="C766" s="4"/>
    </row>
    <row r="768" spans="1:7" ht="16" x14ac:dyDescent="0.2">
      <c r="A768" s="1" t="s">
        <v>0</v>
      </c>
      <c r="B768" s="1" t="s">
        <v>356</v>
      </c>
    </row>
    <row r="769" spans="1:6" ht="16" x14ac:dyDescent="0.2">
      <c r="A769" s="16" t="s">
        <v>1</v>
      </c>
      <c r="B769" s="16" t="s">
        <v>408</v>
      </c>
    </row>
    <row r="770" spans="1:6" x14ac:dyDescent="0.2">
      <c r="A770" t="s">
        <v>2</v>
      </c>
      <c r="B770" t="s">
        <v>3</v>
      </c>
    </row>
    <row r="771" spans="1:6" x14ac:dyDescent="0.2">
      <c r="A771" t="s">
        <v>4</v>
      </c>
      <c r="B771">
        <v>1</v>
      </c>
    </row>
    <row r="772" spans="1:6" x14ac:dyDescent="0.2">
      <c r="A772" t="s">
        <v>5</v>
      </c>
      <c r="B772" t="s">
        <v>223</v>
      </c>
    </row>
    <row r="773" spans="1:6" x14ac:dyDescent="0.2">
      <c r="A773" t="s">
        <v>6</v>
      </c>
      <c r="B773" t="s">
        <v>7</v>
      </c>
    </row>
    <row r="774" spans="1:6" x14ac:dyDescent="0.2">
      <c r="A774" t="s">
        <v>8</v>
      </c>
      <c r="B774" t="s">
        <v>316</v>
      </c>
    </row>
    <row r="775" spans="1:6" ht="16" x14ac:dyDescent="0.2">
      <c r="A775" s="1" t="s">
        <v>9</v>
      </c>
    </row>
    <row r="776" spans="1:6" x14ac:dyDescent="0.2">
      <c r="A776" t="s">
        <v>10</v>
      </c>
      <c r="B776" t="s">
        <v>11</v>
      </c>
      <c r="C776" t="s">
        <v>6</v>
      </c>
      <c r="D776" t="s">
        <v>2</v>
      </c>
      <c r="E776" t="s">
        <v>12</v>
      </c>
      <c r="F776" t="s">
        <v>5</v>
      </c>
    </row>
    <row r="777" spans="1:6" x14ac:dyDescent="0.2">
      <c r="A777" t="s">
        <v>356</v>
      </c>
      <c r="B777">
        <v>1</v>
      </c>
      <c r="C777" t="s">
        <v>7</v>
      </c>
      <c r="D777" t="s">
        <v>3</v>
      </c>
      <c r="E777" t="s">
        <v>13</v>
      </c>
      <c r="F777" t="s">
        <v>223</v>
      </c>
    </row>
    <row r="778" spans="1:6" x14ac:dyDescent="0.2">
      <c r="A778" t="s">
        <v>25</v>
      </c>
      <c r="B778" s="13">
        <f>4.58*10^-10</f>
        <v>4.5800000000000002E-10</v>
      </c>
      <c r="C778" t="s">
        <v>6</v>
      </c>
      <c r="D778" t="s">
        <v>3</v>
      </c>
      <c r="E778" t="s">
        <v>15</v>
      </c>
      <c r="F778" t="s">
        <v>26</v>
      </c>
    </row>
    <row r="779" spans="1:6" x14ac:dyDescent="0.2">
      <c r="A779" t="s">
        <v>139</v>
      </c>
      <c r="B779">
        <v>1</v>
      </c>
      <c r="C779" t="s">
        <v>7</v>
      </c>
      <c r="D779" t="s">
        <v>3</v>
      </c>
      <c r="E779" t="s">
        <v>15</v>
      </c>
      <c r="F779" t="s">
        <v>140</v>
      </c>
    </row>
    <row r="780" spans="1:6" x14ac:dyDescent="0.2">
      <c r="A780" t="s">
        <v>224</v>
      </c>
      <c r="B780">
        <v>5.5E-2</v>
      </c>
      <c r="C780" t="s">
        <v>153</v>
      </c>
      <c r="D780" t="s">
        <v>3</v>
      </c>
      <c r="E780" t="s">
        <v>15</v>
      </c>
      <c r="F780" t="s">
        <v>225</v>
      </c>
    </row>
    <row r="781" spans="1:6" x14ac:dyDescent="0.2">
      <c r="A781" t="s">
        <v>137</v>
      </c>
      <c r="B781">
        <v>1</v>
      </c>
      <c r="C781" t="s">
        <v>7</v>
      </c>
      <c r="D781" t="s">
        <v>3</v>
      </c>
      <c r="E781" t="s">
        <v>15</v>
      </c>
      <c r="F781" t="s">
        <v>138</v>
      </c>
    </row>
    <row r="785" spans="1:6" ht="16" x14ac:dyDescent="0.2">
      <c r="A785" s="1" t="s">
        <v>0</v>
      </c>
      <c r="B785" s="1" t="s">
        <v>357</v>
      </c>
    </row>
    <row r="786" spans="1:6" ht="16" x14ac:dyDescent="0.2">
      <c r="A786" s="16" t="s">
        <v>1</v>
      </c>
      <c r="B786" s="16" t="s">
        <v>408</v>
      </c>
    </row>
    <row r="787" spans="1:6" x14ac:dyDescent="0.2">
      <c r="A787" t="s">
        <v>2</v>
      </c>
      <c r="B787" t="s">
        <v>3</v>
      </c>
    </row>
    <row r="788" spans="1:6" x14ac:dyDescent="0.2">
      <c r="A788" t="s">
        <v>4</v>
      </c>
      <c r="B788">
        <v>1</v>
      </c>
    </row>
    <row r="789" spans="1:6" x14ac:dyDescent="0.2">
      <c r="A789" t="s">
        <v>5</v>
      </c>
      <c r="B789" t="s">
        <v>226</v>
      </c>
    </row>
    <row r="790" spans="1:6" x14ac:dyDescent="0.2">
      <c r="A790" t="s">
        <v>6</v>
      </c>
      <c r="B790" t="s">
        <v>7</v>
      </c>
    </row>
    <row r="791" spans="1:6" x14ac:dyDescent="0.2">
      <c r="A791" t="s">
        <v>8</v>
      </c>
      <c r="B791" t="s">
        <v>317</v>
      </c>
    </row>
    <row r="792" spans="1:6" ht="16" x14ac:dyDescent="0.2">
      <c r="A792" s="1" t="s">
        <v>9</v>
      </c>
    </row>
    <row r="793" spans="1:6" x14ac:dyDescent="0.2">
      <c r="A793" t="s">
        <v>10</v>
      </c>
      <c r="B793" t="s">
        <v>11</v>
      </c>
      <c r="C793" t="s">
        <v>6</v>
      </c>
      <c r="D793" t="s">
        <v>2</v>
      </c>
      <c r="E793" t="s">
        <v>12</v>
      </c>
      <c r="F793" t="s">
        <v>5</v>
      </c>
    </row>
    <row r="794" spans="1:6" x14ac:dyDescent="0.2">
      <c r="A794" t="s">
        <v>357</v>
      </c>
      <c r="B794">
        <v>1</v>
      </c>
      <c r="C794" t="s">
        <v>7</v>
      </c>
      <c r="D794" t="s">
        <v>3</v>
      </c>
      <c r="E794" t="s">
        <v>13</v>
      </c>
      <c r="F794" t="s">
        <v>226</v>
      </c>
    </row>
    <row r="795" spans="1:6" x14ac:dyDescent="0.2">
      <c r="A795" t="s">
        <v>137</v>
      </c>
      <c r="B795">
        <v>0.78</v>
      </c>
      <c r="C795" t="s">
        <v>7</v>
      </c>
      <c r="D795" t="s">
        <v>3</v>
      </c>
      <c r="E795" t="s">
        <v>15</v>
      </c>
      <c r="F795" t="s">
        <v>138</v>
      </c>
    </row>
    <row r="796" spans="1:6" x14ac:dyDescent="0.2">
      <c r="A796" t="s">
        <v>386</v>
      </c>
      <c r="B796">
        <v>0.22</v>
      </c>
      <c r="C796" t="s">
        <v>7</v>
      </c>
      <c r="D796" t="s">
        <v>17</v>
      </c>
      <c r="E796" t="s">
        <v>15</v>
      </c>
      <c r="F796" t="s">
        <v>227</v>
      </c>
    </row>
    <row r="800" spans="1:6" ht="16" x14ac:dyDescent="0.2">
      <c r="A800" s="1" t="s">
        <v>0</v>
      </c>
      <c r="B800" s="1" t="s">
        <v>358</v>
      </c>
    </row>
    <row r="801" spans="1:7" ht="16" x14ac:dyDescent="0.2">
      <c r="A801" s="16" t="s">
        <v>1</v>
      </c>
      <c r="B801" s="16" t="s">
        <v>408</v>
      </c>
    </row>
    <row r="802" spans="1:7" x14ac:dyDescent="0.2">
      <c r="A802" t="s">
        <v>2</v>
      </c>
      <c r="B802" t="s">
        <v>3</v>
      </c>
    </row>
    <row r="803" spans="1:7" x14ac:dyDescent="0.2">
      <c r="A803" t="s">
        <v>4</v>
      </c>
      <c r="B803">
        <v>1</v>
      </c>
    </row>
    <row r="804" spans="1:7" x14ac:dyDescent="0.2">
      <c r="A804" t="s">
        <v>5</v>
      </c>
      <c r="B804" t="s">
        <v>228</v>
      </c>
    </row>
    <row r="805" spans="1:7" x14ac:dyDescent="0.2">
      <c r="A805" t="s">
        <v>6</v>
      </c>
      <c r="B805" t="s">
        <v>6</v>
      </c>
    </row>
    <row r="806" spans="1:7" x14ac:dyDescent="0.2">
      <c r="A806" t="s">
        <v>8</v>
      </c>
      <c r="B806" t="s">
        <v>318</v>
      </c>
    </row>
    <row r="807" spans="1:7" ht="16" x14ac:dyDescent="0.2">
      <c r="A807" s="1" t="s">
        <v>9</v>
      </c>
    </row>
    <row r="808" spans="1:7" x14ac:dyDescent="0.2">
      <c r="A808" t="s">
        <v>10</v>
      </c>
      <c r="B808" t="s">
        <v>11</v>
      </c>
      <c r="C808" t="s">
        <v>6</v>
      </c>
      <c r="D808" t="s">
        <v>2</v>
      </c>
      <c r="E808" t="s">
        <v>12</v>
      </c>
      <c r="F808" t="s">
        <v>5</v>
      </c>
      <c r="G808" t="s">
        <v>1</v>
      </c>
    </row>
    <row r="809" spans="1:7" x14ac:dyDescent="0.2">
      <c r="A809" t="s">
        <v>358</v>
      </c>
      <c r="B809">
        <v>1</v>
      </c>
      <c r="C809" t="s">
        <v>6</v>
      </c>
      <c r="D809" t="s">
        <v>3</v>
      </c>
      <c r="E809" t="s">
        <v>13</v>
      </c>
      <c r="F809" t="s">
        <v>228</v>
      </c>
    </row>
    <row r="810" spans="1:7" x14ac:dyDescent="0.2">
      <c r="A810" t="s">
        <v>355</v>
      </c>
      <c r="B810">
        <v>40</v>
      </c>
      <c r="C810" t="s">
        <v>6</v>
      </c>
      <c r="D810" t="s">
        <v>3</v>
      </c>
      <c r="E810" t="s">
        <v>15</v>
      </c>
      <c r="F810" t="s">
        <v>218</v>
      </c>
    </row>
    <row r="811" spans="1:7" x14ac:dyDescent="0.2">
      <c r="A811" t="s">
        <v>343</v>
      </c>
      <c r="B811">
        <f>640*24.971</f>
        <v>15981.44</v>
      </c>
      <c r="C811" t="s">
        <v>7</v>
      </c>
      <c r="D811" t="s">
        <v>3</v>
      </c>
      <c r="E811" t="s">
        <v>15</v>
      </c>
      <c r="F811" t="s">
        <v>414</v>
      </c>
      <c r="G811" t="s">
        <v>420</v>
      </c>
    </row>
    <row r="812" spans="1:7" x14ac:dyDescent="0.2">
      <c r="A812" t="s">
        <v>387</v>
      </c>
      <c r="B812">
        <v>15</v>
      </c>
      <c r="C812" t="s">
        <v>45</v>
      </c>
      <c r="D812" t="s">
        <v>17</v>
      </c>
      <c r="E812" t="s">
        <v>15</v>
      </c>
      <c r="F812" t="s">
        <v>388</v>
      </c>
      <c r="G812" t="s">
        <v>389</v>
      </c>
    </row>
    <row r="813" spans="1:7" x14ac:dyDescent="0.2">
      <c r="A813" t="s">
        <v>357</v>
      </c>
      <c r="B813">
        <v>480</v>
      </c>
      <c r="C813" t="s">
        <v>7</v>
      </c>
      <c r="D813" t="s">
        <v>3</v>
      </c>
      <c r="E813" t="s">
        <v>15</v>
      </c>
      <c r="F813" t="s">
        <v>226</v>
      </c>
    </row>
    <row r="814" spans="1:7" x14ac:dyDescent="0.2">
      <c r="A814" t="s">
        <v>229</v>
      </c>
      <c r="B814">
        <v>1</v>
      </c>
      <c r="C814" t="s">
        <v>6</v>
      </c>
      <c r="D814" t="s">
        <v>3</v>
      </c>
      <c r="E814" t="s">
        <v>15</v>
      </c>
      <c r="F814" t="s">
        <v>230</v>
      </c>
    </row>
    <row r="815" spans="1:7" x14ac:dyDescent="0.2">
      <c r="A815" t="s">
        <v>231</v>
      </c>
      <c r="B815">
        <v>1.2</v>
      </c>
      <c r="C815" t="s">
        <v>6</v>
      </c>
      <c r="D815" t="s">
        <v>3</v>
      </c>
      <c r="E815" t="s">
        <v>15</v>
      </c>
      <c r="F815" t="s">
        <v>232</v>
      </c>
    </row>
    <row r="819" spans="1:7" ht="16" x14ac:dyDescent="0.2">
      <c r="A819" s="1" t="s">
        <v>0</v>
      </c>
      <c r="B819" s="1" t="s">
        <v>374</v>
      </c>
    </row>
    <row r="820" spans="1:7" x14ac:dyDescent="0.2">
      <c r="A820" t="s">
        <v>1</v>
      </c>
      <c r="B820" t="s">
        <v>409</v>
      </c>
    </row>
    <row r="821" spans="1:7" x14ac:dyDescent="0.2">
      <c r="A821" t="s">
        <v>2</v>
      </c>
      <c r="B821" t="s">
        <v>3</v>
      </c>
    </row>
    <row r="822" spans="1:7" x14ac:dyDescent="0.2">
      <c r="A822" t="s">
        <v>4</v>
      </c>
      <c r="B822">
        <v>1</v>
      </c>
    </row>
    <row r="823" spans="1:7" x14ac:dyDescent="0.2">
      <c r="A823" t="s">
        <v>5</v>
      </c>
      <c r="B823" t="s">
        <v>233</v>
      </c>
    </row>
    <row r="824" spans="1:7" x14ac:dyDescent="0.2">
      <c r="A824" t="s">
        <v>6</v>
      </c>
      <c r="B824" t="s">
        <v>23</v>
      </c>
    </row>
    <row r="825" spans="1:7" x14ac:dyDescent="0.2">
      <c r="A825" t="s">
        <v>8</v>
      </c>
      <c r="B825" t="s">
        <v>319</v>
      </c>
    </row>
    <row r="826" spans="1:7" ht="16" x14ac:dyDescent="0.2">
      <c r="A826" s="1" t="s">
        <v>9</v>
      </c>
    </row>
    <row r="827" spans="1:7" x14ac:dyDescent="0.2">
      <c r="A827" t="s">
        <v>10</v>
      </c>
      <c r="B827" t="s">
        <v>11</v>
      </c>
      <c r="C827" t="s">
        <v>6</v>
      </c>
      <c r="D827" t="s">
        <v>2</v>
      </c>
      <c r="E827" t="s">
        <v>12</v>
      </c>
      <c r="F827" t="s">
        <v>5</v>
      </c>
      <c r="G827" t="s">
        <v>292</v>
      </c>
    </row>
    <row r="828" spans="1:7" x14ac:dyDescent="0.2">
      <c r="A828" t="s">
        <v>374</v>
      </c>
      <c r="B828">
        <v>1</v>
      </c>
      <c r="C828" t="s">
        <v>23</v>
      </c>
      <c r="D828" t="s">
        <v>3</v>
      </c>
      <c r="E828" t="s">
        <v>13</v>
      </c>
      <c r="F828" t="s">
        <v>233</v>
      </c>
    </row>
    <row r="829" spans="1:7" x14ac:dyDescent="0.2">
      <c r="A829" t="s">
        <v>358</v>
      </c>
      <c r="B829" s="13">
        <f>0.0000278/1000</f>
        <v>2.7800000000000001E-8</v>
      </c>
      <c r="C829" t="s">
        <v>6</v>
      </c>
      <c r="D829" t="s">
        <v>3</v>
      </c>
      <c r="E829" t="s">
        <v>15</v>
      </c>
      <c r="F829" t="s">
        <v>228</v>
      </c>
      <c r="G829" t="s">
        <v>390</v>
      </c>
    </row>
    <row r="830" spans="1:7" x14ac:dyDescent="0.2">
      <c r="A830" t="s">
        <v>22</v>
      </c>
      <c r="B830">
        <f>0.122+0.313</f>
        <v>0.435</v>
      </c>
      <c r="C830" t="s">
        <v>23</v>
      </c>
      <c r="D830" t="s">
        <v>54</v>
      </c>
      <c r="E830" t="s">
        <v>15</v>
      </c>
      <c r="F830" t="s">
        <v>24</v>
      </c>
      <c r="G830" t="s">
        <v>416</v>
      </c>
    </row>
    <row r="831" spans="1:7" x14ac:dyDescent="0.2">
      <c r="A831" t="s">
        <v>361</v>
      </c>
      <c r="B831" s="13">
        <f>-B829</f>
        <v>-2.7800000000000001E-8</v>
      </c>
      <c r="C831" t="s">
        <v>6</v>
      </c>
      <c r="D831" t="s">
        <v>3</v>
      </c>
      <c r="E831" t="s">
        <v>15</v>
      </c>
      <c r="F831" t="s">
        <v>243</v>
      </c>
      <c r="G831" t="s">
        <v>422</v>
      </c>
    </row>
    <row r="834" spans="1:7" ht="16" x14ac:dyDescent="0.2">
      <c r="A834" s="1" t="s">
        <v>0</v>
      </c>
      <c r="B834" s="1" t="s">
        <v>359</v>
      </c>
    </row>
    <row r="835" spans="1:7" ht="16" x14ac:dyDescent="0.2">
      <c r="A835" s="16" t="s">
        <v>1</v>
      </c>
      <c r="B835" s="16" t="s">
        <v>408</v>
      </c>
    </row>
    <row r="836" spans="1:7" x14ac:dyDescent="0.2">
      <c r="A836" t="s">
        <v>2</v>
      </c>
      <c r="B836" t="s">
        <v>234</v>
      </c>
    </row>
    <row r="837" spans="1:7" x14ac:dyDescent="0.2">
      <c r="A837" t="s">
        <v>4</v>
      </c>
      <c r="B837">
        <v>1</v>
      </c>
    </row>
    <row r="838" spans="1:7" x14ac:dyDescent="0.2">
      <c r="A838" t="s">
        <v>5</v>
      </c>
      <c r="B838" t="s">
        <v>24</v>
      </c>
    </row>
    <row r="839" spans="1:7" x14ac:dyDescent="0.2">
      <c r="A839" t="s">
        <v>6</v>
      </c>
      <c r="B839" t="s">
        <v>23</v>
      </c>
    </row>
    <row r="840" spans="1:7" x14ac:dyDescent="0.2">
      <c r="A840" t="s">
        <v>8</v>
      </c>
      <c r="B840" t="s">
        <v>319</v>
      </c>
    </row>
    <row r="841" spans="1:7" ht="16" x14ac:dyDescent="0.2">
      <c r="A841" s="1" t="s">
        <v>9</v>
      </c>
    </row>
    <row r="842" spans="1:7" x14ac:dyDescent="0.2">
      <c r="A842" t="s">
        <v>10</v>
      </c>
      <c r="B842" t="s">
        <v>11</v>
      </c>
      <c r="C842" t="s">
        <v>6</v>
      </c>
      <c r="D842" t="s">
        <v>42</v>
      </c>
      <c r="E842" t="s">
        <v>2</v>
      </c>
      <c r="F842" t="s">
        <v>12</v>
      </c>
      <c r="G842" t="s">
        <v>5</v>
      </c>
    </row>
    <row r="843" spans="1:7" x14ac:dyDescent="0.2">
      <c r="A843" t="s">
        <v>359</v>
      </c>
      <c r="B843">
        <v>1</v>
      </c>
      <c r="C843" t="s">
        <v>23</v>
      </c>
      <c r="E843" t="s">
        <v>234</v>
      </c>
      <c r="F843" t="s">
        <v>13</v>
      </c>
      <c r="G843" t="s">
        <v>24</v>
      </c>
    </row>
    <row r="844" spans="1:7" x14ac:dyDescent="0.2">
      <c r="A844" t="s">
        <v>360</v>
      </c>
      <c r="B844">
        <v>1</v>
      </c>
      <c r="C844" t="s">
        <v>23</v>
      </c>
      <c r="E844" t="s">
        <v>234</v>
      </c>
      <c r="F844" t="s">
        <v>15</v>
      </c>
      <c r="G844" t="s">
        <v>24</v>
      </c>
    </row>
    <row r="845" spans="1:7" x14ac:dyDescent="0.2">
      <c r="A845" t="s">
        <v>235</v>
      </c>
      <c r="B845" s="13">
        <f>1.13*10^-7</f>
        <v>1.1299999999999998E-7</v>
      </c>
      <c r="C845" t="s">
        <v>7</v>
      </c>
      <c r="E845" t="s">
        <v>29</v>
      </c>
      <c r="F845" t="s">
        <v>15</v>
      </c>
      <c r="G845" t="s">
        <v>236</v>
      </c>
    </row>
    <row r="846" spans="1:7" x14ac:dyDescent="0.2">
      <c r="A846" t="s">
        <v>237</v>
      </c>
      <c r="B846" s="13">
        <f>1.86278*10^-8</f>
        <v>1.8627800000000002E-8</v>
      </c>
      <c r="C846" t="s">
        <v>238</v>
      </c>
      <c r="E846" t="s">
        <v>3</v>
      </c>
      <c r="F846" t="s">
        <v>15</v>
      </c>
      <c r="G846" t="s">
        <v>239</v>
      </c>
    </row>
    <row r="847" spans="1:7" x14ac:dyDescent="0.2">
      <c r="A847" t="s">
        <v>240</v>
      </c>
      <c r="B847" s="13">
        <f>1.13*10^-7</f>
        <v>1.1299999999999998E-7</v>
      </c>
      <c r="C847" t="s">
        <v>7</v>
      </c>
      <c r="D847" t="s">
        <v>43</v>
      </c>
      <c r="F847" t="s">
        <v>44</v>
      </c>
    </row>
    <row r="848" spans="1:7" x14ac:dyDescent="0.2">
      <c r="B848" s="3"/>
    </row>
    <row r="849" spans="1:8" x14ac:dyDescent="0.2">
      <c r="B849" s="3"/>
    </row>
    <row r="851" spans="1:8" ht="16" x14ac:dyDescent="0.2">
      <c r="A851" s="1" t="s">
        <v>0</v>
      </c>
      <c r="B851" s="2" t="s">
        <v>360</v>
      </c>
    </row>
    <row r="852" spans="1:8" ht="16" x14ac:dyDescent="0.2">
      <c r="A852" s="16" t="s">
        <v>1</v>
      </c>
      <c r="B852" t="s">
        <v>408</v>
      </c>
    </row>
    <row r="853" spans="1:8" x14ac:dyDescent="0.2">
      <c r="A853" t="s">
        <v>2</v>
      </c>
      <c r="B853" t="s">
        <v>234</v>
      </c>
    </row>
    <row r="854" spans="1:8" x14ac:dyDescent="0.2">
      <c r="A854" t="s">
        <v>4</v>
      </c>
      <c r="B854">
        <v>1</v>
      </c>
    </row>
    <row r="855" spans="1:8" x14ac:dyDescent="0.2">
      <c r="A855" t="s">
        <v>5</v>
      </c>
      <c r="B855" t="s">
        <v>24</v>
      </c>
    </row>
    <row r="856" spans="1:8" x14ac:dyDescent="0.2">
      <c r="A856" t="s">
        <v>6</v>
      </c>
      <c r="B856" t="s">
        <v>23</v>
      </c>
    </row>
    <row r="857" spans="1:8" x14ac:dyDescent="0.2">
      <c r="A857" t="s">
        <v>8</v>
      </c>
      <c r="B857" t="s">
        <v>319</v>
      </c>
    </row>
    <row r="858" spans="1:8" ht="16" x14ac:dyDescent="0.2">
      <c r="A858" s="1" t="s">
        <v>9</v>
      </c>
    </row>
    <row r="859" spans="1:8" x14ac:dyDescent="0.2">
      <c r="A859" s="15" t="s">
        <v>10</v>
      </c>
      <c r="B859" s="15" t="s">
        <v>11</v>
      </c>
      <c r="C859" s="15" t="s">
        <v>6</v>
      </c>
      <c r="D859" s="15" t="s">
        <v>42</v>
      </c>
      <c r="E859" s="15" t="s">
        <v>2</v>
      </c>
      <c r="F859" s="15" t="s">
        <v>12</v>
      </c>
      <c r="G859" s="15" t="s">
        <v>5</v>
      </c>
      <c r="H859" s="15"/>
    </row>
    <row r="860" spans="1:8" x14ac:dyDescent="0.2">
      <c r="A860" t="s">
        <v>360</v>
      </c>
      <c r="B860">
        <v>1</v>
      </c>
      <c r="C860" t="s">
        <v>23</v>
      </c>
      <c r="E860" t="s">
        <v>234</v>
      </c>
      <c r="F860" t="s">
        <v>13</v>
      </c>
      <c r="G860" t="s">
        <v>24</v>
      </c>
    </row>
    <row r="861" spans="1:8" x14ac:dyDescent="0.2">
      <c r="A861" t="s">
        <v>241</v>
      </c>
      <c r="B861" s="7">
        <v>1.0037</v>
      </c>
      <c r="C861" t="s">
        <v>23</v>
      </c>
      <c r="E861" t="s">
        <v>234</v>
      </c>
      <c r="F861" t="s">
        <v>15</v>
      </c>
      <c r="G861" t="s">
        <v>242</v>
      </c>
    </row>
    <row r="865" spans="1:8" ht="16" x14ac:dyDescent="0.2">
      <c r="A865" s="1" t="s">
        <v>0</v>
      </c>
      <c r="B865" s="1" t="s">
        <v>361</v>
      </c>
    </row>
    <row r="866" spans="1:8" ht="16" x14ac:dyDescent="0.2">
      <c r="A866" s="16" t="s">
        <v>1</v>
      </c>
      <c r="B866" s="16" t="s">
        <v>408</v>
      </c>
    </row>
    <row r="867" spans="1:8" x14ac:dyDescent="0.2">
      <c r="A867" t="s">
        <v>2</v>
      </c>
      <c r="B867" t="s">
        <v>3</v>
      </c>
    </row>
    <row r="868" spans="1:8" x14ac:dyDescent="0.2">
      <c r="A868" t="s">
        <v>4</v>
      </c>
      <c r="B868">
        <v>1</v>
      </c>
    </row>
    <row r="869" spans="1:8" x14ac:dyDescent="0.2">
      <c r="A869" t="s">
        <v>5</v>
      </c>
      <c r="B869" t="s">
        <v>243</v>
      </c>
    </row>
    <row r="870" spans="1:8" x14ac:dyDescent="0.2">
      <c r="A870" t="s">
        <v>6</v>
      </c>
      <c r="B870" t="s">
        <v>6</v>
      </c>
    </row>
    <row r="871" spans="1:8" x14ac:dyDescent="0.2">
      <c r="A871" t="s">
        <v>8</v>
      </c>
      <c r="B871" t="s">
        <v>319</v>
      </c>
    </row>
    <row r="872" spans="1:8" ht="16" x14ac:dyDescent="0.2">
      <c r="A872" s="1" t="s">
        <v>9</v>
      </c>
    </row>
    <row r="873" spans="1:8" x14ac:dyDescent="0.2">
      <c r="A873" s="15" t="s">
        <v>10</v>
      </c>
      <c r="B873" s="15" t="s">
        <v>11</v>
      </c>
      <c r="C873" s="15" t="s">
        <v>6</v>
      </c>
      <c r="D873" s="15" t="s">
        <v>42</v>
      </c>
      <c r="E873" s="15" t="s">
        <v>2</v>
      </c>
      <c r="F873" s="15" t="s">
        <v>12</v>
      </c>
      <c r="G873" s="15" t="s">
        <v>5</v>
      </c>
      <c r="H873" s="15" t="s">
        <v>1</v>
      </c>
    </row>
    <row r="874" spans="1:8" x14ac:dyDescent="0.2">
      <c r="A874" t="s">
        <v>361</v>
      </c>
      <c r="B874">
        <v>-1</v>
      </c>
      <c r="C874" t="s">
        <v>6</v>
      </c>
      <c r="E874" t="s">
        <v>3</v>
      </c>
      <c r="F874" t="s">
        <v>13</v>
      </c>
      <c r="G874" t="s">
        <v>243</v>
      </c>
      <c r="H874" t="s">
        <v>421</v>
      </c>
    </row>
    <row r="875" spans="1:8" x14ac:dyDescent="0.2">
      <c r="A875" t="s">
        <v>362</v>
      </c>
      <c r="B875">
        <v>-1300</v>
      </c>
      <c r="C875" t="s">
        <v>6</v>
      </c>
      <c r="E875" t="s">
        <v>3</v>
      </c>
      <c r="F875" t="s">
        <v>15</v>
      </c>
      <c r="G875" t="s">
        <v>244</v>
      </c>
    </row>
    <row r="876" spans="1:8" ht="16" x14ac:dyDescent="0.2">
      <c r="A876" s="22" t="s">
        <v>432</v>
      </c>
      <c r="B876">
        <v>-9000</v>
      </c>
      <c r="C876" t="s">
        <v>7</v>
      </c>
      <c r="E876" t="s">
        <v>3</v>
      </c>
      <c r="F876" t="s">
        <v>15</v>
      </c>
      <c r="G876" s="15" t="s">
        <v>433</v>
      </c>
    </row>
    <row r="879" spans="1:8" ht="16" x14ac:dyDescent="0.2">
      <c r="A879" s="1" t="s">
        <v>0</v>
      </c>
      <c r="B879" s="1" t="s">
        <v>362</v>
      </c>
    </row>
    <row r="880" spans="1:8" ht="16" x14ac:dyDescent="0.2">
      <c r="A880" s="16" t="s">
        <v>1</v>
      </c>
      <c r="B880" s="16" t="s">
        <v>408</v>
      </c>
    </row>
    <row r="881" spans="1:8" x14ac:dyDescent="0.2">
      <c r="A881" t="s">
        <v>2</v>
      </c>
      <c r="B881" t="s">
        <v>3</v>
      </c>
    </row>
    <row r="882" spans="1:8" x14ac:dyDescent="0.2">
      <c r="A882" t="s">
        <v>4</v>
      </c>
      <c r="B882">
        <v>1</v>
      </c>
    </row>
    <row r="883" spans="1:8" x14ac:dyDescent="0.2">
      <c r="A883" t="s">
        <v>5</v>
      </c>
      <c r="B883" t="s">
        <v>244</v>
      </c>
    </row>
    <row r="884" spans="1:8" x14ac:dyDescent="0.2">
      <c r="A884" t="s">
        <v>6</v>
      </c>
      <c r="B884" t="s">
        <v>6</v>
      </c>
    </row>
    <row r="885" spans="1:8" x14ac:dyDescent="0.2">
      <c r="A885" t="s">
        <v>8</v>
      </c>
      <c r="B885" t="s">
        <v>319</v>
      </c>
    </row>
    <row r="886" spans="1:8" ht="16" x14ac:dyDescent="0.2">
      <c r="A886" s="1" t="s">
        <v>9</v>
      </c>
    </row>
    <row r="887" spans="1:8" x14ac:dyDescent="0.2">
      <c r="A887" s="15" t="s">
        <v>10</v>
      </c>
      <c r="B887" s="15" t="s">
        <v>11</v>
      </c>
      <c r="C887" s="15" t="s">
        <v>6</v>
      </c>
      <c r="D887" s="15" t="s">
        <v>42</v>
      </c>
      <c r="E887" s="15" t="s">
        <v>2</v>
      </c>
      <c r="F887" s="15" t="s">
        <v>12</v>
      </c>
      <c r="G887" s="15" t="s">
        <v>5</v>
      </c>
      <c r="H887" s="15" t="s">
        <v>1</v>
      </c>
    </row>
    <row r="888" spans="1:8" x14ac:dyDescent="0.2">
      <c r="A888" t="s">
        <v>362</v>
      </c>
      <c r="B888">
        <v>-1</v>
      </c>
      <c r="C888" t="s">
        <v>6</v>
      </c>
      <c r="E888" t="s">
        <v>3</v>
      </c>
      <c r="F888" t="s">
        <v>13</v>
      </c>
      <c r="G888" t="s">
        <v>244</v>
      </c>
      <c r="H888" t="s">
        <v>421</v>
      </c>
    </row>
    <row r="889" spans="1:8" x14ac:dyDescent="0.2">
      <c r="A889" t="s">
        <v>363</v>
      </c>
      <c r="B889">
        <v>-18.77</v>
      </c>
      <c r="C889" t="s">
        <v>7</v>
      </c>
      <c r="E889" t="s">
        <v>3</v>
      </c>
      <c r="F889" t="s">
        <v>15</v>
      </c>
      <c r="G889" t="s">
        <v>423</v>
      </c>
    </row>
    <row r="890" spans="1:8" x14ac:dyDescent="0.2">
      <c r="A890" t="s">
        <v>431</v>
      </c>
      <c r="B890">
        <v>-6.27</v>
      </c>
      <c r="C890" t="s">
        <v>7</v>
      </c>
      <c r="E890" t="s">
        <v>3</v>
      </c>
      <c r="F890" t="s">
        <v>15</v>
      </c>
      <c r="G890" t="s">
        <v>430</v>
      </c>
    </row>
    <row r="894" spans="1:8" ht="16" x14ac:dyDescent="0.2">
      <c r="A894" s="1" t="s">
        <v>0</v>
      </c>
      <c r="B894" s="1" t="s">
        <v>363</v>
      </c>
    </row>
    <row r="895" spans="1:8" ht="16" x14ac:dyDescent="0.2">
      <c r="A895" s="16" t="s">
        <v>1</v>
      </c>
      <c r="B895" s="16" t="s">
        <v>408</v>
      </c>
    </row>
    <row r="896" spans="1:8" x14ac:dyDescent="0.2">
      <c r="A896" t="s">
        <v>2</v>
      </c>
      <c r="B896" t="s">
        <v>3</v>
      </c>
    </row>
    <row r="897" spans="1:8" x14ac:dyDescent="0.2">
      <c r="A897" t="s">
        <v>4</v>
      </c>
      <c r="B897">
        <v>1</v>
      </c>
    </row>
    <row r="898" spans="1:8" x14ac:dyDescent="0.2">
      <c r="A898" t="s">
        <v>5</v>
      </c>
      <c r="B898" t="s">
        <v>423</v>
      </c>
    </row>
    <row r="899" spans="1:8" x14ac:dyDescent="0.2">
      <c r="A899" t="s">
        <v>6</v>
      </c>
      <c r="B899" t="s">
        <v>7</v>
      </c>
    </row>
    <row r="900" spans="1:8" x14ac:dyDescent="0.2">
      <c r="A900" t="s">
        <v>8</v>
      </c>
      <c r="B900" t="s">
        <v>319</v>
      </c>
    </row>
    <row r="901" spans="1:8" ht="16" x14ac:dyDescent="0.2">
      <c r="A901" s="1" t="s">
        <v>9</v>
      </c>
    </row>
    <row r="902" spans="1:8" x14ac:dyDescent="0.2">
      <c r="A902" s="15" t="s">
        <v>10</v>
      </c>
      <c r="B902" s="15" t="s">
        <v>11</v>
      </c>
      <c r="C902" s="15" t="s">
        <v>6</v>
      </c>
      <c r="D902" s="15" t="s">
        <v>42</v>
      </c>
      <c r="E902" s="15" t="s">
        <v>2</v>
      </c>
      <c r="F902" s="15" t="s">
        <v>12</v>
      </c>
      <c r="G902" s="15" t="s">
        <v>5</v>
      </c>
      <c r="H902" s="15" t="s">
        <v>292</v>
      </c>
    </row>
    <row r="903" spans="1:8" x14ac:dyDescent="0.2">
      <c r="A903" s="15" t="s">
        <v>363</v>
      </c>
      <c r="B903" s="15">
        <v>-1</v>
      </c>
      <c r="C903" s="15" t="s">
        <v>7</v>
      </c>
      <c r="D903" s="15"/>
      <c r="E903" s="15" t="s">
        <v>3</v>
      </c>
      <c r="F903" s="15" t="s">
        <v>13</v>
      </c>
      <c r="G903" s="15" t="s">
        <v>423</v>
      </c>
      <c r="H903" s="15"/>
    </row>
    <row r="904" spans="1:8" ht="16" x14ac:dyDescent="0.2">
      <c r="A904" s="25" t="s">
        <v>364</v>
      </c>
      <c r="B904">
        <v>-0.72</v>
      </c>
      <c r="C904" t="s">
        <v>7</v>
      </c>
      <c r="E904" t="s">
        <v>3</v>
      </c>
      <c r="F904" t="s">
        <v>15</v>
      </c>
      <c r="G904" t="s">
        <v>249</v>
      </c>
      <c r="H904" t="s">
        <v>421</v>
      </c>
    </row>
    <row r="905" spans="1:8" x14ac:dyDescent="0.2">
      <c r="A905" t="s">
        <v>22</v>
      </c>
      <c r="B905">
        <v>0.26</v>
      </c>
      <c r="C905" t="s">
        <v>23</v>
      </c>
      <c r="E905" t="s">
        <v>54</v>
      </c>
      <c r="F905" t="s">
        <v>15</v>
      </c>
      <c r="G905" t="s">
        <v>24</v>
      </c>
    </row>
    <row r="906" spans="1:8" x14ac:dyDescent="0.2">
      <c r="A906" t="s">
        <v>314</v>
      </c>
      <c r="B906">
        <v>0.28000000000000003</v>
      </c>
      <c r="C906" t="s">
        <v>7</v>
      </c>
      <c r="D906" t="s">
        <v>43</v>
      </c>
      <c r="F906" t="s">
        <v>44</v>
      </c>
    </row>
    <row r="910" spans="1:8" ht="16" x14ac:dyDescent="0.2">
      <c r="A910" s="1" t="s">
        <v>0</v>
      </c>
      <c r="B910" s="1" t="s">
        <v>364</v>
      </c>
    </row>
    <row r="911" spans="1:8" ht="16" x14ac:dyDescent="0.2">
      <c r="A911" s="16" t="s">
        <v>1</v>
      </c>
      <c r="B911" s="16" t="s">
        <v>408</v>
      </c>
    </row>
    <row r="912" spans="1:8" x14ac:dyDescent="0.2">
      <c r="A912" t="s">
        <v>2</v>
      </c>
      <c r="B912" t="s">
        <v>3</v>
      </c>
    </row>
    <row r="913" spans="1:8" x14ac:dyDescent="0.2">
      <c r="A913" t="s">
        <v>4</v>
      </c>
      <c r="B913">
        <v>1</v>
      </c>
    </row>
    <row r="914" spans="1:8" x14ac:dyDescent="0.2">
      <c r="A914" t="s">
        <v>5</v>
      </c>
      <c r="B914" t="s">
        <v>249</v>
      </c>
    </row>
    <row r="915" spans="1:8" x14ac:dyDescent="0.2">
      <c r="A915" t="s">
        <v>6</v>
      </c>
      <c r="B915" t="s">
        <v>7</v>
      </c>
    </row>
    <row r="916" spans="1:8" x14ac:dyDescent="0.2">
      <c r="A916" t="s">
        <v>8</v>
      </c>
      <c r="B916" t="s">
        <v>319</v>
      </c>
    </row>
    <row r="917" spans="1:8" ht="16" x14ac:dyDescent="0.2">
      <c r="A917" s="1" t="s">
        <v>9</v>
      </c>
    </row>
    <row r="918" spans="1:8" x14ac:dyDescent="0.2">
      <c r="A918" s="15" t="s">
        <v>10</v>
      </c>
      <c r="B918" s="15" t="s">
        <v>11</v>
      </c>
      <c r="C918" s="15" t="s">
        <v>6</v>
      </c>
      <c r="D918" s="15" t="s">
        <v>42</v>
      </c>
      <c r="E918" s="15" t="s">
        <v>2</v>
      </c>
      <c r="F918" s="15" t="s">
        <v>12</v>
      </c>
      <c r="G918" s="15" t="s">
        <v>5</v>
      </c>
      <c r="H918" s="15" t="s">
        <v>292</v>
      </c>
    </row>
    <row r="919" spans="1:8" x14ac:dyDescent="0.2">
      <c r="A919" t="s">
        <v>364</v>
      </c>
      <c r="B919" s="7">
        <v>-1</v>
      </c>
      <c r="C919" t="s">
        <v>7</v>
      </c>
      <c r="E919" t="s">
        <v>3</v>
      </c>
      <c r="F919" t="s">
        <v>13</v>
      </c>
      <c r="G919" t="s">
        <v>249</v>
      </c>
    </row>
    <row r="920" spans="1:8" x14ac:dyDescent="0.2">
      <c r="A920" t="s">
        <v>365</v>
      </c>
      <c r="B920">
        <v>-0.95</v>
      </c>
      <c r="C920" t="s">
        <v>7</v>
      </c>
      <c r="E920" t="s">
        <v>3</v>
      </c>
      <c r="F920" t="s">
        <v>15</v>
      </c>
      <c r="G920" t="s">
        <v>97</v>
      </c>
      <c r="H920" t="s">
        <v>421</v>
      </c>
    </row>
    <row r="921" spans="1:8" x14ac:dyDescent="0.2">
      <c r="A921" t="s">
        <v>22</v>
      </c>
      <c r="B921" s="7">
        <v>1.6</v>
      </c>
      <c r="C921" t="s">
        <v>23</v>
      </c>
      <c r="E921" t="s">
        <v>3</v>
      </c>
      <c r="F921" t="s">
        <v>15</v>
      </c>
      <c r="G921" t="s">
        <v>24</v>
      </c>
    </row>
    <row r="922" spans="1:8" x14ac:dyDescent="0.2">
      <c r="A922" t="s">
        <v>33</v>
      </c>
      <c r="B922">
        <v>5</v>
      </c>
      <c r="C922" t="s">
        <v>34</v>
      </c>
      <c r="E922" t="s">
        <v>17</v>
      </c>
      <c r="F922" t="s">
        <v>15</v>
      </c>
      <c r="G922" t="s">
        <v>35</v>
      </c>
    </row>
    <row r="923" spans="1:8" x14ac:dyDescent="0.2">
      <c r="A923" t="s">
        <v>80</v>
      </c>
      <c r="B923" s="7">
        <v>4.2</v>
      </c>
      <c r="C923" t="s">
        <v>34</v>
      </c>
      <c r="E923" t="s">
        <v>3</v>
      </c>
      <c r="F923" t="s">
        <v>15</v>
      </c>
      <c r="G923" t="s">
        <v>81</v>
      </c>
    </row>
    <row r="924" spans="1:8" x14ac:dyDescent="0.2">
      <c r="A924" t="s">
        <v>426</v>
      </c>
      <c r="B924">
        <v>-4.7E-2</v>
      </c>
      <c r="C924" t="s">
        <v>7</v>
      </c>
      <c r="E924" t="s">
        <v>3</v>
      </c>
      <c r="F924" t="s">
        <v>15</v>
      </c>
      <c r="G924" t="s">
        <v>427</v>
      </c>
    </row>
    <row r="926" spans="1:8" ht="16" x14ac:dyDescent="0.2">
      <c r="A926" s="1" t="s">
        <v>0</v>
      </c>
      <c r="B926" s="1" t="s">
        <v>365</v>
      </c>
    </row>
    <row r="927" spans="1:8" ht="16" x14ac:dyDescent="0.2">
      <c r="A927" s="16" t="s">
        <v>1</v>
      </c>
      <c r="B927" s="16" t="s">
        <v>408</v>
      </c>
    </row>
    <row r="928" spans="1:8" x14ac:dyDescent="0.2">
      <c r="A928" t="s">
        <v>2</v>
      </c>
      <c r="B928" t="s">
        <v>3</v>
      </c>
    </row>
    <row r="929" spans="1:8" x14ac:dyDescent="0.2">
      <c r="A929" t="s">
        <v>4</v>
      </c>
      <c r="B929">
        <v>1</v>
      </c>
    </row>
    <row r="930" spans="1:8" x14ac:dyDescent="0.2">
      <c r="A930" t="s">
        <v>5</v>
      </c>
      <c r="B930" t="s">
        <v>97</v>
      </c>
    </row>
    <row r="931" spans="1:8" x14ac:dyDescent="0.2">
      <c r="A931" t="s">
        <v>6</v>
      </c>
      <c r="B931" t="s">
        <v>7</v>
      </c>
    </row>
    <row r="932" spans="1:8" x14ac:dyDescent="0.2">
      <c r="A932" t="s">
        <v>8</v>
      </c>
      <c r="B932" t="s">
        <v>319</v>
      </c>
    </row>
    <row r="933" spans="1:8" ht="16" x14ac:dyDescent="0.2">
      <c r="A933" s="1" t="s">
        <v>9</v>
      </c>
    </row>
    <row r="934" spans="1:8" x14ac:dyDescent="0.2">
      <c r="A934" s="15" t="s">
        <v>10</v>
      </c>
      <c r="B934" s="15" t="s">
        <v>11</v>
      </c>
      <c r="C934" s="15" t="s">
        <v>6</v>
      </c>
      <c r="D934" s="15" t="s">
        <v>42</v>
      </c>
      <c r="E934" s="15" t="s">
        <v>2</v>
      </c>
      <c r="F934" s="15" t="s">
        <v>12</v>
      </c>
      <c r="G934" s="15" t="s">
        <v>5</v>
      </c>
      <c r="H934" s="15" t="s">
        <v>1</v>
      </c>
    </row>
    <row r="935" spans="1:8" x14ac:dyDescent="0.2">
      <c r="A935" t="s">
        <v>365</v>
      </c>
      <c r="B935">
        <v>-1</v>
      </c>
      <c r="C935" t="s">
        <v>7</v>
      </c>
      <c r="E935" t="s">
        <v>3</v>
      </c>
      <c r="F935" t="s">
        <v>13</v>
      </c>
      <c r="G935" t="s">
        <v>97</v>
      </c>
      <c r="H935" t="s">
        <v>421</v>
      </c>
    </row>
    <row r="936" spans="1:8" x14ac:dyDescent="0.2">
      <c r="A936" t="s">
        <v>250</v>
      </c>
      <c r="B936">
        <v>6.4</v>
      </c>
      <c r="C936" t="s">
        <v>7</v>
      </c>
      <c r="E936" t="s">
        <v>3</v>
      </c>
      <c r="F936" t="s">
        <v>15</v>
      </c>
      <c r="G936" t="s">
        <v>46</v>
      </c>
    </row>
    <row r="937" spans="1:8" x14ac:dyDescent="0.2">
      <c r="A937" t="s">
        <v>251</v>
      </c>
      <c r="B937">
        <v>1.8</v>
      </c>
      <c r="C937" t="s">
        <v>7</v>
      </c>
      <c r="E937" t="s">
        <v>3</v>
      </c>
      <c r="F937" t="s">
        <v>15</v>
      </c>
      <c r="G937" t="s">
        <v>252</v>
      </c>
    </row>
    <row r="938" spans="1:8" x14ac:dyDescent="0.2">
      <c r="A938" t="s">
        <v>253</v>
      </c>
      <c r="B938">
        <v>0.32</v>
      </c>
      <c r="C938" t="s">
        <v>7</v>
      </c>
      <c r="E938" t="s">
        <v>17</v>
      </c>
      <c r="F938" t="s">
        <v>15</v>
      </c>
      <c r="G938" t="s">
        <v>286</v>
      </c>
    </row>
    <row r="939" spans="1:8" x14ac:dyDescent="0.2">
      <c r="A939" t="s">
        <v>254</v>
      </c>
      <c r="B939">
        <v>0.18</v>
      </c>
      <c r="C939" t="s">
        <v>7</v>
      </c>
      <c r="E939" t="s">
        <v>17</v>
      </c>
      <c r="F939" t="s">
        <v>15</v>
      </c>
      <c r="G939" t="s">
        <v>393</v>
      </c>
    </row>
    <row r="940" spans="1:8" x14ac:dyDescent="0.2">
      <c r="A940" t="s">
        <v>255</v>
      </c>
      <c r="B940">
        <v>0.2</v>
      </c>
      <c r="C940" t="s">
        <v>7</v>
      </c>
      <c r="E940" t="s">
        <v>3</v>
      </c>
      <c r="F940" t="s">
        <v>15</v>
      </c>
      <c r="G940" t="s">
        <v>256</v>
      </c>
    </row>
    <row r="941" spans="1:8" x14ac:dyDescent="0.2">
      <c r="A941" t="s">
        <v>51</v>
      </c>
      <c r="B941">
        <v>81</v>
      </c>
      <c r="C941" t="s">
        <v>7</v>
      </c>
      <c r="E941" t="s">
        <v>17</v>
      </c>
      <c r="F941" t="s">
        <v>15</v>
      </c>
      <c r="G941" t="s">
        <v>52</v>
      </c>
    </row>
    <row r="942" spans="1:8" x14ac:dyDescent="0.2">
      <c r="A942" t="s">
        <v>22</v>
      </c>
      <c r="B942">
        <v>0.01</v>
      </c>
      <c r="C942" t="s">
        <v>23</v>
      </c>
      <c r="E942" t="s">
        <v>54</v>
      </c>
      <c r="F942" t="s">
        <v>15</v>
      </c>
      <c r="G942" t="s">
        <v>24</v>
      </c>
    </row>
    <row r="943" spans="1:8" x14ac:dyDescent="0.2">
      <c r="A943" t="s">
        <v>86</v>
      </c>
      <c r="B943">
        <v>17</v>
      </c>
      <c r="C943" t="s">
        <v>7</v>
      </c>
      <c r="E943" t="s">
        <v>17</v>
      </c>
      <c r="F943" t="s">
        <v>15</v>
      </c>
      <c r="G943" t="s">
        <v>87</v>
      </c>
    </row>
    <row r="944" spans="1:8" x14ac:dyDescent="0.2">
      <c r="A944" t="s">
        <v>49</v>
      </c>
      <c r="B944">
        <f>-0.087</f>
        <v>-8.6999999999999994E-2</v>
      </c>
      <c r="C944" t="s">
        <v>45</v>
      </c>
      <c r="E944" t="s">
        <v>17</v>
      </c>
      <c r="F944" t="s">
        <v>15</v>
      </c>
      <c r="G944" t="s">
        <v>50</v>
      </c>
      <c r="H944" t="s">
        <v>394</v>
      </c>
    </row>
    <row r="945" spans="1:8" x14ac:dyDescent="0.2">
      <c r="A945" t="s">
        <v>257</v>
      </c>
      <c r="B945">
        <v>-0.4</v>
      </c>
      <c r="C945" t="s">
        <v>7</v>
      </c>
      <c r="E945" t="s">
        <v>17</v>
      </c>
      <c r="F945" t="s">
        <v>15</v>
      </c>
      <c r="G945" t="s">
        <v>258</v>
      </c>
    </row>
    <row r="946" spans="1:8" x14ac:dyDescent="0.2">
      <c r="A946" t="s">
        <v>287</v>
      </c>
      <c r="B946">
        <v>0.2</v>
      </c>
      <c r="C946" t="s">
        <v>7</v>
      </c>
      <c r="D946" t="s">
        <v>43</v>
      </c>
      <c r="F946" t="s">
        <v>44</v>
      </c>
    </row>
    <row r="949" spans="1:8" ht="16" x14ac:dyDescent="0.2">
      <c r="A949" s="1"/>
    </row>
    <row r="950" spans="1:8" ht="16" x14ac:dyDescent="0.2">
      <c r="A950" s="1" t="s">
        <v>0</v>
      </c>
      <c r="B950" s="1" t="s">
        <v>426</v>
      </c>
    </row>
    <row r="951" spans="1:8" ht="16" x14ac:dyDescent="0.2">
      <c r="A951" s="16" t="s">
        <v>1</v>
      </c>
      <c r="B951" s="16" t="s">
        <v>408</v>
      </c>
    </row>
    <row r="952" spans="1:8" x14ac:dyDescent="0.2">
      <c r="A952" t="s">
        <v>2</v>
      </c>
      <c r="B952" t="s">
        <v>3</v>
      </c>
    </row>
    <row r="953" spans="1:8" x14ac:dyDescent="0.2">
      <c r="A953" t="s">
        <v>4</v>
      </c>
      <c r="B953">
        <v>1</v>
      </c>
    </row>
    <row r="954" spans="1:8" x14ac:dyDescent="0.2">
      <c r="A954" t="s">
        <v>5</v>
      </c>
      <c r="B954" t="s">
        <v>428</v>
      </c>
    </row>
    <row r="955" spans="1:8" x14ac:dyDescent="0.2">
      <c r="A955" t="s">
        <v>6</v>
      </c>
      <c r="B955" t="s">
        <v>7</v>
      </c>
    </row>
    <row r="956" spans="1:8" x14ac:dyDescent="0.2">
      <c r="A956" t="s">
        <v>8</v>
      </c>
      <c r="B956" t="s">
        <v>319</v>
      </c>
    </row>
    <row r="957" spans="1:8" ht="16" x14ac:dyDescent="0.2">
      <c r="A957" s="1" t="s">
        <v>9</v>
      </c>
      <c r="B957" s="15"/>
      <c r="C957" s="15"/>
      <c r="D957" s="15"/>
      <c r="E957" s="15"/>
      <c r="F957" s="15"/>
      <c r="G957" s="15"/>
      <c r="H957" s="15"/>
    </row>
    <row r="958" spans="1:8" x14ac:dyDescent="0.2">
      <c r="A958" s="15" t="s">
        <v>10</v>
      </c>
      <c r="B958" s="15" t="s">
        <v>11</v>
      </c>
      <c r="C958" s="15" t="s">
        <v>6</v>
      </c>
      <c r="D958" s="15" t="s">
        <v>42</v>
      </c>
      <c r="E958" s="15" t="s">
        <v>2</v>
      </c>
      <c r="F958" s="15" t="s">
        <v>12</v>
      </c>
      <c r="G958" s="15" t="s">
        <v>5</v>
      </c>
      <c r="H958" s="15" t="s">
        <v>1</v>
      </c>
    </row>
    <row r="959" spans="1:8" x14ac:dyDescent="0.2">
      <c r="A959" t="s">
        <v>426</v>
      </c>
      <c r="B959">
        <v>-1</v>
      </c>
      <c r="C959" t="s">
        <v>7</v>
      </c>
      <c r="E959" t="s">
        <v>3</v>
      </c>
      <c r="F959" t="s">
        <v>13</v>
      </c>
      <c r="G959" t="s">
        <v>428</v>
      </c>
      <c r="H959" t="s">
        <v>421</v>
      </c>
    </row>
    <row r="960" spans="1:8" x14ac:dyDescent="0.2">
      <c r="A960" t="s">
        <v>22</v>
      </c>
      <c r="B960">
        <v>5.3999999999999999E-2</v>
      </c>
      <c r="C960" t="s">
        <v>23</v>
      </c>
      <c r="E960" t="s">
        <v>54</v>
      </c>
      <c r="F960" t="s">
        <v>15</v>
      </c>
      <c r="G960" t="s">
        <v>24</v>
      </c>
    </row>
    <row r="961" spans="1:8" x14ac:dyDescent="0.2">
      <c r="A961" t="s">
        <v>33</v>
      </c>
      <c r="B961">
        <v>3.2000000000000001E-2</v>
      </c>
      <c r="C961" t="s">
        <v>34</v>
      </c>
      <c r="E961" t="s">
        <v>17</v>
      </c>
      <c r="F961" t="s">
        <v>15</v>
      </c>
      <c r="G961" t="s">
        <v>35</v>
      </c>
    </row>
    <row r="962" spans="1:8" x14ac:dyDescent="0.2">
      <c r="A962" t="s">
        <v>259</v>
      </c>
      <c r="B962" s="5">
        <f>-0.9246</f>
        <v>-0.92459999999999998</v>
      </c>
      <c r="C962" t="s">
        <v>7</v>
      </c>
      <c r="E962" t="s">
        <v>3</v>
      </c>
      <c r="F962" t="s">
        <v>15</v>
      </c>
      <c r="G962" t="s">
        <v>260</v>
      </c>
    </row>
    <row r="963" spans="1:8" x14ac:dyDescent="0.2">
      <c r="A963" t="s">
        <v>261</v>
      </c>
      <c r="B963" s="4">
        <v>-7.4999999999999997E-2</v>
      </c>
      <c r="C963" t="s">
        <v>7</v>
      </c>
      <c r="E963" t="s">
        <v>17</v>
      </c>
      <c r="F963" t="s">
        <v>15</v>
      </c>
      <c r="G963" t="s">
        <v>262</v>
      </c>
    </row>
    <row r="964" spans="1:8" ht="16" x14ac:dyDescent="0.2">
      <c r="B964" s="1"/>
    </row>
    <row r="965" spans="1:8" ht="16" x14ac:dyDescent="0.2">
      <c r="A965" s="1"/>
    </row>
    <row r="966" spans="1:8" ht="16" x14ac:dyDescent="0.2">
      <c r="A966" s="1" t="s">
        <v>0</v>
      </c>
      <c r="B966" s="1" t="s">
        <v>431</v>
      </c>
    </row>
    <row r="967" spans="1:8" ht="16" x14ac:dyDescent="0.2">
      <c r="A967" s="16" t="s">
        <v>1</v>
      </c>
      <c r="B967" s="16" t="s">
        <v>408</v>
      </c>
    </row>
    <row r="968" spans="1:8" x14ac:dyDescent="0.2">
      <c r="A968" t="s">
        <v>2</v>
      </c>
      <c r="B968" t="s">
        <v>3</v>
      </c>
    </row>
    <row r="969" spans="1:8" x14ac:dyDescent="0.2">
      <c r="A969" t="s">
        <v>4</v>
      </c>
      <c r="B969">
        <v>1</v>
      </c>
    </row>
    <row r="970" spans="1:8" x14ac:dyDescent="0.2">
      <c r="A970" t="s">
        <v>5</v>
      </c>
      <c r="B970" t="s">
        <v>429</v>
      </c>
    </row>
    <row r="971" spans="1:8" x14ac:dyDescent="0.2">
      <c r="A971" t="s">
        <v>6</v>
      </c>
      <c r="B971" t="s">
        <v>7</v>
      </c>
    </row>
    <row r="972" spans="1:8" x14ac:dyDescent="0.2">
      <c r="A972" t="s">
        <v>8</v>
      </c>
      <c r="B972" t="s">
        <v>319</v>
      </c>
    </row>
    <row r="973" spans="1:8" ht="16" x14ac:dyDescent="0.2">
      <c r="A973" s="1" t="s">
        <v>9</v>
      </c>
      <c r="B973" s="15"/>
      <c r="C973" s="15"/>
      <c r="D973" s="15"/>
      <c r="E973" s="15"/>
      <c r="F973" s="15"/>
      <c r="G973" s="15"/>
      <c r="H973" s="15"/>
    </row>
    <row r="974" spans="1:8" x14ac:dyDescent="0.2">
      <c r="A974" s="15" t="s">
        <v>10</v>
      </c>
      <c r="B974" s="15" t="s">
        <v>11</v>
      </c>
      <c r="C974" s="15" t="s">
        <v>6</v>
      </c>
      <c r="D974" s="15" t="s">
        <v>42</v>
      </c>
      <c r="E974" s="15" t="s">
        <v>2</v>
      </c>
      <c r="F974" s="15" t="s">
        <v>12</v>
      </c>
      <c r="G974" s="15" t="s">
        <v>5</v>
      </c>
      <c r="H974" s="15" t="s">
        <v>1</v>
      </c>
    </row>
    <row r="975" spans="1:8" x14ac:dyDescent="0.2">
      <c r="A975" t="s">
        <v>431</v>
      </c>
      <c r="B975">
        <v>-1</v>
      </c>
      <c r="C975" t="s">
        <v>7</v>
      </c>
      <c r="E975" t="s">
        <v>3</v>
      </c>
      <c r="F975" t="s">
        <v>13</v>
      </c>
      <c r="G975" t="s">
        <v>429</v>
      </c>
      <c r="H975" t="s">
        <v>421</v>
      </c>
    </row>
    <row r="976" spans="1:8" x14ac:dyDescent="0.2">
      <c r="A976" t="s">
        <v>22</v>
      </c>
      <c r="B976">
        <v>5.3999999999999999E-2</v>
      </c>
      <c r="C976" t="s">
        <v>23</v>
      </c>
      <c r="E976" t="s">
        <v>54</v>
      </c>
      <c r="F976" t="s">
        <v>15</v>
      </c>
      <c r="G976" t="s">
        <v>24</v>
      </c>
    </row>
    <row r="977" spans="1:10" x14ac:dyDescent="0.2">
      <c r="A977" t="s">
        <v>33</v>
      </c>
      <c r="B977">
        <v>3.2000000000000001E-2</v>
      </c>
      <c r="C977" t="s">
        <v>34</v>
      </c>
      <c r="E977" t="s">
        <v>17</v>
      </c>
      <c r="F977" t="s">
        <v>15</v>
      </c>
      <c r="G977" t="s">
        <v>35</v>
      </c>
    </row>
    <row r="978" spans="1:10" x14ac:dyDescent="0.2">
      <c r="A978" t="s">
        <v>259</v>
      </c>
      <c r="B978" s="5">
        <f>-0.0635</f>
        <v>-6.3500000000000001E-2</v>
      </c>
      <c r="C978" t="s">
        <v>7</v>
      </c>
      <c r="E978" t="s">
        <v>3</v>
      </c>
      <c r="F978" t="s">
        <v>15</v>
      </c>
      <c r="G978" t="s">
        <v>260</v>
      </c>
    </row>
    <row r="979" spans="1:10" x14ac:dyDescent="0.2">
      <c r="A979" t="s">
        <v>261</v>
      </c>
      <c r="B979" s="4">
        <f>-0.0676</f>
        <v>-6.7599999999999993E-2</v>
      </c>
      <c r="C979" t="s">
        <v>7</v>
      </c>
      <c r="E979" t="s">
        <v>17</v>
      </c>
      <c r="F979" t="s">
        <v>15</v>
      </c>
      <c r="G979" t="s">
        <v>262</v>
      </c>
    </row>
    <row r="980" spans="1:10" x14ac:dyDescent="0.2">
      <c r="A980" t="s">
        <v>263</v>
      </c>
      <c r="B980" s="5">
        <v>-0.4</v>
      </c>
      <c r="C980" t="s">
        <v>7</v>
      </c>
      <c r="E980" t="s">
        <v>17</v>
      </c>
      <c r="F980" t="s">
        <v>15</v>
      </c>
      <c r="G980" t="s">
        <v>264</v>
      </c>
    </row>
    <row r="981" spans="1:10" x14ac:dyDescent="0.2">
      <c r="A981" t="s">
        <v>265</v>
      </c>
      <c r="B981" s="4">
        <f>-0.011</f>
        <v>-1.0999999999999999E-2</v>
      </c>
      <c r="C981" t="s">
        <v>7</v>
      </c>
      <c r="E981" t="s">
        <v>3</v>
      </c>
      <c r="F981" t="s">
        <v>15</v>
      </c>
      <c r="G981" t="s">
        <v>266</v>
      </c>
    </row>
    <row r="982" spans="1:10" x14ac:dyDescent="0.2">
      <c r="A982" t="s">
        <v>424</v>
      </c>
      <c r="B982">
        <v>-0.46</v>
      </c>
      <c r="C982" t="s">
        <v>7</v>
      </c>
      <c r="E982" t="s">
        <v>17</v>
      </c>
      <c r="F982" t="s">
        <v>15</v>
      </c>
      <c r="G982" t="s">
        <v>425</v>
      </c>
    </row>
    <row r="984" spans="1:10" ht="16" x14ac:dyDescent="0.2">
      <c r="C984" s="11"/>
      <c r="D984" s="15"/>
      <c r="E984" s="15"/>
      <c r="F984" s="15"/>
      <c r="G984" s="15"/>
      <c r="H984" s="15"/>
      <c r="I984" s="15"/>
      <c r="J984" s="15"/>
    </row>
    <row r="985" spans="1:10" ht="16" x14ac:dyDescent="0.2">
      <c r="A985" s="11" t="s">
        <v>0</v>
      </c>
      <c r="B985" s="11" t="s">
        <v>432</v>
      </c>
      <c r="C985" s="22"/>
      <c r="D985" s="22"/>
      <c r="E985" s="22"/>
      <c r="F985" s="22"/>
      <c r="G985" s="22"/>
      <c r="H985" s="22"/>
      <c r="I985" s="22"/>
      <c r="J985" s="22"/>
    </row>
    <row r="986" spans="1:10" ht="16" x14ac:dyDescent="0.2">
      <c r="A986" s="22" t="s">
        <v>1</v>
      </c>
      <c r="B986" s="22" t="s">
        <v>408</v>
      </c>
      <c r="C986" s="15"/>
      <c r="D986" s="15"/>
      <c r="E986" s="15"/>
      <c r="F986" s="15"/>
      <c r="G986" s="15"/>
      <c r="H986" s="15"/>
      <c r="I986" s="15"/>
      <c r="J986" s="15"/>
    </row>
    <row r="987" spans="1:10" x14ac:dyDescent="0.2">
      <c r="A987" s="15" t="s">
        <v>2</v>
      </c>
      <c r="B987" s="15" t="s">
        <v>3</v>
      </c>
      <c r="C987" s="15"/>
      <c r="D987" s="15"/>
      <c r="E987" s="15"/>
      <c r="F987" s="15"/>
      <c r="G987" s="15"/>
      <c r="H987" s="15"/>
      <c r="I987" s="15"/>
      <c r="J987" s="15"/>
    </row>
    <row r="988" spans="1:10" x14ac:dyDescent="0.2">
      <c r="A988" s="15" t="s">
        <v>4</v>
      </c>
      <c r="B988" s="15">
        <v>1</v>
      </c>
      <c r="C988" s="15"/>
      <c r="D988" s="15"/>
      <c r="E988" s="15"/>
      <c r="F988" s="15"/>
      <c r="G988" s="15"/>
      <c r="H988" s="15"/>
      <c r="I988" s="15"/>
      <c r="J988" s="15"/>
    </row>
    <row r="989" spans="1:10" x14ac:dyDescent="0.2">
      <c r="A989" s="15" t="s">
        <v>5</v>
      </c>
      <c r="B989" s="15" t="s">
        <v>433</v>
      </c>
      <c r="C989" s="15"/>
      <c r="D989" s="15"/>
      <c r="E989" s="15"/>
      <c r="F989" s="15"/>
      <c r="G989" s="15"/>
      <c r="H989" s="15"/>
      <c r="I989" s="15"/>
      <c r="J989" s="15"/>
    </row>
    <row r="990" spans="1:10" x14ac:dyDescent="0.2">
      <c r="A990" s="15" t="s">
        <v>6</v>
      </c>
      <c r="B990" s="15" t="s">
        <v>7</v>
      </c>
      <c r="C990" s="15"/>
      <c r="D990" s="15"/>
      <c r="E990" s="15"/>
      <c r="F990" s="15"/>
      <c r="G990" s="15"/>
      <c r="H990" s="15"/>
      <c r="I990" s="15"/>
      <c r="J990" s="15"/>
    </row>
    <row r="991" spans="1:10" x14ac:dyDescent="0.2">
      <c r="A991" s="15" t="s">
        <v>8</v>
      </c>
      <c r="B991" s="15" t="s">
        <v>319</v>
      </c>
      <c r="C991" s="15"/>
      <c r="D991" s="15"/>
      <c r="E991" s="15"/>
      <c r="F991" s="15"/>
      <c r="G991" s="15"/>
      <c r="H991" s="15"/>
      <c r="I991" s="15"/>
      <c r="J991" s="15"/>
    </row>
    <row r="992" spans="1:10" ht="16" x14ac:dyDescent="0.2">
      <c r="A992" s="11" t="s">
        <v>9</v>
      </c>
      <c r="B992" s="15"/>
      <c r="C992" s="15"/>
      <c r="D992" s="15"/>
      <c r="E992" s="15"/>
      <c r="F992" s="15"/>
      <c r="G992" s="15"/>
      <c r="H992" s="15"/>
      <c r="I992" s="15"/>
      <c r="J992" s="15"/>
    </row>
    <row r="993" spans="1:10" x14ac:dyDescent="0.2">
      <c r="A993" s="15" t="s">
        <v>10</v>
      </c>
      <c r="B993" s="15" t="s">
        <v>11</v>
      </c>
      <c r="C993" s="15" t="s">
        <v>6</v>
      </c>
      <c r="D993" s="15" t="s">
        <v>42</v>
      </c>
      <c r="E993" s="15" t="s">
        <v>2</v>
      </c>
      <c r="F993" s="15" t="s">
        <v>12</v>
      </c>
      <c r="G993" s="15" t="s">
        <v>5</v>
      </c>
      <c r="H993" s="15" t="s">
        <v>1</v>
      </c>
      <c r="I993" s="15"/>
      <c r="J993" s="15"/>
    </row>
    <row r="994" spans="1:10" x14ac:dyDescent="0.2">
      <c r="A994" s="15" t="s">
        <v>432</v>
      </c>
      <c r="B994" s="15">
        <v>-1</v>
      </c>
      <c r="C994" s="15" t="s">
        <v>7</v>
      </c>
      <c r="D994" s="15"/>
      <c r="E994" s="15" t="s">
        <v>3</v>
      </c>
      <c r="F994" s="15" t="s">
        <v>13</v>
      </c>
      <c r="G994" s="15" t="s">
        <v>433</v>
      </c>
      <c r="H994" s="15" t="s">
        <v>421</v>
      </c>
      <c r="I994" s="15"/>
      <c r="J994" s="15"/>
    </row>
    <row r="995" spans="1:10" x14ac:dyDescent="0.2">
      <c r="A995" s="15" t="s">
        <v>22</v>
      </c>
      <c r="B995" s="15">
        <v>5.3999999999999999E-2</v>
      </c>
      <c r="C995" s="15" t="s">
        <v>23</v>
      </c>
      <c r="D995" s="15"/>
      <c r="E995" s="15" t="s">
        <v>54</v>
      </c>
      <c r="F995" s="15" t="s">
        <v>15</v>
      </c>
      <c r="G995" s="15" t="s">
        <v>24</v>
      </c>
      <c r="H995" s="15"/>
      <c r="I995" s="15"/>
      <c r="J995" s="15"/>
    </row>
    <row r="996" spans="1:10" x14ac:dyDescent="0.2">
      <c r="A996" s="15" t="s">
        <v>33</v>
      </c>
      <c r="B996" s="15">
        <v>3.2000000000000001E-2</v>
      </c>
      <c r="C996" s="15" t="s">
        <v>34</v>
      </c>
      <c r="D996" s="15"/>
      <c r="E996" s="15" t="s">
        <v>17</v>
      </c>
      <c r="F996" s="15" t="s">
        <v>15</v>
      </c>
      <c r="G996" s="15" t="s">
        <v>35</v>
      </c>
      <c r="H996" s="15"/>
      <c r="I996" s="15"/>
      <c r="J996" s="15"/>
    </row>
    <row r="997" spans="1:10" x14ac:dyDescent="0.2">
      <c r="A997" s="15" t="s">
        <v>263</v>
      </c>
      <c r="B997" s="20">
        <v>-0.68</v>
      </c>
      <c r="C997" s="15" t="s">
        <v>7</v>
      </c>
      <c r="D997" s="15"/>
      <c r="E997" s="15" t="s">
        <v>17</v>
      </c>
      <c r="F997" s="15" t="s">
        <v>15</v>
      </c>
      <c r="G997" t="s">
        <v>264</v>
      </c>
      <c r="H997" s="15" t="s">
        <v>434</v>
      </c>
      <c r="I997" s="15"/>
      <c r="J997" s="15"/>
    </row>
    <row r="998" spans="1:10" x14ac:dyDescent="0.2">
      <c r="A998" s="15" t="s">
        <v>265</v>
      </c>
      <c r="B998" s="24">
        <v>-0.32</v>
      </c>
      <c r="C998" s="15" t="s">
        <v>7</v>
      </c>
      <c r="D998" s="15"/>
      <c r="E998" s="15" t="s">
        <v>3</v>
      </c>
      <c r="F998" s="15" t="s">
        <v>15</v>
      </c>
      <c r="G998" s="15" t="s">
        <v>266</v>
      </c>
      <c r="H998" s="15"/>
    </row>
    <row r="1000" spans="1:10" ht="16" x14ac:dyDescent="0.2">
      <c r="A1000" s="6"/>
      <c r="B1000" s="4"/>
    </row>
    <row r="1001" spans="1:10" x14ac:dyDescent="0.2">
      <c r="B1001" s="4"/>
    </row>
    <row r="1002" spans="1:10" ht="16" x14ac:dyDescent="0.2">
      <c r="B1002" s="1"/>
    </row>
    <row r="1003" spans="1:10" ht="16" x14ac:dyDescent="0.2">
      <c r="A1003" s="1"/>
    </row>
    <row r="1010" spans="1:7" ht="16" x14ac:dyDescent="0.2">
      <c r="A1010" s="1"/>
      <c r="B1010" s="15"/>
      <c r="C1010" s="15"/>
      <c r="D1010" s="15"/>
      <c r="E1010" s="15"/>
      <c r="F1010" s="15"/>
      <c r="G1010" s="15"/>
    </row>
    <row r="1011" spans="1:7" x14ac:dyDescent="0.2">
      <c r="A1011" s="15"/>
      <c r="B1011" s="15"/>
      <c r="C1011" s="15"/>
      <c r="D1011" s="15"/>
      <c r="E1011" s="15"/>
      <c r="F1011" s="15"/>
      <c r="G1011" s="15"/>
    </row>
    <row r="1012" spans="1:7" x14ac:dyDescent="0.2">
      <c r="A1012" s="15"/>
    </row>
    <row r="1020" spans="1:7" ht="16" x14ac:dyDescent="0.2">
      <c r="A1020" s="1"/>
    </row>
    <row r="1025" spans="1:2" ht="16" x14ac:dyDescent="0.2">
      <c r="B1025" s="1"/>
    </row>
    <row r="1026" spans="1:2" ht="16" x14ac:dyDescent="0.2">
      <c r="A1026" s="1"/>
    </row>
    <row r="1033" spans="1:2" ht="16" x14ac:dyDescent="0.2">
      <c r="A1033" s="1"/>
    </row>
    <row r="1042" spans="1:2" ht="16" x14ac:dyDescent="0.2">
      <c r="B1042" s="1"/>
    </row>
    <row r="1043" spans="1:2" ht="16" x14ac:dyDescent="0.2">
      <c r="A1043" s="1"/>
    </row>
    <row r="1050" spans="1:2" ht="16" x14ac:dyDescent="0.2">
      <c r="A1050" s="1"/>
    </row>
    <row r="1055" spans="1:2" ht="16" x14ac:dyDescent="0.2">
      <c r="B1055" s="1"/>
    </row>
    <row r="1056" spans="1:2" ht="16" x14ac:dyDescent="0.2">
      <c r="A1056" s="1"/>
    </row>
    <row r="1063" spans="1:2" ht="16" x14ac:dyDescent="0.2">
      <c r="A1063" s="1"/>
    </row>
    <row r="1068" spans="1:2" ht="16" x14ac:dyDescent="0.2">
      <c r="B1068" s="1"/>
    </row>
    <row r="1069" spans="1:2" ht="16" x14ac:dyDescent="0.2">
      <c r="A1069" s="1"/>
    </row>
    <row r="1075" spans="1:8" ht="16" x14ac:dyDescent="0.2">
      <c r="A1075" s="1"/>
      <c r="B1075" s="1"/>
      <c r="C1075" s="1"/>
      <c r="D1075" s="1"/>
      <c r="E1075" s="1"/>
      <c r="F1075" s="1"/>
      <c r="G1075" s="1"/>
      <c r="H1075" s="1"/>
    </row>
    <row r="1076" spans="1:8" ht="16" x14ac:dyDescent="0.2">
      <c r="A1076" s="1"/>
    </row>
    <row r="1079">
      <c r="A1079" t="inlineStr">
        <is>
          <t>Activity</t>
        </is>
      </c>
      <c r="B1079" t="inlineStr">
        <is>
          <t>battery central controls and protection, engineering reference</t>
        </is>
      </c>
    </row>
    <row r="1080">
      <c r="A1080" t="inlineStr">
        <is>
          <t>location</t>
        </is>
      </c>
      <c r="B1080" t="inlineStr">
        <is>
          <t>GLO</t>
        </is>
      </c>
    </row>
    <row r="1081">
      <c r="A1081" t="inlineStr">
        <is>
          <t>production amount</t>
        </is>
      </c>
      <c r="B1081">
        <v>1</v>
      </c>
    </row>
    <row r="1082">
      <c r="A1082" t="inlineStr">
        <is>
          <t>reference product</t>
        </is>
      </c>
      <c r="B1082" t="inlineStr">
        <is>
          <t>battery central controls and protection, engineering reference</t>
        </is>
      </c>
    </row>
    <row r="1083">
      <c r="A1083" t="inlineStr">
        <is>
          <t>unit</t>
        </is>
      </c>
      <c r="B1083" t="inlineStr">
        <is>
          <t>unit</t>
        </is>
      </c>
    </row>
    <row r="1084">
      <c r="A1084" t="inlineStr">
        <is>
          <t>source</t>
        </is>
      </c>
      <c r="B1084" t="inlineStr">
        <is>
          <t>Wickerts corrected SI DOI10.1021/acssuschemeng.4c01782.s001 S26/S27; original Ellingsen2014 SI S39/S40, DOI10.1111/jiec.12072.</t>
        </is>
      </c>
    </row>
    <row r="1085">
      <c r="A1085" t="inlineStr">
        <is>
          <t>comment</t>
        </is>
      </c>
      <c r="B1085" t="inlineStr">
        <is>
          <t>APPROVED FUNCTION-SPECIFIC BATTERY CONTROL ELECTRONICS, issue35, 2026-10-18. TI TIDA020076 public BOM https://www.ti.com/lit/pdf/SLURB87; TI BQ79616PAPRQ1 material declaration https://www.ti.com/quality-reliability-packaging-download/report?opn=BQ79616PAPRQ1; TI CC2662 BCU guide https://www.ti.com/lit/pdf/SWRU641. Preserve existing central0.49kg, module1.12kg or1.1kg/16 and residual-pack electronics mass/count budgets. Replace central and identified module-monitor boards, not unidentified residual pack electronics. Engineering monitor70g (1.1kg reference uses68.75g/board through mass scaling),16channelBQ79616one/70g instead of TI18channelBQ79718; this is a declared alternative, not an exact TI board replica or validated channel architecture. Source TIDA fitted passives134ceramiccapacitors(62x0402,27x0603,39x0805,6x1206),128resistors(63x0402,21x0603,4x0805,38x1206,2x2010). Assumed individual masses0402=1mg,0603=3mg,0805=10mg,1206=30mg,2010=60mg,ceramiccapacitor0805=15mg; component-specific manufacturer masses remain unknown. Monitoring bareboard100x100mm,6copperlayers35um,50percent retainedcopper,1.6mm1850kg/m3FR4; centralbareboard0.1m2,4layers samegeometry. Central490g size is legacy mass-constrained engineering reference, not manufacturer dimensions:validate area0.03-0.1m2,layer4-8 andparts independently. FR4 proxy60percentglass/40epoxy plus2g/m2soldermask;ENIGfinish1percentarea,5umNi,0.05umAu.95percentCu/glass/epoxyretention reference with matching waste; etching/process chemistry remains a gap,assume10kWh/m2 bareboard and1kWh/board finalassembly. Monitor20gconnectors,1.5gotherlogic,1gmagnetics,1gdiodes,0.4gRF/crystals,1gsolder;central100gconnectors,5glogic,2gcapacitors,3gresistors,5gsolder. Use existing constituent manufacturing proxies, so logic/resistor/ceramiccap/connector upstreamPd/Ta/Sb/Au remain and are not assumed absent. Remaining component mass explicitly retains a generic populated-board proxy; trace-metal completeness is NOT proven by bulk closure. TI declared366.484301mg BQpackage explicitly purchases Cu/Fe/Ni/Ag/Au/Pd/Pb/Zn/Mn/S/SiO2/epoxy/phenolic/carbonblack and fabricatedsilicondie once. Gold0.034234mg,Pd0.179949mg,Ag4.372259mg perpackage; no generic1percentgoldbondwire. Phosphorus0.048897mg unmodeled due to absent exact feed; mass/trace gap documented. Fabricatedwafer proxy300um2330kg/m3 includes die manufacture, no duplicate elementalSi purchase. No new EOL:existing complete control mass treatment remains once. Component fabrication yields beyond bareboard, automobile qualification, functional reliability andfutureelectronics evolution remain gaps; sensitivity0.5-2xcomponentcounts andunknowncomponentmetalrecipes. This is a transparent engineering reference, not recovered manufacturer complete BOM.
PREVIOUS NOTES (retained as history; the correction above takes precedence):
APPROVED ENGINEERING CONTROL/THERMAL COVERAGE, item13, 2026-10-18. Wickerts corrected SI DOI10.1021/acssuschemeng.4c01782.s001 S26/S27; original Ellingsen2014 SI S39/S40, DOI10.1111/jiec.12072. Separate module monitoring from central protection: per16-module reference,1.1kg populated PCB monitors, central0.49kg populated PCB+2.8kg HV system+1.2kg LV system+.028kg fasteners=4.518kg. Use existing HV/LV/fastener process providers and generic populated through-hole PCB perkg; this is an explicit board-technology/material proxy rather than the source-specific board fabrication model. No whole BMS is added on top. Adopt one nominal10kg liquid-cooling assembly per reference: Al9.08, steel.23, PVC/rubber pipe.0096, thermal pad.2 (silicon.06, glass.02, ABS.12), ethylene glycol.48kg; source-rounded sum9.9996kg. Metal working/injection services are included; 100percent retention of listed finished materials is assumed. No stationary rack housing/container, common vehicle body or roadway is added. Monitoring/protection/cooling are added once as a unit-valued capacity input; kg module and matching waste remain separate, so density learning does not shrink fixed controls. Central and cooling hardware are conservatively co-replaced with each delivered pack; longer independent hardware life is not established. End-of-life uses the existing generic used Li-ion route for15.6176kg of auxiliary hardware per reference, without recovery credits; this is a treatment proxy for controls/cooling, not proof of chemistry-specific recovery. Source thermal duty, pump/radiator performance, protection ratings, inverter/pack interface, full outer pack enclosure and vehicle-specific module topology remain coverage/design gaps. The SIB cell-mass-equivalent module retains its existing18.768kg cell+6.203kg module hardware reference; it is not a demonstrated integer21700-cell topology. LiS uses the corrected19.306152kg cell+6.203kg module hardware. These are engineering references, not fleet-validated designs; use0.5-2x auxiliary-size and independent-replacement-life sensitivities.</t>
        </is>
      </c>
    </row>
    <row r="1086">
      <c r="A1086" t="inlineStr">
        <is>
          <t>Exchanges</t>
        </is>
      </c>
    </row>
    <row r="1087">
      <c r="A1087" t="inlineStr">
        <is>
          <t>name</t>
        </is>
      </c>
      <c r="B1087" t="inlineStr">
        <is>
          <t>amount</t>
        </is>
      </c>
      <c r="C1087" t="inlineStr">
        <is>
          <t>location</t>
        </is>
      </c>
      <c r="D1087" t="inlineStr">
        <is>
          <t>unit</t>
        </is>
      </c>
      <c r="E1087" t="inlineStr">
        <is>
          <t>categories</t>
        </is>
      </c>
      <c r="F1087" t="inlineStr">
        <is>
          <t>type</t>
        </is>
      </c>
      <c r="G1087" t="inlineStr">
        <is>
          <t>reference product</t>
        </is>
      </c>
      <c r="H1087" t="inlineStr">
        <is>
          <t>comment</t>
        </is>
      </c>
    </row>
    <row r="1088">
      <c r="A1088" t="inlineStr">
        <is>
          <t>battery central controls and protection, engineering reference</t>
        </is>
      </c>
      <c r="B1088">
        <v>1</v>
      </c>
      <c r="C1088" t="inlineStr">
        <is>
          <t>GLO</t>
        </is>
      </c>
      <c r="D1088" t="inlineStr">
        <is>
          <t>unit</t>
        </is>
      </c>
      <c r="F1088" t="inlineStr">
        <is>
          <t>production</t>
        </is>
      </c>
      <c r="G1088" t="inlineStr">
        <is>
          <t>battery central controls and protection, engineering reference</t>
        </is>
      </c>
    </row>
    <row r="1089">
      <c r="A1089" t="inlineStr">
        <is>
          <t>battery central control board, engineering material reference</t>
        </is>
      </c>
      <c r="B1089">
        <v>0.49</v>
      </c>
      <c r="C1089" t="inlineStr">
        <is>
          <t>GLO</t>
        </is>
      </c>
      <c r="D1089" t="inlineStr">
        <is>
          <t>kilogram</t>
        </is>
      </c>
      <c r="F1089" t="inlineStr">
        <is>
          <t>technosphere</t>
        </is>
      </c>
      <c r="G1089" t="inlineStr">
        <is>
          <t>battery central control board, engineering material reference</t>
        </is>
      </c>
    </row>
    <row r="1090">
      <c r="A1090" t="inlineStr">
        <is>
          <t>high voltage system production, for LiS battery</t>
        </is>
      </c>
      <c r="B1090">
        <v>2.8</v>
      </c>
      <c r="C1090" t="inlineStr">
        <is>
          <t>GLO</t>
        </is>
      </c>
      <c r="D1090" t="inlineStr">
        <is>
          <t>kilogram</t>
        </is>
      </c>
      <c r="F1090" t="inlineStr">
        <is>
          <t>technosphere</t>
        </is>
      </c>
      <c r="G1090" t="inlineStr">
        <is>
          <t>high voltage system</t>
        </is>
      </c>
    </row>
    <row r="1091">
      <c r="A1091" t="inlineStr">
        <is>
          <t>low voltage system production, for LiS battery</t>
        </is>
      </c>
      <c r="B1091">
        <v>1.2</v>
      </c>
      <c r="C1091" t="inlineStr">
        <is>
          <t>GLO</t>
        </is>
      </c>
      <c r="D1091" t="inlineStr">
        <is>
          <t>kilogram</t>
        </is>
      </c>
      <c r="F1091" t="inlineStr">
        <is>
          <t>technosphere</t>
        </is>
      </c>
      <c r="G1091" t="inlineStr">
        <is>
          <t>low voltage system</t>
        </is>
      </c>
    </row>
    <row r="1092">
      <c r="A1092" t="inlineStr">
        <is>
          <t>IBIS fasteners production, for LiS battery</t>
        </is>
      </c>
      <c r="B1092">
        <v>0.028</v>
      </c>
      <c r="C1092" t="inlineStr">
        <is>
          <t>GLO</t>
        </is>
      </c>
      <c r="D1092" t="inlineStr">
        <is>
          <t>kilogram</t>
        </is>
      </c>
      <c r="F1092" t="inlineStr">
        <is>
          <t>technosphere</t>
        </is>
      </c>
      <c r="G1092" t="inlineStr">
        <is>
          <t>IBIS fasteners</t>
        </is>
      </c>
    </row>
    <row r="1095">
      <c r="A1095" t="inlineStr">
        <is>
          <t>Activity</t>
        </is>
      </c>
      <c r="B1095" t="inlineStr">
        <is>
          <t>battery liquid cooling, 10 kg engineering reference</t>
        </is>
      </c>
    </row>
    <row r="1096">
      <c r="A1096" t="inlineStr">
        <is>
          <t>location</t>
        </is>
      </c>
      <c r="B1096" t="inlineStr">
        <is>
          <t>GLO</t>
        </is>
      </c>
    </row>
    <row r="1097">
      <c r="A1097" t="inlineStr">
        <is>
          <t>production amount</t>
        </is>
      </c>
      <c r="B1097">
        <v>1</v>
      </c>
    </row>
    <row r="1098">
      <c r="A1098" t="inlineStr">
        <is>
          <t>reference product</t>
        </is>
      </c>
      <c r="B1098" t="inlineStr">
        <is>
          <t>battery liquid cooling, 10 kg engineering reference</t>
        </is>
      </c>
    </row>
    <row r="1099">
      <c r="A1099" t="inlineStr">
        <is>
          <t>unit</t>
        </is>
      </c>
      <c r="B1099" t="inlineStr">
        <is>
          <t>unit</t>
        </is>
      </c>
    </row>
    <row r="1100">
      <c r="A1100" t="inlineStr">
        <is>
          <t>source</t>
        </is>
      </c>
      <c r="B1100" t="inlineStr">
        <is>
          <t>Wickerts corrected SI DOI10.1021/acssuschemeng.4c01782.s001 S26/S27; original Ellingsen2014 SI S39/S40, DOI10.1111/jiec.12072.</t>
        </is>
      </c>
    </row>
    <row r="1101">
      <c r="A1101" t="inlineStr">
        <is>
          <t>comment</t>
        </is>
      </c>
      <c r="B1101" t="inlineStr">
        <is>
          <t>APPROVED ENGINEERING CONTROL/THERMAL COVERAGE, item13, 2026-10-18. Wickerts corrected SI DOI10.1021/acssuschemeng.4c01782.s001 S26/S27; original Ellingsen2014 SI S39/S40, DOI10.1111/jiec.12072. Separate module monitoring from central protection: per16-module reference,1.1kg populated PCB monitors, central0.49kg populated PCB+2.8kg HV system+1.2kg LV system+.028kg fasteners=4.518kg. Use existing HV/LV/fastener process providers and generic populated through-hole PCB perkg; this is an explicit board-technology/material proxy rather than the source-specific board fabrication model. No whole BMS is added on top. Adopt one nominal10kg liquid-cooling assembly per reference: Al9.08, steel.23, PVC/rubber pipe.0096, thermal pad.2 (silicon.06, glass.02, ABS.12), ethylene glycol.48kg; source-rounded sum9.9996kg. Metal working/injection services are included; 100percent retention of listed finished materials is assumed. No stationary rack housing/container, common vehicle body or roadway is added. Monitoring/protection/cooling are added once as a unit-valued capacity input; kg module and matching waste remain separate, so density learning does not shrink fixed controls. Central and cooling hardware are conservatively co-replaced with each delivered pack; longer independent hardware life is not established. End-of-life uses the existing generic used Li-ion route for15.6176kg of auxiliary hardware per reference, without recovery credits; this is a treatment proxy for controls/cooling, not proof of chemistry-specific recovery. Source thermal duty, pump/radiator performance, protection ratings, inverter/pack interface, full outer pack enclosure and vehicle-specific module topology remain coverage/design gaps. The SIB cell-mass-equivalent module retains its existing18.768kg cell+6.203kg module hardware reference; it is not a demonstrated integer21700-cell topology. LiS uses the corrected19.306152kg cell+6.203kg module hardware. These are engineering references, not fleet-validated designs; use0.5-2x auxiliary-size and independent-replacement-life sensitivities.</t>
        </is>
      </c>
    </row>
    <row r="1102">
      <c r="A1102" t="inlineStr">
        <is>
          <t>Exchanges</t>
        </is>
      </c>
    </row>
    <row r="1103">
      <c r="A1103" t="inlineStr">
        <is>
          <t>name</t>
        </is>
      </c>
      <c r="B1103" t="inlineStr">
        <is>
          <t>amount</t>
        </is>
      </c>
      <c r="C1103" t="inlineStr">
        <is>
          <t>location</t>
        </is>
      </c>
      <c r="D1103" t="inlineStr">
        <is>
          <t>unit</t>
        </is>
      </c>
      <c r="E1103" t="inlineStr">
        <is>
          <t>categories</t>
        </is>
      </c>
      <c r="F1103" t="inlineStr">
        <is>
          <t>type</t>
        </is>
      </c>
      <c r="G1103" t="inlineStr">
        <is>
          <t>reference product</t>
        </is>
      </c>
      <c r="H1103" t="inlineStr">
        <is>
          <t>comment</t>
        </is>
      </c>
    </row>
    <row r="1104">
      <c r="A1104" t="inlineStr">
        <is>
          <t>battery liquid cooling, 10 kg engineering reference</t>
        </is>
      </c>
      <c r="B1104">
        <v>1</v>
      </c>
      <c r="C1104" t="inlineStr">
        <is>
          <t>GLO</t>
        </is>
      </c>
      <c r="D1104" t="inlineStr">
        <is>
          <t>unit</t>
        </is>
      </c>
      <c r="F1104" t="inlineStr">
        <is>
          <t>production</t>
        </is>
      </c>
      <c r="G1104" t="inlineStr">
        <is>
          <t>battery liquid cooling, 10 kg engineering reference</t>
        </is>
      </c>
    </row>
    <row r="1105">
      <c r="A1105" t="inlineStr">
        <is>
          <t>market for aluminium, wrought alloy</t>
        </is>
      </c>
      <c r="B1105">
        <v>9.08</v>
      </c>
      <c r="C1105" t="inlineStr">
        <is>
          <t>GLO</t>
        </is>
      </c>
      <c r="D1105" t="inlineStr">
        <is>
          <t>kilogram</t>
        </is>
      </c>
      <c r="F1105" t="inlineStr">
        <is>
          <t>technosphere</t>
        </is>
      </c>
      <c r="G1105" t="inlineStr">
        <is>
          <t>aluminium, wrought alloy</t>
        </is>
      </c>
    </row>
    <row r="1106">
      <c r="A1106" t="inlineStr">
        <is>
          <t>market for steel, low-alloyed</t>
        </is>
      </c>
      <c r="B1106">
        <v>0.23</v>
      </c>
      <c r="C1106" t="inlineStr">
        <is>
          <t>GLO</t>
        </is>
      </c>
      <c r="D1106" t="inlineStr">
        <is>
          <t>kilogram</t>
        </is>
      </c>
      <c r="F1106" t="inlineStr">
        <is>
          <t>technosphere</t>
        </is>
      </c>
      <c r="G1106" t="inlineStr">
        <is>
          <t>steel, low-alloyed</t>
        </is>
      </c>
    </row>
    <row r="1107">
      <c r="A1107" t="inlineStr">
        <is>
          <t>market for polyvinylchloride, bulk polymerised</t>
        </is>
      </c>
      <c r="B1107">
        <v>0.0072</v>
      </c>
      <c r="C1107" t="inlineStr">
        <is>
          <t>GLO</t>
        </is>
      </c>
      <c r="D1107" t="inlineStr">
        <is>
          <t>kilogram</t>
        </is>
      </c>
      <c r="F1107" t="inlineStr">
        <is>
          <t>technosphere</t>
        </is>
      </c>
      <c r="G1107" t="inlineStr">
        <is>
          <t>polyvinylchloride, bulk polymerised</t>
        </is>
      </c>
    </row>
    <row r="1108">
      <c r="A1108" t="inlineStr">
        <is>
          <t>synthetic rubber production</t>
        </is>
      </c>
      <c r="B1108">
        <v>0.0024</v>
      </c>
      <c r="C1108" t="inlineStr">
        <is>
          <t>RER</t>
        </is>
      </c>
      <c r="D1108" t="inlineStr">
        <is>
          <t>kilogram</t>
        </is>
      </c>
      <c r="F1108" t="inlineStr">
        <is>
          <t>technosphere</t>
        </is>
      </c>
      <c r="G1108" t="inlineStr">
        <is>
          <t>synthetic rubber</t>
        </is>
      </c>
    </row>
    <row r="1109">
      <c r="A1109" t="inlineStr">
        <is>
          <t>silicon production, electronics grade</t>
        </is>
      </c>
      <c r="B1109">
        <v>0.06</v>
      </c>
      <c r="C1109" t="inlineStr">
        <is>
          <t>DE</t>
        </is>
      </c>
      <c r="D1109" t="inlineStr">
        <is>
          <t>kilogram</t>
        </is>
      </c>
      <c r="F1109" t="inlineStr">
        <is>
          <t>technosphere</t>
        </is>
      </c>
      <c r="G1109" t="inlineStr">
        <is>
          <t>silicon, electronics grade</t>
        </is>
      </c>
    </row>
    <row r="1110">
      <c r="A1110" t="inlineStr">
        <is>
          <t>market for glass fibre</t>
        </is>
      </c>
      <c r="B1110">
        <v>0.02</v>
      </c>
      <c r="C1110" t="inlineStr">
        <is>
          <t>GLO</t>
        </is>
      </c>
      <c r="D1110" t="inlineStr">
        <is>
          <t>kilogram</t>
        </is>
      </c>
      <c r="F1110" t="inlineStr">
        <is>
          <t>technosphere</t>
        </is>
      </c>
      <c r="G1110" t="inlineStr">
        <is>
          <t>glass fibre</t>
        </is>
      </c>
    </row>
    <row r="1111">
      <c r="A1111" t="inlineStr">
        <is>
          <t>market for acrylonitrile-butadiene-styrene copolymer</t>
        </is>
      </c>
      <c r="B1111">
        <v>0.12</v>
      </c>
      <c r="C1111" t="inlineStr">
        <is>
          <t>GLO</t>
        </is>
      </c>
      <c r="D1111" t="inlineStr">
        <is>
          <t>kilogram</t>
        </is>
      </c>
      <c r="F1111" t="inlineStr">
        <is>
          <t>technosphere</t>
        </is>
      </c>
      <c r="G1111" t="inlineStr">
        <is>
          <t>acrylonitrile-butadiene-styrene copolymer</t>
        </is>
      </c>
    </row>
    <row r="1112">
      <c r="A1112" t="inlineStr">
        <is>
          <t>ethylene glycol production</t>
        </is>
      </c>
      <c r="B1112">
        <v>0.48</v>
      </c>
      <c r="C1112" t="inlineStr">
        <is>
          <t>RER</t>
        </is>
      </c>
      <c r="D1112" t="inlineStr">
        <is>
          <t>kilogram</t>
        </is>
      </c>
      <c r="F1112" t="inlineStr">
        <is>
          <t>technosphere</t>
        </is>
      </c>
      <c r="G1112" t="inlineStr">
        <is>
          <t>ethylene glycol</t>
        </is>
      </c>
    </row>
    <row r="1113">
      <c r="A1113" t="inlineStr">
        <is>
          <t>metal working, average for aluminium product manufacturing</t>
        </is>
      </c>
      <c r="B1113">
        <v>9.08</v>
      </c>
      <c r="C1113" t="inlineStr">
        <is>
          <t>RER</t>
        </is>
      </c>
      <c r="D1113" t="inlineStr">
        <is>
          <t>kilogram</t>
        </is>
      </c>
      <c r="F1113" t="inlineStr">
        <is>
          <t>technosphere</t>
        </is>
      </c>
      <c r="G1113" t="inlineStr">
        <is>
          <t>metal working, average for aluminium product manufacturing</t>
        </is>
      </c>
    </row>
    <row r="1114">
      <c r="A1114" t="inlineStr">
        <is>
          <t>metal working, average for steel product manufacturing</t>
        </is>
      </c>
      <c r="B1114">
        <v>0.23</v>
      </c>
      <c r="C1114" t="inlineStr">
        <is>
          <t>RER</t>
        </is>
      </c>
      <c r="D1114" t="inlineStr">
        <is>
          <t>kilogram</t>
        </is>
      </c>
      <c r="F1114" t="inlineStr">
        <is>
          <t>technosphere</t>
        </is>
      </c>
      <c r="G1114" t="inlineStr">
        <is>
          <t>metal working, average for steel product manufacturing</t>
        </is>
      </c>
    </row>
    <row r="1115">
      <c r="A1115" t="inlineStr">
        <is>
          <t>injection moulding</t>
        </is>
      </c>
      <c r="B1115">
        <v>0.1296</v>
      </c>
      <c r="C1115" t="inlineStr">
        <is>
          <t>RER</t>
        </is>
      </c>
      <c r="D1115" t="inlineStr">
        <is>
          <t>kilogram</t>
        </is>
      </c>
      <c r="F1115" t="inlineStr">
        <is>
          <t>technosphere</t>
        </is>
      </c>
      <c r="G1115" t="inlineStr">
        <is>
          <t>injection moulding</t>
        </is>
      </c>
    </row>
    <row r="1118">
      <c r="A1118" t="inlineStr">
        <is>
          <t>Activity</t>
        </is>
      </c>
      <c r="B1118" t="inlineStr">
        <is>
          <t>battery controls and cooling, 16-module engineering reference</t>
        </is>
      </c>
    </row>
    <row r="1119">
      <c r="A1119" t="inlineStr">
        <is>
          <t>location</t>
        </is>
      </c>
      <c r="B1119" t="inlineStr">
        <is>
          <t>GLO</t>
        </is>
      </c>
    </row>
    <row r="1120">
      <c r="A1120" t="inlineStr">
        <is>
          <t>production amount</t>
        </is>
      </c>
      <c r="B1120">
        <v>1</v>
      </c>
    </row>
    <row r="1121">
      <c r="A1121" t="inlineStr">
        <is>
          <t>reference product</t>
        </is>
      </c>
      <c r="B1121" t="inlineStr">
        <is>
          <t>battery controls and cooling, 16-module engineering reference</t>
        </is>
      </c>
    </row>
    <row r="1122">
      <c r="A1122" t="inlineStr">
        <is>
          <t>unit</t>
        </is>
      </c>
      <c r="B1122" t="inlineStr">
        <is>
          <t>unit</t>
        </is>
      </c>
    </row>
    <row r="1123">
      <c r="A1123" t="inlineStr">
        <is>
          <t>source</t>
        </is>
      </c>
      <c r="B1123" t="inlineStr">
        <is>
          <t>Wickerts corrected SI DOI10.1021/acssuschemeng.4c01782.s001 S26/S27; original Ellingsen2014 SI S39/S40, DOI10.1111/jiec.12072.</t>
        </is>
      </c>
    </row>
    <row r="1124">
      <c r="A1124" t="inlineStr">
        <is>
          <t>comment</t>
        </is>
      </c>
      <c r="B1124" t="inlineStr">
        <is>
          <t>APPROVED FUNCTION-SPECIFIC BATTERY CONTROL ELECTRONICS, issue35, 2026-10-18. TI TIDA020076 public BOM https://www.ti.com/lit/pdf/SLURB87; TI BQ79616PAPRQ1 material declaration https://www.ti.com/quality-reliability-packaging-download/report?opn=BQ79616PAPRQ1; TI CC2662 BCU guide https://www.ti.com/lit/pdf/SWRU641. Preserve existing central0.49kg, module1.12kg or1.1kg/16 and residual-pack electronics mass/count budgets. Replace central and identified module-monitor boards, not unidentified residual pack electronics. Engineering monitor70g (1.1kg reference uses68.75g/board through mass scaling),16channelBQ79616one/70g instead of TI18channelBQ79718; this is a declared alternative, not an exact TI board replica or validated channel architecture. Source TIDA fitted passives134ceramiccapacitors(62x0402,27x0603,39x0805,6x1206),128resistors(63x0402,21x0603,4x0805,38x1206,2x2010). Assumed individual masses0402=1mg,0603=3mg,0805=10mg,1206=30mg,2010=60mg,ceramiccapacitor0805=15mg; component-specific manufacturer masses remain unknown. Monitoring bareboard100x100mm,6copperlayers35um,50percent retainedcopper,1.6mm1850kg/m3FR4; centralbareboard0.1m2,4layers samegeometry. Central490g size is legacy mass-constrained engineering reference, not manufacturer dimensions:validate area0.03-0.1m2,layer4-8 andparts independently. FR4 proxy60percentglass/40epoxy plus2g/m2soldermask;ENIGfinish1percentarea,5umNi,0.05umAu.95percentCu/glass/epoxyretention reference with matching waste; etching/process chemistry remains a gap,assume10kWh/m2 bareboard and1kWh/board finalassembly. Monitor20gconnectors,1.5gotherlogic,1gmagnetics,1gdiodes,0.4gRF/crystals,1gsolder;central100gconnectors,5glogic,2gcapacitors,3gresistors,5gsolder. Use existing constituent manufacturing proxies, so logic/resistor/ceramiccap/connector upstreamPd/Ta/Sb/Au remain and are not assumed absent. Remaining component mass explicitly retains a generic populated-board proxy; trace-metal completeness is NOT proven by bulk closure. TI declared366.484301mg BQpackage explicitly purchases Cu/Fe/Ni/Ag/Au/Pd/Pb/Zn/Mn/S/SiO2/epoxy/phenolic/carbonblack and fabricatedsilicondie once. Gold0.034234mg,Pd0.179949mg,Ag4.372259mg perpackage; no generic1percentgoldbondwire. Phosphorus0.048897mg unmodeled due to absent exact feed; mass/trace gap documented. Fabricatedwafer proxy300um2330kg/m3 includes die manufacture, no duplicate elementalSi purchase. No new EOL:existing complete control mass treatment remains once. Component fabrication yields beyond bareboard, automobile qualification, functional reliability andfutureelectronics evolution remain gaps; sensitivity0.5-2xcomponentcounts andunknowncomponentmetalrecipes. This is a transparent engineering reference, not recovered manufacturer complete BOM.
PREVIOUS NOTES (retained as history; the correction above takes precedence):
APPROVED ENGINEERING CONTROL/THERMAL COVERAGE, item13, 2026-10-18. Wickerts corrected SI DOI10.1021/acssuschemeng.4c01782.s001 S26/S27; original Ellingsen2014 SI S39/S40, DOI10.1111/jiec.12072. Separate module monitoring from central protection: per16-module reference,1.1kg populated PCB monitors, central0.49kg populated PCB+2.8kg HV system+1.2kg LV system+.028kg fasteners=4.518kg. Use existing HV/LV/fastener process providers and generic populated through-hole PCB perkg; this is an explicit board-technology/material proxy rather than the source-specific board fabrication model. No whole BMS is added on top. Adopt one nominal10kg liquid-cooling assembly per reference: Al9.08, steel.23, PVC/rubber pipe.0096, thermal pad.2 (silicon.06, glass.02, ABS.12), ethylene glycol.48kg; source-rounded sum9.9996kg. Metal working/injection services are included; 100percent retention of listed finished materials is assumed. No stationary rack housing/container, common vehicle body or roadway is added. Monitoring/protection/cooling are added once as a unit-valued capacity input; kg module and matching waste remain separate, so density learning does not shrink fixed controls. Central and cooling hardware are conservatively co-replaced with each delivered pack; longer independent hardware life is not established. End-of-life uses the existing generic used Li-ion route for15.6176kg of auxiliary hardware per reference, without recovery credits; this is a treatment proxy for controls/cooling, not proof of chemistry-specific recovery. Source thermal duty, pump/radiator performance, protection ratings, inverter/pack interface, full outer pack enclosure and vehicle-specific module topology remain coverage/design gaps. The SIB cell-mass-equivalent module retains its existing18.768kg cell+6.203kg module hardware reference; it is not a demonstrated integer21700-cell topology. LiS uses the corrected19.306152kg cell+6.203kg module hardware. These are engineering references, not fleet-validated designs; use0.5-2x auxiliary-size and independent-replacement-life sensitivities.</t>
        </is>
      </c>
    </row>
    <row r="1125">
      <c r="A1125" t="inlineStr">
        <is>
          <t>Exchanges</t>
        </is>
      </c>
    </row>
    <row r="1126">
      <c r="A1126" t="inlineStr">
        <is>
          <t>name</t>
        </is>
      </c>
      <c r="B1126" t="inlineStr">
        <is>
          <t>amount</t>
        </is>
      </c>
      <c r="C1126" t="inlineStr">
        <is>
          <t>location</t>
        </is>
      </c>
      <c r="D1126" t="inlineStr">
        <is>
          <t>unit</t>
        </is>
      </c>
      <c r="E1126" t="inlineStr">
        <is>
          <t>categories</t>
        </is>
      </c>
      <c r="F1126" t="inlineStr">
        <is>
          <t>type</t>
        </is>
      </c>
      <c r="G1126" t="inlineStr">
        <is>
          <t>reference product</t>
        </is>
      </c>
      <c r="H1126" t="inlineStr">
        <is>
          <t>comment</t>
        </is>
      </c>
    </row>
    <row r="1127">
      <c r="A1127" t="inlineStr">
        <is>
          <t>battery controls and cooling, 16-module engineering reference</t>
        </is>
      </c>
      <c r="B1127">
        <v>1</v>
      </c>
      <c r="C1127" t="inlineStr">
        <is>
          <t>GLO</t>
        </is>
      </c>
      <c r="D1127" t="inlineStr">
        <is>
          <t>unit</t>
        </is>
      </c>
      <c r="F1127" t="inlineStr">
        <is>
          <t>production</t>
        </is>
      </c>
      <c r="G1127" t="inlineStr">
        <is>
          <t>battery controls and cooling, 16-module engineering reference</t>
        </is>
      </c>
    </row>
    <row r="1128">
      <c r="A1128" t="inlineStr">
        <is>
          <t>battery central controls and protection, engineering reference</t>
        </is>
      </c>
      <c r="B1128">
        <v>1</v>
      </c>
      <c r="C1128" t="inlineStr">
        <is>
          <t>GLO</t>
        </is>
      </c>
      <c r="D1128" t="inlineStr">
        <is>
          <t>unit</t>
        </is>
      </c>
      <c r="F1128" t="inlineStr">
        <is>
          <t>technosphere</t>
        </is>
      </c>
      <c r="G1128" t="inlineStr">
        <is>
          <t>battery central controls and protection, engineering reference</t>
        </is>
      </c>
    </row>
    <row r="1129">
      <c r="A1129" t="inlineStr">
        <is>
          <t>battery module control board, engineering material reference</t>
        </is>
      </c>
      <c r="B1129">
        <v>1.1</v>
      </c>
      <c r="C1129" t="inlineStr">
        <is>
          <t>GLO</t>
        </is>
      </c>
      <c r="D1129" t="inlineStr">
        <is>
          <t>kilogram</t>
        </is>
      </c>
      <c r="F1129" t="inlineStr">
        <is>
          <t>technosphere</t>
        </is>
      </c>
      <c r="G1129" t="inlineStr">
        <is>
          <t>battery module control board, engineering material reference</t>
        </is>
      </c>
    </row>
    <row r="1130">
      <c r="A1130" t="inlineStr">
        <is>
          <t>battery liquid cooling, 10 kg engineering reference</t>
        </is>
      </c>
      <c r="B1130">
        <v>1</v>
      </c>
      <c r="C1130" t="inlineStr">
        <is>
          <t>GLO</t>
        </is>
      </c>
      <c r="D1130" t="inlineStr">
        <is>
          <t>unit</t>
        </is>
      </c>
      <c r="F1130" t="inlineStr">
        <is>
          <t>technosphere</t>
        </is>
      </c>
      <c r="G1130" t="inlineStr">
        <is>
          <t>battery liquid cooling, 10 kg engineering reference</t>
        </is>
      </c>
    </row>
    <row r="1131">
      <c r="A1131" t="inlineStr">
        <is>
          <t>market for used Li-ion battery</t>
        </is>
      </c>
      <c r="B1131">
        <v>-15.6176</v>
      </c>
      <c r="C1131" t="inlineStr">
        <is>
          <t>GLO</t>
        </is>
      </c>
      <c r="D1131" t="inlineStr">
        <is>
          <t>kilogram</t>
        </is>
      </c>
      <c r="F1131" t="inlineStr">
        <is>
          <t>technosphere</t>
        </is>
      </c>
      <c r="G1131" t="inlineStr">
        <is>
          <t>used Li-ion battery</t>
        </is>
      </c>
    </row>
    <row r="1134">
      <c r="A1134" t="inlineStr">
        <is>
          <t>Activity</t>
        </is>
      </c>
      <c r="B1134" t="inlineStr">
        <is>
          <t>lithium foil rolling service, engineering reference</t>
        </is>
      </c>
    </row>
    <row r="1135">
      <c r="A1135" t="inlineStr">
        <is>
          <t>location</t>
        </is>
      </c>
      <c r="B1135" t="inlineStr">
        <is>
          <t>GLO</t>
        </is>
      </c>
    </row>
    <row r="1136">
      <c r="A1136" t="inlineStr">
        <is>
          <t>production amount</t>
        </is>
      </c>
      <c r="B1136">
        <v>1</v>
      </c>
    </row>
    <row r="1137">
      <c r="A1137" t="inlineStr">
        <is>
          <t>reference product</t>
        </is>
      </c>
      <c r="B1137" t="inlineStr">
        <is>
          <t>lithium foil rolling service, engineering reference</t>
        </is>
      </c>
    </row>
    <row r="1138">
      <c r="A1138" t="inlineStr">
        <is>
          <t>unit</t>
        </is>
      </c>
      <c r="B1138" t="inlineStr">
        <is>
          <t>kilogram</t>
        </is>
      </c>
    </row>
    <row r="1139">
      <c r="A1139" t="inlineStr">
        <is>
          <t>source</t>
        </is>
      </c>
      <c r="B1139" t="inlineStr">
        <is>
          <t>Wickerts corrected SI DOI10.1021/acssuschemeng.4c01782.s001 TableS17 requires lithium-adapted rolling; processing assumptions below are an engineering completion, not reported measurements.</t>
        </is>
      </c>
    </row>
    <row r="1140">
      <c r="A1140" t="inlineStr">
        <is>
          <t>comment</t>
        </is>
      </c>
      <c r="B1140" t="inlineStr">
        <is>
          <t>APPROVED LITHIUM-FOIL ROLLING ENGINEERING REFERENCE, item31, 2026-10-18. Wickerts corrected SI DOI10.1021/acssuschemeng.4c01782.s001 TableS17 requires lithium-adapted rolling; processing assumptions below are an engineering completion, not reported measurements. Replace the ordinary aluminium-specific rolling service at4.95kgprocessed/kgfinishedLi foil by a dedicated material-neutral mechanical rolling service. Assume0.5kWh electricity perkg rolling throughput, hence2.475kWh perkgfinishedfoil additionally to source2.1kWh generalprocess electricity,4.2MJ cooling and5MJheat retained once. This represents4.95kg cumulative rolling throughput, NOT4.95kg retained lithium or a measured pass count. Assume98percent final lithium retention:1/0.98=1.0204081632653061kg Li from source electrolysis perkgfoil;0.02040816326530612kg process loss. No aluminium feed or aluminium scrap is inherited; ordinary Al rolling elsewhere unchanged. Treat loss through existing hazardous-waste incineration as an explicit reactive-lithium fate proxy; real inert handling/passivation and associated emissions are not modeled. No lithium recovery/secondary-supply credit. Source/reference utilities are engineering proxies; atmosphere/inert gas, lubrication, facility and practical rolling yield/energy remain gaps. Sensitivities90-100percent yield and0.1-1kWh/kg throughput; energy does not scale with yield here because throughput is declared perkgfinishedfoil. No source-specific measured yield is claimed.</t>
        </is>
      </c>
    </row>
    <row r="1141">
      <c r="A1141" t="inlineStr">
        <is>
          <t>Exchanges</t>
        </is>
      </c>
    </row>
    <row r="1142">
      <c r="A1142" t="inlineStr">
        <is>
          <t>name</t>
        </is>
      </c>
      <c r="B1142" t="inlineStr">
        <is>
          <t>amount</t>
        </is>
      </c>
      <c r="C1142" t="inlineStr">
        <is>
          <t>location</t>
        </is>
      </c>
      <c r="D1142" t="inlineStr">
        <is>
          <t>unit</t>
        </is>
      </c>
      <c r="E1142" t="inlineStr">
        <is>
          <t>categories</t>
        </is>
      </c>
      <c r="F1142" t="inlineStr">
        <is>
          <t>type</t>
        </is>
      </c>
      <c r="G1142" t="inlineStr">
        <is>
          <t>reference product</t>
        </is>
      </c>
      <c r="H1142" t="inlineStr">
        <is>
          <t>comment</t>
        </is>
      </c>
    </row>
    <row r="1143">
      <c r="A1143" t="inlineStr">
        <is>
          <t>lithium foil rolling service, engineering reference</t>
        </is>
      </c>
      <c r="B1143">
        <v>1</v>
      </c>
      <c r="C1143" t="inlineStr">
        <is>
          <t>GLO</t>
        </is>
      </c>
      <c r="D1143" t="inlineStr">
        <is>
          <t>kilogram</t>
        </is>
      </c>
      <c r="F1143" t="inlineStr">
        <is>
          <t>production</t>
        </is>
      </c>
      <c r="G1143" t="inlineStr">
        <is>
          <t>lithium foil rolling service, engineering reference</t>
        </is>
      </c>
    </row>
    <row r="1144">
      <c r="A1144" t="inlineStr">
        <is>
          <t>market group for electricity, medium voltage</t>
        </is>
      </c>
      <c r="B1144">
        <v>0.5</v>
      </c>
      <c r="C1144" t="inlineStr">
        <is>
          <t>GLO</t>
        </is>
      </c>
      <c r="D1144" t="inlineStr">
        <is>
          <t>kilowatt hour</t>
        </is>
      </c>
      <c r="F1144" t="inlineStr">
        <is>
          <t>technosphere</t>
        </is>
      </c>
      <c r="G1144" t="inlineStr">
        <is>
          <t>electricity, medium voltage</t>
        </is>
      </c>
    </row>
    <row r="1147">
      <c r="A1147" t="inlineStr">
        <is>
          <t>Activity</t>
        </is>
      </c>
      <c r="B1147" t="inlineStr">
        <is>
          <t>battery monitor semiconductor, declared copper-wire package reference</t>
        </is>
      </c>
    </row>
    <row r="1148">
      <c r="A1148" t="inlineStr">
        <is>
          <t>location</t>
        </is>
      </c>
      <c r="B1148" t="inlineStr">
        <is>
          <t>GLO</t>
        </is>
      </c>
    </row>
    <row r="1149">
      <c r="A1149" t="inlineStr">
        <is>
          <t>production amount</t>
        </is>
      </c>
      <c r="B1149">
        <v>1</v>
      </c>
    </row>
    <row r="1150">
      <c r="A1150" t="inlineStr">
        <is>
          <t>reference product</t>
        </is>
      </c>
      <c r="B1150" t="inlineStr">
        <is>
          <t>battery monitor semiconductor, declared copper-wire package reference</t>
        </is>
      </c>
    </row>
    <row r="1151">
      <c r="A1151" t="inlineStr">
        <is>
          <t>unit</t>
        </is>
      </c>
      <c r="B1151" t="inlineStr">
        <is>
          <t>unit</t>
        </is>
      </c>
    </row>
    <row r="1152">
      <c r="A1152" t="inlineStr">
        <is>
          <t>source</t>
        </is>
      </c>
      <c r="B1152" t="inlineStr">
        <is>
          <t>TI TIDA020076 public BOM https://www.ti.com/lit/pdf/SLURB87; TI BQ79616PAPRQ1 material declaration https://www.ti.com/quality-reliability-packaging-download/report?opn=BQ79616PAPRQ1; TI CC2662 BCU guide https://www.ti.com/lit/pdf/SWRU641.</t>
        </is>
      </c>
    </row>
    <row r="1153">
      <c r="A1153" t="inlineStr">
        <is>
          <t>comment</t>
        </is>
      </c>
      <c r="B1153" t="inlineStr">
        <is>
          <t>APPROVED FUNCTION-SPECIFIC BATTERY CONTROL ELECTRONICS, issue35, 2026-10-18. TI TIDA020076 public BOM https://www.ti.com/lit/pdf/SLURB87; TI BQ79616PAPRQ1 material declaration https://www.ti.com/quality-reliability-packaging-download/report?opn=BQ79616PAPRQ1; TI CC2662 BCU guide https://www.ti.com/lit/pdf/SWRU641. Preserve existing central0.49kg, module1.12kg or1.1kg/16 and residual-pack electronics mass/count budgets. Replace central and identified module-monitor boards, not unidentified residual pack electronics. Engineering monitor70g (1.1kg reference uses68.75g/board through mass scaling),16channelBQ79616one/70g instead of TI18channelBQ79718; this is a declared alternative, not an exact TI board replica or validated channel architecture. Source TIDA fitted passives134ceramiccapacitors(62x0402,27x0603,39x0805,6x1206),128resistors(63x0402,21x0603,4x0805,38x1206,2x2010). Assumed individual masses0402=1mg,0603=3mg,0805=10mg,1206=30mg,2010=60mg,ceramiccapacitor0805=15mg; component-specific manufacturer masses remain unknown. Monitoring bareboard100x100mm,6copperlayers35um,50percent retainedcopper,1.6mm1850kg/m3FR4; centralbareboard0.1m2,4layers samegeometry. Central490g size is legacy mass-constrained engineering reference, not manufacturer dimensions:validate area0.03-0.1m2,layer4-8 andparts independently. FR4 proxy60percentglass/40epoxy plus2g/m2soldermask;ENIGfinish1percentarea,5umNi,0.05umAu.95percentCu/glass/epoxyretention reference with matching waste; etching/process chemistry remains a gap,assume10kWh/m2 bareboard and1kWh/board finalassembly. Monitor20gconnectors,1.5gotherlogic,1gmagnetics,1gdiodes,0.4gRF/crystals,1gsolder;central100gconnectors,5glogic,2gcapacitors,3gresistors,5gsolder. Use existing constituent manufacturing proxies, so logic/resistor/ceramiccap/connector upstreamPd/Ta/Sb/Au remain and are not assumed absent. Remaining component mass explicitly retains a generic populated-board proxy; trace-metal completeness is NOT proven by bulk closure. TI declared366.484301mg BQpackage explicitly purchases Cu/Fe/Ni/Ag/Au/Pd/Pb/Zn/Mn/S/SiO2/epoxy/phenolic/carbonblack and fabricatedsilicondie once. Gold0.034234mg,Pd0.179949mg,Ag4.372259mg perpackage; no generic1percentgoldbondwire. Phosphorus0.048897mg unmodeled due to absent exact feed; mass/trace gap documented. Fabricatedwafer proxy300um2330kg/m3 includes die manufacture, no duplicate elementalSi purchase. No new EOL:existing complete control mass treatment remains once. Component fabrication yields beyond bareboard, automobile qualification, functional reliability andfutureelectronics evolution remain gaps; sensitivity0.5-2xcomponentcounts andunknowncomponentmetalrecipes. This is a transparent engineering reference, not recovered manufacturer complete BOM.</t>
        </is>
      </c>
    </row>
    <row r="1154">
      <c r="A1154" t="inlineStr">
        <is>
          <t>Exchanges</t>
        </is>
      </c>
    </row>
    <row r="1155">
      <c r="A1155" t="inlineStr">
        <is>
          <t>name</t>
        </is>
      </c>
      <c r="B1155" t="inlineStr">
        <is>
          <t>amount</t>
        </is>
      </c>
      <c r="C1155" t="inlineStr">
        <is>
          <t>location</t>
        </is>
      </c>
      <c r="D1155" t="inlineStr">
        <is>
          <t>unit</t>
        </is>
      </c>
      <c r="E1155" t="inlineStr">
        <is>
          <t>categories</t>
        </is>
      </c>
      <c r="F1155" t="inlineStr">
        <is>
          <t>type</t>
        </is>
      </c>
      <c r="G1155" t="inlineStr">
        <is>
          <t>reference product</t>
        </is>
      </c>
      <c r="H1155" t="inlineStr">
        <is>
          <t>comment</t>
        </is>
      </c>
    </row>
    <row r="1156">
      <c r="A1156" t="inlineStr">
        <is>
          <t>battery monitor semiconductor, declared copper-wire package reference</t>
        </is>
      </c>
      <c r="B1156">
        <v>1</v>
      </c>
      <c r="C1156" t="inlineStr">
        <is>
          <t>GLO</t>
        </is>
      </c>
      <c r="D1156" t="inlineStr">
        <is>
          <t>unit</t>
        </is>
      </c>
      <c r="F1156" t="inlineStr">
        <is>
          <t>production</t>
        </is>
      </c>
      <c r="G1156" t="inlineStr">
        <is>
          <t>battery monitor semiconductor, declared copper-wire package reference</t>
        </is>
      </c>
    </row>
    <row r="1157">
      <c r="A1157" t="inlineStr">
        <is>
          <t>market for copper, cathode</t>
        </is>
      </c>
      <c r="B1157">
        <v>0.00017748693999999999</v>
      </c>
      <c r="C1157" t="inlineStr">
        <is>
          <t>GLO</t>
        </is>
      </c>
      <c r="D1157" t="inlineStr">
        <is>
          <t>kilogram</t>
        </is>
      </c>
      <c r="F1157" t="inlineStr">
        <is>
          <t>technosphere</t>
        </is>
      </c>
      <c r="G1157" t="inlineStr">
        <is>
          <t>copper, cathode</t>
        </is>
      </c>
    </row>
    <row r="1158">
      <c r="A1158" t="inlineStr">
        <is>
          <t>market for steel, low-alloyed</t>
        </is>
      </c>
      <c r="B1158">
        <v>4.0023129999999995e-06</v>
      </c>
      <c r="C1158" t="inlineStr">
        <is>
          <t>GLO</t>
        </is>
      </c>
      <c r="D1158" t="inlineStr">
        <is>
          <t>kilogram</t>
        </is>
      </c>
      <c r="F1158" t="inlineStr">
        <is>
          <t>technosphere</t>
        </is>
      </c>
      <c r="G1158" t="inlineStr">
        <is>
          <t>steel, low-alloyed</t>
        </is>
      </c>
    </row>
    <row r="1159">
      <c r="A1159" t="inlineStr">
        <is>
          <t>market for nickel, class 1</t>
        </is>
      </c>
      <c r="B1159">
        <v>4.174818e-06</v>
      </c>
      <c r="C1159" t="inlineStr">
        <is>
          <t>GLO</t>
        </is>
      </c>
      <c r="D1159" t="inlineStr">
        <is>
          <t>kilogram</t>
        </is>
      </c>
      <c r="F1159" t="inlineStr">
        <is>
          <t>technosphere</t>
        </is>
      </c>
      <c r="G1159" t="inlineStr">
        <is>
          <t>nickel, class 1</t>
        </is>
      </c>
    </row>
    <row r="1160">
      <c r="A1160" t="inlineStr">
        <is>
          <t>market for sulfur</t>
        </is>
      </c>
      <c r="B1160">
        <v>1e-12</v>
      </c>
      <c r="C1160" t="inlineStr">
        <is>
          <t>GLO</t>
        </is>
      </c>
      <c r="D1160" t="inlineStr">
        <is>
          <t>kilogram</t>
        </is>
      </c>
      <c r="F1160" t="inlineStr">
        <is>
          <t>technosphere</t>
        </is>
      </c>
      <c r="G1160" t="inlineStr">
        <is>
          <t>sulfur</t>
        </is>
      </c>
    </row>
    <row r="1161">
      <c r="A1161" t="inlineStr">
        <is>
          <t>market for manganese</t>
        </is>
      </c>
      <c r="B1161">
        <v>2e-12</v>
      </c>
      <c r="C1161" t="inlineStr">
        <is>
          <t>GLO</t>
        </is>
      </c>
      <c r="D1161" t="inlineStr">
        <is>
          <t>kilogram</t>
        </is>
      </c>
      <c r="F1161" t="inlineStr">
        <is>
          <t>technosphere</t>
        </is>
      </c>
      <c r="G1161" t="inlineStr">
        <is>
          <t>manganese</t>
        </is>
      </c>
    </row>
    <row r="1162">
      <c r="A1162" t="inlineStr">
        <is>
          <t>market for silver</t>
        </is>
      </c>
      <c r="B1162">
        <v>4.372259e-06</v>
      </c>
      <c r="C1162" t="inlineStr">
        <is>
          <t>GLO</t>
        </is>
      </c>
      <c r="D1162" t="inlineStr">
        <is>
          <t>kilogram</t>
        </is>
      </c>
      <c r="F1162" t="inlineStr">
        <is>
          <t>technosphere</t>
        </is>
      </c>
      <c r="G1162" t="inlineStr">
        <is>
          <t>silver</t>
        </is>
      </c>
    </row>
    <row r="1163">
      <c r="A1163" t="inlineStr">
        <is>
          <t>market for epoxy resin, liquid</t>
        </is>
      </c>
      <c r="B1163">
        <v>1.2388582e-05</v>
      </c>
      <c r="C1163" t="inlineStr">
        <is>
          <t>RER</t>
        </is>
      </c>
      <c r="D1163" t="inlineStr">
        <is>
          <t>kilogram</t>
        </is>
      </c>
      <c r="F1163" t="inlineStr">
        <is>
          <t>technosphere</t>
        </is>
      </c>
      <c r="G1163" t="inlineStr">
        <is>
          <t>epoxy resin, liquid</t>
        </is>
      </c>
    </row>
    <row r="1164">
      <c r="A1164" t="inlineStr">
        <is>
          <t>market for lead</t>
        </is>
      </c>
      <c r="B1164">
        <v>1.81e-10</v>
      </c>
      <c r="C1164" t="inlineStr">
        <is>
          <t>GLO</t>
        </is>
      </c>
      <c r="D1164" t="inlineStr">
        <is>
          <t>kilogram</t>
        </is>
      </c>
      <c r="F1164" t="inlineStr">
        <is>
          <t>technosphere</t>
        </is>
      </c>
      <c r="G1164" t="inlineStr">
        <is>
          <t>lead</t>
        </is>
      </c>
    </row>
    <row r="1165">
      <c r="A1165" t="inlineStr">
        <is>
          <t>market for zinc</t>
        </is>
      </c>
      <c r="B1165">
        <v>2.33619e-07</v>
      </c>
      <c r="C1165" t="inlineStr">
        <is>
          <t>GLO</t>
        </is>
      </c>
      <c r="D1165" t="inlineStr">
        <is>
          <t>kilogram</t>
        </is>
      </c>
      <c r="F1165" t="inlineStr">
        <is>
          <t>technosphere</t>
        </is>
      </c>
      <c r="G1165" t="inlineStr">
        <is>
          <t>zinc</t>
        </is>
      </c>
    </row>
    <row r="1166">
      <c r="A1166" t="inlineStr">
        <is>
          <t>market for gold</t>
        </is>
      </c>
      <c r="B1166">
        <v>3.4234e-08</v>
      </c>
      <c r="C1166" t="inlineStr">
        <is>
          <t>GLO</t>
        </is>
      </c>
      <c r="D1166" t="inlineStr">
        <is>
          <t>kilogram</t>
        </is>
      </c>
      <c r="F1166" t="inlineStr">
        <is>
          <t>technosphere</t>
        </is>
      </c>
      <c r="G1166" t="inlineStr">
        <is>
          <t>gold</t>
        </is>
      </c>
    </row>
    <row r="1167">
      <c r="A1167" t="inlineStr">
        <is>
          <t>market for palladium</t>
        </is>
      </c>
      <c r="B1167">
        <v>1.79949e-07</v>
      </c>
      <c r="C1167" t="inlineStr">
        <is>
          <t>GLO</t>
        </is>
      </c>
      <c r="D1167" t="inlineStr">
        <is>
          <t>kilogram</t>
        </is>
      </c>
      <c r="F1167" t="inlineStr">
        <is>
          <t>technosphere</t>
        </is>
      </c>
      <c r="G1167" t="inlineStr">
        <is>
          <t>palladium</t>
        </is>
      </c>
    </row>
    <row r="1168">
      <c r="A1168" t="inlineStr">
        <is>
          <t>market for phenolic resin</t>
        </is>
      </c>
      <c r="B1168">
        <v>4.646803e-06</v>
      </c>
      <c r="C1168" t="inlineStr">
        <is>
          <t>RER</t>
        </is>
      </c>
      <c r="D1168" t="inlineStr">
        <is>
          <t>kilogram</t>
        </is>
      </c>
      <c r="F1168" t="inlineStr">
        <is>
          <t>technosphere</t>
        </is>
      </c>
      <c r="G1168" t="inlineStr">
        <is>
          <t>phenolic resin</t>
        </is>
      </c>
    </row>
    <row r="1169">
      <c r="A1169" t="inlineStr">
        <is>
          <t>market for silica sand</t>
        </is>
      </c>
      <c r="B1169">
        <v>0.00013785516</v>
      </c>
      <c r="C1169" t="inlineStr">
        <is>
          <t>GLO</t>
        </is>
      </c>
      <c r="D1169" t="inlineStr">
        <is>
          <t>kilogram</t>
        </is>
      </c>
      <c r="F1169" t="inlineStr">
        <is>
          <t>technosphere</t>
        </is>
      </c>
      <c r="G1169" t="inlineStr">
        <is>
          <t>silica sand</t>
        </is>
      </c>
    </row>
    <row r="1170">
      <c r="A1170" t="inlineStr">
        <is>
          <t>market for carbon black</t>
        </is>
      </c>
      <c r="B1170">
        <v>7.74467e-07</v>
      </c>
      <c r="C1170" t="inlineStr">
        <is>
          <t>GLO</t>
        </is>
      </c>
      <c r="D1170" t="inlineStr">
        <is>
          <t>kilogram</t>
        </is>
      </c>
      <c r="F1170" t="inlineStr">
        <is>
          <t>technosphere</t>
        </is>
      </c>
      <c r="G1170" t="inlineStr">
        <is>
          <t>carbon black</t>
        </is>
      </c>
    </row>
    <row r="1171">
      <c r="A1171" t="inlineStr">
        <is>
          <t>market for wafer, fabricated, for integrated circuit</t>
        </is>
      </c>
      <c r="B1171">
        <v>2.9021567954220318e-05</v>
      </c>
      <c r="C1171" t="inlineStr">
        <is>
          <t>GLO</t>
        </is>
      </c>
      <c r="D1171" t="inlineStr">
        <is>
          <t>square meter</t>
        </is>
      </c>
      <c r="F1171" t="inlineStr">
        <is>
          <t>technosphere</t>
        </is>
      </c>
      <c r="G1171" t="inlineStr">
        <is>
          <t>wafer, fabricated, for integrated circuit</t>
        </is>
      </c>
    </row>
    <row r="1174">
      <c r="A1174" t="inlineStr">
        <is>
          <t>Activity</t>
        </is>
      </c>
      <c r="B1174" t="inlineStr">
        <is>
          <t>battery central control board, engineering material reference</t>
        </is>
      </c>
    </row>
    <row r="1175">
      <c r="A1175" t="inlineStr">
        <is>
          <t>location</t>
        </is>
      </c>
      <c r="B1175" t="inlineStr">
        <is>
          <t>GLO</t>
        </is>
      </c>
    </row>
    <row r="1176">
      <c r="A1176" t="inlineStr">
        <is>
          <t>production amount</t>
        </is>
      </c>
      <c r="B1176">
        <v>1</v>
      </c>
    </row>
    <row r="1177">
      <c r="A1177" t="inlineStr">
        <is>
          <t>reference product</t>
        </is>
      </c>
      <c r="B1177" t="inlineStr">
        <is>
          <t>battery central control board, engineering material reference</t>
        </is>
      </c>
    </row>
    <row r="1178">
      <c r="A1178" t="inlineStr">
        <is>
          <t>unit</t>
        </is>
      </c>
      <c r="B1178" t="inlineStr">
        <is>
          <t>kilogram</t>
        </is>
      </c>
    </row>
    <row r="1179">
      <c r="A1179" t="inlineStr">
        <is>
          <t>source</t>
        </is>
      </c>
      <c r="B1179" t="inlineStr">
        <is>
          <t>TI TIDA020076 public BOM https://www.ti.com/lit/pdf/SLURB87; TI BQ79616PAPRQ1 material declaration https://www.ti.com/quality-reliability-packaging-download/report?opn=BQ79616PAPRQ1; TI CC2662 BCU guide https://www.ti.com/lit/pdf/SWRU641.</t>
        </is>
      </c>
    </row>
    <row r="1180">
      <c r="A1180" t="inlineStr">
        <is>
          <t>comment</t>
        </is>
      </c>
      <c r="B1180" t="inlineStr">
        <is>
          <t>APPROVED PACKAGE-SPECIFIC CONTROL SEMICONDUCTORS, issue57, 2026-10-18. TI manufacturer material-content reports https://www.ti.com/quality-reliability-packaging-download/de-de/report?opn=LM5168FQDDARQ1 ; ?opn=TXU0204QPWRQ1 ; ?opn=CC2662R1FTWRGZRQ1 , accessed2026-10-18; TI TIDA020076 fitted BOM and CC2662 WBMS controller guide. Use one explicitly selected first returned material declaration per part, never sum alternative assembly-site tables. LM5168 FlyBuck regulator,TXU0204 logic translator andCC2662 WBMS MCU have distinct die,frame,bonds,mold and plating. Sum constituent rows excluding subtotals to recover declared package mass. Retain actual Zn alloying,Ag attach and Au/Pd plating; no arbitraryZn-for-Sb conversion or global antimony deletion. Sb is not listed in these selected declarations, which is not proof of analyticalzeroSb in all electronics. Purchase fabricated die wafer area from declared Si mass at explicit300micrometrethickness,2330kg/m3; no second rawSi charge. Silica-sand supply is an explicit fused-silica proxy with missing fusion/purity energy. Fe uses lowalloy steel proxy, resin uses epoxy/phenolic analogues, elementalP/chlorine feeds are nominal material proxies. Proprietary composition remains unresolved. Package assembly1kWh/kg and100%final retention are engineering assumptions,not suppliermeasured yield or complete semiconductor packaging LCI. Module priorlogic allowances1.5g and0.4g are replaced by oneTXU and oneLM5168 package,consistent with fitted reference parts; released mass remains explicitly unresolved board components. Other actualMCU/isolation packages are still coveragegaps,not proven identical. Central5gMCU allowance becomes oneCC2662 (firstselectedsite) and residual mass,not dozens of fictitious MCU packages. BQ79616 monitor package unchanged. Fixed70g/490g board budgets and their downstream endoflife retained. No motherboard/chassis electronics added. Process service, film,purity,actualsite and unknown-component sensitivity remain necessary; no certifiedexactvehicleBOM claim.
PREVIOUS NOTES (retained as history; the correction above takes precedence):
APPROVED RESISTOR FUNCTION/MATERIAL REFERENCE, issue56, 2026-10-18. Bourns CR0603 Material Declaration,2022-08-01, https://www.bourns.com/docs/product-mds/cr0603_mds.pdf?sfvrsn=d79410bf_3 (manufacturer indexed declaration; direct download currently errors). Vishay CRCW...C doc28773 https://www.vishay.com/docs/28773/crcwce3.pdf package masses; TI TIDA020076 SLURB87 fitted BOM. Use declared CR0603 1.9339mg classic thick-film composition as a scoped engineering analogue, not a claim of exact Vishay/Yageo paste chemistry. Ceramic1.6618mg=96%alumina/4%silica; conductor0.0447mg=95%Ag/5%glass; film0.0255mg=25%RuO2,40%Ag,15%Pd,20%lead-containingglass; epoxy0.0335mg; NiCr0.0025mg=80%Ni20%Cr; Ni0.0878mg; Sn0.0781mg. Lead-containingglass uses explicit30wt%PbO/70%silica assumption (test0-60%), never alllead. Ordinary conductor glass is flat-glass proxy. 17zero-ohm jumpers use same body/termination but film replaced byAg, a function-based engineering assumption; test alternative pastes rather than claiming analyticallyzeroPd. Retain legitimatePd/Ag/Ru in111nonzero resistors. Ru supplied by existing ZA ruthenium coproduct inventory, not silently substituted byPd; its historical PGM allocation remains unvalidated. RuO2 uses stoichiometric Ru+oxygen and3MJ/kgheat+0.5kWh/kgprocess proxies. 95%known-material retention with matched mixed manufacturing waste,1kWh/kg+5MJ/kg; supplier/plating/printing losses uncertain. Fittedcounts63x0402,21x0603,4x0805,38x1206,2x2010; zero counts1,12,4,0,0. Manufacturer family masses0.65,2,5.5,10mg for firstfour;2010=25.5mg explicit legacy-family engineering mass reference. No unmounted parts. Component mass difference goes to unresolved residual board proxy, preserving70g complete monitorboard; central3g allowance keeps its mass and uses nonzero-family analogue. TerminationSn and assembly solder remain separate. No native/global supplier edits, new EOL or precious-metal credit. Source specific paste variants, resistance dependence, actual Vishay grades, jumper film and2010 mass are coverage/sensitivity gaps.
PREVIOUS NOTES (retained as history; the correction above takes precedence):
APPROVED CERAMIC-CAPACITOR MATERIAL FAMILIES, issue55, 2026-10-18. 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 Separate BaTiO3 Class2, flexible Ag-epoxy termination and CaZrO3 C0G; do not model all ceramics as barite,allBaTiO3 or universalPd-bearing electrodes. Use declared percase Ni/Cu/Sn/Ag and ceramic masses. Keep miscellaneous composition explicitly unresolved: no inventedzeroPd proof or assignment of all dopants tooneoxide. ActualTi,Murata,TDK part-grade material/yields remain unmeasured; engineer source-family proxies preserving function/classes. Calcine BaCO3+TiO2-&gt;BaTiO3+CO2 and CaCO3+ZrO2-&gt;CaZrO3+CO2 at nominalpurestoichiometry,3MJ/kgheat+0.5kWh/kg milling assumptions. No orebarite substituted for refinedcarbonate. Componentmanufacture95%retention for knownmaterials with equalmixedsolidwaste,1kWh/kg+5MJ/kgprocessreference; actualpowderprocessing,cofiring/plating losses,water and emissions are gaps. Unknownretainedfraction and its manufacturingloss are not fabricated. Provideroutputs1kg finishedpart includingexplicitunknownmass; knownmaterialcoverage reported rather than normalizedto100%. TI70gmonitorboard has134fittedceramicparts:55Class2 0402,27Class2 0603,38Class2 0805,6Class2 1206,1flex0805,7C0G0402.2KEMETC0G parts use1.06mg each,other5use1.2mgfamilyreference. Not-fittedparts excluded. Preserveoriginalboardtotalmass by transferringcomponentmass difference to/from its explicitlyunresolvedresidualcomponentproxy; do not normalize allboardingredients. Centralboard2gcapacitor allowance becomesClass2 0603family analogue,stillunvalidated counts. Othergenericboard/passiveinputs remainuntiltheirscopedreferencesaredefined; native suppliers are untouched. Existingassemblysolder remainsseparate fromcomponentterminationSn. Existingcontrol/endoflife massbudgetsunchanged. Retain genuinelegacyPd recipes for otherconsumers and document unresolvedtrace dopants; no globalmetalCFedit or primary-secondaryclaim. Sensitivities90-100%retention,case-specificdesign,ceramicdopants andprecious-metal terminationchoices.
PREVIOUS NOTES (retained as history; the correction above takes precedence):
APPROVED FUNCTION-SPECIFIC BATTERY CONTROL ELECTRONICS, issue35, 2026-10-18. TI TIDA020076 public BOM https://www.ti.com/lit/pdf/SLURB87; TI BQ79616PAPRQ1 material declaration https://www.ti.com/quality-reliability-packaging-download/report?opn=BQ79616PAPRQ1; TI CC2662 BCU guide https://www.ti.com/lit/pdf/SWRU641. Preserve existing central0.49kg, module1.12kg or1.1kg/16 and residual-pack electronics mass/count budgets. Replace central and identified module-monitor boards, not unidentified residual pack electronics. Engineering monitor70g (1.1kg reference uses68.75g/board through mass scaling),16channelBQ79616one/70g instead of TI18channelBQ79718; this is a declared alternative, not an exact TI board replica or validated channel architecture. Source TIDA fitted passives134ceramiccapacitors(62x0402,27x0603,39x0805,6x1206),128resistors(63x0402,21x0603,4x0805,38x1206,2x2010). Assumed individual masses0402=1mg,0603=3mg,0805=10mg,1206=30mg,2010=60mg,ceramiccapacitor0805=15mg; component-specific manufacturer masses remain unknown. Monitoring bareboard100x100mm,6copperlayers35um,50percent retainedcopper,1.6mm1850kg/m3FR4; centralbareboard0.1m2,4layers samegeometry. Central490g size is legacy mass-constrained engineering reference, not manufacturer dimensions:validate area0.03-0.1m2,layer4-8 andparts independently. FR4 proxy60percentglass/40epoxy plus2g/m2soldermask;ENIGfinish1percentarea,5umNi,0.05umAu.95percentCu/glass/epoxyretention reference with matching waste; etching/process chemistry remains a gap,assume10kWh/m2 bareboard and1kWh/board finalassembly. Monitor20gconnectors,1.5gotherlogic,1gmagnetics,1gdiodes,0.4gRF/crystals,1gsolder;central100gconnectors,5glogic,2gcapacitors,3gresistors,5gsolder. Use existing constituent manufacturing proxies, so logic/resistor/ceramiccap/connector upstreamPd/Ta/Sb/Au remain and are not assumed absent. Remaining component mass explicitly retains a generic populated-board proxy; trace-metal completeness is NOT proven by bulk closure. TI declared366.484301mg BQpackage explicitly purchases Cu/Fe/Ni/Ag/Au/Pd/Pb/Zn/Mn/S/SiO2/epoxy/phenolic/carbonblack and fabricatedsilicondie once. Gold0.034234mg,Pd0.179949mg,Ag4.372259mg perpackage; no generic1percentgoldbondwire. Phosphorus0.048897mg unmodeled due to absent exact feed; mass/trace gap documented. Fabricatedwafer proxy300um2330kg/m3 includes die manufacture, no duplicate elementalSi purchase. No new EOL:existing complete control mass treatment remains once. Component fabrication yields beyond bareboard, automobile qualification, functional reliability andfutureelectronics evolution remain gaps; sensitivity0.5-2xcomponentcounts andunknowncomponentmetalrecipes. This is a transparent engineering reference, not recovered manufacturer complete BOM.</t>
        </is>
      </c>
    </row>
    <row r="1181">
      <c r="A1181" t="inlineStr">
        <is>
          <t>Exchanges</t>
        </is>
      </c>
    </row>
    <row r="1182">
      <c r="A1182" t="inlineStr">
        <is>
          <t>name</t>
        </is>
      </c>
      <c r="B1182" t="inlineStr">
        <is>
          <t>amount</t>
        </is>
      </c>
      <c r="C1182" t="inlineStr">
        <is>
          <t>location</t>
        </is>
      </c>
      <c r="D1182" t="inlineStr">
        <is>
          <t>unit</t>
        </is>
      </c>
      <c r="E1182" t="inlineStr">
        <is>
          <t>categories</t>
        </is>
      </c>
      <c r="F1182" t="inlineStr">
        <is>
          <t>type</t>
        </is>
      </c>
      <c r="G1182" t="inlineStr">
        <is>
          <t>reference product</t>
        </is>
      </c>
      <c r="H1182" t="inlineStr">
        <is>
          <t>comment</t>
        </is>
      </c>
      <c r="I1182" t="inlineStr">
        <is>
          <t>product</t>
        </is>
      </c>
    </row>
    <row r="1183">
      <c r="A1183" t="inlineStr">
        <is>
          <t>battery central control board, engineering material reference</t>
        </is>
      </c>
      <c r="B1183">
        <v>1</v>
      </c>
      <c r="C1183" t="inlineStr">
        <is>
          <t>GLO</t>
        </is>
      </c>
      <c r="D1183" t="inlineStr">
        <is>
          <t>kilogram</t>
        </is>
      </c>
      <c r="F1183" t="inlineStr">
        <is>
          <t>production</t>
        </is>
      </c>
      <c r="G1183" t="inlineStr">
        <is>
          <t>battery central control board, engineering material reference</t>
        </is>
      </c>
      <c r="I1183" t="inlineStr">
        <is>
          <t>battery central control board, engineering material reference</t>
        </is>
      </c>
    </row>
    <row r="1184">
      <c r="A1184" t="inlineStr">
        <is>
          <t>market for glass fibre</t>
        </is>
      </c>
      <c r="B1184">
        <v>0.38152524167561763</v>
      </c>
      <c r="C1184" t="inlineStr">
        <is>
          <t>GLO</t>
        </is>
      </c>
      <c r="D1184" t="inlineStr">
        <is>
          <t>kilogram</t>
        </is>
      </c>
      <c r="F1184" t="inlineStr">
        <is>
          <t>technosphere</t>
        </is>
      </c>
      <c r="G1184" t="inlineStr">
        <is>
          <t>glass fibre</t>
        </is>
      </c>
      <c r="I1184" t="inlineStr">
        <is>
          <t>glass fibre</t>
        </is>
      </c>
    </row>
    <row r="1185">
      <c r="A1185" t="inlineStr">
        <is>
          <t>market for epoxy resin, liquid</t>
        </is>
      </c>
      <c r="B1185">
        <v>0.2547583243823846</v>
      </c>
      <c r="C1185" t="inlineStr">
        <is>
          <t>RER</t>
        </is>
      </c>
      <c r="D1185" t="inlineStr">
        <is>
          <t>kilogram</t>
        </is>
      </c>
      <c r="F1185" t="inlineStr">
        <is>
          <t>technosphere</t>
        </is>
      </c>
      <c r="G1185" t="inlineStr">
        <is>
          <t>epoxy resin, liquid</t>
        </is>
      </c>
      <c r="I1185" t="inlineStr">
        <is>
          <t>epoxy resin, liquid</t>
        </is>
      </c>
    </row>
    <row r="1186">
      <c r="A1186" t="inlineStr">
        <is>
          <t>market for copper, cathode</t>
        </is>
      </c>
      <c r="B1186">
        <v>0.13473684210526318</v>
      </c>
      <c r="C1186" t="inlineStr">
        <is>
          <t>GLO</t>
        </is>
      </c>
      <c r="D1186" t="inlineStr">
        <is>
          <t>kilogram</t>
        </is>
      </c>
      <c r="F1186" t="inlineStr">
        <is>
          <t>technosphere</t>
        </is>
      </c>
      <c r="G1186" t="inlineStr">
        <is>
          <t>copper, cathode</t>
        </is>
      </c>
      <c r="I1186" t="inlineStr">
        <is>
          <t>copper, cathode</t>
        </is>
      </c>
    </row>
    <row r="1187">
      <c r="A1187" t="inlineStr">
        <is>
          <t>market for nickel, class 1</t>
        </is>
      </c>
      <c r="B1187">
        <v>9.081632653061226e-05</v>
      </c>
      <c r="C1187" t="inlineStr">
        <is>
          <t>GLO</t>
        </is>
      </c>
      <c r="D1187" t="inlineStr">
        <is>
          <t>kilogram</t>
        </is>
      </c>
      <c r="F1187" t="inlineStr">
        <is>
          <t>technosphere</t>
        </is>
      </c>
      <c r="G1187" t="inlineStr">
        <is>
          <t>nickel, class 1</t>
        </is>
      </c>
      <c r="I1187" t="inlineStr">
        <is>
          <t>nickel, class 1</t>
        </is>
      </c>
    </row>
    <row r="1188">
      <c r="A1188" t="inlineStr">
        <is>
          <t>market for gold</t>
        </is>
      </c>
      <c r="B1188">
        <v>1.969387755102041e-06</v>
      </c>
      <c r="C1188" t="inlineStr">
        <is>
          <t>GLO</t>
        </is>
      </c>
      <c r="D1188" t="inlineStr">
        <is>
          <t>kilogram</t>
        </is>
      </c>
      <c r="F1188" t="inlineStr">
        <is>
          <t>technosphere</t>
        </is>
      </c>
      <c r="G1188" t="inlineStr">
        <is>
          <t>gold</t>
        </is>
      </c>
      <c r="I1188" t="inlineStr">
        <is>
          <t>gold</t>
        </is>
      </c>
    </row>
    <row r="1189">
      <c r="A1189" t="inlineStr">
        <is>
          <t>market for waste plastic, mixture</t>
        </is>
      </c>
      <c r="B1189">
        <v>-0.03179377013963477</v>
      </c>
      <c r="C1189" t="inlineStr">
        <is>
          <t>CH</t>
        </is>
      </c>
      <c r="D1189" t="inlineStr">
        <is>
          <t>kilogram</t>
        </is>
      </c>
      <c r="F1189" t="inlineStr">
        <is>
          <t>technosphere</t>
        </is>
      </c>
      <c r="G1189" t="inlineStr">
        <is>
          <t>waste plastic, mixture</t>
        </is>
      </c>
      <c r="I1189" t="inlineStr">
        <is>
          <t>waste plastic, mixture</t>
        </is>
      </c>
    </row>
    <row r="1190">
      <c r="A1190" t="inlineStr">
        <is>
          <t>copper scrap, sorted, pressed, Recycled Content cut-off</t>
        </is>
      </c>
      <c r="B1190">
        <v>-0.0067368421052631505</v>
      </c>
      <c r="C1190" t="inlineStr">
        <is>
          <t>GLO</t>
        </is>
      </c>
      <c r="D1190" t="inlineStr">
        <is>
          <t>kilogram</t>
        </is>
      </c>
      <c r="F1190" t="inlineStr">
        <is>
          <t>technosphere</t>
        </is>
      </c>
      <c r="G1190" t="inlineStr">
        <is>
          <t>copper scrap, sorted, pressed</t>
        </is>
      </c>
      <c r="I1190" t="inlineStr">
        <is>
          <t>copper scrap, sorted, pressed</t>
        </is>
      </c>
    </row>
    <row r="1191">
      <c r="A1191" t="inlineStr">
        <is>
          <t>market for electric connector, peripheral type buss</t>
        </is>
      </c>
      <c r="B1191">
        <v>0.20408163265306123</v>
      </c>
      <c r="C1191" t="inlineStr">
        <is>
          <t>GLO</t>
        </is>
      </c>
      <c r="D1191" t="inlineStr">
        <is>
          <t>kilogram</t>
        </is>
      </c>
      <c r="F1191" t="inlineStr">
        <is>
          <t>technosphere</t>
        </is>
      </c>
      <c r="G1191" t="inlineStr">
        <is>
          <t>electric connector, peripheral type buss</t>
        </is>
      </c>
      <c r="I1191" t="inlineStr">
        <is>
          <t>electric connector, peripheral type buss</t>
        </is>
      </c>
    </row>
    <row r="1192">
      <c r="A1192" t="inlineStr">
        <is>
          <t>semiconductor package, CC2662R1FTWRGZRQ1, declared material reference</t>
        </is>
      </c>
      <c r="B1192">
        <v>2.0408163265306123</v>
      </c>
      <c r="C1192" t="inlineStr">
        <is>
          <t>GLO</t>
        </is>
      </c>
      <c r="D1192" t="inlineStr">
        <is>
          <t>unit</t>
        </is>
      </c>
      <c r="F1192" t="inlineStr">
        <is>
          <t>technosphere</t>
        </is>
      </c>
      <c r="G1192" t="inlineStr">
        <is>
          <t>semiconductor package, CC2662R1FTWRGZRQ1, declared material reference</t>
        </is>
      </c>
      <c r="I1192" t="inlineStr">
        <is>
          <t>integrated circuit, logic type</t>
        </is>
      </c>
    </row>
    <row r="1193">
      <c r="A1193" t="inlineStr">
        <is>
          <t>capacitor, Class2, 0603, declared material engineering reference</t>
        </is>
      </c>
      <c r="B1193">
        <v>0.004081632653061225</v>
      </c>
      <c r="C1193" t="inlineStr">
        <is>
          <t>GLO</t>
        </is>
      </c>
      <c r="D1193" t="inlineStr">
        <is>
          <t>kilogram</t>
        </is>
      </c>
      <c r="F1193" t="inlineStr">
        <is>
          <t>technosphere</t>
        </is>
      </c>
      <c r="G1193" t="inlineStr">
        <is>
          <t>capacitor, Class2, 0603, declared material engineering reference</t>
        </is>
      </c>
      <c r="I1193" t="inlineStr">
        <is>
          <t>capacitor, for surface-mounting</t>
        </is>
      </c>
    </row>
    <row r="1194">
      <c r="A1194" t="inlineStr">
        <is>
          <t>thick-film resistor, declared-material engineering reference</t>
        </is>
      </c>
      <c r="B1194">
        <v>0.006122448979591837</v>
      </c>
      <c r="C1194" t="inlineStr">
        <is>
          <t>GLO</t>
        </is>
      </c>
      <c r="D1194" t="inlineStr">
        <is>
          <t>kilogram</t>
        </is>
      </c>
      <c r="F1194" t="inlineStr">
        <is>
          <t>technosphere</t>
        </is>
      </c>
      <c r="G1194" t="inlineStr">
        <is>
          <t>thick-film resistor, declared-material engineering reference</t>
        </is>
      </c>
      <c r="I1194" t="inlineStr">
        <is>
          <t>resistor, surface-mounted</t>
        </is>
      </c>
    </row>
    <row r="1195">
      <c r="A1195" t="inlineStr">
        <is>
          <t>market for solder, bar, Sn95.5Ag3.9Cu0.6, for electronics industry</t>
        </is>
      </c>
      <c r="B1195">
        <v>0.010204081632653062</v>
      </c>
      <c r="C1195" t="inlineStr">
        <is>
          <t>GLO</t>
        </is>
      </c>
      <c r="D1195" t="inlineStr">
        <is>
          <t>kilogram</t>
        </is>
      </c>
      <c r="F1195" t="inlineStr">
        <is>
          <t>technosphere</t>
        </is>
      </c>
      <c r="G1195" t="inlineStr">
        <is>
          <t>solder, bar, Sn95.5Ag3.9Cu0.6, for electronics industry</t>
        </is>
      </c>
      <c r="I1195" t="inlineStr">
        <is>
          <t>solder, bar, Sn95.5Ag3.9Cu0.6, for electronics industry</t>
        </is>
      </c>
    </row>
    <row r="1196">
      <c r="A1196" t="inlineStr">
        <is>
          <t>market for printed wiring board, surface mounted, unspecified, Pb free</t>
        </is>
      </c>
      <c r="B1196">
        <v>0.04263626663673462</v>
      </c>
      <c r="C1196" t="inlineStr">
        <is>
          <t>GLO</t>
        </is>
      </c>
      <c r="D1196" t="inlineStr">
        <is>
          <t>kilogram</t>
        </is>
      </c>
      <c r="F1196" t="inlineStr">
        <is>
          <t>technosphere</t>
        </is>
      </c>
      <c r="G1196" t="inlineStr">
        <is>
          <t>printed wiring board, surface mounted, unspecified, Pb free</t>
        </is>
      </c>
      <c r="I1196" t="inlineStr">
        <is>
          <t>printed wiring board, surface mounted, unspecified, Pb free</t>
        </is>
      </c>
    </row>
    <row r="1197">
      <c r="A1197" t="inlineStr">
        <is>
          <t>market group for electricity, medium voltage</t>
        </is>
      </c>
      <c r="B1197">
        <v>4.081632653061225</v>
      </c>
      <c r="C1197" t="inlineStr">
        <is>
          <t>GLO</t>
        </is>
      </c>
      <c r="D1197" t="inlineStr">
        <is>
          <t>kilowatt hour</t>
        </is>
      </c>
      <c r="F1197" t="inlineStr">
        <is>
          <t>technosphere</t>
        </is>
      </c>
      <c r="G1197" t="inlineStr">
        <is>
          <t>electricity, medium voltage</t>
        </is>
      </c>
      <c r="I1197" t="inlineStr">
        <is>
          <t>electricity, medium voltage</t>
        </is>
      </c>
    </row>
    <row r="1200">
      <c r="A1200" t="inlineStr">
        <is>
          <t>Activity</t>
        </is>
      </c>
      <c r="B1200" t="inlineStr">
        <is>
          <t>battery module control board, engineering material reference</t>
        </is>
      </c>
    </row>
    <row r="1201">
      <c r="A1201" t="inlineStr">
        <is>
          <t>location</t>
        </is>
      </c>
      <c r="B1201" t="inlineStr">
        <is>
          <t>GLO</t>
        </is>
      </c>
    </row>
    <row r="1202">
      <c r="A1202" t="inlineStr">
        <is>
          <t>production amount</t>
        </is>
      </c>
      <c r="B1202">
        <v>1</v>
      </c>
    </row>
    <row r="1203">
      <c r="A1203" t="inlineStr">
        <is>
          <t>reference product</t>
        </is>
      </c>
      <c r="B1203" t="inlineStr">
        <is>
          <t>battery module control board, engineering material reference</t>
        </is>
      </c>
    </row>
    <row r="1204">
      <c r="A1204" t="inlineStr">
        <is>
          <t>unit</t>
        </is>
      </c>
      <c r="B1204" t="inlineStr">
        <is>
          <t>kilogram</t>
        </is>
      </c>
    </row>
    <row r="1205">
      <c r="A1205" t="inlineStr">
        <is>
          <t>source</t>
        </is>
      </c>
      <c r="B1205" t="inlineStr">
        <is>
          <t>TI TIDA020076 public BOM https://www.ti.com/lit/pdf/SLURB87; TI BQ79616PAPRQ1 material declaration https://www.ti.com/quality-reliability-packaging-download/report?opn=BQ79616PAPRQ1; TI CC2662 BCU guide https://www.ti.com/lit/pdf/SWRU641.</t>
        </is>
      </c>
    </row>
    <row r="1206">
      <c r="A1206" t="inlineStr">
        <is>
          <t>comment</t>
        </is>
      </c>
      <c r="B1206" t="inlineStr">
        <is>
          <t>APPROVED PACKAGE-SPECIFIC CONTROL SEMICONDUCTORS, issue57, 2026-10-18. TI manufacturer material-content reports https://www.ti.com/quality-reliability-packaging-download/de-de/report?opn=LM5168FQDDARQ1 ; ?opn=TXU0204QPWRQ1 ; ?opn=CC2662R1FTWRGZRQ1 , accessed2026-10-18; TI TIDA020076 fitted BOM and CC2662 WBMS controller guide. Use one explicitly selected first returned material declaration per part, never sum alternative assembly-site tables. LM5168 FlyBuck regulator,TXU0204 logic translator andCC2662 WBMS MCU have distinct die,frame,bonds,mold and plating. Sum constituent rows excluding subtotals to recover declared package mass. Retain actual Zn alloying,Ag attach and Au/Pd plating; no arbitraryZn-for-Sb conversion or global antimony deletion. Sb is not listed in these selected declarations, which is not proof of analyticalzeroSb in all electronics. Purchase fabricated die wafer area from declared Si mass at explicit300micrometrethickness,2330kg/m3; no second rawSi charge. Silica-sand supply is an explicit fused-silica proxy with missing fusion/purity energy. Fe uses lowalloy steel proxy, resin uses epoxy/phenolic analogues, elementalP/chlorine feeds are nominal material proxies. Proprietary composition remains unresolved. Package assembly1kWh/kg and100%final retention are engineering assumptions,not suppliermeasured yield or complete semiconductor packaging LCI. Module priorlogic allowances1.5g and0.4g are replaced by oneTXU and oneLM5168 package,consistent with fitted reference parts; released mass remains explicitly unresolved board components. Other actualMCU/isolation packages are still coveragegaps,not proven identical. Central5gMCU allowance becomes oneCC2662 (firstselectedsite) and residual mass,not dozens of fictitious MCU packages. BQ79616 monitor package unchanged. Fixed70g/490g board budgets and their downstream endoflife retained. No motherboard/chassis electronics added. Process service, film,purity,actualsite and unknown-component sensitivity remain necessary; no certifiedexactvehicleBOM claim.
PREVIOUS NOTES (retained as history; the correction above takes precedence):
APPROVED RESISTOR FUNCTION/MATERIAL REFERENCE, issue56, 2026-10-18. Bourns CR0603 Material Declaration,2022-08-01, https://www.bourns.com/docs/product-mds/cr0603_mds.pdf?sfvrsn=d79410bf_3 (manufacturer indexed declaration; direct download currently errors). Vishay CRCW...C doc28773 https://www.vishay.com/docs/28773/crcwce3.pdf package masses; TI TIDA020076 SLURB87 fitted BOM. Use declared CR0603 1.9339mg classic thick-film composition as a scoped engineering analogue, not a claim of exact Vishay/Yageo paste chemistry. Ceramic1.6618mg=96%alumina/4%silica; conductor0.0447mg=95%Ag/5%glass; film0.0255mg=25%RuO2,40%Ag,15%Pd,20%lead-containingglass; epoxy0.0335mg; NiCr0.0025mg=80%Ni20%Cr; Ni0.0878mg; Sn0.0781mg. Lead-containingglass uses explicit30wt%PbO/70%silica assumption (test0-60%), never alllead. Ordinary conductor glass is flat-glass proxy. 17zero-ohm jumpers use same body/termination but film replaced byAg, a function-based engineering assumption; test alternative pastes rather than claiming analyticallyzeroPd. Retain legitimatePd/Ag/Ru in111nonzero resistors. Ru supplied by existing ZA ruthenium coproduct inventory, not silently substituted byPd; its historical PGM allocation remains unvalidated. RuO2 uses stoichiometric Ru+oxygen and3MJ/kgheat+0.5kWh/kgprocess proxies. 95%known-material retention with matched mixed manufacturing waste,1kWh/kg+5MJ/kg; supplier/plating/printing losses uncertain. Fittedcounts63x0402,21x0603,4x0805,38x1206,2x2010; zero counts1,12,4,0,0. Manufacturer family masses0.65,2,5.5,10mg for firstfour;2010=25.5mg explicit legacy-family engineering mass reference. No unmounted parts. Component mass difference goes to unresolved residual board proxy, preserving70g complete monitorboard; central3g allowance keeps its mass and uses nonzero-family analogue. TerminationSn and assembly solder remain separate. No native/global supplier edits, new EOL or precious-metal credit. Source specific paste variants, resistance dependence, actual Vishay grades, jumper film and2010 mass are coverage/sensitivity gaps.
PREVIOUS NOTES (retained as history; the correction above takes precedence):
APPROVED CERAMIC-CAPACITOR MATERIAL FAMILIES, issue55, 2026-10-18. 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 Separate BaTiO3 Class2, flexible Ag-epoxy termination and CaZrO3 C0G; do not model all ceramics as barite,allBaTiO3 or universalPd-bearing electrodes. Use declared percase Ni/Cu/Sn/Ag and ceramic masses. Keep miscellaneous composition explicitly unresolved: no inventedzeroPd proof or assignment of all dopants tooneoxide. ActualTi,Murata,TDK part-grade material/yields remain unmeasured; engineer source-family proxies preserving function/classes. Calcine BaCO3+TiO2-&gt;BaTiO3+CO2 and CaCO3+ZrO2-&gt;CaZrO3+CO2 at nominalpurestoichiometry,3MJ/kgheat+0.5kWh/kg milling assumptions. No orebarite substituted for refinedcarbonate. Componentmanufacture95%retention for knownmaterials with equalmixedsolidwaste,1kWh/kg+5MJ/kgprocessreference; actualpowderprocessing,cofiring/plating losses,water and emissions are gaps. Unknownretainedfraction and its manufacturingloss are not fabricated. Provideroutputs1kg finishedpart includingexplicitunknownmass; knownmaterialcoverage reported rather than normalizedto100%. TI70gmonitorboard has134fittedceramicparts:55Class2 0402,27Class2 0603,38Class2 0805,6Class2 1206,1flex0805,7C0G0402.2KEMETC0G parts use1.06mg each,other5use1.2mgfamilyreference. Not-fittedparts excluded. Preserveoriginalboardtotalmass by transferringcomponentmass difference to/from its explicitlyunresolvedresidualcomponentproxy; do not normalize allboardingredients. Centralboard2gcapacitor allowance becomesClass2 0603family analogue,stillunvalidated counts. Othergenericboard/passiveinputs remainuntiltheirscopedreferencesaredefined; native suppliers are untouched. Existingassemblysolder remainsseparate fromcomponentterminationSn. Existingcontrol/endoflife massbudgetsunchanged. Retain genuinelegacyPd recipes for otherconsumers and document unresolvedtrace dopants; no globalmetalCFedit or primary-secondaryclaim. Sensitivities90-100%retention,case-specificdesign,ceramicdopants andprecious-metal terminationchoices.
PREVIOUS NOTES (retained as history; the correction above takes precedence):
APPROVED FUNCTION-SPECIFIC BATTERY CONTROL ELECTRONICS, issue35, 2026-10-18. TI TIDA020076 public BOM https://www.ti.com/lit/pdf/SLURB87; TI BQ79616PAPRQ1 material declaration https://www.ti.com/quality-reliability-packaging-download/report?opn=BQ79616PAPRQ1; TI CC2662 BCU guide https://www.ti.com/lit/pdf/SWRU641. Preserve existing central0.49kg, module1.12kg or1.1kg/16 and residual-pack electronics mass/count budgets. Replace central and identified module-monitor boards, not unidentified residual pack electronics. Engineering monitor70g (1.1kg reference uses68.75g/board through mass scaling),16channelBQ79616one/70g instead of TI18channelBQ79718; this is a declared alternative, not an exact TI board replica or validated channel architecture. Source TIDA fitted passives134ceramiccapacitors(62x0402,27x0603,39x0805,6x1206),128resistors(63x0402,21x0603,4x0805,38x1206,2x2010). Assumed individual masses0402=1mg,0603=3mg,0805=10mg,1206=30mg,2010=60mg,ceramiccapacitor0805=15mg; component-specific manufacturer masses remain unknown. Monitoring bareboard100x100mm,6copperlayers35um,50percent retainedcopper,1.6mm1850kg/m3FR4; centralbareboard0.1m2,4layers samegeometry. Central490g size is legacy mass-constrained engineering reference, not manufacturer dimensions:validate area0.03-0.1m2,layer4-8 andparts independently. FR4 proxy60percentglass/40epoxy plus2g/m2soldermask;ENIGfinish1percentarea,5umNi,0.05umAu.95percentCu/glass/epoxyretention reference with matching waste; etching/process chemistry remains a gap,assume10kWh/m2 bareboard and1kWh/board finalassembly. Monitor20gconnectors,1.5gotherlogic,1gmagnetics,1gdiodes,0.4gRF/crystals,1gsolder;central100gconnectors,5glogic,2gcapacitors,3gresistors,5gsolder. Use existing constituent manufacturing proxies, so logic/resistor/ceramiccap/connector upstreamPd/Ta/Sb/Au remain and are not assumed absent. Remaining component mass explicitly retains a generic populated-board proxy; trace-metal completeness is NOT proven by bulk closure. TI declared366.484301mg BQpackage explicitly purchases Cu/Fe/Ni/Ag/Au/Pd/Pb/Zn/Mn/S/SiO2/epoxy/phenolic/carbonblack and fabricatedsilicondie once. Gold0.034234mg,Pd0.179949mg,Ag4.372259mg perpackage; no generic1percentgoldbondwire. Phosphorus0.048897mg unmodeled due to absent exact feed; mass/trace gap documented. Fabricatedwafer proxy300um2330kg/m3 includes die manufacture, no duplicate elementalSi purchase. No new EOL:existing complete control mass treatment remains once. Component fabrication yields beyond bareboard, automobile qualification, functional reliability andfutureelectronics evolution remain gaps; sensitivity0.5-2xcomponentcounts andunknowncomponentmetalrecipes. This is a transparent engineering reference, not recovered manufacturer complete BOM.</t>
        </is>
      </c>
    </row>
    <row r="1207">
      <c r="A1207" t="inlineStr">
        <is>
          <t>Exchanges</t>
        </is>
      </c>
    </row>
    <row r="1208">
      <c r="A1208" t="inlineStr">
        <is>
          <t>name</t>
        </is>
      </c>
      <c r="B1208" t="inlineStr">
        <is>
          <t>amount</t>
        </is>
      </c>
      <c r="C1208" t="inlineStr">
        <is>
          <t>location</t>
        </is>
      </c>
      <c r="D1208" t="inlineStr">
        <is>
          <t>unit</t>
        </is>
      </c>
      <c r="E1208" t="inlineStr">
        <is>
          <t>categories</t>
        </is>
      </c>
      <c r="F1208" t="inlineStr">
        <is>
          <t>type</t>
        </is>
      </c>
      <c r="G1208" t="inlineStr">
        <is>
          <t>reference product</t>
        </is>
      </c>
      <c r="H1208" t="inlineStr">
        <is>
          <t>comment</t>
        </is>
      </c>
      <c r="I1208" t="inlineStr">
        <is>
          <t>product</t>
        </is>
      </c>
    </row>
    <row r="1209">
      <c r="A1209" t="inlineStr">
        <is>
          <t>battery module control board, engineering material reference</t>
        </is>
      </c>
      <c r="B1209">
        <v>1</v>
      </c>
      <c r="C1209" t="inlineStr">
        <is>
          <t>GLO</t>
        </is>
      </c>
      <c r="D1209" t="inlineStr">
        <is>
          <t>kilogram</t>
        </is>
      </c>
      <c r="F1209" t="inlineStr">
        <is>
          <t>production</t>
        </is>
      </c>
      <c r="G1209" t="inlineStr">
        <is>
          <t>battery module control board, engineering material reference</t>
        </is>
      </c>
      <c r="I1209" t="inlineStr">
        <is>
          <t>battery module control board, engineering material reference</t>
        </is>
      </c>
    </row>
    <row r="1210">
      <c r="A1210" t="inlineStr">
        <is>
          <t>market for glass fibre</t>
        </is>
      </c>
      <c r="B1210">
        <v>0.26706766917293234</v>
      </c>
      <c r="C1210" t="inlineStr">
        <is>
          <t>GLO</t>
        </is>
      </c>
      <c r="D1210" t="inlineStr">
        <is>
          <t>kilogram</t>
        </is>
      </c>
      <c r="F1210" t="inlineStr">
        <is>
          <t>technosphere</t>
        </is>
      </c>
      <c r="G1210" t="inlineStr">
        <is>
          <t>glass fibre</t>
        </is>
      </c>
      <c r="I1210" t="inlineStr">
        <is>
          <t>glass fibre</t>
        </is>
      </c>
    </row>
    <row r="1211">
      <c r="A1211" t="inlineStr">
        <is>
          <t>market for epoxy resin, liquid</t>
        </is>
      </c>
      <c r="B1211">
        <v>0.1783308270676692</v>
      </c>
      <c r="C1211" t="inlineStr">
        <is>
          <t>RER</t>
        </is>
      </c>
      <c r="D1211" t="inlineStr">
        <is>
          <t>kilogram</t>
        </is>
      </c>
      <c r="F1211" t="inlineStr">
        <is>
          <t>technosphere</t>
        </is>
      </c>
      <c r="G1211" t="inlineStr">
        <is>
          <t>epoxy resin, liquid</t>
        </is>
      </c>
      <c r="I1211" t="inlineStr">
        <is>
          <t>epoxy resin, liquid</t>
        </is>
      </c>
    </row>
    <row r="1212">
      <c r="A1212" t="inlineStr">
        <is>
          <t>market for copper, cathode</t>
        </is>
      </c>
      <c r="B1212">
        <v>0.1414736842105263</v>
      </c>
      <c r="C1212" t="inlineStr">
        <is>
          <t>GLO</t>
        </is>
      </c>
      <c r="D1212" t="inlineStr">
        <is>
          <t>kilogram</t>
        </is>
      </c>
      <c r="F1212" t="inlineStr">
        <is>
          <t>technosphere</t>
        </is>
      </c>
      <c r="G1212" t="inlineStr">
        <is>
          <t>copper, cathode</t>
        </is>
      </c>
      <c r="I1212" t="inlineStr">
        <is>
          <t>copper, cathode</t>
        </is>
      </c>
    </row>
    <row r="1213">
      <c r="A1213" t="inlineStr">
        <is>
          <t>market for nickel, class 1</t>
        </is>
      </c>
      <c r="B1213">
        <v>6.357142857142857e-05</v>
      </c>
      <c r="C1213" t="inlineStr">
        <is>
          <t>GLO</t>
        </is>
      </c>
      <c r="D1213" t="inlineStr">
        <is>
          <t>kilogram</t>
        </is>
      </c>
      <c r="F1213" t="inlineStr">
        <is>
          <t>technosphere</t>
        </is>
      </c>
      <c r="G1213" t="inlineStr">
        <is>
          <t>nickel, class 1</t>
        </is>
      </c>
      <c r="I1213" t="inlineStr">
        <is>
          <t>nickel, class 1</t>
        </is>
      </c>
    </row>
    <row r="1214">
      <c r="A1214" t="inlineStr">
        <is>
          <t>market for gold</t>
        </is>
      </c>
      <c r="B1214">
        <v>1.3785714285714285e-06</v>
      </c>
      <c r="C1214" t="inlineStr">
        <is>
          <t>GLO</t>
        </is>
      </c>
      <c r="D1214" t="inlineStr">
        <is>
          <t>kilogram</t>
        </is>
      </c>
      <c r="F1214" t="inlineStr">
        <is>
          <t>technosphere</t>
        </is>
      </c>
      <c r="G1214" t="inlineStr">
        <is>
          <t>gold</t>
        </is>
      </c>
      <c r="I1214" t="inlineStr">
        <is>
          <t>gold</t>
        </is>
      </c>
    </row>
    <row r="1215">
      <c r="A1215" t="inlineStr">
        <is>
          <t>market for waste plastic, mixture</t>
        </is>
      </c>
      <c r="B1215">
        <v>-0.022255639097744338</v>
      </c>
      <c r="C1215" t="inlineStr">
        <is>
          <t>CH</t>
        </is>
      </c>
      <c r="D1215" t="inlineStr">
        <is>
          <t>kilogram</t>
        </is>
      </c>
      <c r="F1215" t="inlineStr">
        <is>
          <t>technosphere</t>
        </is>
      </c>
      <c r="G1215" t="inlineStr">
        <is>
          <t>waste plastic, mixture</t>
        </is>
      </c>
      <c r="I1215" t="inlineStr">
        <is>
          <t>waste plastic, mixture</t>
        </is>
      </c>
    </row>
    <row r="1216">
      <c r="A1216" t="inlineStr">
        <is>
          <t>copper scrap, sorted, pressed, Recycled Content cut-off</t>
        </is>
      </c>
      <c r="B1216">
        <v>-0.0070736842105263075</v>
      </c>
      <c r="C1216" t="inlineStr">
        <is>
          <t>GLO</t>
        </is>
      </c>
      <c r="D1216" t="inlineStr">
        <is>
          <t>kilogram</t>
        </is>
      </c>
      <c r="F1216" t="inlineStr">
        <is>
          <t>technosphere</t>
        </is>
      </c>
      <c r="G1216" t="inlineStr">
        <is>
          <t>copper scrap, sorted, pressed</t>
        </is>
      </c>
      <c r="I1216" t="inlineStr">
        <is>
          <t>copper scrap, sorted, pressed</t>
        </is>
      </c>
    </row>
    <row r="1217">
      <c r="A1217" t="inlineStr">
        <is>
          <t>battery monitor semiconductor, declared copper-wire package reference</t>
        </is>
      </c>
      <c r="B1217">
        <v>14.285714285714285</v>
      </c>
      <c r="C1217" t="inlineStr">
        <is>
          <t>GLO</t>
        </is>
      </c>
      <c r="D1217" t="inlineStr">
        <is>
          <t>unit</t>
        </is>
      </c>
      <c r="F1217" t="inlineStr">
        <is>
          <t>technosphere</t>
        </is>
      </c>
      <c r="G1217" t="inlineStr">
        <is>
          <t>battery monitor semiconductor, declared copper-wire package reference</t>
        </is>
      </c>
      <c r="I1217" t="inlineStr">
        <is>
          <t>battery monitor semiconductor, declared copper-wire package reference</t>
        </is>
      </c>
    </row>
    <row r="1218">
      <c r="A1218" t="inlineStr">
        <is>
          <t>market for electric connector, peripheral type buss</t>
        </is>
      </c>
      <c r="B1218">
        <v>0.2857142857142857</v>
      </c>
      <c r="C1218" t="inlineStr">
        <is>
          <t>GLO</t>
        </is>
      </c>
      <c r="D1218" t="inlineStr">
        <is>
          <t>kilogram</t>
        </is>
      </c>
      <c r="F1218" t="inlineStr">
        <is>
          <t>technosphere</t>
        </is>
      </c>
      <c r="G1218" t="inlineStr">
        <is>
          <t>electric connector, peripheral type buss</t>
        </is>
      </c>
      <c r="I1218" t="inlineStr">
        <is>
          <t>electric connector, peripheral type buss</t>
        </is>
      </c>
    </row>
    <row r="1219">
      <c r="A1219" t="inlineStr">
        <is>
          <t>semiconductor package, TXU0204QPWRQ1, declared material reference</t>
        </is>
      </c>
      <c r="B1219">
        <v>14.285714285714285</v>
      </c>
      <c r="C1219" t="inlineStr">
        <is>
          <t>GLO</t>
        </is>
      </c>
      <c r="D1219" t="inlineStr">
        <is>
          <t>unit</t>
        </is>
      </c>
      <c r="F1219" t="inlineStr">
        <is>
          <t>technosphere</t>
        </is>
      </c>
      <c r="G1219" t="inlineStr">
        <is>
          <t>semiconductor package, TXU0204QPWRQ1, declared material reference</t>
        </is>
      </c>
      <c r="I1219" t="inlineStr">
        <is>
          <t>integrated circuit, logic type</t>
        </is>
      </c>
    </row>
    <row r="1220">
      <c r="A1220" t="inlineStr">
        <is>
          <t>market for inductor, miniature radio frequency chip</t>
        </is>
      </c>
      <c r="B1220">
        <v>0.014285714285714285</v>
      </c>
      <c r="C1220" t="inlineStr">
        <is>
          <t>GLO</t>
        </is>
      </c>
      <c r="D1220" t="inlineStr">
        <is>
          <t>kilogram</t>
        </is>
      </c>
      <c r="F1220" t="inlineStr">
        <is>
          <t>technosphere</t>
        </is>
      </c>
      <c r="G1220" t="inlineStr">
        <is>
          <t>inductor, miniature radio frequency chip</t>
        </is>
      </c>
      <c r="I1220" t="inlineStr">
        <is>
          <t>inductor, miniature radio frequency chip</t>
        </is>
      </c>
    </row>
    <row r="1221">
      <c r="A1221" t="inlineStr">
        <is>
          <t>market for diode, glass-, for surface-mounting</t>
        </is>
      </c>
      <c r="B1221">
        <v>0.014285714285714285</v>
      </c>
      <c r="C1221" t="inlineStr">
        <is>
          <t>GLO</t>
        </is>
      </c>
      <c r="D1221" t="inlineStr">
        <is>
          <t>kilogram</t>
        </is>
      </c>
      <c r="F1221" t="inlineStr">
        <is>
          <t>technosphere</t>
        </is>
      </c>
      <c r="G1221" t="inlineStr">
        <is>
          <t>diode, glass-, for surface-mounting</t>
        </is>
      </c>
      <c r="I1221" t="inlineStr">
        <is>
          <t>diode, glass-, for surface-mounting</t>
        </is>
      </c>
    </row>
    <row r="1222">
      <c r="A1222" t="inlineStr">
        <is>
          <t>semiconductor package, LM5168FQDDARQ1, declared material reference</t>
        </is>
      </c>
      <c r="B1222">
        <v>14.285714285714285</v>
      </c>
      <c r="C1222" t="inlineStr">
        <is>
          <t>GLO</t>
        </is>
      </c>
      <c r="D1222" t="inlineStr">
        <is>
          <t>unit</t>
        </is>
      </c>
      <c r="F1222" t="inlineStr">
        <is>
          <t>technosphere</t>
        </is>
      </c>
      <c r="G1222" t="inlineStr">
        <is>
          <t>semiconductor package, LM5168FQDDARQ1, declared material reference</t>
        </is>
      </c>
      <c r="I1222" t="inlineStr">
        <is>
          <t>integrated circuit, logic type</t>
        </is>
      </c>
    </row>
    <row r="1223">
      <c r="A1223" t="inlineStr">
        <is>
          <t>capacitor set, 134 fitted battery monitor parts, engineering reference</t>
        </is>
      </c>
      <c r="B1223">
        <v>14.285714285714285</v>
      </c>
      <c r="C1223" t="inlineStr">
        <is>
          <t>GLO</t>
        </is>
      </c>
      <c r="D1223" t="inlineStr">
        <is>
          <t>unit</t>
        </is>
      </c>
      <c r="F1223" t="inlineStr">
        <is>
          <t>technosphere</t>
        </is>
      </c>
      <c r="G1223" t="inlineStr">
        <is>
          <t>capacitor set, 134 fitted battery monitor parts, engineering reference</t>
        </is>
      </c>
      <c r="I1223" t="inlineStr">
        <is>
          <t>capacitor, for surface-mounting</t>
        </is>
      </c>
    </row>
    <row r="1224">
      <c r="A1224" t="inlineStr">
        <is>
          <t>resistor set, 128 fitted battery monitor parts, engineering reference</t>
        </is>
      </c>
      <c r="B1224">
        <v>14.285714285714285</v>
      </c>
      <c r="C1224" t="inlineStr">
        <is>
          <t>GLO</t>
        </is>
      </c>
      <c r="D1224" t="inlineStr">
        <is>
          <t>unit</t>
        </is>
      </c>
      <c r="F1224" t="inlineStr">
        <is>
          <t>technosphere</t>
        </is>
      </c>
      <c r="G1224" t="inlineStr">
        <is>
          <t>resistor set, 128 fitted battery monitor parts, engineering reference</t>
        </is>
      </c>
      <c r="I1224" t="inlineStr">
        <is>
          <t>resistor, surface-mounted</t>
        </is>
      </c>
    </row>
    <row r="1225">
      <c r="A1225" t="inlineStr">
        <is>
          <t>market for solder, bar, Sn95.5Ag3.9Cu0.6, for electronics industry</t>
        </is>
      </c>
      <c r="B1225">
        <v>0.014285714285714285</v>
      </c>
      <c r="C1225" t="inlineStr">
        <is>
          <t>GLO</t>
        </is>
      </c>
      <c r="D1225" t="inlineStr">
        <is>
          <t>kilogram</t>
        </is>
      </c>
      <c r="F1225" t="inlineStr">
        <is>
          <t>technosphere</t>
        </is>
      </c>
      <c r="G1225" t="inlineStr">
        <is>
          <t>solder, bar, Sn95.5Ag3.9Cu0.6, for electronics industry</t>
        </is>
      </c>
      <c r="I1225" t="inlineStr">
        <is>
          <t>solder, bar, Sn95.5Ag3.9Cu0.6, for electronics industry</t>
        </is>
      </c>
    </row>
    <row r="1226">
      <c r="A1226" t="inlineStr">
        <is>
          <t>market for printed wiring board, surface mounted, unspecified, Pb free</t>
        </is>
      </c>
      <c r="B1226">
        <v>0.08030247079999991</v>
      </c>
      <c r="C1226" t="inlineStr">
        <is>
          <t>GLO</t>
        </is>
      </c>
      <c r="D1226" t="inlineStr">
        <is>
          <t>kilogram</t>
        </is>
      </c>
      <c r="F1226" t="inlineStr">
        <is>
          <t>technosphere</t>
        </is>
      </c>
      <c r="G1226" t="inlineStr">
        <is>
          <t>printed wiring board, surface mounted, unspecified, Pb free</t>
        </is>
      </c>
      <c r="I1226" t="inlineStr">
        <is>
          <t>printed wiring board, surface mounted, unspecified, Pb free</t>
        </is>
      </c>
    </row>
    <row r="1227">
      <c r="A1227" t="inlineStr">
        <is>
          <t>market group for electricity, medium voltage</t>
        </is>
      </c>
      <c r="B1227">
        <v>15.714285714285714</v>
      </c>
      <c r="C1227" t="inlineStr">
        <is>
          <t>GLO</t>
        </is>
      </c>
      <c r="D1227" t="inlineStr">
        <is>
          <t>kilowatt hour</t>
        </is>
      </c>
      <c r="F1227" t="inlineStr">
        <is>
          <t>technosphere</t>
        </is>
      </c>
      <c r="G1227" t="inlineStr">
        <is>
          <t>electricity, medium voltage</t>
        </is>
      </c>
      <c r="I1227" t="inlineStr">
        <is>
          <t>electricity, medium voltage</t>
        </is>
      </c>
    </row>
    <row r="1230">
      <c r="A1230" t="inlineStr">
        <is>
          <t>Activity</t>
        </is>
      </c>
      <c r="B1230" t="inlineStr">
        <is>
          <t>barium titanate, capacitor ceramic engineering reference</t>
        </is>
      </c>
    </row>
    <row r="1231">
      <c r="A1231" t="inlineStr">
        <is>
          <t>location</t>
        </is>
      </c>
      <c r="B1231" t="inlineStr">
        <is>
          <t>GLO</t>
        </is>
      </c>
    </row>
    <row r="1232">
      <c r="A1232" t="inlineStr">
        <is>
          <t>production amount</t>
        </is>
      </c>
      <c r="B1232">
        <v>1</v>
      </c>
    </row>
    <row r="1233">
      <c r="A1233" t="inlineStr">
        <is>
          <t>reference product</t>
        </is>
      </c>
      <c r="B1233" t="inlineStr">
        <is>
          <t>barium titanate, capacitor ceramic engineering reference</t>
        </is>
      </c>
    </row>
    <row r="1234">
      <c r="A1234" t="inlineStr">
        <is>
          <t>unit</t>
        </is>
      </c>
      <c r="B1234" t="inlineStr">
        <is>
          <t>kilogram</t>
        </is>
      </c>
    </row>
    <row r="1235">
      <c r="A1235" t="inlineStr">
        <is>
          <t>source</t>
        </is>
      </c>
      <c r="B1235" t="inlineStr">
        <is>
          <t>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t>
        </is>
      </c>
    </row>
    <row r="1236">
      <c r="A1236" t="inlineStr">
        <is>
          <t>comment</t>
        </is>
      </c>
      <c r="B1236" t="inlineStr">
        <is>
          <t>APPROVED CERAMIC-CAPACITOR MATERIAL FAMILIES, issue55, 2026-10-18. 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 Separate BaTiO3 Class2, flexible Ag-epoxy termination and CaZrO3 C0G; do not model all ceramics as barite,allBaTiO3 or universalPd-bearing electrodes. Use declared percase Ni/Cu/Sn/Ag and ceramic masses. Keep miscellaneous composition explicitly unresolved: no inventedzeroPd proof or assignment of all dopants tooneoxide. ActualTi,Murata,TDK part-grade material/yields remain unmeasured; engineer source-family proxies preserving function/classes. Calcine BaCO3+TiO2-&gt;BaTiO3+CO2 and CaCO3+ZrO2-&gt;CaZrO3+CO2 at nominalpurestoichiometry,3MJ/kgheat+0.5kWh/kg milling assumptions. No orebarite substituted for refinedcarbonate. Componentmanufacture95%retention for knownmaterials with equalmixedsolidwaste,1kWh/kg+5MJ/kgprocessreference; actualpowderprocessing,cofiring/plating losses,water and emissions are gaps. Unknownretainedfraction and its manufacturingloss are not fabricated. Provideroutputs1kg finishedpart includingexplicitunknownmass; knownmaterialcoverage reported rather than normalizedto100%. TI70gmonitorboard has134fittedceramicparts:55Class2 0402,27Class2 0603,38Class2 0805,6Class2 1206,1flex0805,7C0G0402.2KEMETC0G parts use1.06mg each,other5use1.2mgfamilyreference. Not-fittedparts excluded. Preserveoriginalboardtotalmass by transferringcomponentmass difference to/from its explicitlyunresolvedresidualcomponentproxy; do not normalize allboardingredients. Centralboard2gcapacitor allowance becomesClass2 0603family analogue,stillunvalidated counts. Othergenericboard/passiveinputs remainuntiltheirscopedreferencesaredefined; native suppliers are untouched. Existingassemblysolder remainsseparate fromcomponentterminationSn. Existingcontrol/endoflife massbudgetsunchanged. Retain genuinelegacyPd recipes for otherconsumers and document unresolvedtrace dopants; no globalmetalCFedit or primary-secondaryclaim. Sensitivities90-100%retention,case-specificdesign,ceramicdopants andprecious-metal terminationchoices.</t>
        </is>
      </c>
    </row>
    <row r="1237">
      <c r="A1237" t="inlineStr">
        <is>
          <t>Exchanges</t>
        </is>
      </c>
    </row>
    <row r="1238">
      <c r="A1238" t="inlineStr">
        <is>
          <t>name</t>
        </is>
      </c>
      <c r="B1238" t="inlineStr">
        <is>
          <t>amount</t>
        </is>
      </c>
      <c r="C1238" t="inlineStr">
        <is>
          <t>location</t>
        </is>
      </c>
      <c r="D1238" t="inlineStr">
        <is>
          <t>unit</t>
        </is>
      </c>
      <c r="E1238" t="inlineStr">
        <is>
          <t>categories</t>
        </is>
      </c>
      <c r="F1238" t="inlineStr">
        <is>
          <t>type</t>
        </is>
      </c>
      <c r="G1238" t="inlineStr">
        <is>
          <t>reference product</t>
        </is>
      </c>
      <c r="H1238" t="inlineStr">
        <is>
          <t>comment</t>
        </is>
      </c>
      <c r="I1238" t="inlineStr">
        <is>
          <t>product</t>
        </is>
      </c>
    </row>
    <row r="1239">
      <c r="A1239" t="inlineStr">
        <is>
          <t>barium titanate, capacitor ceramic engineering reference</t>
        </is>
      </c>
      <c r="B1239">
        <v>1</v>
      </c>
      <c r="C1239" t="inlineStr">
        <is>
          <t>GLO</t>
        </is>
      </c>
      <c r="D1239" t="inlineStr">
        <is>
          <t>kilogram</t>
        </is>
      </c>
      <c r="F1239" t="inlineStr">
        <is>
          <t>production</t>
        </is>
      </c>
      <c r="G1239" t="inlineStr">
        <is>
          <t>barium titanate, capacitor ceramic engineering reference</t>
        </is>
      </c>
      <c r="I1239" t="inlineStr">
        <is>
          <t>barium titanate, capacitor ceramic engineering reference</t>
        </is>
      </c>
    </row>
    <row r="1240">
      <c r="A1240" t="inlineStr">
        <is>
          <t>market for barium carbonate</t>
        </is>
      </c>
      <c r="B1240">
        <v>0.8462376335278806</v>
      </c>
      <c r="C1240" t="inlineStr">
        <is>
          <t>GLO</t>
        </is>
      </c>
      <c r="D1240" t="inlineStr">
        <is>
          <t>kilogram</t>
        </is>
      </c>
      <c r="F1240" t="inlineStr">
        <is>
          <t>technosphere</t>
        </is>
      </c>
      <c r="G1240" t="inlineStr">
        <is>
          <t>barium carbonate</t>
        </is>
      </c>
      <c r="I1240" t="inlineStr">
        <is>
          <t>barium carbonate</t>
        </is>
      </c>
    </row>
    <row r="1241">
      <c r="A1241" t="inlineStr">
        <is>
          <t>market for titanium dioxide</t>
        </is>
      </c>
      <c r="B1241">
        <v>0.3424874887967374</v>
      </c>
      <c r="C1241" t="inlineStr">
        <is>
          <t>RER</t>
        </is>
      </c>
      <c r="D1241" t="inlineStr">
        <is>
          <t>kilogram</t>
        </is>
      </c>
      <c r="F1241" t="inlineStr">
        <is>
          <t>technosphere</t>
        </is>
      </c>
      <c r="G1241" t="inlineStr">
        <is>
          <t>titanium dioxide</t>
        </is>
      </c>
      <c r="I1241" t="inlineStr">
        <is>
          <t>titanium dioxide</t>
        </is>
      </c>
    </row>
    <row r="1242">
      <c r="A1242" t="inlineStr">
        <is>
          <t>market for heat, district or industrial, natural gas</t>
        </is>
      </c>
      <c r="B1242">
        <v>3</v>
      </c>
      <c r="C1242" t="inlineStr">
        <is>
          <t>RoW</t>
        </is>
      </c>
      <c r="D1242" t="inlineStr">
        <is>
          <t>megajoule</t>
        </is>
      </c>
      <c r="F1242" t="inlineStr">
        <is>
          <t>technosphere</t>
        </is>
      </c>
      <c r="G1242" t="inlineStr">
        <is>
          <t>heat, district or industrial, natural gas</t>
        </is>
      </c>
      <c r="I1242" t="inlineStr">
        <is>
          <t>heat, district or industrial, natural gas</t>
        </is>
      </c>
    </row>
    <row r="1243">
      <c r="A1243" t="inlineStr">
        <is>
          <t>market group for electricity, medium voltage</t>
        </is>
      </c>
      <c r="B1243">
        <v>0.5</v>
      </c>
      <c r="C1243" t="inlineStr">
        <is>
          <t>GLO</t>
        </is>
      </c>
      <c r="D1243" t="inlineStr">
        <is>
          <t>kilowatt hour</t>
        </is>
      </c>
      <c r="F1243" t="inlineStr">
        <is>
          <t>technosphere</t>
        </is>
      </c>
      <c r="G1243" t="inlineStr">
        <is>
          <t>electricity, medium voltage</t>
        </is>
      </c>
      <c r="I1243" t="inlineStr">
        <is>
          <t>electricity, medium voltage</t>
        </is>
      </c>
    </row>
    <row r="1244">
      <c r="A1244" t="inlineStr">
        <is>
          <t>Carbon dioxide, fossil</t>
        </is>
      </c>
      <c r="B1244">
        <v>0.18872512232461802</v>
      </c>
      <c r="D1244" t="inlineStr">
        <is>
          <t>kilogram</t>
        </is>
      </c>
      <c r="E1244" t="inlineStr">
        <is>
          <t>air::non-urban air or from high stacks</t>
        </is>
      </c>
      <c r="F1244" t="inlineStr">
        <is>
          <t>biosphere</t>
        </is>
      </c>
      <c r="H1244" t="inlineStr">
        <is>
          <t/>
        </is>
      </c>
    </row>
    <row r="1247">
      <c r="A1247" t="inlineStr">
        <is>
          <t>Activity</t>
        </is>
      </c>
      <c r="B1247" t="inlineStr">
        <is>
          <t>calcium zirconate, capacitor ceramic engineering reference</t>
        </is>
      </c>
    </row>
    <row r="1248">
      <c r="A1248" t="inlineStr">
        <is>
          <t>location</t>
        </is>
      </c>
      <c r="B1248" t="inlineStr">
        <is>
          <t>GLO</t>
        </is>
      </c>
    </row>
    <row r="1249">
      <c r="A1249" t="inlineStr">
        <is>
          <t>production amount</t>
        </is>
      </c>
      <c r="B1249">
        <v>1</v>
      </c>
    </row>
    <row r="1250">
      <c r="A1250" t="inlineStr">
        <is>
          <t>reference product</t>
        </is>
      </c>
      <c r="B1250" t="inlineStr">
        <is>
          <t>calcium zirconate, capacitor ceramic engineering reference</t>
        </is>
      </c>
    </row>
    <row r="1251">
      <c r="A1251" t="inlineStr">
        <is>
          <t>unit</t>
        </is>
      </c>
      <c r="B1251" t="inlineStr">
        <is>
          <t>kilogram</t>
        </is>
      </c>
    </row>
    <row r="1252">
      <c r="A1252" t="inlineStr">
        <is>
          <t>source</t>
        </is>
      </c>
      <c r="B1252" t="inlineStr">
        <is>
          <t>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t>
        </is>
      </c>
    </row>
    <row r="1253">
      <c r="A1253" t="inlineStr">
        <is>
          <t>comment</t>
        </is>
      </c>
      <c r="B1253" t="inlineStr">
        <is>
          <t>APPROVED CERAMIC-CAPACITOR MATERIAL FAMILIES, issue55, 2026-10-18. 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 Separate BaTiO3 Class2, flexible Ag-epoxy termination and CaZrO3 C0G; do not model all ceramics as barite,allBaTiO3 or universalPd-bearing electrodes. Use declared percase Ni/Cu/Sn/Ag and ceramic masses. Keep miscellaneous composition explicitly unresolved: no inventedzeroPd proof or assignment of all dopants tooneoxide. ActualTi,Murata,TDK part-grade material/yields remain unmeasured; engineer source-family proxies preserving function/classes. Calcine BaCO3+TiO2-&gt;BaTiO3+CO2 and CaCO3+ZrO2-&gt;CaZrO3+CO2 at nominalpurestoichiometry,3MJ/kgheat+0.5kWh/kg milling assumptions. No orebarite substituted for refinedcarbonate. Componentmanufacture95%retention for knownmaterials with equalmixedsolidwaste,1kWh/kg+5MJ/kgprocessreference; actualpowderprocessing,cofiring/plating losses,water and emissions are gaps. Unknownretainedfraction and its manufacturingloss are not fabricated. Provideroutputs1kg finishedpart includingexplicitunknownmass; knownmaterialcoverage reported rather than normalizedto100%. TI70gmonitorboard has134fittedceramicparts:55Class2 0402,27Class2 0603,38Class2 0805,6Class2 1206,1flex0805,7C0G0402.2KEMETC0G parts use1.06mg each,other5use1.2mgfamilyreference. Not-fittedparts excluded. Preserveoriginalboardtotalmass by transferringcomponentmass difference to/from its explicitlyunresolvedresidualcomponentproxy; do not normalize allboardingredients. Centralboard2gcapacitor allowance becomesClass2 0603family analogue,stillunvalidated counts. Othergenericboard/passiveinputs remainuntiltheirscopedreferencesaredefined; native suppliers are untouched. Existingassemblysolder remainsseparate fromcomponentterminationSn. Existingcontrol/endoflife massbudgetsunchanged. Retain genuinelegacyPd recipes for otherconsumers and document unresolvedtrace dopants; no globalmetalCFedit or primary-secondaryclaim. Sensitivities90-100%retention,case-specificdesign,ceramicdopants andprecious-metal terminationchoices.</t>
        </is>
      </c>
    </row>
    <row r="1254">
      <c r="A1254" t="inlineStr">
        <is>
          <t>Exchanges</t>
        </is>
      </c>
    </row>
    <row r="1255">
      <c r="A1255" t="inlineStr">
        <is>
          <t>name</t>
        </is>
      </c>
      <c r="B1255" t="inlineStr">
        <is>
          <t>amount</t>
        </is>
      </c>
      <c r="C1255" t="inlineStr">
        <is>
          <t>location</t>
        </is>
      </c>
      <c r="D1255" t="inlineStr">
        <is>
          <t>unit</t>
        </is>
      </c>
      <c r="E1255" t="inlineStr">
        <is>
          <t>categories</t>
        </is>
      </c>
      <c r="F1255" t="inlineStr">
        <is>
          <t>type</t>
        </is>
      </c>
      <c r="G1255" t="inlineStr">
        <is>
          <t>reference product</t>
        </is>
      </c>
      <c r="H1255" t="inlineStr">
        <is>
          <t>comment</t>
        </is>
      </c>
      <c r="I1255" t="inlineStr">
        <is>
          <t>product</t>
        </is>
      </c>
    </row>
    <row r="1256">
      <c r="A1256" t="inlineStr">
        <is>
          <t>calcium zirconate, capacitor ceramic engineering reference</t>
        </is>
      </c>
      <c r="B1256">
        <v>1</v>
      </c>
      <c r="C1256" t="inlineStr">
        <is>
          <t>GLO</t>
        </is>
      </c>
      <c r="D1256" t="inlineStr">
        <is>
          <t>kilogram</t>
        </is>
      </c>
      <c r="F1256" t="inlineStr">
        <is>
          <t>production</t>
        </is>
      </c>
      <c r="G1256" t="inlineStr">
        <is>
          <t>calcium zirconate, capacitor ceramic engineering reference</t>
        </is>
      </c>
      <c r="I1256" t="inlineStr">
        <is>
          <t>calcium zirconate, capacitor ceramic engineering reference</t>
        </is>
      </c>
    </row>
    <row r="1257">
      <c r="A1257" t="inlineStr">
        <is>
          <t>market for calcium carbonate, precipitated</t>
        </is>
      </c>
      <c r="B1257">
        <v>0.5582072404196342</v>
      </c>
      <c r="C1257" t="inlineStr">
        <is>
          <t>RER</t>
        </is>
      </c>
      <c r="D1257" t="inlineStr">
        <is>
          <t>kilogram</t>
        </is>
      </c>
      <c r="F1257" t="inlineStr">
        <is>
          <t>technosphere</t>
        </is>
      </c>
      <c r="G1257" t="inlineStr">
        <is>
          <t>calcium carbonate, precipitated</t>
        </is>
      </c>
      <c r="I1257" t="inlineStr">
        <is>
          <t>calcium carbonate, precipitated</t>
        </is>
      </c>
    </row>
    <row r="1258">
      <c r="A1258" t="inlineStr">
        <is>
          <t>market for zirconium oxide</t>
        </is>
      </c>
      <c r="B1258">
        <v>0.6872430967266967</v>
      </c>
      <c r="C1258" t="inlineStr">
        <is>
          <t>GLO</t>
        </is>
      </c>
      <c r="D1258" t="inlineStr">
        <is>
          <t>kilogram</t>
        </is>
      </c>
      <c r="F1258" t="inlineStr">
        <is>
          <t>technosphere</t>
        </is>
      </c>
      <c r="G1258" t="inlineStr">
        <is>
          <t>zirconium oxide</t>
        </is>
      </c>
      <c r="I1258" t="inlineStr">
        <is>
          <t>zirconium oxide</t>
        </is>
      </c>
    </row>
    <row r="1259">
      <c r="A1259" t="inlineStr">
        <is>
          <t>market for heat, district or industrial, natural gas</t>
        </is>
      </c>
      <c r="B1259">
        <v>3</v>
      </c>
      <c r="C1259" t="inlineStr">
        <is>
          <t>RoW</t>
        </is>
      </c>
      <c r="D1259" t="inlineStr">
        <is>
          <t>megajoule</t>
        </is>
      </c>
      <c r="F1259" t="inlineStr">
        <is>
          <t>technosphere</t>
        </is>
      </c>
      <c r="G1259" t="inlineStr">
        <is>
          <t>heat, district or industrial, natural gas</t>
        </is>
      </c>
      <c r="I1259" t="inlineStr">
        <is>
          <t>heat, district or industrial, natural gas</t>
        </is>
      </c>
    </row>
    <row r="1260">
      <c r="A1260" t="inlineStr">
        <is>
          <t>market group for electricity, medium voltage</t>
        </is>
      </c>
      <c r="B1260">
        <v>0.5</v>
      </c>
      <c r="C1260" t="inlineStr">
        <is>
          <t>GLO</t>
        </is>
      </c>
      <c r="D1260" t="inlineStr">
        <is>
          <t>kilowatt hour</t>
        </is>
      </c>
      <c r="F1260" t="inlineStr">
        <is>
          <t>technosphere</t>
        </is>
      </c>
      <c r="G1260" t="inlineStr">
        <is>
          <t>electricity, medium voltage</t>
        </is>
      </c>
      <c r="I1260" t="inlineStr">
        <is>
          <t>electricity, medium voltage</t>
        </is>
      </c>
    </row>
    <row r="1261">
      <c r="A1261" t="inlineStr">
        <is>
          <t>Carbon dioxide, fossil</t>
        </is>
      </c>
      <c r="B1261">
        <v>0.245450337146331</v>
      </c>
      <c r="D1261" t="inlineStr">
        <is>
          <t>kilogram</t>
        </is>
      </c>
      <c r="E1261" t="inlineStr">
        <is>
          <t>air::non-urban air or from high stacks</t>
        </is>
      </c>
      <c r="F1261" t="inlineStr">
        <is>
          <t>biosphere</t>
        </is>
      </c>
      <c r="H1261" t="inlineStr">
        <is>
          <t/>
        </is>
      </c>
    </row>
    <row r="1264">
      <c r="A1264" t="inlineStr">
        <is>
          <t>Activity</t>
        </is>
      </c>
      <c r="B1264" t="inlineStr">
        <is>
          <t>capacitor, Class2, 0402, declared material engineering reference</t>
        </is>
      </c>
    </row>
    <row r="1265">
      <c r="A1265" t="inlineStr">
        <is>
          <t>location</t>
        </is>
      </c>
      <c r="B1265" t="inlineStr">
        <is>
          <t>GLO</t>
        </is>
      </c>
    </row>
    <row r="1266">
      <c r="A1266" t="inlineStr">
        <is>
          <t>production amount</t>
        </is>
      </c>
      <c r="B1266">
        <v>1</v>
      </c>
    </row>
    <row r="1267">
      <c r="A1267" t="inlineStr">
        <is>
          <t>reference product</t>
        </is>
      </c>
      <c r="B1267" t="inlineStr">
        <is>
          <t>capacitor, Class2, 0402, declared material engineering reference</t>
        </is>
      </c>
    </row>
    <row r="1268">
      <c r="A1268" t="inlineStr">
        <is>
          <t>unit</t>
        </is>
      </c>
      <c r="B1268" t="inlineStr">
        <is>
          <t>kilogram</t>
        </is>
      </c>
    </row>
    <row r="1269">
      <c r="A1269" t="inlineStr">
        <is>
          <t>source</t>
        </is>
      </c>
      <c r="B1269" t="inlineStr">
        <is>
          <t>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t>
        </is>
      </c>
    </row>
    <row r="1270">
      <c r="A1270" t="inlineStr">
        <is>
          <t>comment</t>
        </is>
      </c>
      <c r="B1270" t="inlineStr">
        <is>
          <t>APPROVED CERAMIC-CAPACITOR MATERIAL FAMILIES, issue55, 2026-10-18. 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 Separate BaTiO3 Class2, flexible Ag-epoxy termination and CaZrO3 C0G; do not model all ceramics as barite,allBaTiO3 or universalPd-bearing electrodes. Use declared percase Ni/Cu/Sn/Ag and ceramic masses. Keep miscellaneous composition explicitly unresolved: no inventedzeroPd proof or assignment of all dopants tooneoxide. ActualTi,Murata,TDK part-grade material/yields remain unmeasured; engineer source-family proxies preserving function/classes. Calcine BaCO3+TiO2-&gt;BaTiO3+CO2 and CaCO3+ZrO2-&gt;CaZrO3+CO2 at nominalpurestoichiometry,3MJ/kgheat+0.5kWh/kg milling assumptions. No orebarite substituted for refinedcarbonate. Componentmanufacture95%retention for knownmaterials with equalmixedsolidwaste,1kWh/kg+5MJ/kgprocessreference; actualpowderprocessing,cofiring/plating losses,water and emissions are gaps. Unknownretainedfraction and its manufacturingloss are not fabricated. Provideroutputs1kg finishedpart includingexplicitunknownmass; knownmaterialcoverage reported rather than normalizedto100%. TI70gmonitorboard has134fittedceramicparts:55Class2 0402,27Class2 0603,38Class2 0805,6Class2 1206,1flex0805,7C0G0402.2KEMETC0G parts use1.06mg each,other5use1.2mgfamilyreference. Not-fittedparts excluded. Preserveoriginalboardtotalmass by transferringcomponentmass difference to/from its explicitlyunresolvedresidualcomponentproxy; do not normalize allboardingredients. Centralboard2gcapacitor allowance becomesClass2 0603family analogue,stillunvalidated counts. Othergenericboard/passiveinputs remainuntiltheirscopedreferencesaredefined; native suppliers are untouched. Existingassemblysolder remainsseparate fromcomponentterminationSn. Existingcontrol/endoflife massbudgetsunchanged. Retain genuinelegacyPd recipes for otherconsumers and document unresolvedtrace dopants; no globalmetalCFedit or primary-secondaryclaim. Sensitivities90-100%retention,case-specificdesign,ceramicdopants andprecious-metal terminationchoices.</t>
        </is>
      </c>
    </row>
    <row r="1271">
      <c r="A1271" t="inlineStr">
        <is>
          <t>Exchanges</t>
        </is>
      </c>
    </row>
    <row r="1272">
      <c r="A1272" t="inlineStr">
        <is>
          <t>name</t>
        </is>
      </c>
      <c r="B1272" t="inlineStr">
        <is>
          <t>amount</t>
        </is>
      </c>
      <c r="C1272" t="inlineStr">
        <is>
          <t>location</t>
        </is>
      </c>
      <c r="D1272" t="inlineStr">
        <is>
          <t>unit</t>
        </is>
      </c>
      <c r="E1272" t="inlineStr">
        <is>
          <t>categories</t>
        </is>
      </c>
      <c r="F1272" t="inlineStr">
        <is>
          <t>type</t>
        </is>
      </c>
      <c r="G1272" t="inlineStr">
        <is>
          <t>reference product</t>
        </is>
      </c>
      <c r="H1272" t="inlineStr">
        <is>
          <t>comment</t>
        </is>
      </c>
      <c r="I1272" t="inlineStr">
        <is>
          <t>product</t>
        </is>
      </c>
    </row>
    <row r="1273">
      <c r="A1273" t="inlineStr">
        <is>
          <t>capacitor, Class2, 0402, declared material engineering reference</t>
        </is>
      </c>
      <c r="B1273">
        <v>1</v>
      </c>
      <c r="C1273" t="inlineStr">
        <is>
          <t>GLO</t>
        </is>
      </c>
      <c r="D1273" t="inlineStr">
        <is>
          <t>kilogram</t>
        </is>
      </c>
      <c r="F1273" t="inlineStr">
        <is>
          <t>production</t>
        </is>
      </c>
      <c r="G1273" t="inlineStr">
        <is>
          <t>capacitor, Class2, 0402, declared material engineering reference</t>
        </is>
      </c>
      <c r="I1273" t="inlineStr">
        <is>
          <t>capacitor, Class2, 0402, declared material engineering reference</t>
        </is>
      </c>
    </row>
    <row r="1274">
      <c r="A1274" t="inlineStr">
        <is>
          <t>barium titanate, capacitor ceramic engineering reference</t>
        </is>
      </c>
      <c r="B1274">
        <v>0.8673091178650854</v>
      </c>
      <c r="C1274" t="inlineStr">
        <is>
          <t>GLO</t>
        </is>
      </c>
      <c r="D1274" t="inlineStr">
        <is>
          <t>kilogram</t>
        </is>
      </c>
      <c r="F1274" t="inlineStr">
        <is>
          <t>technosphere</t>
        </is>
      </c>
      <c r="G1274" t="inlineStr">
        <is>
          <t>barium titanate, capacitor ceramic engineering reference</t>
        </is>
      </c>
      <c r="I1274" t="inlineStr">
        <is>
          <t>barium titanate, capacitor ceramic engineering reference</t>
        </is>
      </c>
    </row>
    <row r="1275">
      <c r="A1275" t="inlineStr">
        <is>
          <t>market for nickel, class 1</t>
        </is>
      </c>
      <c r="B1275">
        <v>0.07412898443291327</v>
      </c>
      <c r="C1275" t="inlineStr">
        <is>
          <t>GLO</t>
        </is>
      </c>
      <c r="D1275" t="inlineStr">
        <is>
          <t>kilogram</t>
        </is>
      </c>
      <c r="F1275" t="inlineStr">
        <is>
          <t>technosphere</t>
        </is>
      </c>
      <c r="G1275" t="inlineStr">
        <is>
          <t>nickel, class 1</t>
        </is>
      </c>
      <c r="I1275" t="inlineStr">
        <is>
          <t>nickel, class 1</t>
        </is>
      </c>
    </row>
    <row r="1276">
      <c r="A1276" t="inlineStr">
        <is>
          <t>market for copper, cathode</t>
        </is>
      </c>
      <c r="B1276">
        <v>0.04447739065974796</v>
      </c>
      <c r="C1276" t="inlineStr">
        <is>
          <t>GLO</t>
        </is>
      </c>
      <c r="D1276" t="inlineStr">
        <is>
          <t>kilogram</t>
        </is>
      </c>
      <c r="F1276" t="inlineStr">
        <is>
          <t>technosphere</t>
        </is>
      </c>
      <c r="G1276" t="inlineStr">
        <is>
          <t>copper, cathode</t>
        </is>
      </c>
      <c r="I1276" t="inlineStr">
        <is>
          <t>copper, cathode</t>
        </is>
      </c>
    </row>
    <row r="1277">
      <c r="A1277" t="inlineStr">
        <is>
          <t>market for tin</t>
        </is>
      </c>
      <c r="B1277">
        <v>0.05189028910303929</v>
      </c>
      <c r="C1277" t="inlineStr">
        <is>
          <t>GLO</t>
        </is>
      </c>
      <c r="D1277" t="inlineStr">
        <is>
          <t>kilogram</t>
        </is>
      </c>
      <c r="F1277" t="inlineStr">
        <is>
          <t>technosphere</t>
        </is>
      </c>
      <c r="G1277" t="inlineStr">
        <is>
          <t>tin</t>
        </is>
      </c>
      <c r="I1277" t="inlineStr">
        <is>
          <t>tin</t>
        </is>
      </c>
    </row>
    <row r="1278">
      <c r="A1278" t="inlineStr">
        <is>
          <t>market for hazardous waste, for incineration</t>
        </is>
      </c>
      <c r="B1278">
        <v>-0.051890289103039236</v>
      </c>
      <c r="C1278" t="inlineStr">
        <is>
          <t>RoW</t>
        </is>
      </c>
      <c r="D1278" t="inlineStr">
        <is>
          <t>kilogram</t>
        </is>
      </c>
      <c r="F1278" t="inlineStr">
        <is>
          <t>technosphere</t>
        </is>
      </c>
      <c r="G1278" t="inlineStr">
        <is>
          <t>hazardous waste, for incineration</t>
        </is>
      </c>
      <c r="I1278" t="inlineStr">
        <is>
          <t>hazardous waste, for incineration</t>
        </is>
      </c>
    </row>
    <row r="1279">
      <c r="A1279" t="inlineStr">
        <is>
          <t>market group for electricity, medium voltage</t>
        </is>
      </c>
      <c r="B1279">
        <v>1</v>
      </c>
      <c r="C1279" t="inlineStr">
        <is>
          <t>GLO</t>
        </is>
      </c>
      <c r="D1279" t="inlineStr">
        <is>
          <t>kilowatt hour</t>
        </is>
      </c>
      <c r="F1279" t="inlineStr">
        <is>
          <t>technosphere</t>
        </is>
      </c>
      <c r="G1279" t="inlineStr">
        <is>
          <t>electricity, medium voltage</t>
        </is>
      </c>
      <c r="I1279" t="inlineStr">
        <is>
          <t>electricity, medium voltage</t>
        </is>
      </c>
    </row>
    <row r="1280">
      <c r="A1280" t="inlineStr">
        <is>
          <t>market for heat, district or industrial, natural gas</t>
        </is>
      </c>
      <c r="B1280">
        <v>5</v>
      </c>
      <c r="C1280" t="inlineStr">
        <is>
          <t>RoW</t>
        </is>
      </c>
      <c r="D1280" t="inlineStr">
        <is>
          <t>megajoule</t>
        </is>
      </c>
      <c r="F1280" t="inlineStr">
        <is>
          <t>technosphere</t>
        </is>
      </c>
      <c r="G1280" t="inlineStr">
        <is>
          <t>heat, district or industrial, natural gas</t>
        </is>
      </c>
      <c r="I1280" t="inlineStr">
        <is>
          <t>heat, district or industrial, natural gas</t>
        </is>
      </c>
    </row>
    <row r="1283">
      <c r="A1283" t="inlineStr">
        <is>
          <t>Activity</t>
        </is>
      </c>
      <c r="B1283" t="inlineStr">
        <is>
          <t>capacitor, Class2, 0603, declared material engineering reference</t>
        </is>
      </c>
    </row>
    <row r="1284">
      <c r="A1284" t="inlineStr">
        <is>
          <t>location</t>
        </is>
      </c>
      <c r="B1284" t="inlineStr">
        <is>
          <t>GLO</t>
        </is>
      </c>
    </row>
    <row r="1285">
      <c r="A1285" t="inlineStr">
        <is>
          <t>production amount</t>
        </is>
      </c>
      <c r="B1285">
        <v>1</v>
      </c>
    </row>
    <row r="1286">
      <c r="A1286" t="inlineStr">
        <is>
          <t>reference product</t>
        </is>
      </c>
      <c r="B1286" t="inlineStr">
        <is>
          <t>capacitor, Class2, 0603, declared material engineering reference</t>
        </is>
      </c>
    </row>
    <row r="1287">
      <c r="A1287" t="inlineStr">
        <is>
          <t>unit</t>
        </is>
      </c>
      <c r="B1287" t="inlineStr">
        <is>
          <t>kilogram</t>
        </is>
      </c>
    </row>
    <row r="1288">
      <c r="A1288" t="inlineStr">
        <is>
          <t>source</t>
        </is>
      </c>
      <c r="B1288" t="inlineStr">
        <is>
          <t>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t>
        </is>
      </c>
    </row>
    <row r="1289">
      <c r="A1289" t="inlineStr">
        <is>
          <t>comment</t>
        </is>
      </c>
      <c r="B1289" t="inlineStr">
        <is>
          <t>APPROVED CERAMIC-CAPACITOR MATERIAL FAMILIES, issue55, 2026-10-18. 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 Separate BaTiO3 Class2, flexible Ag-epoxy termination and CaZrO3 C0G; do not model all ceramics as barite,allBaTiO3 or universalPd-bearing electrodes. Use declared percase Ni/Cu/Sn/Ag and ceramic masses. Keep miscellaneous composition explicitly unresolved: no inventedzeroPd proof or assignment of all dopants tooneoxide. ActualTi,Murata,TDK part-grade material/yields remain unmeasured; engineer source-family proxies preserving function/classes. Calcine BaCO3+TiO2-&gt;BaTiO3+CO2 and CaCO3+ZrO2-&gt;CaZrO3+CO2 at nominalpurestoichiometry,3MJ/kgheat+0.5kWh/kg milling assumptions. No orebarite substituted for refinedcarbonate. Componentmanufacture95%retention for knownmaterials with equalmixedsolidwaste,1kWh/kg+5MJ/kgprocessreference; actualpowderprocessing,cofiring/plating losses,water and emissions are gaps. Unknownretainedfraction and its manufacturingloss are not fabricated. Provideroutputs1kg finishedpart includingexplicitunknownmass; knownmaterialcoverage reported rather than normalizedto100%. TI70gmonitorboard has134fittedceramicparts:55Class2 0402,27Class2 0603,38Class2 0805,6Class2 1206,1flex0805,7C0G0402.2KEMETC0G parts use1.06mg each,other5use1.2mgfamilyreference. Not-fittedparts excluded. Preserveoriginalboardtotalmass by transferringcomponentmass difference to/from its explicitlyunresolvedresidualcomponentproxy; do not normalize allboardingredients. Centralboard2gcapacitor allowance becomesClass2 0603family analogue,stillunvalidated counts. Othergenericboard/passiveinputs remainuntiltheirscopedreferencesaredefined; native suppliers are untouched. Existingassemblysolder remainsseparate fromcomponentterminationSn. Existingcontrol/endoflife massbudgetsunchanged. Retain genuinelegacyPd recipes for otherconsumers and document unresolvedtrace dopants; no globalmetalCFedit or primary-secondaryclaim. Sensitivities90-100%retention,case-specificdesign,ceramicdopants andprecious-metal terminationchoices.</t>
        </is>
      </c>
    </row>
    <row r="1290">
      <c r="A1290" t="inlineStr">
        <is>
          <t>Exchanges</t>
        </is>
      </c>
    </row>
    <row r="1291">
      <c r="A1291" t="inlineStr">
        <is>
          <t>name</t>
        </is>
      </c>
      <c r="B1291" t="inlineStr">
        <is>
          <t>amount</t>
        </is>
      </c>
      <c r="C1291" t="inlineStr">
        <is>
          <t>location</t>
        </is>
      </c>
      <c r="D1291" t="inlineStr">
        <is>
          <t>unit</t>
        </is>
      </c>
      <c r="E1291" t="inlineStr">
        <is>
          <t>categories</t>
        </is>
      </c>
      <c r="F1291" t="inlineStr">
        <is>
          <t>type</t>
        </is>
      </c>
      <c r="G1291" t="inlineStr">
        <is>
          <t>reference product</t>
        </is>
      </c>
      <c r="H1291" t="inlineStr">
        <is>
          <t>comment</t>
        </is>
      </c>
      <c r="I1291" t="inlineStr">
        <is>
          <t>product</t>
        </is>
      </c>
    </row>
    <row r="1292">
      <c r="A1292" t="inlineStr">
        <is>
          <t>capacitor, Class2, 0603, declared material engineering reference</t>
        </is>
      </c>
      <c r="B1292">
        <v>1</v>
      </c>
      <c r="C1292" t="inlineStr">
        <is>
          <t>GLO</t>
        </is>
      </c>
      <c r="D1292" t="inlineStr">
        <is>
          <t>kilogram</t>
        </is>
      </c>
      <c r="F1292" t="inlineStr">
        <is>
          <t>production</t>
        </is>
      </c>
      <c r="G1292" t="inlineStr">
        <is>
          <t>capacitor, Class2, 0603, declared material engineering reference</t>
        </is>
      </c>
      <c r="I1292" t="inlineStr">
        <is>
          <t>capacitor, Class2, 0603, declared material engineering reference</t>
        </is>
      </c>
    </row>
    <row r="1293">
      <c r="A1293" t="inlineStr">
        <is>
          <t>barium titanate, capacitor ceramic engineering reference</t>
        </is>
      </c>
      <c r="B1293">
        <v>0.7982456140350878</v>
      </c>
      <c r="C1293" t="inlineStr">
        <is>
          <t>GLO</t>
        </is>
      </c>
      <c r="D1293" t="inlineStr">
        <is>
          <t>kilogram</t>
        </is>
      </c>
      <c r="F1293" t="inlineStr">
        <is>
          <t>technosphere</t>
        </is>
      </c>
      <c r="G1293" t="inlineStr">
        <is>
          <t>barium titanate, capacitor ceramic engineering reference</t>
        </is>
      </c>
      <c r="I1293" t="inlineStr">
        <is>
          <t>barium titanate, capacitor ceramic engineering reference</t>
        </is>
      </c>
    </row>
    <row r="1294">
      <c r="A1294" t="inlineStr">
        <is>
          <t>market for nickel, class 1</t>
        </is>
      </c>
      <c r="B1294">
        <v>0.14210526315789473</v>
      </c>
      <c r="C1294" t="inlineStr">
        <is>
          <t>GLO</t>
        </is>
      </c>
      <c r="D1294" t="inlineStr">
        <is>
          <t>kilogram</t>
        </is>
      </c>
      <c r="F1294" t="inlineStr">
        <is>
          <t>technosphere</t>
        </is>
      </c>
      <c r="G1294" t="inlineStr">
        <is>
          <t>nickel, class 1</t>
        </is>
      </c>
      <c r="I1294" t="inlineStr">
        <is>
          <t>nickel, class 1</t>
        </is>
      </c>
    </row>
    <row r="1295">
      <c r="A1295" t="inlineStr">
        <is>
          <t>market for copper, cathode</t>
        </is>
      </c>
      <c r="B1295">
        <v>0.05614035087719299</v>
      </c>
      <c r="C1295" t="inlineStr">
        <is>
          <t>GLO</t>
        </is>
      </c>
      <c r="D1295" t="inlineStr">
        <is>
          <t>kilogram</t>
        </is>
      </c>
      <c r="F1295" t="inlineStr">
        <is>
          <t>technosphere</t>
        </is>
      </c>
      <c r="G1295" t="inlineStr">
        <is>
          <t>copper, cathode</t>
        </is>
      </c>
      <c r="I1295" t="inlineStr">
        <is>
          <t>copper, cathode</t>
        </is>
      </c>
    </row>
    <row r="1296">
      <c r="A1296" t="inlineStr">
        <is>
          <t>market for tin</t>
        </is>
      </c>
      <c r="B1296">
        <v>0.0456140350877193</v>
      </c>
      <c r="C1296" t="inlineStr">
        <is>
          <t>GLO</t>
        </is>
      </c>
      <c r="D1296" t="inlineStr">
        <is>
          <t>kilogram</t>
        </is>
      </c>
      <c r="F1296" t="inlineStr">
        <is>
          <t>technosphere</t>
        </is>
      </c>
      <c r="G1296" t="inlineStr">
        <is>
          <t>tin</t>
        </is>
      </c>
      <c r="I1296" t="inlineStr">
        <is>
          <t>tin</t>
        </is>
      </c>
    </row>
    <row r="1297">
      <c r="A1297" t="inlineStr">
        <is>
          <t>market for hazardous waste, for incineration</t>
        </is>
      </c>
      <c r="B1297">
        <v>-0.052105263157894675</v>
      </c>
      <c r="C1297" t="inlineStr">
        <is>
          <t>RoW</t>
        </is>
      </c>
      <c r="D1297" t="inlineStr">
        <is>
          <t>kilogram</t>
        </is>
      </c>
      <c r="F1297" t="inlineStr">
        <is>
          <t>technosphere</t>
        </is>
      </c>
      <c r="G1297" t="inlineStr">
        <is>
          <t>hazardous waste, for incineration</t>
        </is>
      </c>
      <c r="I1297" t="inlineStr">
        <is>
          <t>hazardous waste, for incineration</t>
        </is>
      </c>
    </row>
    <row r="1298">
      <c r="A1298" t="inlineStr">
        <is>
          <t>market group for electricity, medium voltage</t>
        </is>
      </c>
      <c r="B1298">
        <v>1</v>
      </c>
      <c r="C1298" t="inlineStr">
        <is>
          <t>GLO</t>
        </is>
      </c>
      <c r="D1298" t="inlineStr">
        <is>
          <t>kilowatt hour</t>
        </is>
      </c>
      <c r="F1298" t="inlineStr">
        <is>
          <t>technosphere</t>
        </is>
      </c>
      <c r="G1298" t="inlineStr">
        <is>
          <t>electricity, medium voltage</t>
        </is>
      </c>
      <c r="I1298" t="inlineStr">
        <is>
          <t>electricity, medium voltage</t>
        </is>
      </c>
    </row>
    <row r="1299">
      <c r="A1299" t="inlineStr">
        <is>
          <t>market for heat, district or industrial, natural gas</t>
        </is>
      </c>
      <c r="B1299">
        <v>5</v>
      </c>
      <c r="C1299" t="inlineStr">
        <is>
          <t>RoW</t>
        </is>
      </c>
      <c r="D1299" t="inlineStr">
        <is>
          <t>megajoule</t>
        </is>
      </c>
      <c r="F1299" t="inlineStr">
        <is>
          <t>technosphere</t>
        </is>
      </c>
      <c r="G1299" t="inlineStr">
        <is>
          <t>heat, district or industrial, natural gas</t>
        </is>
      </c>
      <c r="I1299" t="inlineStr">
        <is>
          <t>heat, district or industrial, natural gas</t>
        </is>
      </c>
    </row>
    <row r="1302">
      <c r="A1302" t="inlineStr">
        <is>
          <t>Activity</t>
        </is>
      </c>
      <c r="B1302" t="inlineStr">
        <is>
          <t>capacitor, Class2, 0805, declared material engineering reference</t>
        </is>
      </c>
    </row>
    <row r="1303">
      <c r="A1303" t="inlineStr">
        <is>
          <t>location</t>
        </is>
      </c>
      <c r="B1303" t="inlineStr">
        <is>
          <t>GLO</t>
        </is>
      </c>
    </row>
    <row r="1304">
      <c r="A1304" t="inlineStr">
        <is>
          <t>production amount</t>
        </is>
      </c>
      <c r="B1304">
        <v>1</v>
      </c>
    </row>
    <row r="1305">
      <c r="A1305" t="inlineStr">
        <is>
          <t>reference product</t>
        </is>
      </c>
      <c r="B1305" t="inlineStr">
        <is>
          <t>capacitor, Class2, 0805, declared material engineering reference</t>
        </is>
      </c>
    </row>
    <row r="1306">
      <c r="A1306" t="inlineStr">
        <is>
          <t>unit</t>
        </is>
      </c>
      <c r="B1306" t="inlineStr">
        <is>
          <t>kilogram</t>
        </is>
      </c>
    </row>
    <row r="1307">
      <c r="A1307" t="inlineStr">
        <is>
          <t>source</t>
        </is>
      </c>
      <c r="B1307" t="inlineStr">
        <is>
          <t>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t>
        </is>
      </c>
    </row>
    <row r="1308">
      <c r="A1308" t="inlineStr">
        <is>
          <t>comment</t>
        </is>
      </c>
      <c r="B1308" t="inlineStr">
        <is>
          <t>APPROVED CERAMIC-CAPACITOR MATERIAL FAMILIES, issue55, 2026-10-18. 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 Separate BaTiO3 Class2, flexible Ag-epoxy termination and CaZrO3 C0G; do not model all ceramics as barite,allBaTiO3 or universalPd-bearing electrodes. Use declared percase Ni/Cu/Sn/Ag and ceramic masses. Keep miscellaneous composition explicitly unresolved: no inventedzeroPd proof or assignment of all dopants tooneoxide. ActualTi,Murata,TDK part-grade material/yields remain unmeasured; engineer source-family proxies preserving function/classes. Calcine BaCO3+TiO2-&gt;BaTiO3+CO2 and CaCO3+ZrO2-&gt;CaZrO3+CO2 at nominalpurestoichiometry,3MJ/kgheat+0.5kWh/kg milling assumptions. No orebarite substituted for refinedcarbonate. Componentmanufacture95%retention for knownmaterials with equalmixedsolidwaste,1kWh/kg+5MJ/kgprocessreference; actualpowderprocessing,cofiring/plating losses,water and emissions are gaps. Unknownretainedfraction and its manufacturingloss are not fabricated. Provideroutputs1kg finishedpart includingexplicitunknownmass; knownmaterialcoverage reported rather than normalizedto100%. TI70gmonitorboard has134fittedceramicparts:55Class2 0402,27Class2 0603,38Class2 0805,6Class2 1206,1flex0805,7C0G0402.2KEMETC0G parts use1.06mg each,other5use1.2mgfamilyreference. Not-fittedparts excluded. Preserveoriginalboardtotalmass by transferringcomponentmass difference to/from its explicitlyunresolvedresidualcomponentproxy; do not normalize allboardingredients. Centralboard2gcapacitor allowance becomesClass2 0603family analogue,stillunvalidated counts. Othergenericboard/passiveinputs remainuntiltheirscopedreferencesaredefined; native suppliers are untouched. Existingassemblysolder remainsseparate fromcomponentterminationSn. Existingcontrol/endoflife massbudgetsunchanged. Retain genuinelegacyPd recipes for otherconsumers and document unresolvedtrace dopants; no globalmetalCFedit or primary-secondaryclaim. Sensitivities90-100%retention,case-specificdesign,ceramicdopants andprecious-metal terminationchoices.</t>
        </is>
      </c>
    </row>
    <row r="1309">
      <c r="A1309" t="inlineStr">
        <is>
          <t>Exchanges</t>
        </is>
      </c>
    </row>
    <row r="1310">
      <c r="A1310" t="inlineStr">
        <is>
          <t>name</t>
        </is>
      </c>
      <c r="B1310" t="inlineStr">
        <is>
          <t>amount</t>
        </is>
      </c>
      <c r="C1310" t="inlineStr">
        <is>
          <t>location</t>
        </is>
      </c>
      <c r="D1310" t="inlineStr">
        <is>
          <t>unit</t>
        </is>
      </c>
      <c r="E1310" t="inlineStr">
        <is>
          <t>categories</t>
        </is>
      </c>
      <c r="F1310" t="inlineStr">
        <is>
          <t>type</t>
        </is>
      </c>
      <c r="G1310" t="inlineStr">
        <is>
          <t>reference product</t>
        </is>
      </c>
      <c r="H1310" t="inlineStr">
        <is>
          <t>comment</t>
        </is>
      </c>
      <c r="I1310" t="inlineStr">
        <is>
          <t>product</t>
        </is>
      </c>
    </row>
    <row r="1311">
      <c r="A1311" t="inlineStr">
        <is>
          <t>capacitor, Class2, 0805, declared material engineering reference</t>
        </is>
      </c>
      <c r="B1311">
        <v>1</v>
      </c>
      <c r="C1311" t="inlineStr">
        <is>
          <t>GLO</t>
        </is>
      </c>
      <c r="D1311" t="inlineStr">
        <is>
          <t>kilogram</t>
        </is>
      </c>
      <c r="F1311" t="inlineStr">
        <is>
          <t>production</t>
        </is>
      </c>
      <c r="G1311" t="inlineStr">
        <is>
          <t>capacitor, Class2, 0805, declared material engineering reference</t>
        </is>
      </c>
      <c r="I1311" t="inlineStr">
        <is>
          <t>capacitor, Class2, 0805, declared material engineering reference</t>
        </is>
      </c>
    </row>
    <row r="1312">
      <c r="A1312" t="inlineStr">
        <is>
          <t>barium titanate, capacitor ceramic engineering reference</t>
        </is>
      </c>
      <c r="B1312">
        <v>0.8008429926238145</v>
      </c>
      <c r="C1312" t="inlineStr">
        <is>
          <t>GLO</t>
        </is>
      </c>
      <c r="D1312" t="inlineStr">
        <is>
          <t>kilogram</t>
        </is>
      </c>
      <c r="F1312" t="inlineStr">
        <is>
          <t>technosphere</t>
        </is>
      </c>
      <c r="G1312" t="inlineStr">
        <is>
          <t>barium titanate, capacitor ceramic engineering reference</t>
        </is>
      </c>
      <c r="I1312" t="inlineStr">
        <is>
          <t>barium titanate, capacitor ceramic engineering reference</t>
        </is>
      </c>
    </row>
    <row r="1313">
      <c r="A1313" t="inlineStr">
        <is>
          <t>market for nickel, class 1</t>
        </is>
      </c>
      <c r="B1313">
        <v>0.0898452664854972</v>
      </c>
      <c r="C1313" t="inlineStr">
        <is>
          <t>GLO</t>
        </is>
      </c>
      <c r="D1313" t="inlineStr">
        <is>
          <t>kilogram</t>
        </is>
      </c>
      <c r="F1313" t="inlineStr">
        <is>
          <t>technosphere</t>
        </is>
      </c>
      <c r="G1313" t="inlineStr">
        <is>
          <t>nickel, class 1</t>
        </is>
      </c>
      <c r="I1313" t="inlineStr">
        <is>
          <t>nickel, class 1</t>
        </is>
      </c>
    </row>
    <row r="1314">
      <c r="A1314" t="inlineStr">
        <is>
          <t>market for copper, cathode</t>
        </is>
      </c>
      <c r="B1314">
        <v>0.11812988741611669</v>
      </c>
      <c r="C1314" t="inlineStr">
        <is>
          <t>GLO</t>
        </is>
      </c>
      <c r="D1314" t="inlineStr">
        <is>
          <t>kilogram</t>
        </is>
      </c>
      <c r="F1314" t="inlineStr">
        <is>
          <t>technosphere</t>
        </is>
      </c>
      <c r="G1314" t="inlineStr">
        <is>
          <t>copper, cathode</t>
        </is>
      </c>
      <c r="I1314" t="inlineStr">
        <is>
          <t>copper, cathode</t>
        </is>
      </c>
    </row>
    <row r="1315">
      <c r="A1315" t="inlineStr">
        <is>
          <t>market for tin</t>
        </is>
      </c>
      <c r="B1315">
        <v>0.02384781764738506</v>
      </c>
      <c r="C1315" t="inlineStr">
        <is>
          <t>GLO</t>
        </is>
      </c>
      <c r="D1315" t="inlineStr">
        <is>
          <t>kilogram</t>
        </is>
      </c>
      <c r="F1315" t="inlineStr">
        <is>
          <t>technosphere</t>
        </is>
      </c>
      <c r="G1315" t="inlineStr">
        <is>
          <t>tin</t>
        </is>
      </c>
      <c r="I1315" t="inlineStr">
        <is>
          <t>tin</t>
        </is>
      </c>
    </row>
    <row r="1316">
      <c r="A1316" t="inlineStr">
        <is>
          <t>market for hazardous waste, for incineration</t>
        </is>
      </c>
      <c r="B1316">
        <v>-0.051633298208640606</v>
      </c>
      <c r="C1316" t="inlineStr">
        <is>
          <t>RoW</t>
        </is>
      </c>
      <c r="D1316" t="inlineStr">
        <is>
          <t>kilogram</t>
        </is>
      </c>
      <c r="F1316" t="inlineStr">
        <is>
          <t>technosphere</t>
        </is>
      </c>
      <c r="G1316" t="inlineStr">
        <is>
          <t>hazardous waste, for incineration</t>
        </is>
      </c>
      <c r="I1316" t="inlineStr">
        <is>
          <t>hazardous waste, for incineration</t>
        </is>
      </c>
    </row>
    <row r="1317">
      <c r="A1317" t="inlineStr">
        <is>
          <t>market group for electricity, medium voltage</t>
        </is>
      </c>
      <c r="B1317">
        <v>1</v>
      </c>
      <c r="C1317" t="inlineStr">
        <is>
          <t>GLO</t>
        </is>
      </c>
      <c r="D1317" t="inlineStr">
        <is>
          <t>kilowatt hour</t>
        </is>
      </c>
      <c r="F1317" t="inlineStr">
        <is>
          <t>technosphere</t>
        </is>
      </c>
      <c r="G1317" t="inlineStr">
        <is>
          <t>electricity, medium voltage</t>
        </is>
      </c>
      <c r="I1317" t="inlineStr">
        <is>
          <t>electricity, medium voltage</t>
        </is>
      </c>
    </row>
    <row r="1318">
      <c r="A1318" t="inlineStr">
        <is>
          <t>market for heat, district or industrial, natural gas</t>
        </is>
      </c>
      <c r="B1318">
        <v>5</v>
      </c>
      <c r="C1318" t="inlineStr">
        <is>
          <t>RoW</t>
        </is>
      </c>
      <c r="D1318" t="inlineStr">
        <is>
          <t>megajoule</t>
        </is>
      </c>
      <c r="F1318" t="inlineStr">
        <is>
          <t>technosphere</t>
        </is>
      </c>
      <c r="G1318" t="inlineStr">
        <is>
          <t>heat, district or industrial, natural gas</t>
        </is>
      </c>
      <c r="I1318" t="inlineStr">
        <is>
          <t>heat, district or industrial, natural gas</t>
        </is>
      </c>
    </row>
    <row r="1321">
      <c r="A1321" t="inlineStr">
        <is>
          <t>Activity</t>
        </is>
      </c>
      <c r="B1321" t="inlineStr">
        <is>
          <t>capacitor, Class2, 1206, declared material engineering reference</t>
        </is>
      </c>
    </row>
    <row r="1322">
      <c r="A1322" t="inlineStr">
        <is>
          <t>location</t>
        </is>
      </c>
      <c r="B1322" t="inlineStr">
        <is>
          <t>GLO</t>
        </is>
      </c>
    </row>
    <row r="1323">
      <c r="A1323" t="inlineStr">
        <is>
          <t>production amount</t>
        </is>
      </c>
      <c r="B1323">
        <v>1</v>
      </c>
    </row>
    <row r="1324">
      <c r="A1324" t="inlineStr">
        <is>
          <t>reference product</t>
        </is>
      </c>
      <c r="B1324" t="inlineStr">
        <is>
          <t>capacitor, Class2, 1206, declared material engineering reference</t>
        </is>
      </c>
    </row>
    <row r="1325">
      <c r="A1325" t="inlineStr">
        <is>
          <t>unit</t>
        </is>
      </c>
      <c r="B1325" t="inlineStr">
        <is>
          <t>kilogram</t>
        </is>
      </c>
    </row>
    <row r="1326">
      <c r="A1326" t="inlineStr">
        <is>
          <t>source</t>
        </is>
      </c>
      <c r="B1326" t="inlineStr">
        <is>
          <t>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t>
        </is>
      </c>
    </row>
    <row r="1327">
      <c r="A1327" t="inlineStr">
        <is>
          <t>comment</t>
        </is>
      </c>
      <c r="B1327" t="inlineStr">
        <is>
          <t>APPROVED CERAMIC-CAPACITOR MATERIAL FAMILIES, issue55, 2026-10-18. 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 Separate BaTiO3 Class2, flexible Ag-epoxy termination and CaZrO3 C0G; do not model all ceramics as barite,allBaTiO3 or universalPd-bearing electrodes. Use declared percase Ni/Cu/Sn/Ag and ceramic masses. Keep miscellaneous composition explicitly unresolved: no inventedzeroPd proof or assignment of all dopants tooneoxide. ActualTi,Murata,TDK part-grade material/yields remain unmeasured; engineer source-family proxies preserving function/classes. Calcine BaCO3+TiO2-&gt;BaTiO3+CO2 and CaCO3+ZrO2-&gt;CaZrO3+CO2 at nominalpurestoichiometry,3MJ/kgheat+0.5kWh/kg milling assumptions. No orebarite substituted for refinedcarbonate. Componentmanufacture95%retention for knownmaterials with equalmixedsolidwaste,1kWh/kg+5MJ/kgprocessreference; actualpowderprocessing,cofiring/plating losses,water and emissions are gaps. Unknownretainedfraction and its manufacturingloss are not fabricated. Provideroutputs1kg finishedpart includingexplicitunknownmass; knownmaterialcoverage reported rather than normalizedto100%. TI70gmonitorboard has134fittedceramicparts:55Class2 0402,27Class2 0603,38Class2 0805,6Class2 1206,1flex0805,7C0G0402.2KEMETC0G parts use1.06mg each,other5use1.2mgfamilyreference. Not-fittedparts excluded. Preserveoriginalboardtotalmass by transferringcomponentmass difference to/from its explicitlyunresolvedresidualcomponentproxy; do not normalize allboardingredients. Centralboard2gcapacitor allowance becomesClass2 0603family analogue,stillunvalidated counts. Othergenericboard/passiveinputs remainuntiltheirscopedreferencesaredefined; native suppliers are untouched. Existingassemblysolder remainsseparate fromcomponentterminationSn. Existingcontrol/endoflife massbudgetsunchanged. Retain genuinelegacyPd recipes for otherconsumers and document unresolvedtrace dopants; no globalmetalCFedit or primary-secondaryclaim. Sensitivities90-100%retention,case-specificdesign,ceramicdopants andprecious-metal terminationchoices.</t>
        </is>
      </c>
    </row>
    <row r="1328">
      <c r="A1328" t="inlineStr">
        <is>
          <t>Exchanges</t>
        </is>
      </c>
    </row>
    <row r="1329">
      <c r="A1329" t="inlineStr">
        <is>
          <t>name</t>
        </is>
      </c>
      <c r="B1329" t="inlineStr">
        <is>
          <t>amount</t>
        </is>
      </c>
      <c r="C1329" t="inlineStr">
        <is>
          <t>location</t>
        </is>
      </c>
      <c r="D1329" t="inlineStr">
        <is>
          <t>unit</t>
        </is>
      </c>
      <c r="E1329" t="inlineStr">
        <is>
          <t>categories</t>
        </is>
      </c>
      <c r="F1329" t="inlineStr">
        <is>
          <t>type</t>
        </is>
      </c>
      <c r="G1329" t="inlineStr">
        <is>
          <t>reference product</t>
        </is>
      </c>
      <c r="H1329" t="inlineStr">
        <is>
          <t>comment</t>
        </is>
      </c>
      <c r="I1329" t="inlineStr">
        <is>
          <t>product</t>
        </is>
      </c>
    </row>
    <row r="1330">
      <c r="A1330" t="inlineStr">
        <is>
          <t>capacitor, Class2, 1206, declared material engineering reference</t>
        </is>
      </c>
      <c r="B1330">
        <v>1</v>
      </c>
      <c r="C1330" t="inlineStr">
        <is>
          <t>GLO</t>
        </is>
      </c>
      <c r="D1330" t="inlineStr">
        <is>
          <t>kilogram</t>
        </is>
      </c>
      <c r="F1330" t="inlineStr">
        <is>
          <t>production</t>
        </is>
      </c>
      <c r="G1330" t="inlineStr">
        <is>
          <t>capacitor, Class2, 1206, declared material engineering reference</t>
        </is>
      </c>
      <c r="I1330" t="inlineStr">
        <is>
          <t>capacitor, Class2, 1206, declared material engineering reference</t>
        </is>
      </c>
    </row>
    <row r="1331">
      <c r="A1331" t="inlineStr">
        <is>
          <t>barium titanate, capacitor ceramic engineering reference</t>
        </is>
      </c>
      <c r="B1331">
        <v>0.8785586942318979</v>
      </c>
      <c r="C1331" t="inlineStr">
        <is>
          <t>GLO</t>
        </is>
      </c>
      <c r="D1331" t="inlineStr">
        <is>
          <t>kilogram</t>
        </is>
      </c>
      <c r="F1331" t="inlineStr">
        <is>
          <t>technosphere</t>
        </is>
      </c>
      <c r="G1331" t="inlineStr">
        <is>
          <t>barium titanate, capacitor ceramic engineering reference</t>
        </is>
      </c>
      <c r="I1331" t="inlineStr">
        <is>
          <t>barium titanate, capacitor ceramic engineering reference</t>
        </is>
      </c>
    </row>
    <row r="1332">
      <c r="A1332" t="inlineStr">
        <is>
          <t>market for nickel, class 1</t>
        </is>
      </c>
      <c r="B1332">
        <v>0.10342498366682538</v>
      </c>
      <c r="C1332" t="inlineStr">
        <is>
          <t>GLO</t>
        </is>
      </c>
      <c r="D1332" t="inlineStr">
        <is>
          <t>kilogram</t>
        </is>
      </c>
      <c r="F1332" t="inlineStr">
        <is>
          <t>technosphere</t>
        </is>
      </c>
      <c r="G1332" t="inlineStr">
        <is>
          <t>nickel, class 1</t>
        </is>
      </c>
      <c r="I1332" t="inlineStr">
        <is>
          <t>nickel, class 1</t>
        </is>
      </c>
    </row>
    <row r="1333">
      <c r="A1333" t="inlineStr">
        <is>
          <t>market for copper, cathode</t>
        </is>
      </c>
      <c r="B1333">
        <v>0.04274308746830256</v>
      </c>
      <c r="C1333" t="inlineStr">
        <is>
          <t>GLO</t>
        </is>
      </c>
      <c r="D1333" t="inlineStr">
        <is>
          <t>kilogram</t>
        </is>
      </c>
      <c r="F1333" t="inlineStr">
        <is>
          <t>technosphere</t>
        </is>
      </c>
      <c r="G1333" t="inlineStr">
        <is>
          <t>copper, cathode</t>
        </is>
      </c>
      <c r="I1333" t="inlineStr">
        <is>
          <t>copper, cathode</t>
        </is>
      </c>
    </row>
    <row r="1334">
      <c r="A1334" t="inlineStr">
        <is>
          <t>market for tin</t>
        </is>
      </c>
      <c r="B1334">
        <v>0.013952406790171306</v>
      </c>
      <c r="C1334" t="inlineStr">
        <is>
          <t>GLO</t>
        </is>
      </c>
      <c r="D1334" t="inlineStr">
        <is>
          <t>kilogram</t>
        </is>
      </c>
      <c r="F1334" t="inlineStr">
        <is>
          <t>technosphere</t>
        </is>
      </c>
      <c r="G1334" t="inlineStr">
        <is>
          <t>tin</t>
        </is>
      </c>
      <c r="I1334" t="inlineStr">
        <is>
          <t>tin</t>
        </is>
      </c>
    </row>
    <row r="1335">
      <c r="A1335" t="inlineStr">
        <is>
          <t>market for hazardous waste, for incineration</t>
        </is>
      </c>
      <c r="B1335">
        <v>-0.05193395860785979</v>
      </c>
      <c r="C1335" t="inlineStr">
        <is>
          <t>RoW</t>
        </is>
      </c>
      <c r="D1335" t="inlineStr">
        <is>
          <t>kilogram</t>
        </is>
      </c>
      <c r="F1335" t="inlineStr">
        <is>
          <t>technosphere</t>
        </is>
      </c>
      <c r="G1335" t="inlineStr">
        <is>
          <t>hazardous waste, for incineration</t>
        </is>
      </c>
      <c r="I1335" t="inlineStr">
        <is>
          <t>hazardous waste, for incineration</t>
        </is>
      </c>
    </row>
    <row r="1336">
      <c r="A1336" t="inlineStr">
        <is>
          <t>market group for electricity, medium voltage</t>
        </is>
      </c>
      <c r="B1336">
        <v>1</v>
      </c>
      <c r="C1336" t="inlineStr">
        <is>
          <t>GLO</t>
        </is>
      </c>
      <c r="D1336" t="inlineStr">
        <is>
          <t>kilowatt hour</t>
        </is>
      </c>
      <c r="F1336" t="inlineStr">
        <is>
          <t>technosphere</t>
        </is>
      </c>
      <c r="G1336" t="inlineStr">
        <is>
          <t>electricity, medium voltage</t>
        </is>
      </c>
      <c r="I1336" t="inlineStr">
        <is>
          <t>electricity, medium voltage</t>
        </is>
      </c>
    </row>
    <row r="1337">
      <c r="A1337" t="inlineStr">
        <is>
          <t>market for heat, district or industrial, natural gas</t>
        </is>
      </c>
      <c r="B1337">
        <v>5</v>
      </c>
      <c r="C1337" t="inlineStr">
        <is>
          <t>RoW</t>
        </is>
      </c>
      <c r="D1337" t="inlineStr">
        <is>
          <t>megajoule</t>
        </is>
      </c>
      <c r="F1337" t="inlineStr">
        <is>
          <t>technosphere</t>
        </is>
      </c>
      <c r="G1337" t="inlineStr">
        <is>
          <t>heat, district or industrial, natural gas</t>
        </is>
      </c>
      <c r="I1337" t="inlineStr">
        <is>
          <t>heat, district or industrial, natural gas</t>
        </is>
      </c>
    </row>
    <row r="1340">
      <c r="A1340" t="inlineStr">
        <is>
          <t>Activity</t>
        </is>
      </c>
      <c r="B1340" t="inlineStr">
        <is>
          <t>capacitor, flex Class2, 0805, declared material engineering reference</t>
        </is>
      </c>
    </row>
    <row r="1341">
      <c r="A1341" t="inlineStr">
        <is>
          <t>location</t>
        </is>
      </c>
      <c r="B1341" t="inlineStr">
        <is>
          <t>GLO</t>
        </is>
      </c>
    </row>
    <row r="1342">
      <c r="A1342" t="inlineStr">
        <is>
          <t>production amount</t>
        </is>
      </c>
      <c r="B1342">
        <v>1</v>
      </c>
    </row>
    <row r="1343">
      <c r="A1343" t="inlineStr">
        <is>
          <t>reference product</t>
        </is>
      </c>
      <c r="B1343" t="inlineStr">
        <is>
          <t>capacitor, flex Class2, 0805, declared material engineering reference</t>
        </is>
      </c>
    </row>
    <row r="1344">
      <c r="A1344" t="inlineStr">
        <is>
          <t>unit</t>
        </is>
      </c>
      <c r="B1344" t="inlineStr">
        <is>
          <t>kilogram</t>
        </is>
      </c>
    </row>
    <row r="1345">
      <c r="A1345" t="inlineStr">
        <is>
          <t>source</t>
        </is>
      </c>
      <c r="B1345" t="inlineStr">
        <is>
          <t>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t>
        </is>
      </c>
    </row>
    <row r="1346">
      <c r="A1346" t="inlineStr">
        <is>
          <t>comment</t>
        </is>
      </c>
      <c r="B1346" t="inlineStr">
        <is>
          <t>APPROVED CERAMIC-CAPACITOR MATERIAL FAMILIES, issue55, 2026-10-18. 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 Separate BaTiO3 Class2, flexible Ag-epoxy termination and CaZrO3 C0G; do not model all ceramics as barite,allBaTiO3 or universalPd-bearing electrodes. Use declared percase Ni/Cu/Sn/Ag and ceramic masses. Keep miscellaneous composition explicitly unresolved: no inventedzeroPd proof or assignment of all dopants tooneoxide. ActualTi,Murata,TDK part-grade material/yields remain unmeasured; engineer source-family proxies preserving function/classes. Calcine BaCO3+TiO2-&gt;BaTiO3+CO2 and CaCO3+ZrO2-&gt;CaZrO3+CO2 at nominalpurestoichiometry,3MJ/kgheat+0.5kWh/kg milling assumptions. No orebarite substituted for refinedcarbonate. Componentmanufacture95%retention for knownmaterials with equalmixedsolidwaste,1kWh/kg+5MJ/kgprocessreference; actualpowderprocessing,cofiring/plating losses,water and emissions are gaps. Unknownretainedfraction and its manufacturingloss are not fabricated. Provideroutputs1kg finishedpart includingexplicitunknownmass; knownmaterialcoverage reported rather than normalizedto100%. TI70gmonitorboard has134fittedceramicparts:55Class2 0402,27Class2 0603,38Class2 0805,6Class2 1206,1flex0805,7C0G0402.2KEMETC0G parts use1.06mg each,other5use1.2mgfamilyreference. Not-fittedparts excluded. Preserveoriginalboardtotalmass by transferringcomponentmass difference to/from its explicitlyunresolvedresidualcomponentproxy; do not normalize allboardingredients. Centralboard2gcapacitor allowance becomesClass2 0603family analogue,stillunvalidated counts. Othergenericboard/passiveinputs remainuntiltheirscopedreferencesaredefined; native suppliers are untouched. Existingassemblysolder remainsseparate fromcomponentterminationSn. Existingcontrol/endoflife massbudgetsunchanged. Retain genuinelegacyPd recipes for otherconsumers and document unresolvedtrace dopants; no globalmetalCFedit or primary-secondaryclaim. Sensitivities90-100%retention,case-specificdesign,ceramicdopants andprecious-metal terminationchoices.</t>
        </is>
      </c>
    </row>
    <row r="1347">
      <c r="A1347" t="inlineStr">
        <is>
          <t>Exchanges</t>
        </is>
      </c>
    </row>
    <row r="1348">
      <c r="A1348" t="inlineStr">
        <is>
          <t>name</t>
        </is>
      </c>
      <c r="B1348" t="inlineStr">
        <is>
          <t>amount</t>
        </is>
      </c>
      <c r="C1348" t="inlineStr">
        <is>
          <t>location</t>
        </is>
      </c>
      <c r="D1348" t="inlineStr">
        <is>
          <t>unit</t>
        </is>
      </c>
      <c r="E1348" t="inlineStr">
        <is>
          <t>categories</t>
        </is>
      </c>
      <c r="F1348" t="inlineStr">
        <is>
          <t>type</t>
        </is>
      </c>
      <c r="G1348" t="inlineStr">
        <is>
          <t>reference product</t>
        </is>
      </c>
      <c r="H1348" t="inlineStr">
        <is>
          <t>comment</t>
        </is>
      </c>
      <c r="I1348" t="inlineStr">
        <is>
          <t>product</t>
        </is>
      </c>
    </row>
    <row r="1349">
      <c r="A1349" t="inlineStr">
        <is>
          <t>capacitor, flex Class2, 0805, declared material engineering reference</t>
        </is>
      </c>
      <c r="B1349">
        <v>1</v>
      </c>
      <c r="C1349" t="inlineStr">
        <is>
          <t>GLO</t>
        </is>
      </c>
      <c r="D1349" t="inlineStr">
        <is>
          <t>kilogram</t>
        </is>
      </c>
      <c r="F1349" t="inlineStr">
        <is>
          <t>production</t>
        </is>
      </c>
      <c r="G1349" t="inlineStr">
        <is>
          <t>capacitor, flex Class2, 0805, declared material engineering reference</t>
        </is>
      </c>
      <c r="I1349" t="inlineStr">
        <is>
          <t>capacitor, flex Class2, 0805, declared material engineering reference</t>
        </is>
      </c>
    </row>
    <row r="1350">
      <c r="A1350" t="inlineStr">
        <is>
          <t>barium titanate, capacitor ceramic engineering reference</t>
        </is>
      </c>
      <c r="B1350">
        <v>0.8811697139527788</v>
      </c>
      <c r="C1350" t="inlineStr">
        <is>
          <t>GLO</t>
        </is>
      </c>
      <c r="D1350" t="inlineStr">
        <is>
          <t>kilogram</t>
        </is>
      </c>
      <c r="F1350" t="inlineStr">
        <is>
          <t>technosphere</t>
        </is>
      </c>
      <c r="G1350" t="inlineStr">
        <is>
          <t>barium titanate, capacitor ceramic engineering reference</t>
        </is>
      </c>
      <c r="I1350" t="inlineStr">
        <is>
          <t>barium titanate, capacitor ceramic engineering reference</t>
        </is>
      </c>
    </row>
    <row r="1351">
      <c r="A1351" t="inlineStr">
        <is>
          <t>market for nickel, class 1</t>
        </is>
      </c>
      <c r="B1351">
        <v>0.0632577754348972</v>
      </c>
      <c r="C1351" t="inlineStr">
        <is>
          <t>GLO</t>
        </is>
      </c>
      <c r="D1351" t="inlineStr">
        <is>
          <t>kilogram</t>
        </is>
      </c>
      <c r="F1351" t="inlineStr">
        <is>
          <t>technosphere</t>
        </is>
      </c>
      <c r="G1351" t="inlineStr">
        <is>
          <t>nickel, class 1</t>
        </is>
      </c>
      <c r="I1351" t="inlineStr">
        <is>
          <t>nickel, class 1</t>
        </is>
      </c>
    </row>
    <row r="1352">
      <c r="A1352" t="inlineStr">
        <is>
          <t>market for copper, cathode</t>
        </is>
      </c>
      <c r="B1352">
        <v>0.03717781538717643</v>
      </c>
      <c r="C1352" t="inlineStr">
        <is>
          <t>GLO</t>
        </is>
      </c>
      <c r="D1352" t="inlineStr">
        <is>
          <t>kilogram</t>
        </is>
      </c>
      <c r="F1352" t="inlineStr">
        <is>
          <t>technosphere</t>
        </is>
      </c>
      <c r="G1352" t="inlineStr">
        <is>
          <t>copper, cathode</t>
        </is>
      </c>
      <c r="I1352" t="inlineStr">
        <is>
          <t>copper, cathode</t>
        </is>
      </c>
    </row>
    <row r="1353">
      <c r="A1353" t="inlineStr">
        <is>
          <t>market for silver</t>
        </is>
      </c>
      <c r="B1353">
        <v>0.024970174513775215</v>
      </c>
      <c r="C1353" t="inlineStr">
        <is>
          <t>GLO</t>
        </is>
      </c>
      <c r="D1353" t="inlineStr">
        <is>
          <t>kilogram</t>
        </is>
      </c>
      <c r="F1353" t="inlineStr">
        <is>
          <t>technosphere</t>
        </is>
      </c>
      <c r="G1353" t="inlineStr">
        <is>
          <t>silver</t>
        </is>
      </c>
      <c r="I1353" t="inlineStr">
        <is>
          <t>silver</t>
        </is>
      </c>
    </row>
    <row r="1354">
      <c r="A1354" t="inlineStr">
        <is>
          <t>market for tin</t>
        </is>
      </c>
      <c r="B1354">
        <v>0.027744638348639127</v>
      </c>
      <c r="C1354" t="inlineStr">
        <is>
          <t>GLO</t>
        </is>
      </c>
      <c r="D1354" t="inlineStr">
        <is>
          <t>kilogram</t>
        </is>
      </c>
      <c r="F1354" t="inlineStr">
        <is>
          <t>technosphere</t>
        </is>
      </c>
      <c r="G1354" t="inlineStr">
        <is>
          <t>tin</t>
        </is>
      </c>
      <c r="I1354" t="inlineStr">
        <is>
          <t>tin</t>
        </is>
      </c>
    </row>
    <row r="1355">
      <c r="A1355" t="inlineStr">
        <is>
          <t>market for hazardous waste, for incineration</t>
        </is>
      </c>
      <c r="B1355">
        <v>-0.05171600588186328</v>
      </c>
      <c r="C1355" t="inlineStr">
        <is>
          <t>RoW</t>
        </is>
      </c>
      <c r="D1355" t="inlineStr">
        <is>
          <t>kilogram</t>
        </is>
      </c>
      <c r="F1355" t="inlineStr">
        <is>
          <t>technosphere</t>
        </is>
      </c>
      <c r="G1355" t="inlineStr">
        <is>
          <t>hazardous waste, for incineration</t>
        </is>
      </c>
      <c r="I1355" t="inlineStr">
        <is>
          <t>hazardous waste, for incineration</t>
        </is>
      </c>
    </row>
    <row r="1356">
      <c r="A1356" t="inlineStr">
        <is>
          <t>market group for electricity, medium voltage</t>
        </is>
      </c>
      <c r="B1356">
        <v>1</v>
      </c>
      <c r="C1356" t="inlineStr">
        <is>
          <t>GLO</t>
        </is>
      </c>
      <c r="D1356" t="inlineStr">
        <is>
          <t>kilowatt hour</t>
        </is>
      </c>
      <c r="F1356" t="inlineStr">
        <is>
          <t>technosphere</t>
        </is>
      </c>
      <c r="G1356" t="inlineStr">
        <is>
          <t>electricity, medium voltage</t>
        </is>
      </c>
      <c r="I1356" t="inlineStr">
        <is>
          <t>electricity, medium voltage</t>
        </is>
      </c>
    </row>
    <row r="1357">
      <c r="A1357" t="inlineStr">
        <is>
          <t>market for heat, district or industrial, natural gas</t>
        </is>
      </c>
      <c r="B1357">
        <v>5</v>
      </c>
      <c r="C1357" t="inlineStr">
        <is>
          <t>RoW</t>
        </is>
      </c>
      <c r="D1357" t="inlineStr">
        <is>
          <t>megajoule</t>
        </is>
      </c>
      <c r="F1357" t="inlineStr">
        <is>
          <t>technosphere</t>
        </is>
      </c>
      <c r="G1357" t="inlineStr">
        <is>
          <t>heat, district or industrial, natural gas</t>
        </is>
      </c>
      <c r="I1357" t="inlineStr">
        <is>
          <t>heat, district or industrial, natural gas</t>
        </is>
      </c>
    </row>
    <row r="1360">
      <c r="A1360" t="inlineStr">
        <is>
          <t>Activity</t>
        </is>
      </c>
      <c r="B1360" t="inlineStr">
        <is>
          <t>capacitor, C0G, 0402, declared material engineering reference</t>
        </is>
      </c>
    </row>
    <row r="1361">
      <c r="A1361" t="inlineStr">
        <is>
          <t>location</t>
        </is>
      </c>
      <c r="B1361" t="inlineStr">
        <is>
          <t>GLO</t>
        </is>
      </c>
    </row>
    <row r="1362">
      <c r="A1362" t="inlineStr">
        <is>
          <t>production amount</t>
        </is>
      </c>
      <c r="B1362">
        <v>1</v>
      </c>
    </row>
    <row r="1363">
      <c r="A1363" t="inlineStr">
        <is>
          <t>reference product</t>
        </is>
      </c>
      <c r="B1363" t="inlineStr">
        <is>
          <t>capacitor, C0G, 0402, declared material engineering reference</t>
        </is>
      </c>
    </row>
    <row r="1364">
      <c r="A1364" t="inlineStr">
        <is>
          <t>unit</t>
        </is>
      </c>
      <c r="B1364" t="inlineStr">
        <is>
          <t>kilogram</t>
        </is>
      </c>
    </row>
    <row r="1365">
      <c r="A1365" t="inlineStr">
        <is>
          <t>source</t>
        </is>
      </c>
      <c r="B1365" t="inlineStr">
        <is>
          <t>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t>
        </is>
      </c>
    </row>
    <row r="1366">
      <c r="A1366" t="inlineStr">
        <is>
          <t>comment</t>
        </is>
      </c>
      <c r="B1366" t="inlineStr">
        <is>
          <t>APPROVED CERAMIC-CAPACITOR MATERIAL FAMILIES, issue55, 2026-10-18. 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 Separate BaTiO3 Class2, flexible Ag-epoxy termination and CaZrO3 C0G; do not model all ceramics as barite,allBaTiO3 or universalPd-bearing electrodes. Use declared percase Ni/Cu/Sn/Ag and ceramic masses. Keep miscellaneous composition explicitly unresolved: no inventedzeroPd proof or assignment of all dopants tooneoxide. ActualTi,Murata,TDK part-grade material/yields remain unmeasured; engineer source-family proxies preserving function/classes. Calcine BaCO3+TiO2-&gt;BaTiO3+CO2 and CaCO3+ZrO2-&gt;CaZrO3+CO2 at nominalpurestoichiometry,3MJ/kgheat+0.5kWh/kg milling assumptions. No orebarite substituted for refinedcarbonate. Componentmanufacture95%retention for knownmaterials with equalmixedsolidwaste,1kWh/kg+5MJ/kgprocessreference; actualpowderprocessing,cofiring/plating losses,water and emissions are gaps. Unknownretainedfraction and its manufacturingloss are not fabricated. Provideroutputs1kg finishedpart includingexplicitunknownmass; knownmaterialcoverage reported rather than normalizedto100%. TI70gmonitorboard has134fittedceramicparts:55Class2 0402,27Class2 0603,38Class2 0805,6Class2 1206,1flex0805,7C0G0402.2KEMETC0G parts use1.06mg each,other5use1.2mgfamilyreference. Not-fittedparts excluded. Preserveoriginalboardtotalmass by transferringcomponentmass difference to/from its explicitlyunresolvedresidualcomponentproxy; do not normalize allboardingredients. Centralboard2gcapacitor allowance becomesClass2 0603family analogue,stillunvalidated counts. Othergenericboard/passiveinputs remainuntiltheirscopedreferencesaredefined; native suppliers are untouched. Existingassemblysolder remainsseparate fromcomponentterminationSn. Existingcontrol/endoflife massbudgetsunchanged. Retain genuinelegacyPd recipes for otherconsumers and document unresolvedtrace dopants; no globalmetalCFedit or primary-secondaryclaim. Sensitivities90-100%retention,case-specificdesign,ceramicdopants andprecious-metal terminationchoices.</t>
        </is>
      </c>
    </row>
    <row r="1367">
      <c r="A1367" t="inlineStr">
        <is>
          <t>Exchanges</t>
        </is>
      </c>
    </row>
    <row r="1368">
      <c r="A1368" t="inlineStr">
        <is>
          <t>name</t>
        </is>
      </c>
      <c r="B1368" t="inlineStr">
        <is>
          <t>amount</t>
        </is>
      </c>
      <c r="C1368" t="inlineStr">
        <is>
          <t>location</t>
        </is>
      </c>
      <c r="D1368" t="inlineStr">
        <is>
          <t>unit</t>
        </is>
      </c>
      <c r="E1368" t="inlineStr">
        <is>
          <t>categories</t>
        </is>
      </c>
      <c r="F1368" t="inlineStr">
        <is>
          <t>type</t>
        </is>
      </c>
      <c r="G1368" t="inlineStr">
        <is>
          <t>reference product</t>
        </is>
      </c>
      <c r="H1368" t="inlineStr">
        <is>
          <t>comment</t>
        </is>
      </c>
      <c r="I1368" t="inlineStr">
        <is>
          <t>product</t>
        </is>
      </c>
    </row>
    <row r="1369">
      <c r="A1369" t="inlineStr">
        <is>
          <t>capacitor, C0G, 0402, declared material engineering reference</t>
        </is>
      </c>
      <c r="B1369">
        <v>1</v>
      </c>
      <c r="C1369" t="inlineStr">
        <is>
          <t>GLO</t>
        </is>
      </c>
      <c r="D1369" t="inlineStr">
        <is>
          <t>kilogram</t>
        </is>
      </c>
      <c r="F1369" t="inlineStr">
        <is>
          <t>production</t>
        </is>
      </c>
      <c r="G1369" t="inlineStr">
        <is>
          <t>capacitor, C0G, 0402, declared material engineering reference</t>
        </is>
      </c>
      <c r="I1369" t="inlineStr">
        <is>
          <t>capacitor, C0G, 0402, declared material engineering reference</t>
        </is>
      </c>
    </row>
    <row r="1370">
      <c r="A1370" t="inlineStr">
        <is>
          <t>calcium zirconate, capacitor ceramic engineering reference</t>
        </is>
      </c>
      <c r="B1370">
        <v>0.780701754385965</v>
      </c>
      <c r="C1370" t="inlineStr">
        <is>
          <t>GLO</t>
        </is>
      </c>
      <c r="D1370" t="inlineStr">
        <is>
          <t>kilogram</t>
        </is>
      </c>
      <c r="F1370" t="inlineStr">
        <is>
          <t>technosphere</t>
        </is>
      </c>
      <c r="G1370" t="inlineStr">
        <is>
          <t>calcium zirconate, capacitor ceramic engineering reference</t>
        </is>
      </c>
      <c r="I1370" t="inlineStr">
        <is>
          <t>calcium zirconate, capacitor ceramic engineering reference</t>
        </is>
      </c>
    </row>
    <row r="1371">
      <c r="A1371" t="inlineStr">
        <is>
          <t>market for nickel, class 1</t>
        </is>
      </c>
      <c r="B1371">
        <v>0.07894736842105263</v>
      </c>
      <c r="C1371" t="inlineStr">
        <is>
          <t>GLO</t>
        </is>
      </c>
      <c r="D1371" t="inlineStr">
        <is>
          <t>kilogram</t>
        </is>
      </c>
      <c r="F1371" t="inlineStr">
        <is>
          <t>technosphere</t>
        </is>
      </c>
      <c r="G1371" t="inlineStr">
        <is>
          <t>nickel, class 1</t>
        </is>
      </c>
      <c r="I1371" t="inlineStr">
        <is>
          <t>nickel, class 1</t>
        </is>
      </c>
    </row>
    <row r="1372">
      <c r="A1372" t="inlineStr">
        <is>
          <t>market for copper, cathode</t>
        </is>
      </c>
      <c r="B1372">
        <v>0.008771929824561403</v>
      </c>
      <c r="C1372" t="inlineStr">
        <is>
          <t>GLO</t>
        </is>
      </c>
      <c r="D1372" t="inlineStr">
        <is>
          <t>kilogram</t>
        </is>
      </c>
      <c r="F1372" t="inlineStr">
        <is>
          <t>technosphere</t>
        </is>
      </c>
      <c r="G1372" t="inlineStr">
        <is>
          <t>copper, cathode</t>
        </is>
      </c>
      <c r="I1372" t="inlineStr">
        <is>
          <t>copper, cathode</t>
        </is>
      </c>
    </row>
    <row r="1373">
      <c r="A1373" t="inlineStr">
        <is>
          <t>market for tin</t>
        </is>
      </c>
      <c r="B1373">
        <v>0.04385964912280702</v>
      </c>
      <c r="C1373" t="inlineStr">
        <is>
          <t>GLO</t>
        </is>
      </c>
      <c r="D1373" t="inlineStr">
        <is>
          <t>kilogram</t>
        </is>
      </c>
      <c r="F1373" t="inlineStr">
        <is>
          <t>technosphere</t>
        </is>
      </c>
      <c r="G1373" t="inlineStr">
        <is>
          <t>tin</t>
        </is>
      </c>
      <c r="I1373" t="inlineStr">
        <is>
          <t>tin</t>
        </is>
      </c>
    </row>
    <row r="1374">
      <c r="A1374" t="inlineStr">
        <is>
          <t>market for hazardous waste, for incineration</t>
        </is>
      </c>
      <c r="B1374">
        <v>-0.045614035087719246</v>
      </c>
      <c r="C1374" t="inlineStr">
        <is>
          <t>RoW</t>
        </is>
      </c>
      <c r="D1374" t="inlineStr">
        <is>
          <t>kilogram</t>
        </is>
      </c>
      <c r="F1374" t="inlineStr">
        <is>
          <t>technosphere</t>
        </is>
      </c>
      <c r="G1374" t="inlineStr">
        <is>
          <t>hazardous waste, for incineration</t>
        </is>
      </c>
      <c r="I1374" t="inlineStr">
        <is>
          <t>hazardous waste, for incineration</t>
        </is>
      </c>
    </row>
    <row r="1375">
      <c r="A1375" t="inlineStr">
        <is>
          <t>market group for electricity, medium voltage</t>
        </is>
      </c>
      <c r="B1375">
        <v>1</v>
      </c>
      <c r="C1375" t="inlineStr">
        <is>
          <t>GLO</t>
        </is>
      </c>
      <c r="D1375" t="inlineStr">
        <is>
          <t>kilowatt hour</t>
        </is>
      </c>
      <c r="F1375" t="inlineStr">
        <is>
          <t>technosphere</t>
        </is>
      </c>
      <c r="G1375" t="inlineStr">
        <is>
          <t>electricity, medium voltage</t>
        </is>
      </c>
      <c r="I1375" t="inlineStr">
        <is>
          <t>electricity, medium voltage</t>
        </is>
      </c>
    </row>
    <row r="1376">
      <c r="A1376" t="inlineStr">
        <is>
          <t>market for heat, district or industrial, natural gas</t>
        </is>
      </c>
      <c r="B1376">
        <v>5</v>
      </c>
      <c r="C1376" t="inlineStr">
        <is>
          <t>RoW</t>
        </is>
      </c>
      <c r="D1376" t="inlineStr">
        <is>
          <t>megajoule</t>
        </is>
      </c>
      <c r="F1376" t="inlineStr">
        <is>
          <t>technosphere</t>
        </is>
      </c>
      <c r="G1376" t="inlineStr">
        <is>
          <t>heat, district or industrial, natural gas</t>
        </is>
      </c>
      <c r="I1376" t="inlineStr">
        <is>
          <t>heat, district or industrial, natural gas</t>
        </is>
      </c>
    </row>
    <row r="1379">
      <c r="A1379" t="inlineStr">
        <is>
          <t>Activity</t>
        </is>
      </c>
      <c r="B1379" t="inlineStr">
        <is>
          <t>capacitor set, 134 fitted battery monitor parts, engineering reference</t>
        </is>
      </c>
    </row>
    <row r="1380">
      <c r="A1380" t="inlineStr">
        <is>
          <t>location</t>
        </is>
      </c>
      <c r="B1380" t="inlineStr">
        <is>
          <t>GLO</t>
        </is>
      </c>
    </row>
    <row r="1381">
      <c r="A1381" t="inlineStr">
        <is>
          <t>production amount</t>
        </is>
      </c>
      <c r="B1381">
        <v>1</v>
      </c>
    </row>
    <row r="1382">
      <c r="A1382" t="inlineStr">
        <is>
          <t>reference product</t>
        </is>
      </c>
      <c r="B1382" t="inlineStr">
        <is>
          <t>capacitor set, 134 fitted battery monitor parts, engineering reference</t>
        </is>
      </c>
    </row>
    <row r="1383">
      <c r="A1383" t="inlineStr">
        <is>
          <t>unit</t>
        </is>
      </c>
      <c r="B1383" t="inlineStr">
        <is>
          <t>unit</t>
        </is>
      </c>
    </row>
    <row r="1384">
      <c r="A1384" t="inlineStr">
        <is>
          <t>source</t>
        </is>
      </c>
      <c r="B1384" t="inlineStr">
        <is>
          <t>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t>
        </is>
      </c>
    </row>
    <row r="1385">
      <c r="A1385" t="inlineStr">
        <is>
          <t>comment</t>
        </is>
      </c>
      <c r="B1385" t="inlineStr">
        <is>
          <t>APPROVED CERAMIC-CAPACITOR MATERIAL FAMILIES, issue55, 2026-10-18. 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 Separate BaTiO3 Class2, flexible Ag-epoxy termination and CaZrO3 C0G; do not model all ceramics as barite,allBaTiO3 or universalPd-bearing electrodes. Use declared percase Ni/Cu/Sn/Ag and ceramic masses. Keep miscellaneous composition explicitly unresolved: no inventedzeroPd proof or assignment of all dopants tooneoxide. ActualTi,Murata,TDK part-grade material/yields remain unmeasured; engineer source-family proxies preserving function/classes. Calcine BaCO3+TiO2-&gt;BaTiO3+CO2 and CaCO3+ZrO2-&gt;CaZrO3+CO2 at nominalpurestoichiometry,3MJ/kgheat+0.5kWh/kg milling assumptions. No orebarite substituted for refinedcarbonate. Componentmanufacture95%retention for knownmaterials with equalmixedsolidwaste,1kWh/kg+5MJ/kgprocessreference; actualpowderprocessing,cofiring/plating losses,water and emissions are gaps. Unknownretainedfraction and its manufacturingloss are not fabricated. Provideroutputs1kg finishedpart includingexplicitunknownmass; knownmaterialcoverage reported rather than normalizedto100%. TI70gmonitorboard has134fittedceramicparts:55Class2 0402,27Class2 0603,38Class2 0805,6Class2 1206,1flex0805,7C0G0402.2KEMETC0G parts use1.06mg each,other5use1.2mgfamilyreference. Not-fittedparts excluded. Preserveoriginalboardtotalmass by transferringcomponentmass difference to/from its explicitlyunresolvedresidualcomponentproxy; do not normalize allboardingredients. Centralboard2gcapacitor allowance becomesClass2 0603family analogue,stillunvalidated counts. Othergenericboard/passiveinputs remainuntiltheirscopedreferencesaredefined; native suppliers are untouched. Existingassemblysolder remainsseparate fromcomponentterminationSn. Existingcontrol/endoflife massbudgetsunchanged. Retain genuinelegacyPd recipes for otherconsumers and document unresolvedtrace dopants; no globalmetalCFedit or primary-secondaryclaim. Sensitivities90-100%retention,case-specificdesign,ceramicdopants andprecious-metal terminationchoices.</t>
        </is>
      </c>
    </row>
    <row r="1386">
      <c r="A1386" t="inlineStr">
        <is>
          <t>Exchanges</t>
        </is>
      </c>
    </row>
    <row r="1387">
      <c r="A1387" t="inlineStr">
        <is>
          <t>name</t>
        </is>
      </c>
      <c r="B1387" t="inlineStr">
        <is>
          <t>amount</t>
        </is>
      </c>
      <c r="C1387" t="inlineStr">
        <is>
          <t>location</t>
        </is>
      </c>
      <c r="D1387" t="inlineStr">
        <is>
          <t>unit</t>
        </is>
      </c>
      <c r="E1387" t="inlineStr">
        <is>
          <t>categories</t>
        </is>
      </c>
      <c r="F1387" t="inlineStr">
        <is>
          <t>type</t>
        </is>
      </c>
      <c r="G1387" t="inlineStr">
        <is>
          <t>reference product</t>
        </is>
      </c>
      <c r="H1387" t="inlineStr">
        <is>
          <t>comment</t>
        </is>
      </c>
      <c r="I1387" t="inlineStr">
        <is>
          <t>product</t>
        </is>
      </c>
    </row>
    <row r="1388">
      <c r="A1388" t="inlineStr">
        <is>
          <t>capacitor set, 134 fitted battery monitor parts, engineering reference</t>
        </is>
      </c>
      <c r="B1388">
        <v>1</v>
      </c>
      <c r="C1388" t="inlineStr">
        <is>
          <t>GLO</t>
        </is>
      </c>
      <c r="D1388" t="inlineStr">
        <is>
          <t>unit</t>
        </is>
      </c>
      <c r="F1388" t="inlineStr">
        <is>
          <t>production</t>
        </is>
      </c>
      <c r="G1388" t="inlineStr">
        <is>
          <t>capacitor set, 134 fitted battery monitor parts, engineering reference</t>
        </is>
      </c>
      <c r="I1388" t="inlineStr">
        <is>
          <t>capacitor set, 134 fitted battery monitor parts, engineering reference</t>
        </is>
      </c>
    </row>
    <row r="1389">
      <c r="A1389" t="inlineStr">
        <is>
          <t>capacitor, Class2, 0402, declared material engineering reference</t>
        </is>
      </c>
      <c r="B1389">
        <v>7.809999999999999e-05</v>
      </c>
      <c r="C1389" t="inlineStr">
        <is>
          <t>GLO</t>
        </is>
      </c>
      <c r="D1389" t="inlineStr">
        <is>
          <t>kilogram</t>
        </is>
      </c>
      <c r="F1389" t="inlineStr">
        <is>
          <t>technosphere</t>
        </is>
      </c>
      <c r="G1389" t="inlineStr">
        <is>
          <t>capacitor, Class2, 0402, declared material engineering reference</t>
        </is>
      </c>
      <c r="I1389" t="inlineStr">
        <is>
          <t>capacitor, Class2, 0402, declared material engineering reference</t>
        </is>
      </c>
    </row>
    <row r="1390">
      <c r="A1390" t="inlineStr">
        <is>
          <t>capacitor, Class2, 0603, declared material engineering reference</t>
        </is>
      </c>
      <c r="B1390">
        <v>0.00016199999999999998</v>
      </c>
      <c r="C1390" t="inlineStr">
        <is>
          <t>GLO</t>
        </is>
      </c>
      <c r="D1390" t="inlineStr">
        <is>
          <t>kilogram</t>
        </is>
      </c>
      <c r="F1390" t="inlineStr">
        <is>
          <t>technosphere</t>
        </is>
      </c>
      <c r="G1390" t="inlineStr">
        <is>
          <t>capacitor, Class2, 0603, declared material engineering reference</t>
        </is>
      </c>
      <c r="I1390" t="inlineStr">
        <is>
          <t>capacitor, Class2, 0603, declared material engineering reference</t>
        </is>
      </c>
    </row>
    <row r="1391">
      <c r="A1391" t="inlineStr">
        <is>
          <t>capacitor, Class2, 0805, declared material engineering reference</t>
        </is>
      </c>
      <c r="B1391">
        <v>0.0007212399999999999</v>
      </c>
      <c r="C1391" t="inlineStr">
        <is>
          <t>GLO</t>
        </is>
      </c>
      <c r="D1391" t="inlineStr">
        <is>
          <t>kilogram</t>
        </is>
      </c>
      <c r="F1391" t="inlineStr">
        <is>
          <t>technosphere</t>
        </is>
      </c>
      <c r="G1391" t="inlineStr">
        <is>
          <t>capacitor, Class2, 0805, declared material engineering reference</t>
        </is>
      </c>
      <c r="I1391" t="inlineStr">
        <is>
          <t>capacitor, Class2, 0805, declared material engineering reference</t>
        </is>
      </c>
    </row>
    <row r="1392">
      <c r="A1392" t="inlineStr">
        <is>
          <t>capacitor, Class2, 1206, declared material engineering reference</t>
        </is>
      </c>
      <c r="B1392">
        <v>0.00028518</v>
      </c>
      <c r="C1392" t="inlineStr">
        <is>
          <t>GLO</t>
        </is>
      </c>
      <c r="D1392" t="inlineStr">
        <is>
          <t>kilogram</t>
        </is>
      </c>
      <c r="F1392" t="inlineStr">
        <is>
          <t>technosphere</t>
        </is>
      </c>
      <c r="G1392" t="inlineStr">
        <is>
          <t>capacitor, Class2, 1206, declared material engineering reference</t>
        </is>
      </c>
      <c r="I1392" t="inlineStr">
        <is>
          <t>capacitor, Class2, 1206, declared material engineering reference</t>
        </is>
      </c>
    </row>
    <row r="1393">
      <c r="A1393" t="inlineStr">
        <is>
          <t>capacitor, flex Class2, 0805, declared material engineering reference</t>
        </is>
      </c>
      <c r="B1393">
        <v>1.897e-05</v>
      </c>
      <c r="C1393" t="inlineStr">
        <is>
          <t>GLO</t>
        </is>
      </c>
      <c r="D1393" t="inlineStr">
        <is>
          <t>kilogram</t>
        </is>
      </c>
      <c r="F1393" t="inlineStr">
        <is>
          <t>technosphere</t>
        </is>
      </c>
      <c r="G1393" t="inlineStr">
        <is>
          <t>capacitor, flex Class2, 0805, declared material engineering reference</t>
        </is>
      </c>
      <c r="I1393" t="inlineStr">
        <is>
          <t>capacitor, flex Class2, 0805, declared material engineering reference</t>
        </is>
      </c>
    </row>
    <row r="1394">
      <c r="A1394" t="inlineStr">
        <is>
          <t>capacitor, C0G, 0402, declared material engineering reference</t>
        </is>
      </c>
      <c r="B1394">
        <v>8.12e-06</v>
      </c>
      <c r="C1394" t="inlineStr">
        <is>
          <t>GLO</t>
        </is>
      </c>
      <c r="D1394" t="inlineStr">
        <is>
          <t>kilogram</t>
        </is>
      </c>
      <c r="F1394" t="inlineStr">
        <is>
          <t>technosphere</t>
        </is>
      </c>
      <c r="G1394" t="inlineStr">
        <is>
          <t>capacitor, C0G, 0402, declared material engineering reference</t>
        </is>
      </c>
      <c r="I1394" t="inlineStr">
        <is>
          <t>capacitor, C0G, 0402, declared material engineering reference</t>
        </is>
      </c>
    </row>
    <row r="1397">
      <c r="A1397" t="inlineStr">
        <is>
          <t>Activity</t>
        </is>
      </c>
      <c r="B1397" t="inlineStr">
        <is>
          <t>ruthenium dioxide, resistor film engineering reference</t>
        </is>
      </c>
    </row>
    <row r="1398">
      <c r="A1398" t="inlineStr">
        <is>
          <t>location</t>
        </is>
      </c>
      <c r="B1398" t="inlineStr">
        <is>
          <t>GLO</t>
        </is>
      </c>
    </row>
    <row r="1399">
      <c r="A1399" t="inlineStr">
        <is>
          <t>production amount</t>
        </is>
      </c>
      <c r="B1399">
        <v>1</v>
      </c>
    </row>
    <row r="1400">
      <c r="A1400" t="inlineStr">
        <is>
          <t>reference product</t>
        </is>
      </c>
      <c r="B1400" t="inlineStr">
        <is>
          <t>ruthenium dioxide, resistor film engineering reference</t>
        </is>
      </c>
    </row>
    <row r="1401">
      <c r="A1401" t="inlineStr">
        <is>
          <t>unit</t>
        </is>
      </c>
      <c r="B1401" t="inlineStr">
        <is>
          <t>kilogram</t>
        </is>
      </c>
    </row>
    <row r="1402">
      <c r="A1402" t="inlineStr">
        <is>
          <t>source</t>
        </is>
      </c>
      <c r="B1402" t="inlineStr">
        <is>
          <t>Bourns CR0603 Material Declaration,2022-08-01, https://www.bourns.com/docs/product-mds/cr0603_mds.pdf?sfvrsn=d79410bf_3 (manufacturer indexed declaration; direct download currently errors). Vishay CRCW...C doc28773 https://www.vishay.com/docs/28773/crcwce3.pdf package masses; TI TIDA020076 SLURB87 fitted BOM.</t>
        </is>
      </c>
    </row>
    <row r="1403">
      <c r="A1403" t="inlineStr">
        <is>
          <t>comment</t>
        </is>
      </c>
      <c r="B1403" t="inlineStr">
        <is>
          <t>APPROVED RESISTOR FUNCTION/MATERIAL REFERENCE, issue56, 2026-10-18. Bourns CR0603 Material Declaration,2022-08-01, https://www.bourns.com/docs/product-mds/cr0603_mds.pdf?sfvrsn=d79410bf_3 (manufacturer indexed declaration; direct download currently errors). Vishay CRCW...C doc28773 https://www.vishay.com/docs/28773/crcwce3.pdf package masses; TI TIDA020076 SLURB87 fitted BOM. Use declared CR0603 1.9339mg classic thick-film composition as a scoped engineering analogue, not a claim of exact Vishay/Yageo paste chemistry. Ceramic1.6618mg=96%alumina/4%silica; conductor0.0447mg=95%Ag/5%glass; film0.0255mg=25%RuO2,40%Ag,15%Pd,20%lead-containingglass; epoxy0.0335mg; NiCr0.0025mg=80%Ni20%Cr; Ni0.0878mg; Sn0.0781mg. Lead-containingglass uses explicit30wt%PbO/70%silica assumption (test0-60%), never alllead. Ordinary conductor glass is flat-glass proxy. 17zero-ohm jumpers use same body/termination but film replaced byAg, a function-based engineering assumption; test alternative pastes rather than claiming analyticallyzeroPd. Retain legitimatePd/Ag/Ru in111nonzero resistors. Ru supplied by existing ZA ruthenium coproduct inventory, not silently substituted byPd; its historical PGM allocation remains unvalidated. RuO2 uses stoichiometric Ru+oxygen and3MJ/kgheat+0.5kWh/kgprocess proxies. 95%known-material retention with matched mixed manufacturing waste,1kWh/kg+5MJ/kg; supplier/plating/printing losses uncertain. Fittedcounts63x0402,21x0603,4x0805,38x1206,2x2010; zero counts1,12,4,0,0. Manufacturer family masses0.65,2,5.5,10mg for firstfour;2010=25.5mg explicit legacy-family engineering mass reference. No unmounted parts. Component mass difference goes to unresolved residual board proxy, preserving70g complete monitorboard; central3g allowance keeps its mass and uses nonzero-family analogue. TerminationSn and assembly solder remain separate. No native/global supplier edits, new EOL or precious-metal credit. Source specific paste variants, resistance dependence, actual Vishay grades, jumper film and2010 mass are coverage/sensitivity gaps.</t>
        </is>
      </c>
    </row>
    <row r="1404">
      <c r="A1404" t="inlineStr">
        <is>
          <t>Exchanges</t>
        </is>
      </c>
    </row>
    <row r="1405">
      <c r="A1405" t="inlineStr">
        <is>
          <t>name</t>
        </is>
      </c>
      <c r="B1405" t="inlineStr">
        <is>
          <t>amount</t>
        </is>
      </c>
      <c r="C1405" t="inlineStr">
        <is>
          <t>location</t>
        </is>
      </c>
      <c r="D1405" t="inlineStr">
        <is>
          <t>unit</t>
        </is>
      </c>
      <c r="E1405" t="inlineStr">
        <is>
          <t>categories</t>
        </is>
      </c>
      <c r="F1405" t="inlineStr">
        <is>
          <t>type</t>
        </is>
      </c>
      <c r="G1405" t="inlineStr">
        <is>
          <t>reference product</t>
        </is>
      </c>
      <c r="H1405" t="inlineStr">
        <is>
          <t>comment</t>
        </is>
      </c>
      <c r="I1405" t="inlineStr">
        <is>
          <t>product</t>
        </is>
      </c>
    </row>
    <row r="1406">
      <c r="A1406" t="inlineStr">
        <is>
          <t>ruthenium dioxide, resistor film engineering reference</t>
        </is>
      </c>
      <c r="B1406">
        <v>1</v>
      </c>
      <c r="C1406" t="inlineStr">
        <is>
          <t>GLO</t>
        </is>
      </c>
      <c r="D1406" t="inlineStr">
        <is>
          <t>kilogram</t>
        </is>
      </c>
      <c r="F1406" t="inlineStr">
        <is>
          <t>production</t>
        </is>
      </c>
      <c r="G1406" t="inlineStr">
        <is>
          <t>ruthenium dioxide, resistor film engineering reference</t>
        </is>
      </c>
      <c r="I1406" t="inlineStr">
        <is>
          <t>ruthenium dioxide, resistor film engineering reference</t>
        </is>
      </c>
    </row>
    <row r="1407">
      <c r="A1407" t="inlineStr">
        <is>
          <t>platinum group metal, extraction and refinery operations</t>
        </is>
      </c>
      <c r="B1407">
        <v>0.759536477590405</v>
      </c>
      <c r="C1407" t="inlineStr">
        <is>
          <t>ZA</t>
        </is>
      </c>
      <c r="D1407" t="inlineStr">
        <is>
          <t>kilogram</t>
        </is>
      </c>
      <c r="F1407" t="inlineStr">
        <is>
          <t>technosphere</t>
        </is>
      </c>
      <c r="G1407" t="inlineStr">
        <is>
          <t>ruthenium</t>
        </is>
      </c>
      <c r="I1407" t="inlineStr">
        <is>
          <t>ruthenium</t>
        </is>
      </c>
    </row>
    <row r="1408">
      <c r="A1408" t="inlineStr">
        <is>
          <t>market for oxygen, liquid</t>
        </is>
      </c>
      <c r="B1408">
        <v>0.240463522409595</v>
      </c>
      <c r="C1408" t="inlineStr">
        <is>
          <t>RER</t>
        </is>
      </c>
      <c r="D1408" t="inlineStr">
        <is>
          <t>kilogram</t>
        </is>
      </c>
      <c r="F1408" t="inlineStr">
        <is>
          <t>technosphere</t>
        </is>
      </c>
      <c r="G1408" t="inlineStr">
        <is>
          <t>oxygen, liquid</t>
        </is>
      </c>
      <c r="I1408" t="inlineStr">
        <is>
          <t>oxygen, liquid</t>
        </is>
      </c>
    </row>
    <row r="1409">
      <c r="A1409" t="inlineStr">
        <is>
          <t>market for heat, district or industrial, natural gas</t>
        </is>
      </c>
      <c r="B1409">
        <v>3</v>
      </c>
      <c r="C1409" t="inlineStr">
        <is>
          <t>RoW</t>
        </is>
      </c>
      <c r="D1409" t="inlineStr">
        <is>
          <t>megajoule</t>
        </is>
      </c>
      <c r="F1409" t="inlineStr">
        <is>
          <t>technosphere</t>
        </is>
      </c>
      <c r="G1409" t="inlineStr">
        <is>
          <t>heat, district or industrial, natural gas</t>
        </is>
      </c>
      <c r="I1409" t="inlineStr">
        <is>
          <t>heat, district or industrial, natural gas</t>
        </is>
      </c>
    </row>
    <row r="1410">
      <c r="A1410" t="inlineStr">
        <is>
          <t>market group for electricity, medium voltage</t>
        </is>
      </c>
      <c r="B1410">
        <v>0.5</v>
      </c>
      <c r="C1410" t="inlineStr">
        <is>
          <t>GLO</t>
        </is>
      </c>
      <c r="D1410" t="inlineStr">
        <is>
          <t>kilowatt hour</t>
        </is>
      </c>
      <c r="F1410" t="inlineStr">
        <is>
          <t>technosphere</t>
        </is>
      </c>
      <c r="G1410" t="inlineStr">
        <is>
          <t>electricity, medium voltage</t>
        </is>
      </c>
      <c r="I1410" t="inlineStr">
        <is>
          <t>electricity, medium voltage</t>
        </is>
      </c>
    </row>
    <row r="1413">
      <c r="A1413" t="inlineStr">
        <is>
          <t>Activity</t>
        </is>
      </c>
      <c r="B1413" t="inlineStr">
        <is>
          <t>lead oxide, resistor glass engineering reference</t>
        </is>
      </c>
    </row>
    <row r="1414">
      <c r="A1414" t="inlineStr">
        <is>
          <t>location</t>
        </is>
      </c>
      <c r="B1414" t="inlineStr">
        <is>
          <t>GLO</t>
        </is>
      </c>
    </row>
    <row r="1415">
      <c r="A1415" t="inlineStr">
        <is>
          <t>production amount</t>
        </is>
      </c>
      <c r="B1415">
        <v>1</v>
      </c>
    </row>
    <row r="1416">
      <c r="A1416" t="inlineStr">
        <is>
          <t>reference product</t>
        </is>
      </c>
      <c r="B1416" t="inlineStr">
        <is>
          <t>lead oxide, resistor glass engineering reference</t>
        </is>
      </c>
    </row>
    <row r="1417">
      <c r="A1417" t="inlineStr">
        <is>
          <t>unit</t>
        </is>
      </c>
      <c r="B1417" t="inlineStr">
        <is>
          <t>kilogram</t>
        </is>
      </c>
    </row>
    <row r="1418">
      <c r="A1418" t="inlineStr">
        <is>
          <t>source</t>
        </is>
      </c>
      <c r="B1418" t="inlineStr">
        <is>
          <t>Engineering PbO oxidation reference</t>
        </is>
      </c>
    </row>
    <row r="1419">
      <c r="A1419" t="inlineStr">
        <is>
          <t>comment</t>
        </is>
      </c>
      <c r="B1419" t="inlineStr">
        <is>
          <t>APPROVED RESISTOR FUNCTION/MATERIAL REFERENCE, issue56, 2026-10-18. Bourns CR0603 Material Declaration,2022-08-01, https://www.bourns.com/docs/product-mds/cr0603_mds.pdf?sfvrsn=d79410bf_3 (manufacturer indexed declaration; direct download currently errors). Vishay CRCW...C doc28773 https://www.vishay.com/docs/28773/crcwce3.pdf package masses; TI TIDA020076 SLURB87 fitted BOM. Use declared CR0603 1.9339mg classic thick-film composition as a scoped engineering analogue, not a claim of exact Vishay/Yageo paste chemistry. Ceramic1.6618mg=96%alumina/4%silica; conductor0.0447mg=95%Ag/5%glass; film0.0255mg=25%RuO2,40%Ag,15%Pd,20%lead-containingglass; epoxy0.0335mg; NiCr0.0025mg=80%Ni20%Cr; Ni0.0878mg; Sn0.0781mg. Lead-containingglass uses explicit30wt%PbO/70%silica assumption (test0-60%), never alllead. Ordinary conductor glass is flat-glass proxy. 17zero-ohm jumpers use same body/termination but film replaced byAg, a function-based engineering assumption; test alternative pastes rather than claiming analyticallyzeroPd. Retain legitimatePd/Ag/Ru in111nonzero resistors. Ru supplied by existing ZA ruthenium coproduct inventory, not silently substituted byPd; its historical PGM allocation remains unvalidated. RuO2 uses stoichiometric Ru+oxygen and3MJ/kgheat+0.5kWh/kgprocess proxies. 95%known-material retention with matched mixed manufacturing waste,1kWh/kg+5MJ/kg; supplier/plating/printing losses uncertain. Fittedcounts63x0402,21x0603,4x0805,38x1206,2x2010; zero counts1,12,4,0,0. Manufacturer family masses0.65,2,5.5,10mg for firstfour;2010=25.5mg explicit legacy-family engineering mass reference. No unmounted parts. Component mass difference goes to unresolved residual board proxy, preserving70g complete monitorboard; central3g allowance keeps its mass and uses nonzero-family analogue. TerminationSn and assembly solder remain separate. No native/global supplier edits, new EOL or precious-metal credit. Source specific paste variants, resistance dependence, actual Vishay grades, jumper film and2010 mass are coverage/sensitivity gaps. PbO made from Pb and oxygen at stoichiometry; heat proxy, not measured lead-glass processing.</t>
        </is>
      </c>
    </row>
    <row r="1420">
      <c r="A1420" t="inlineStr">
        <is>
          <t>Exchanges</t>
        </is>
      </c>
    </row>
    <row r="1421">
      <c r="A1421" t="inlineStr">
        <is>
          <t>name</t>
        </is>
      </c>
      <c r="B1421" t="inlineStr">
        <is>
          <t>amount</t>
        </is>
      </c>
      <c r="C1421" t="inlineStr">
        <is>
          <t>location</t>
        </is>
      </c>
      <c r="D1421" t="inlineStr">
        <is>
          <t>unit</t>
        </is>
      </c>
      <c r="E1421" t="inlineStr">
        <is>
          <t>categories</t>
        </is>
      </c>
      <c r="F1421" t="inlineStr">
        <is>
          <t>type</t>
        </is>
      </c>
      <c r="G1421" t="inlineStr">
        <is>
          <t>reference product</t>
        </is>
      </c>
      <c r="H1421" t="inlineStr">
        <is>
          <t>comment</t>
        </is>
      </c>
      <c r="I1421" t="inlineStr">
        <is>
          <t>product</t>
        </is>
      </c>
    </row>
    <row r="1422">
      <c r="A1422" t="inlineStr">
        <is>
          <t>lead oxide, resistor glass engineering reference</t>
        </is>
      </c>
      <c r="B1422">
        <v>1</v>
      </c>
      <c r="C1422" t="inlineStr">
        <is>
          <t>GLO</t>
        </is>
      </c>
      <c r="D1422" t="inlineStr">
        <is>
          <t>kilogram</t>
        </is>
      </c>
      <c r="F1422" t="inlineStr">
        <is>
          <t>production</t>
        </is>
      </c>
      <c r="G1422" t="inlineStr">
        <is>
          <t>lead oxide, resistor glass engineering reference</t>
        </is>
      </c>
      <c r="I1422" t="inlineStr">
        <is>
          <t>lead oxide, resistor glass engineering reference</t>
        </is>
      </c>
    </row>
    <row r="1423">
      <c r="A1423" t="inlineStr">
        <is>
          <t>market for lead</t>
        </is>
      </c>
      <c r="B1423">
        <v>0.9283195713242441</v>
      </c>
      <c r="C1423" t="inlineStr">
        <is>
          <t>GLO</t>
        </is>
      </c>
      <c r="D1423" t="inlineStr">
        <is>
          <t>kilogram</t>
        </is>
      </c>
      <c r="F1423" t="inlineStr">
        <is>
          <t>technosphere</t>
        </is>
      </c>
      <c r="G1423" t="inlineStr">
        <is>
          <t>lead</t>
        </is>
      </c>
      <c r="I1423" t="inlineStr">
        <is>
          <t>lead</t>
        </is>
      </c>
    </row>
    <row r="1424">
      <c r="A1424" t="inlineStr">
        <is>
          <t>market for oxygen, liquid</t>
        </is>
      </c>
      <c r="B1424">
        <v>0.07168042867575572</v>
      </c>
      <c r="C1424" t="inlineStr">
        <is>
          <t>RER</t>
        </is>
      </c>
      <c r="D1424" t="inlineStr">
        <is>
          <t>kilogram</t>
        </is>
      </c>
      <c r="F1424" t="inlineStr">
        <is>
          <t>technosphere</t>
        </is>
      </c>
      <c r="G1424" t="inlineStr">
        <is>
          <t>oxygen, liquid</t>
        </is>
      </c>
      <c r="I1424" t="inlineStr">
        <is>
          <t>oxygen, liquid</t>
        </is>
      </c>
    </row>
    <row r="1425">
      <c r="A1425" t="inlineStr">
        <is>
          <t>market for heat, district or industrial, natural gas</t>
        </is>
      </c>
      <c r="B1425">
        <v>3</v>
      </c>
      <c r="C1425" t="inlineStr">
        <is>
          <t>RoW</t>
        </is>
      </c>
      <c r="D1425" t="inlineStr">
        <is>
          <t>megajoule</t>
        </is>
      </c>
      <c r="F1425" t="inlineStr">
        <is>
          <t>technosphere</t>
        </is>
      </c>
      <c r="G1425" t="inlineStr">
        <is>
          <t>heat, district or industrial, natural gas</t>
        </is>
      </c>
      <c r="I1425" t="inlineStr">
        <is>
          <t>heat, district or industrial, natural gas</t>
        </is>
      </c>
    </row>
    <row r="1428">
      <c r="A1428" t="inlineStr">
        <is>
          <t>Activity</t>
        </is>
      </c>
      <c r="B1428" t="inlineStr">
        <is>
          <t>thick-film resistor, declared-material engineering reference</t>
        </is>
      </c>
    </row>
    <row r="1429">
      <c r="A1429" t="inlineStr">
        <is>
          <t>location</t>
        </is>
      </c>
      <c r="B1429" t="inlineStr">
        <is>
          <t>GLO</t>
        </is>
      </c>
    </row>
    <row r="1430">
      <c r="A1430" t="inlineStr">
        <is>
          <t>production amount</t>
        </is>
      </c>
      <c r="B1430">
        <v>1</v>
      </c>
    </row>
    <row r="1431">
      <c r="A1431" t="inlineStr">
        <is>
          <t>reference product</t>
        </is>
      </c>
      <c r="B1431" t="inlineStr">
        <is>
          <t>thick-film resistor, declared-material engineering reference</t>
        </is>
      </c>
    </row>
    <row r="1432">
      <c r="A1432" t="inlineStr">
        <is>
          <t>unit</t>
        </is>
      </c>
      <c r="B1432" t="inlineStr">
        <is>
          <t>kilogram</t>
        </is>
      </c>
    </row>
    <row r="1433">
      <c r="A1433" t="inlineStr">
        <is>
          <t>source</t>
        </is>
      </c>
      <c r="B1433" t="inlineStr">
        <is>
          <t>Bourns CR0603 Material Declaration,2022-08-01, https://www.bourns.com/docs/product-mds/cr0603_mds.pdf?sfvrsn=d79410bf_3 (manufacturer indexed declaration; direct download currently errors). Vishay CRCW...C doc28773 https://www.vishay.com/docs/28773/crcwce3.pdf package masses; TI TIDA020076 SLURB87 fitted BOM.</t>
        </is>
      </c>
    </row>
    <row r="1434">
      <c r="A1434" t="inlineStr">
        <is>
          <t>comment</t>
        </is>
      </c>
      <c r="B1434" t="inlineStr">
        <is>
          <t>APPROVED RESISTOR FUNCTION/MATERIAL REFERENCE, issue56, 2026-10-18. Bourns CR0603 Material Declaration,2022-08-01, https://www.bourns.com/docs/product-mds/cr0603_mds.pdf?sfvrsn=d79410bf_3 (manufacturer indexed declaration; direct download currently errors). Vishay CRCW...C doc28773 https://www.vishay.com/docs/28773/crcwce3.pdf package masses; TI TIDA020076 SLURB87 fitted BOM. Use declared CR0603 1.9339mg classic thick-film composition as a scoped engineering analogue, not a claim of exact Vishay/Yageo paste chemistry. Ceramic1.6618mg=96%alumina/4%silica; conductor0.0447mg=95%Ag/5%glass; film0.0255mg=25%RuO2,40%Ag,15%Pd,20%lead-containingglass; epoxy0.0335mg; NiCr0.0025mg=80%Ni20%Cr; Ni0.0878mg; Sn0.0781mg. Lead-containingglass uses explicit30wt%PbO/70%silica assumption (test0-60%), never alllead. Ordinary conductor glass is flat-glass proxy. 17zero-ohm jumpers use same body/termination but film replaced byAg, a function-based engineering assumption; test alternative pastes rather than claiming analyticallyzeroPd. Retain legitimatePd/Ag/Ru in111nonzero resistors. Ru supplied by existing ZA ruthenium coproduct inventory, not silently substituted byPd; its historical PGM allocation remains unvalidated. RuO2 uses stoichiometric Ru+oxygen and3MJ/kgheat+0.5kWh/kgprocess proxies. 95%known-material retention with matched mixed manufacturing waste,1kWh/kg+5MJ/kg; supplier/plating/printing losses uncertain. Fittedcounts63x0402,21x0603,4x0805,38x1206,2x2010; zero counts1,12,4,0,0. Manufacturer family masses0.65,2,5.5,10mg for firstfour;2010=25.5mg explicit legacy-family engineering mass reference. No unmounted parts. Component mass difference goes to unresolved residual board proxy, preserving70g complete monitorboard; central3g allowance keeps its mass and uses nonzero-family analogue. TerminationSn and assembly solder remain separate. No native/global supplier edits, new EOL or precious-metal credit. Source specific paste variants, resistance dependence, actual Vishay grades, jumper film and2010 mass are coverage/sensitivity gaps.</t>
        </is>
      </c>
    </row>
    <row r="1435">
      <c r="A1435" t="inlineStr">
        <is>
          <t>Exchanges</t>
        </is>
      </c>
    </row>
    <row r="1436">
      <c r="A1436" t="inlineStr">
        <is>
          <t>name</t>
        </is>
      </c>
      <c r="B1436" t="inlineStr">
        <is>
          <t>amount</t>
        </is>
      </c>
      <c r="C1436" t="inlineStr">
        <is>
          <t>location</t>
        </is>
      </c>
      <c r="D1436" t="inlineStr">
        <is>
          <t>unit</t>
        </is>
      </c>
      <c r="E1436" t="inlineStr">
        <is>
          <t>categories</t>
        </is>
      </c>
      <c r="F1436" t="inlineStr">
        <is>
          <t>type</t>
        </is>
      </c>
      <c r="G1436" t="inlineStr">
        <is>
          <t>reference product</t>
        </is>
      </c>
      <c r="H1436" t="inlineStr">
        <is>
          <t>comment</t>
        </is>
      </c>
      <c r="I1436" t="inlineStr">
        <is>
          <t>product</t>
        </is>
      </c>
    </row>
    <row r="1437">
      <c r="A1437" t="inlineStr">
        <is>
          <t>thick-film resistor, declared-material engineering reference</t>
        </is>
      </c>
      <c r="B1437">
        <v>1</v>
      </c>
      <c r="C1437" t="inlineStr">
        <is>
          <t>GLO</t>
        </is>
      </c>
      <c r="D1437" t="inlineStr">
        <is>
          <t>kilogram</t>
        </is>
      </c>
      <c r="F1437" t="inlineStr">
        <is>
          <t>production</t>
        </is>
      </c>
      <c r="G1437" t="inlineStr">
        <is>
          <t>thick-film resistor, declared-material engineering reference</t>
        </is>
      </c>
      <c r="I1437" t="inlineStr">
        <is>
          <t>thick-film resistor, declared-material engineering reference</t>
        </is>
      </c>
    </row>
    <row r="1438">
      <c r="A1438" t="inlineStr">
        <is>
          <t>market for aluminium oxide, non-metallurgical</t>
        </is>
      </c>
      <c r="B1438">
        <v>0.86834512207402</v>
      </c>
      <c r="C1438" t="inlineStr">
        <is>
          <t>IAI Area, EU27 &amp; EFTA</t>
        </is>
      </c>
      <c r="D1438" t="inlineStr">
        <is>
          <t>kilogram</t>
        </is>
      </c>
      <c r="F1438" t="inlineStr">
        <is>
          <t>technosphere</t>
        </is>
      </c>
      <c r="G1438" t="inlineStr">
        <is>
          <t>aluminium oxide, non-metallurgical</t>
        </is>
      </c>
      <c r="I1438" t="inlineStr">
        <is>
          <t>aluminium oxide, non-metallurgical</t>
        </is>
      </c>
    </row>
    <row r="1439">
      <c r="A1439" t="inlineStr">
        <is>
          <t>market for silica sand</t>
        </is>
      </c>
      <c r="B1439">
        <v>0.0381242158605055</v>
      </c>
      <c r="C1439" t="inlineStr">
        <is>
          <t>GLO</t>
        </is>
      </c>
      <c r="D1439" t="inlineStr">
        <is>
          <t>kilogram</t>
        </is>
      </c>
      <c r="F1439" t="inlineStr">
        <is>
          <t>technosphere</t>
        </is>
      </c>
      <c r="G1439" t="inlineStr">
        <is>
          <t>silica sand</t>
        </is>
      </c>
      <c r="I1439" t="inlineStr">
        <is>
          <t>silica sand</t>
        </is>
      </c>
    </row>
    <row r="1440">
      <c r="A1440" t="inlineStr">
        <is>
          <t>market for silver</t>
        </is>
      </c>
      <c r="B1440">
        <v>0.028665826622505382</v>
      </c>
      <c r="C1440" t="inlineStr">
        <is>
          <t>GLO</t>
        </is>
      </c>
      <c r="D1440" t="inlineStr">
        <is>
          <t>kilogram</t>
        </is>
      </c>
      <c r="F1440" t="inlineStr">
        <is>
          <t>technosphere</t>
        </is>
      </c>
      <c r="G1440" t="inlineStr">
        <is>
          <t>silver</t>
        </is>
      </c>
      <c r="I1440" t="inlineStr">
        <is>
          <t>silver</t>
        </is>
      </c>
    </row>
    <row r="1441">
      <c r="A1441" t="inlineStr">
        <is>
          <t>market for flat glass, uncoated</t>
        </is>
      </c>
      <c r="B1441">
        <v>0.0012165218361587303</v>
      </c>
      <c r="C1441" t="inlineStr">
        <is>
          <t>RER</t>
        </is>
      </c>
      <c r="D1441" t="inlineStr">
        <is>
          <t>kilogram</t>
        </is>
      </c>
      <c r="F1441" t="inlineStr">
        <is>
          <t>technosphere</t>
        </is>
      </c>
      <c r="G1441" t="inlineStr">
        <is>
          <t>flat glass, uncoated</t>
        </is>
      </c>
      <c r="I1441" t="inlineStr">
        <is>
          <t>flat glass, uncoated</t>
        </is>
      </c>
    </row>
    <row r="1442">
      <c r="A1442" t="inlineStr">
        <is>
          <t>market for epoxy resin, liquid</t>
        </is>
      </c>
      <c r="B1442">
        <v>0.018234219915578283</v>
      </c>
      <c r="C1442" t="inlineStr">
        <is>
          <t>RER</t>
        </is>
      </c>
      <c r="D1442" t="inlineStr">
        <is>
          <t>kilogram</t>
        </is>
      </c>
      <c r="F1442" t="inlineStr">
        <is>
          <t>technosphere</t>
        </is>
      </c>
      <c r="G1442" t="inlineStr">
        <is>
          <t>epoxy resin, liquid</t>
        </is>
      </c>
      <c r="I1442" t="inlineStr">
        <is>
          <t>epoxy resin, liquid</t>
        </is>
      </c>
    </row>
    <row r="1443">
      <c r="A1443" t="inlineStr">
        <is>
          <t>market for nickel, class 1</t>
        </is>
      </c>
      <c r="B1443">
        <v>0.048878595475191945</v>
      </c>
      <c r="C1443" t="inlineStr">
        <is>
          <t>GLO</t>
        </is>
      </c>
      <c r="D1443" t="inlineStr">
        <is>
          <t>kilogram</t>
        </is>
      </c>
      <c r="F1443" t="inlineStr">
        <is>
          <t>technosphere</t>
        </is>
      </c>
      <c r="G1443" t="inlineStr">
        <is>
          <t>nickel, class 1</t>
        </is>
      </c>
      <c r="I1443" t="inlineStr">
        <is>
          <t>nickel, class 1</t>
        </is>
      </c>
    </row>
    <row r="1444">
      <c r="A1444" t="inlineStr">
        <is>
          <t>market for chromium</t>
        </is>
      </c>
      <c r="B1444">
        <v>0.00027215253605340724</v>
      </c>
      <c r="C1444" t="inlineStr">
        <is>
          <t>GLO</t>
        </is>
      </c>
      <c r="D1444" t="inlineStr">
        <is>
          <t>kilogram</t>
        </is>
      </c>
      <c r="F1444" t="inlineStr">
        <is>
          <t>technosphere</t>
        </is>
      </c>
      <c r="G1444" t="inlineStr">
        <is>
          <t>chromium</t>
        </is>
      </c>
      <c r="I1444" t="inlineStr">
        <is>
          <t>chromium</t>
        </is>
      </c>
    </row>
    <row r="1445">
      <c r="A1445" t="inlineStr">
        <is>
          <t>market for tin</t>
        </is>
      </c>
      <c r="B1445">
        <v>0.04251022613154221</v>
      </c>
      <c r="C1445" t="inlineStr">
        <is>
          <t>GLO</t>
        </is>
      </c>
      <c r="D1445" t="inlineStr">
        <is>
          <t>kilogram</t>
        </is>
      </c>
      <c r="F1445" t="inlineStr">
        <is>
          <t>technosphere</t>
        </is>
      </c>
      <c r="G1445" t="inlineStr">
        <is>
          <t>tin</t>
        </is>
      </c>
      <c r="I1445" t="inlineStr">
        <is>
          <t>tin</t>
        </is>
      </c>
    </row>
    <row r="1446">
      <c r="A1446" t="inlineStr">
        <is>
          <t>lead oxide, resistor glass engineering reference</t>
        </is>
      </c>
      <c r="B1446">
        <v>0.0008327867603234263</v>
      </c>
      <c r="C1446" t="inlineStr">
        <is>
          <t>GLO</t>
        </is>
      </c>
      <c r="D1446" t="inlineStr">
        <is>
          <t>kilogram</t>
        </is>
      </c>
      <c r="F1446" t="inlineStr">
        <is>
          <t>technosphere</t>
        </is>
      </c>
      <c r="G1446" t="inlineStr">
        <is>
          <t>lead oxide, resistor glass engineering reference</t>
        </is>
      </c>
      <c r="I1446" t="inlineStr">
        <is>
          <t>lead oxide, resistor glass engineering reference</t>
        </is>
      </c>
    </row>
    <row r="1447">
      <c r="A1447" t="inlineStr">
        <is>
          <t>ruthenium dioxide, resistor film engineering reference</t>
        </is>
      </c>
      <c r="B1447">
        <v>0.003469944834680942</v>
      </c>
      <c r="C1447" t="inlineStr">
        <is>
          <t>GLO</t>
        </is>
      </c>
      <c r="D1447" t="inlineStr">
        <is>
          <t>kilogram</t>
        </is>
      </c>
      <c r="F1447" t="inlineStr">
        <is>
          <t>technosphere</t>
        </is>
      </c>
      <c r="G1447" t="inlineStr">
        <is>
          <t>ruthenium dioxide, resistor film engineering reference</t>
        </is>
      </c>
      <c r="I1447" t="inlineStr">
        <is>
          <t>ruthenium dioxide, resistor film engineering reference</t>
        </is>
      </c>
    </row>
    <row r="1448">
      <c r="A1448" t="inlineStr">
        <is>
          <t>market for palladium</t>
        </is>
      </c>
      <c r="B1448">
        <v>0.002081966900808565</v>
      </c>
      <c r="C1448" t="inlineStr">
        <is>
          <t>GLO</t>
        </is>
      </c>
      <c r="D1448" t="inlineStr">
        <is>
          <t>kilogram</t>
        </is>
      </c>
      <c r="F1448" t="inlineStr">
        <is>
          <t>technosphere</t>
        </is>
      </c>
      <c r="G1448" t="inlineStr">
        <is>
          <t>palladium</t>
        </is>
      </c>
      <c r="I1448" t="inlineStr">
        <is>
          <t>palladium</t>
        </is>
      </c>
    </row>
    <row r="1449">
      <c r="A1449" t="inlineStr">
        <is>
          <t>market for hazardous waste, for incineration</t>
        </is>
      </c>
      <c r="B1449">
        <v>-0.05263157894736836</v>
      </c>
      <c r="C1449" t="inlineStr">
        <is>
          <t>RoW</t>
        </is>
      </c>
      <c r="D1449" t="inlineStr">
        <is>
          <t>kilogram</t>
        </is>
      </c>
      <c r="F1449" t="inlineStr">
        <is>
          <t>technosphere</t>
        </is>
      </c>
      <c r="G1449" t="inlineStr">
        <is>
          <t>hazardous waste, for incineration</t>
        </is>
      </c>
      <c r="I1449" t="inlineStr">
        <is>
          <t>hazardous waste, for incineration</t>
        </is>
      </c>
    </row>
    <row r="1450">
      <c r="A1450" t="inlineStr">
        <is>
          <t>market group for electricity, medium voltage</t>
        </is>
      </c>
      <c r="B1450">
        <v>1</v>
      </c>
      <c r="C1450" t="inlineStr">
        <is>
          <t>GLO</t>
        </is>
      </c>
      <c r="D1450" t="inlineStr">
        <is>
          <t>kilowatt hour</t>
        </is>
      </c>
      <c r="F1450" t="inlineStr">
        <is>
          <t>technosphere</t>
        </is>
      </c>
      <c r="G1450" t="inlineStr">
        <is>
          <t>electricity, medium voltage</t>
        </is>
      </c>
      <c r="I1450" t="inlineStr">
        <is>
          <t>electricity, medium voltage</t>
        </is>
      </c>
    </row>
    <row r="1451">
      <c r="A1451" t="inlineStr">
        <is>
          <t>market for heat, district or industrial, natural gas</t>
        </is>
      </c>
      <c r="B1451">
        <v>5</v>
      </c>
      <c r="C1451" t="inlineStr">
        <is>
          <t>RoW</t>
        </is>
      </c>
      <c r="D1451" t="inlineStr">
        <is>
          <t>megajoule</t>
        </is>
      </c>
      <c r="F1451" t="inlineStr">
        <is>
          <t>technosphere</t>
        </is>
      </c>
      <c r="G1451" t="inlineStr">
        <is>
          <t>heat, district or industrial, natural gas</t>
        </is>
      </c>
      <c r="I1451" t="inlineStr">
        <is>
          <t>heat, district or industrial, natural gas</t>
        </is>
      </c>
    </row>
    <row r="1454">
      <c r="A1454" t="inlineStr">
        <is>
          <t>Activity</t>
        </is>
      </c>
      <c r="B1454" t="inlineStr">
        <is>
          <t>zero-ohm jumper, declared-material engineering reference</t>
        </is>
      </c>
    </row>
    <row r="1455">
      <c r="A1455" t="inlineStr">
        <is>
          <t>location</t>
        </is>
      </c>
      <c r="B1455" t="inlineStr">
        <is>
          <t>GLO</t>
        </is>
      </c>
    </row>
    <row r="1456">
      <c r="A1456" t="inlineStr">
        <is>
          <t>production amount</t>
        </is>
      </c>
      <c r="B1456">
        <v>1</v>
      </c>
    </row>
    <row r="1457">
      <c r="A1457" t="inlineStr">
        <is>
          <t>reference product</t>
        </is>
      </c>
      <c r="B1457" t="inlineStr">
        <is>
          <t>zero-ohm jumper, declared-material engineering reference</t>
        </is>
      </c>
    </row>
    <row r="1458">
      <c r="A1458" t="inlineStr">
        <is>
          <t>unit</t>
        </is>
      </c>
      <c r="B1458" t="inlineStr">
        <is>
          <t>kilogram</t>
        </is>
      </c>
    </row>
    <row r="1459">
      <c r="A1459" t="inlineStr">
        <is>
          <t>source</t>
        </is>
      </c>
      <c r="B1459" t="inlineStr">
        <is>
          <t>Bourns CR0603 Material Declaration,2022-08-01, https://www.bourns.com/docs/product-mds/cr0603_mds.pdf?sfvrsn=d79410bf_3 (manufacturer indexed declaration; direct download currently errors). Vishay CRCW...C doc28773 https://www.vishay.com/docs/28773/crcwce3.pdf package masses; TI TIDA020076 SLURB87 fitted BOM.</t>
        </is>
      </c>
    </row>
    <row r="1460">
      <c r="A1460" t="inlineStr">
        <is>
          <t>comment</t>
        </is>
      </c>
      <c r="B1460" t="inlineStr">
        <is>
          <t>APPROVED RESISTOR FUNCTION/MATERIAL REFERENCE, issue56, 2026-10-18. Bourns CR0603 Material Declaration,2022-08-01, https://www.bourns.com/docs/product-mds/cr0603_mds.pdf?sfvrsn=d79410bf_3 (manufacturer indexed declaration; direct download currently errors). Vishay CRCW...C doc28773 https://www.vishay.com/docs/28773/crcwce3.pdf package masses; TI TIDA020076 SLURB87 fitted BOM. Use declared CR0603 1.9339mg classic thick-film composition as a scoped engineering analogue, not a claim of exact Vishay/Yageo paste chemistry. Ceramic1.6618mg=96%alumina/4%silica; conductor0.0447mg=95%Ag/5%glass; film0.0255mg=25%RuO2,40%Ag,15%Pd,20%lead-containingglass; epoxy0.0335mg; NiCr0.0025mg=80%Ni20%Cr; Ni0.0878mg; Sn0.0781mg. Lead-containingglass uses explicit30wt%PbO/70%silica assumption (test0-60%), never alllead. Ordinary conductor glass is flat-glass proxy. 17zero-ohm jumpers use same body/termination but film replaced byAg, a function-based engineering assumption; test alternative pastes rather than claiming analyticallyzeroPd. Retain legitimatePd/Ag/Ru in111nonzero resistors. Ru supplied by existing ZA ruthenium coproduct inventory, not silently substituted byPd; its historical PGM allocation remains unvalidated. RuO2 uses stoichiometric Ru+oxygen and3MJ/kgheat+0.5kWh/kgprocess proxies. 95%known-material retention with matched mixed manufacturing waste,1kWh/kg+5MJ/kg; supplier/plating/printing losses uncertain. Fittedcounts63x0402,21x0603,4x0805,38x1206,2x2010; zero counts1,12,4,0,0. Manufacturer family masses0.65,2,5.5,10mg for firstfour;2010=25.5mg explicit legacy-family engineering mass reference. No unmounted parts. Component mass difference goes to unresolved residual board proxy, preserving70g complete monitorboard; central3g allowance keeps its mass and uses nonzero-family analogue. TerminationSn and assembly solder remain separate. No native/global supplier edits, new EOL or precious-metal credit. Source specific paste variants, resistance dependence, actual Vishay grades, jumper film and2010 mass are coverage/sensitivity gaps.</t>
        </is>
      </c>
    </row>
    <row r="1461">
      <c r="A1461" t="inlineStr">
        <is>
          <t>Exchanges</t>
        </is>
      </c>
    </row>
    <row r="1462">
      <c r="A1462" t="inlineStr">
        <is>
          <t>name</t>
        </is>
      </c>
      <c r="B1462" t="inlineStr">
        <is>
          <t>amount</t>
        </is>
      </c>
      <c r="C1462" t="inlineStr">
        <is>
          <t>location</t>
        </is>
      </c>
      <c r="D1462" t="inlineStr">
        <is>
          <t>unit</t>
        </is>
      </c>
      <c r="E1462" t="inlineStr">
        <is>
          <t>categories</t>
        </is>
      </c>
      <c r="F1462" t="inlineStr">
        <is>
          <t>type</t>
        </is>
      </c>
      <c r="G1462" t="inlineStr">
        <is>
          <t>reference product</t>
        </is>
      </c>
      <c r="H1462" t="inlineStr">
        <is>
          <t>comment</t>
        </is>
      </c>
      <c r="I1462" t="inlineStr">
        <is>
          <t>product</t>
        </is>
      </c>
    </row>
    <row r="1463">
      <c r="A1463" t="inlineStr">
        <is>
          <t>zero-ohm jumper, declared-material engineering reference</t>
        </is>
      </c>
      <c r="B1463">
        <v>1</v>
      </c>
      <c r="C1463" t="inlineStr">
        <is>
          <t>GLO</t>
        </is>
      </c>
      <c r="D1463" t="inlineStr">
        <is>
          <t>kilogram</t>
        </is>
      </c>
      <c r="F1463" t="inlineStr">
        <is>
          <t>production</t>
        </is>
      </c>
      <c r="G1463" t="inlineStr">
        <is>
          <t>zero-ohm jumper, declared-material engineering reference</t>
        </is>
      </c>
      <c r="I1463" t="inlineStr">
        <is>
          <t>zero-ohm jumper, declared-material engineering reference</t>
        </is>
      </c>
    </row>
    <row r="1464">
      <c r="A1464" t="inlineStr">
        <is>
          <t>market for aluminium oxide, non-metallurgical</t>
        </is>
      </c>
      <c r="B1464">
        <v>0.86834512207402</v>
      </c>
      <c r="C1464" t="inlineStr">
        <is>
          <t>IAI Area, EU27 &amp; EFTA</t>
        </is>
      </c>
      <c r="D1464" t="inlineStr">
        <is>
          <t>kilogram</t>
        </is>
      </c>
      <c r="F1464" t="inlineStr">
        <is>
          <t>technosphere</t>
        </is>
      </c>
      <c r="G1464" t="inlineStr">
        <is>
          <t>aluminium oxide, non-metallurgical</t>
        </is>
      </c>
      <c r="I1464" t="inlineStr">
        <is>
          <t>aluminium oxide, non-metallurgical</t>
        </is>
      </c>
    </row>
    <row r="1465">
      <c r="A1465" t="inlineStr">
        <is>
          <t>market for silica sand</t>
        </is>
      </c>
      <c r="B1465">
        <v>0.03618104675308417</v>
      </c>
      <c r="C1465" t="inlineStr">
        <is>
          <t>GLO</t>
        </is>
      </c>
      <c r="D1465" t="inlineStr">
        <is>
          <t>kilogram</t>
        </is>
      </c>
      <c r="F1465" t="inlineStr">
        <is>
          <t>technosphere</t>
        </is>
      </c>
      <c r="G1465" t="inlineStr">
        <is>
          <t>silica sand</t>
        </is>
      </c>
      <c r="I1465" t="inlineStr">
        <is>
          <t>silica sand</t>
        </is>
      </c>
    </row>
    <row r="1466">
      <c r="A1466" t="inlineStr">
        <is>
          <t>market for silver</t>
        </is>
      </c>
      <c r="B1466">
        <v>0.03699369422573964</v>
      </c>
      <c r="C1466" t="inlineStr">
        <is>
          <t>GLO</t>
        </is>
      </c>
      <c r="D1466" t="inlineStr">
        <is>
          <t>kilogram</t>
        </is>
      </c>
      <c r="F1466" t="inlineStr">
        <is>
          <t>technosphere</t>
        </is>
      </c>
      <c r="G1466" t="inlineStr">
        <is>
          <t>silver</t>
        </is>
      </c>
      <c r="I1466" t="inlineStr">
        <is>
          <t>silver</t>
        </is>
      </c>
    </row>
    <row r="1467">
      <c r="A1467" t="inlineStr">
        <is>
          <t>market for flat glass, uncoated</t>
        </is>
      </c>
      <c r="B1467">
        <v>0.0012165218361587303</v>
      </c>
      <c r="C1467" t="inlineStr">
        <is>
          <t>RER</t>
        </is>
      </c>
      <c r="D1467" t="inlineStr">
        <is>
          <t>kilogram</t>
        </is>
      </c>
      <c r="F1467" t="inlineStr">
        <is>
          <t>technosphere</t>
        </is>
      </c>
      <c r="G1467" t="inlineStr">
        <is>
          <t>flat glass, uncoated</t>
        </is>
      </c>
      <c r="I1467" t="inlineStr">
        <is>
          <t>flat glass, uncoated</t>
        </is>
      </c>
    </row>
    <row r="1468">
      <c r="A1468" t="inlineStr">
        <is>
          <t>market for epoxy resin, liquid</t>
        </is>
      </c>
      <c r="B1468">
        <v>0.018234219915578283</v>
      </c>
      <c r="C1468" t="inlineStr">
        <is>
          <t>RER</t>
        </is>
      </c>
      <c r="D1468" t="inlineStr">
        <is>
          <t>kilogram</t>
        </is>
      </c>
      <c r="F1468" t="inlineStr">
        <is>
          <t>technosphere</t>
        </is>
      </c>
      <c r="G1468" t="inlineStr">
        <is>
          <t>epoxy resin, liquid</t>
        </is>
      </c>
      <c r="I1468" t="inlineStr">
        <is>
          <t>epoxy resin, liquid</t>
        </is>
      </c>
    </row>
    <row r="1469">
      <c r="A1469" t="inlineStr">
        <is>
          <t>market for nickel, class 1</t>
        </is>
      </c>
      <c r="B1469">
        <v>0.048878595475191945</v>
      </c>
      <c r="C1469" t="inlineStr">
        <is>
          <t>GLO</t>
        </is>
      </c>
      <c r="D1469" t="inlineStr">
        <is>
          <t>kilogram</t>
        </is>
      </c>
      <c r="F1469" t="inlineStr">
        <is>
          <t>technosphere</t>
        </is>
      </c>
      <c r="G1469" t="inlineStr">
        <is>
          <t>nickel, class 1</t>
        </is>
      </c>
      <c r="I1469" t="inlineStr">
        <is>
          <t>nickel, class 1</t>
        </is>
      </c>
    </row>
    <row r="1470">
      <c r="A1470" t="inlineStr">
        <is>
          <t>market for chromium</t>
        </is>
      </c>
      <c r="B1470">
        <v>0.00027215253605340724</v>
      </c>
      <c r="C1470" t="inlineStr">
        <is>
          <t>GLO</t>
        </is>
      </c>
      <c r="D1470" t="inlineStr">
        <is>
          <t>kilogram</t>
        </is>
      </c>
      <c r="F1470" t="inlineStr">
        <is>
          <t>technosphere</t>
        </is>
      </c>
      <c r="G1470" t="inlineStr">
        <is>
          <t>chromium</t>
        </is>
      </c>
      <c r="I1470" t="inlineStr">
        <is>
          <t>chromium</t>
        </is>
      </c>
    </row>
    <row r="1471">
      <c r="A1471" t="inlineStr">
        <is>
          <t>market for tin</t>
        </is>
      </c>
      <c r="B1471">
        <v>0.04251022613154221</v>
      </c>
      <c r="C1471" t="inlineStr">
        <is>
          <t>GLO</t>
        </is>
      </c>
      <c r="D1471" t="inlineStr">
        <is>
          <t>kilogram</t>
        </is>
      </c>
      <c r="F1471" t="inlineStr">
        <is>
          <t>technosphere</t>
        </is>
      </c>
      <c r="G1471" t="inlineStr">
        <is>
          <t>tin</t>
        </is>
      </c>
      <c r="I1471" t="inlineStr">
        <is>
          <t>tin</t>
        </is>
      </c>
    </row>
    <row r="1472">
      <c r="A1472" t="inlineStr">
        <is>
          <t>market for hazardous waste, for incineration</t>
        </is>
      </c>
      <c r="B1472">
        <v>-0.05263157894736836</v>
      </c>
      <c r="C1472" t="inlineStr">
        <is>
          <t>RoW</t>
        </is>
      </c>
      <c r="D1472" t="inlineStr">
        <is>
          <t>kilogram</t>
        </is>
      </c>
      <c r="F1472" t="inlineStr">
        <is>
          <t>technosphere</t>
        </is>
      </c>
      <c r="G1472" t="inlineStr">
        <is>
          <t>hazardous waste, for incineration</t>
        </is>
      </c>
      <c r="I1472" t="inlineStr">
        <is>
          <t>hazardous waste, for incineration</t>
        </is>
      </c>
    </row>
    <row r="1473">
      <c r="A1473" t="inlineStr">
        <is>
          <t>market group for electricity, medium voltage</t>
        </is>
      </c>
      <c r="B1473">
        <v>1</v>
      </c>
      <c r="C1473" t="inlineStr">
        <is>
          <t>GLO</t>
        </is>
      </c>
      <c r="D1473" t="inlineStr">
        <is>
          <t>kilowatt hour</t>
        </is>
      </c>
      <c r="F1473" t="inlineStr">
        <is>
          <t>technosphere</t>
        </is>
      </c>
      <c r="G1473" t="inlineStr">
        <is>
          <t>electricity, medium voltage</t>
        </is>
      </c>
      <c r="I1473" t="inlineStr">
        <is>
          <t>electricity, medium voltage</t>
        </is>
      </c>
    </row>
    <row r="1474">
      <c r="A1474" t="inlineStr">
        <is>
          <t>market for heat, district or industrial, natural gas</t>
        </is>
      </c>
      <c r="B1474">
        <v>5</v>
      </c>
      <c r="C1474" t="inlineStr">
        <is>
          <t>RoW</t>
        </is>
      </c>
      <c r="D1474" t="inlineStr">
        <is>
          <t>megajoule</t>
        </is>
      </c>
      <c r="F1474" t="inlineStr">
        <is>
          <t>technosphere</t>
        </is>
      </c>
      <c r="G1474" t="inlineStr">
        <is>
          <t>heat, district or industrial, natural gas</t>
        </is>
      </c>
      <c r="I1474" t="inlineStr">
        <is>
          <t>heat, district or industrial, natural gas</t>
        </is>
      </c>
    </row>
    <row r="1477">
      <c r="A1477" t="inlineStr">
        <is>
          <t>Activity</t>
        </is>
      </c>
      <c r="B1477" t="inlineStr">
        <is>
          <t>resistor set, 128 fitted battery monitor parts, engineering reference</t>
        </is>
      </c>
    </row>
    <row r="1478">
      <c r="A1478" t="inlineStr">
        <is>
          <t>location</t>
        </is>
      </c>
      <c r="B1478" t="inlineStr">
        <is>
          <t>GLO</t>
        </is>
      </c>
    </row>
    <row r="1479">
      <c r="A1479" t="inlineStr">
        <is>
          <t>production amount</t>
        </is>
      </c>
      <c r="B1479">
        <v>1</v>
      </c>
    </row>
    <row r="1480">
      <c r="A1480" t="inlineStr">
        <is>
          <t>reference product</t>
        </is>
      </c>
      <c r="B1480" t="inlineStr">
        <is>
          <t>resistor set, 128 fitted battery monitor parts, engineering reference</t>
        </is>
      </c>
    </row>
    <row r="1481">
      <c r="A1481" t="inlineStr">
        <is>
          <t>unit</t>
        </is>
      </c>
      <c r="B1481" t="inlineStr">
        <is>
          <t>unit</t>
        </is>
      </c>
    </row>
    <row r="1482">
      <c r="A1482" t="inlineStr">
        <is>
          <t>source</t>
        </is>
      </c>
      <c r="B1482" t="inlineStr">
        <is>
          <t>Bourns CR0603 Material Declaration,2022-08-01, https://www.bourns.com/docs/product-mds/cr0603_mds.pdf?sfvrsn=d79410bf_3 (manufacturer indexed declaration; direct download currently errors). Vishay CRCW...C doc28773 https://www.vishay.com/docs/28773/crcwce3.pdf package masses; TI TIDA020076 SLURB87 fitted BOM.</t>
        </is>
      </c>
    </row>
    <row r="1483">
      <c r="A1483" t="inlineStr">
        <is>
          <t>comment</t>
        </is>
      </c>
      <c r="B1483" t="inlineStr">
        <is>
          <t>APPROVED RESISTOR FUNCTION/MATERIAL REFERENCE, issue56, 2026-10-18. Bourns CR0603 Material Declaration,2022-08-01, https://www.bourns.com/docs/product-mds/cr0603_mds.pdf?sfvrsn=d79410bf_3 (manufacturer indexed declaration; direct download currently errors). Vishay CRCW...C doc28773 https://www.vishay.com/docs/28773/crcwce3.pdf package masses; TI TIDA020076 SLURB87 fitted BOM. Use declared CR0603 1.9339mg classic thick-film composition as a scoped engineering analogue, not a claim of exact Vishay/Yageo paste chemistry. Ceramic1.6618mg=96%alumina/4%silica; conductor0.0447mg=95%Ag/5%glass; film0.0255mg=25%RuO2,40%Ag,15%Pd,20%lead-containingglass; epoxy0.0335mg; NiCr0.0025mg=80%Ni20%Cr; Ni0.0878mg; Sn0.0781mg. Lead-containingglass uses explicit30wt%PbO/70%silica assumption (test0-60%), never alllead. Ordinary conductor glass is flat-glass proxy. 17zero-ohm jumpers use same body/termination but film replaced byAg, a function-based engineering assumption; test alternative pastes rather than claiming analyticallyzeroPd. Retain legitimatePd/Ag/Ru in111nonzero resistors. Ru supplied by existing ZA ruthenium coproduct inventory, not silently substituted byPd; its historical PGM allocation remains unvalidated. RuO2 uses stoichiometric Ru+oxygen and3MJ/kgheat+0.5kWh/kgprocess proxies. 95%known-material retention with matched mixed manufacturing waste,1kWh/kg+5MJ/kg; supplier/plating/printing losses uncertain. Fittedcounts63x0402,21x0603,4x0805,38x1206,2x2010; zero counts1,12,4,0,0. Manufacturer family masses0.65,2,5.5,10mg for firstfour;2010=25.5mg explicit legacy-family engineering mass reference. No unmounted parts. Component mass difference goes to unresolved residual board proxy, preserving70g complete monitorboard; central3g allowance keeps its mass and uses nonzero-family analogue. TerminationSn and assembly solder remain separate. No native/global supplier edits, new EOL or precious-metal credit. Source specific paste variants, resistance dependence, actual Vishay grades, jumper film and2010 mass are coverage/sensitivity gaps.</t>
        </is>
      </c>
    </row>
    <row r="1484">
      <c r="A1484" t="inlineStr">
        <is>
          <t>Exchanges</t>
        </is>
      </c>
    </row>
    <row r="1485">
      <c r="A1485" t="inlineStr">
        <is>
          <t>name</t>
        </is>
      </c>
      <c r="B1485" t="inlineStr">
        <is>
          <t>amount</t>
        </is>
      </c>
      <c r="C1485" t="inlineStr">
        <is>
          <t>location</t>
        </is>
      </c>
      <c r="D1485" t="inlineStr">
        <is>
          <t>unit</t>
        </is>
      </c>
      <c r="E1485" t="inlineStr">
        <is>
          <t>categories</t>
        </is>
      </c>
      <c r="F1485" t="inlineStr">
        <is>
          <t>type</t>
        </is>
      </c>
      <c r="G1485" t="inlineStr">
        <is>
          <t>reference product</t>
        </is>
      </c>
      <c r="H1485" t="inlineStr">
        <is>
          <t>comment</t>
        </is>
      </c>
      <c r="I1485" t="inlineStr">
        <is>
          <t>product</t>
        </is>
      </c>
    </row>
    <row r="1486">
      <c r="A1486" t="inlineStr">
        <is>
          <t>resistor set, 128 fitted battery monitor parts, engineering reference</t>
        </is>
      </c>
      <c r="B1486">
        <v>1</v>
      </c>
      <c r="C1486" t="inlineStr">
        <is>
          <t>GLO</t>
        </is>
      </c>
      <c r="D1486" t="inlineStr">
        <is>
          <t>unit</t>
        </is>
      </c>
      <c r="F1486" t="inlineStr">
        <is>
          <t>production</t>
        </is>
      </c>
      <c r="G1486" t="inlineStr">
        <is>
          <t>resistor set, 128 fitted battery monitor parts, engineering reference</t>
        </is>
      </c>
      <c r="I1486" t="inlineStr">
        <is>
          <t>resistor set, 128 fitted battery monitor parts, engineering reference</t>
        </is>
      </c>
    </row>
    <row r="1487">
      <c r="A1487" t="inlineStr">
        <is>
          <t>thick-film resistor, declared-material engineering reference</t>
        </is>
      </c>
      <c r="B1487">
        <v>0.0004893</v>
      </c>
      <c r="C1487" t="inlineStr">
        <is>
          <t>GLO</t>
        </is>
      </c>
      <c r="D1487" t="inlineStr">
        <is>
          <t>kilogram</t>
        </is>
      </c>
      <c r="F1487" t="inlineStr">
        <is>
          <t>technosphere</t>
        </is>
      </c>
      <c r="G1487" t="inlineStr">
        <is>
          <t>thick-film resistor, declared-material engineering reference</t>
        </is>
      </c>
      <c r="I1487" t="inlineStr">
        <is>
          <t>thick-film resistor, declared-material engineering reference</t>
        </is>
      </c>
    </row>
    <row r="1488">
      <c r="A1488" t="inlineStr">
        <is>
          <t>zero-ohm jumper, declared-material engineering reference</t>
        </is>
      </c>
      <c r="B1488">
        <v>4.6649999999999996e-05</v>
      </c>
      <c r="C1488" t="inlineStr">
        <is>
          <t>GLO</t>
        </is>
      </c>
      <c r="D1488" t="inlineStr">
        <is>
          <t>kilogram</t>
        </is>
      </c>
      <c r="F1488" t="inlineStr">
        <is>
          <t>technosphere</t>
        </is>
      </c>
      <c r="G1488" t="inlineStr">
        <is>
          <t>zero-ohm jumper, declared-material engineering reference</t>
        </is>
      </c>
      <c r="I1488" t="inlineStr">
        <is>
          <t>zero-ohm jumper, declared-material engineering reference</t>
        </is>
      </c>
    </row>
    <row r="1491">
      <c r="A1491" t="inlineStr">
        <is>
          <t>Activity</t>
        </is>
      </c>
      <c r="B1491" t="inlineStr">
        <is>
          <t>semiconductor package, CC2662R1FTWRGZRQ1, declared material reference</t>
        </is>
      </c>
    </row>
    <row r="1492">
      <c r="A1492" t="inlineStr">
        <is>
          <t>location</t>
        </is>
      </c>
      <c r="B1492" t="inlineStr">
        <is>
          <t>GLO</t>
        </is>
      </c>
    </row>
    <row r="1493">
      <c r="A1493" t="inlineStr">
        <is>
          <t>production amount</t>
        </is>
      </c>
      <c r="B1493">
        <v>1</v>
      </c>
    </row>
    <row r="1494">
      <c r="A1494" t="inlineStr">
        <is>
          <t>reference product</t>
        </is>
      </c>
      <c r="B1494" t="inlineStr">
        <is>
          <t>semiconductor package, CC2662R1FTWRGZRQ1, declared material reference</t>
        </is>
      </c>
    </row>
    <row r="1495">
      <c r="A1495" t="inlineStr">
        <is>
          <t>unit</t>
        </is>
      </c>
      <c r="B1495" t="inlineStr">
        <is>
          <t>unit</t>
        </is>
      </c>
    </row>
    <row r="1496">
      <c r="A1496" t="inlineStr">
        <is>
          <t>source</t>
        </is>
      </c>
      <c r="B1496" t="inlineStr">
        <is>
          <t>TI manufacturer material-content reports https://www.ti.com/quality-reliability-packaging-download/de-de/report?opn=LM5168FQDDARQ1 ; ?opn=TXU0204QPWRQ1 ; ?opn=CC2662R1FTWRGZRQ1 , accessed2026-10-18; TI TIDA020076 fitted BOM and CC2662 WBMS controller guide.</t>
        </is>
      </c>
    </row>
    <row r="1497">
      <c r="A1497" t="inlineStr">
        <is>
          <t>comment</t>
        </is>
      </c>
      <c r="B1497" t="inlineStr">
        <is>
          <t>APPROVED PACKAGE-SPECIFIC CONTROL SEMICONDUCTORS, issue57, 2026-10-18. TI manufacturer material-content reports https://www.ti.com/quality-reliability-packaging-download/de-de/report?opn=LM5168FQDDARQ1 ; ?opn=TXU0204QPWRQ1 ; ?opn=CC2662R1FTWRGZRQ1 , accessed2026-10-18; TI TIDA020076 fitted BOM and CC2662 WBMS controller guide. Use one explicitly selected first returned material declaration per part, never sum alternative assembly-site tables. LM5168 FlyBuck regulator,TXU0204 logic translator andCC2662 WBMS MCU have distinct die,frame,bonds,mold and plating. Sum constituent rows excluding subtotals to recover declared package mass. Retain actual Zn alloying,Ag attach and Au/Pd plating; no arbitraryZn-for-Sb conversion or global antimony deletion. Sb is not listed in these selected declarations, which is not proof of analyticalzeroSb in all electronics. Purchase fabricated die wafer area from declared Si mass at explicit300micrometrethickness,2330kg/m3; no second rawSi charge. Silica-sand supply is an explicit fused-silica proxy with missing fusion/purity energy. Fe uses lowalloy steel proxy, resin uses epoxy/phenolic analogues, elementalP/chlorine feeds are nominal material proxies. Proprietary composition remains unresolved. Package assembly1kWh/kg and100%final retention are engineering assumptions,not suppliermeasured yield or complete semiconductor packaging LCI. Module priorlogic allowances1.5g and0.4g are replaced by oneTXU and oneLM5168 package,consistent with fitted reference parts; released mass remains explicitly unresolved board components. Other actualMCU/isolation packages are still coveragegaps,not proven identical. Central5gMCU allowance becomes oneCC2662 (firstselectedsite) and residual mass,not dozens of fictitious MCU packages. BQ79616 monitor package unchanged. Fixed70g/490g board budgets and their downstream endoflife retained. No motherboard/chassis electronics added. Process service, film,purity,actualsite and unknown-component sensitivity remain necessary; no certifiedexactvehicleBOM claim.</t>
        </is>
      </c>
    </row>
    <row r="1498">
      <c r="A1498" t="inlineStr">
        <is>
          <t>Exchanges</t>
        </is>
      </c>
    </row>
    <row r="1499">
      <c r="A1499" t="inlineStr">
        <is>
          <t>name</t>
        </is>
      </c>
      <c r="B1499" t="inlineStr">
        <is>
          <t>amount</t>
        </is>
      </c>
      <c r="C1499" t="inlineStr">
        <is>
          <t>location</t>
        </is>
      </c>
      <c r="D1499" t="inlineStr">
        <is>
          <t>unit</t>
        </is>
      </c>
      <c r="E1499" t="inlineStr">
        <is>
          <t>categories</t>
        </is>
      </c>
      <c r="F1499" t="inlineStr">
        <is>
          <t>type</t>
        </is>
      </c>
      <c r="G1499" t="inlineStr">
        <is>
          <t>reference product</t>
        </is>
      </c>
      <c r="H1499" t="inlineStr">
        <is>
          <t>comment</t>
        </is>
      </c>
      <c r="I1499" t="inlineStr">
        <is>
          <t>product</t>
        </is>
      </c>
    </row>
    <row r="1500">
      <c r="A1500" t="inlineStr">
        <is>
          <t>semiconductor package, CC2662R1FTWRGZRQ1, declared material reference</t>
        </is>
      </c>
      <c r="B1500">
        <v>1</v>
      </c>
      <c r="C1500" t="inlineStr">
        <is>
          <t>GLO</t>
        </is>
      </c>
      <c r="D1500" t="inlineStr">
        <is>
          <t>unit</t>
        </is>
      </c>
      <c r="F1500" t="inlineStr">
        <is>
          <t>production</t>
        </is>
      </c>
      <c r="G1500" t="inlineStr">
        <is>
          <t>semiconductor package, CC2662R1FTWRGZRQ1, declared material reference</t>
        </is>
      </c>
      <c r="I1500" t="inlineStr">
        <is>
          <t>semiconductor package, CC2662R1FTWRGZRQ1, declared material reference</t>
        </is>
      </c>
    </row>
    <row r="1501">
      <c r="A1501" t="inlineStr">
        <is>
          <t>market for copper, cathode</t>
        </is>
      </c>
      <c r="B1501">
        <v>5.935076499999999e-05</v>
      </c>
      <c r="C1501" t="inlineStr">
        <is>
          <t>GLO</t>
        </is>
      </c>
      <c r="D1501" t="inlineStr">
        <is>
          <t>kilogram</t>
        </is>
      </c>
      <c r="F1501" t="inlineStr">
        <is>
          <t>technosphere</t>
        </is>
      </c>
      <c r="G1501" t="inlineStr">
        <is>
          <t>copper, cathode</t>
        </is>
      </c>
      <c r="I1501" t="inlineStr">
        <is>
          <t>copper, cathode</t>
        </is>
      </c>
    </row>
    <row r="1502">
      <c r="A1502" t="inlineStr">
        <is>
          <t>market for nickel, class 1</t>
        </is>
      </c>
      <c r="B1502">
        <v>1.36973e-06</v>
      </c>
      <c r="C1502" t="inlineStr">
        <is>
          <t>GLO</t>
        </is>
      </c>
      <c r="D1502" t="inlineStr">
        <is>
          <t>kilogram</t>
        </is>
      </c>
      <c r="F1502" t="inlineStr">
        <is>
          <t>technosphere</t>
        </is>
      </c>
      <c r="G1502" t="inlineStr">
        <is>
          <t>nickel, class 1</t>
        </is>
      </c>
      <c r="I1502" t="inlineStr">
        <is>
          <t>nickel, class 1</t>
        </is>
      </c>
    </row>
    <row r="1503">
      <c r="A1503" t="inlineStr">
        <is>
          <t>market for gold</t>
        </is>
      </c>
      <c r="B1503">
        <v>1.1396e-08</v>
      </c>
      <c r="C1503" t="inlineStr">
        <is>
          <t>GLO</t>
        </is>
      </c>
      <c r="D1503" t="inlineStr">
        <is>
          <t>kilogram</t>
        </is>
      </c>
      <c r="F1503" t="inlineStr">
        <is>
          <t>technosphere</t>
        </is>
      </c>
      <c r="G1503" t="inlineStr">
        <is>
          <t>gold</t>
        </is>
      </c>
      <c r="I1503" t="inlineStr">
        <is>
          <t>gold</t>
        </is>
      </c>
    </row>
    <row r="1504">
      <c r="A1504" t="inlineStr">
        <is>
          <t>market for palladium</t>
        </is>
      </c>
      <c r="B1504">
        <v>6.671100000000001e-08</v>
      </c>
      <c r="C1504" t="inlineStr">
        <is>
          <t>GLO</t>
        </is>
      </c>
      <c r="D1504" t="inlineStr">
        <is>
          <t>kilogram</t>
        </is>
      </c>
      <c r="F1504" t="inlineStr">
        <is>
          <t>technosphere</t>
        </is>
      </c>
      <c r="G1504" t="inlineStr">
        <is>
          <t>palladium</t>
        </is>
      </c>
      <c r="I1504" t="inlineStr">
        <is>
          <t>palladium</t>
        </is>
      </c>
    </row>
    <row r="1505">
      <c r="A1505" t="inlineStr">
        <is>
          <t>market for silver</t>
        </is>
      </c>
      <c r="B1505">
        <v>1.7926779999999998e-06</v>
      </c>
      <c r="C1505" t="inlineStr">
        <is>
          <t>GLO</t>
        </is>
      </c>
      <c r="D1505" t="inlineStr">
        <is>
          <t>kilogram</t>
        </is>
      </c>
      <c r="F1505" t="inlineStr">
        <is>
          <t>technosphere</t>
        </is>
      </c>
      <c r="G1505" t="inlineStr">
        <is>
          <t>silver</t>
        </is>
      </c>
      <c r="I1505" t="inlineStr">
        <is>
          <t>silver</t>
        </is>
      </c>
    </row>
    <row r="1506">
      <c r="A1506" t="inlineStr">
        <is>
          <t>market for epoxy resin, liquid</t>
        </is>
      </c>
      <c r="B1506">
        <v>8.789149999999999e-06</v>
      </c>
      <c r="C1506" t="inlineStr">
        <is>
          <t>RER</t>
        </is>
      </c>
      <c r="D1506" t="inlineStr">
        <is>
          <t>kilogram</t>
        </is>
      </c>
      <c r="F1506" t="inlineStr">
        <is>
          <t>technosphere</t>
        </is>
      </c>
      <c r="G1506" t="inlineStr">
        <is>
          <t>epoxy resin, liquid</t>
        </is>
      </c>
      <c r="I1506" t="inlineStr">
        <is>
          <t>epoxy resin, liquid</t>
        </is>
      </c>
    </row>
    <row r="1507">
      <c r="A1507" t="inlineStr">
        <is>
          <t>market for steel, low-alloyed</t>
        </is>
      </c>
      <c r="B1507">
        <v>1.3915e-06</v>
      </c>
      <c r="C1507" t="inlineStr">
        <is>
          <t>GLO</t>
        </is>
      </c>
      <c r="D1507" t="inlineStr">
        <is>
          <t>kilogram</t>
        </is>
      </c>
      <c r="F1507" t="inlineStr">
        <is>
          <t>technosphere</t>
        </is>
      </c>
      <c r="G1507" t="inlineStr">
        <is>
          <t>steel, low-alloyed</t>
        </is>
      </c>
      <c r="I1507" t="inlineStr">
        <is>
          <t>steel, low-alloyed</t>
        </is>
      </c>
    </row>
    <row r="1508">
      <c r="A1508" t="inlineStr">
        <is>
          <t>market for phosphorus, white, liquid</t>
        </is>
      </c>
      <c r="B1508">
        <v>9.074999999999999e-09</v>
      </c>
      <c r="C1508" t="inlineStr">
        <is>
          <t>GLO</t>
        </is>
      </c>
      <c r="D1508" t="inlineStr">
        <is>
          <t>kilogram</t>
        </is>
      </c>
      <c r="F1508" t="inlineStr">
        <is>
          <t>technosphere</t>
        </is>
      </c>
      <c r="G1508" t="inlineStr">
        <is>
          <t>phosphorus, white, liquid</t>
        </is>
      </c>
      <c r="I1508" t="inlineStr">
        <is>
          <t>phosphorus, white, liquid</t>
        </is>
      </c>
    </row>
    <row r="1509">
      <c r="A1509" t="inlineStr">
        <is>
          <t>market for zinc</t>
        </is>
      </c>
      <c r="B1509">
        <v>6.049999999999999e-08</v>
      </c>
      <c r="C1509" t="inlineStr">
        <is>
          <t>GLO</t>
        </is>
      </c>
      <c r="D1509" t="inlineStr">
        <is>
          <t>kilogram</t>
        </is>
      </c>
      <c r="F1509" t="inlineStr">
        <is>
          <t>technosphere</t>
        </is>
      </c>
      <c r="G1509" t="inlineStr">
        <is>
          <t>zinc</t>
        </is>
      </c>
      <c r="I1509" t="inlineStr">
        <is>
          <t>zinc</t>
        </is>
      </c>
    </row>
    <row r="1510">
      <c r="A1510" t="inlineStr">
        <is>
          <t>market for silica sand</t>
        </is>
      </c>
      <c r="B1510">
        <v>6.2740964e-05</v>
      </c>
      <c r="C1510" t="inlineStr">
        <is>
          <t>GLO</t>
        </is>
      </c>
      <c r="D1510" t="inlineStr">
        <is>
          <t>kilogram</t>
        </is>
      </c>
      <c r="F1510" t="inlineStr">
        <is>
          <t>technosphere</t>
        </is>
      </c>
      <c r="G1510" t="inlineStr">
        <is>
          <t>silica sand</t>
        </is>
      </c>
      <c r="I1510" t="inlineStr">
        <is>
          <t>silica sand</t>
        </is>
      </c>
    </row>
    <row r="1511">
      <c r="A1511" t="inlineStr">
        <is>
          <t>market for carbon black</t>
        </is>
      </c>
      <c r="B1511">
        <v>2.1389e-07</v>
      </c>
      <c r="C1511" t="inlineStr">
        <is>
          <t>GLO</t>
        </is>
      </c>
      <c r="D1511" t="inlineStr">
        <is>
          <t>kilogram</t>
        </is>
      </c>
      <c r="F1511" t="inlineStr">
        <is>
          <t>technosphere</t>
        </is>
      </c>
      <c r="G1511" t="inlineStr">
        <is>
          <t>carbon black</t>
        </is>
      </c>
      <c r="I1511" t="inlineStr">
        <is>
          <t>carbon black</t>
        </is>
      </c>
    </row>
    <row r="1512">
      <c r="A1512" t="inlineStr">
        <is>
          <t>market for chlorine, gaseous</t>
        </is>
      </c>
      <c r="B1512">
        <v>7.129999999999999e-10</v>
      </c>
      <c r="C1512" t="inlineStr">
        <is>
          <t>RER</t>
        </is>
      </c>
      <c r="D1512" t="inlineStr">
        <is>
          <t>kilogram</t>
        </is>
      </c>
      <c r="F1512" t="inlineStr">
        <is>
          <t>technosphere</t>
        </is>
      </c>
      <c r="G1512" t="inlineStr">
        <is>
          <t>chlorine, gaseous</t>
        </is>
      </c>
      <c r="I1512" t="inlineStr">
        <is>
          <t>chlorine, gaseous</t>
        </is>
      </c>
    </row>
    <row r="1513">
      <c r="A1513" t="inlineStr">
        <is>
          <t>market for wafer, fabricated, for integrated circuit</t>
        </is>
      </c>
      <c r="B1513">
        <v>9.967440629470673e-06</v>
      </c>
      <c r="C1513" t="inlineStr">
        <is>
          <t>GLO</t>
        </is>
      </c>
      <c r="D1513" t="inlineStr">
        <is>
          <t>square meter</t>
        </is>
      </c>
      <c r="F1513" t="inlineStr">
        <is>
          <t>technosphere</t>
        </is>
      </c>
      <c r="G1513" t="inlineStr">
        <is>
          <t>wafer, fabricated, for integrated circuit</t>
        </is>
      </c>
      <c r="I1513" t="inlineStr">
        <is>
          <t>wafer, fabricated, for integrated circuit</t>
        </is>
      </c>
    </row>
    <row r="1514">
      <c r="A1514" t="inlineStr">
        <is>
          <t>market group for electricity, medium voltage</t>
        </is>
      </c>
      <c r="B1514">
        <v>0.00014276434799999994</v>
      </c>
      <c r="C1514" t="inlineStr">
        <is>
          <t>GLO</t>
        </is>
      </c>
      <c r="D1514" t="inlineStr">
        <is>
          <t>kilowatt hour</t>
        </is>
      </c>
      <c r="F1514" t="inlineStr">
        <is>
          <t>technosphere</t>
        </is>
      </c>
      <c r="G1514" t="inlineStr">
        <is>
          <t>electricity, medium voltage</t>
        </is>
      </c>
      <c r="I1514" t="inlineStr">
        <is>
          <t>electricity, medium voltage</t>
        </is>
      </c>
    </row>
    <row r="1517">
      <c r="A1517" t="inlineStr">
        <is>
          <t>Activity</t>
        </is>
      </c>
      <c r="B1517" t="inlineStr">
        <is>
          <t>semiconductor package, LM5168FQDDARQ1, declared material reference</t>
        </is>
      </c>
    </row>
    <row r="1518">
      <c r="A1518" t="inlineStr">
        <is>
          <t>location</t>
        </is>
      </c>
      <c r="B1518" t="inlineStr">
        <is>
          <t>GLO</t>
        </is>
      </c>
    </row>
    <row r="1519">
      <c r="A1519" t="inlineStr">
        <is>
          <t>production amount</t>
        </is>
      </c>
      <c r="B1519">
        <v>1</v>
      </c>
    </row>
    <row r="1520">
      <c r="A1520" t="inlineStr">
        <is>
          <t>reference product</t>
        </is>
      </c>
      <c r="B1520" t="inlineStr">
        <is>
          <t>semiconductor package, LM5168FQDDARQ1, declared material reference</t>
        </is>
      </c>
    </row>
    <row r="1521">
      <c r="A1521" t="inlineStr">
        <is>
          <t>unit</t>
        </is>
      </c>
      <c r="B1521" t="inlineStr">
        <is>
          <t>unit</t>
        </is>
      </c>
    </row>
    <row r="1522">
      <c r="A1522" t="inlineStr">
        <is>
          <t>source</t>
        </is>
      </c>
      <c r="B1522" t="inlineStr">
        <is>
          <t>TI manufacturer material-content reports https://www.ti.com/quality-reliability-packaging-download/de-de/report?opn=LM5168FQDDARQ1 ; ?opn=TXU0204QPWRQ1 ; ?opn=CC2662R1FTWRGZRQ1 , accessed2026-10-18; TI TIDA020076 fitted BOM and CC2662 WBMS controller guide.</t>
        </is>
      </c>
    </row>
    <row r="1523">
      <c r="A1523" t="inlineStr">
        <is>
          <t>comment</t>
        </is>
      </c>
      <c r="B1523" t="inlineStr">
        <is>
          <t>APPROVED PACKAGE-SPECIFIC CONTROL SEMICONDUCTORS, issue57, 2026-10-18. TI manufacturer material-content reports https://www.ti.com/quality-reliability-packaging-download/de-de/report?opn=LM5168FQDDARQ1 ; ?opn=TXU0204QPWRQ1 ; ?opn=CC2662R1FTWRGZRQ1 , accessed2026-10-18; TI TIDA020076 fitted BOM and CC2662 WBMS controller guide. Use one explicitly selected first returned material declaration per part, never sum alternative assembly-site tables. LM5168 FlyBuck regulator,TXU0204 logic translator andCC2662 WBMS MCU have distinct die,frame,bonds,mold and plating. Sum constituent rows excluding subtotals to recover declared package mass. Retain actual Zn alloying,Ag attach and Au/Pd plating; no arbitraryZn-for-Sb conversion or global antimony deletion. Sb is not listed in these selected declarations, which is not proof of analyticalzeroSb in all electronics. Purchase fabricated die wafer area from declared Si mass at explicit300micrometrethickness,2330kg/m3; no second rawSi charge. Silica-sand supply is an explicit fused-silica proxy with missing fusion/purity energy. Fe uses lowalloy steel proxy, resin uses epoxy/phenolic analogues, elementalP/chlorine feeds are nominal material proxies. Proprietary composition remains unresolved. Package assembly1kWh/kg and100%final retention are engineering assumptions,not suppliermeasured yield or complete semiconductor packaging LCI. Module priorlogic allowances1.5g and0.4g are replaced by oneTXU and oneLM5168 package,consistent with fitted reference parts; released mass remains explicitly unresolved board components. Other actualMCU/isolation packages are still coveragegaps,not proven identical. Central5gMCU allowance becomes oneCC2662 (firstselectedsite) and residual mass,not dozens of fictitious MCU packages. BQ79616 monitor package unchanged. Fixed70g/490g board budgets and their downstream endoflife retained. No motherboard/chassis electronics added. Process service, film,purity,actualsite and unknown-component sensitivity remain necessary; no certifiedexactvehicleBOM claim.</t>
        </is>
      </c>
    </row>
    <row r="1524">
      <c r="A1524" t="inlineStr">
        <is>
          <t>Exchanges</t>
        </is>
      </c>
    </row>
    <row r="1525">
      <c r="A1525" t="inlineStr">
        <is>
          <t>name</t>
        </is>
      </c>
      <c r="B1525" t="inlineStr">
        <is>
          <t>amount</t>
        </is>
      </c>
      <c r="C1525" t="inlineStr">
        <is>
          <t>location</t>
        </is>
      </c>
      <c r="D1525" t="inlineStr">
        <is>
          <t>unit</t>
        </is>
      </c>
      <c r="E1525" t="inlineStr">
        <is>
          <t>categories</t>
        </is>
      </c>
      <c r="F1525" t="inlineStr">
        <is>
          <t>type</t>
        </is>
      </c>
      <c r="G1525" t="inlineStr">
        <is>
          <t>reference product</t>
        </is>
      </c>
      <c r="H1525" t="inlineStr">
        <is>
          <t>comment</t>
        </is>
      </c>
      <c r="I1525" t="inlineStr">
        <is>
          <t>product</t>
        </is>
      </c>
    </row>
    <row r="1526">
      <c r="A1526" t="inlineStr">
        <is>
          <t>semiconductor package, LM5168FQDDARQ1, declared material reference</t>
        </is>
      </c>
      <c r="B1526">
        <v>1</v>
      </c>
      <c r="C1526" t="inlineStr">
        <is>
          <t>GLO</t>
        </is>
      </c>
      <c r="D1526" t="inlineStr">
        <is>
          <t>unit</t>
        </is>
      </c>
      <c r="F1526" t="inlineStr">
        <is>
          <t>production</t>
        </is>
      </c>
      <c r="G1526" t="inlineStr">
        <is>
          <t>semiconductor package, LM5168FQDDARQ1, declared material reference</t>
        </is>
      </c>
      <c r="I1526" t="inlineStr">
        <is>
          <t>semiconductor package, LM5168FQDDARQ1, declared material reference</t>
        </is>
      </c>
    </row>
    <row r="1527">
      <c r="A1527" t="inlineStr">
        <is>
          <t>market for copper, cathode</t>
        </is>
      </c>
      <c r="B1527">
        <v>4.1931086e-05</v>
      </c>
      <c r="C1527" t="inlineStr">
        <is>
          <t>GLO</t>
        </is>
      </c>
      <c r="D1527" t="inlineStr">
        <is>
          <t>kilogram</t>
        </is>
      </c>
      <c r="F1527" t="inlineStr">
        <is>
          <t>technosphere</t>
        </is>
      </c>
      <c r="G1527" t="inlineStr">
        <is>
          <t>copper, cathode</t>
        </is>
      </c>
      <c r="I1527" t="inlineStr">
        <is>
          <t>copper, cathode</t>
        </is>
      </c>
    </row>
    <row r="1528">
      <c r="A1528" t="inlineStr">
        <is>
          <t>market for gold</t>
        </is>
      </c>
      <c r="B1528">
        <v>8.53e-09</v>
      </c>
      <c r="C1528" t="inlineStr">
        <is>
          <t>GLO</t>
        </is>
      </c>
      <c r="D1528" t="inlineStr">
        <is>
          <t>kilogram</t>
        </is>
      </c>
      <c r="F1528" t="inlineStr">
        <is>
          <t>technosphere</t>
        </is>
      </c>
      <c r="G1528" t="inlineStr">
        <is>
          <t>gold</t>
        </is>
      </c>
      <c r="I1528" t="inlineStr">
        <is>
          <t>gold</t>
        </is>
      </c>
    </row>
    <row r="1529">
      <c r="A1529" t="inlineStr">
        <is>
          <t>market for palladium</t>
        </is>
      </c>
      <c r="B1529">
        <v>4.4704e-08</v>
      </c>
      <c r="C1529" t="inlineStr">
        <is>
          <t>GLO</t>
        </is>
      </c>
      <c r="D1529" t="inlineStr">
        <is>
          <t>kilogram</t>
        </is>
      </c>
      <c r="F1529" t="inlineStr">
        <is>
          <t>technosphere</t>
        </is>
      </c>
      <c r="G1529" t="inlineStr">
        <is>
          <t>palladium</t>
        </is>
      </c>
      <c r="I1529" t="inlineStr">
        <is>
          <t>palladium</t>
        </is>
      </c>
    </row>
    <row r="1530">
      <c r="A1530" t="inlineStr">
        <is>
          <t>market for silver</t>
        </is>
      </c>
      <c r="B1530">
        <v>6.62439e-07</v>
      </c>
      <c r="C1530" t="inlineStr">
        <is>
          <t>GLO</t>
        </is>
      </c>
      <c r="D1530" t="inlineStr">
        <is>
          <t>kilogram</t>
        </is>
      </c>
      <c r="F1530" t="inlineStr">
        <is>
          <t>technosphere</t>
        </is>
      </c>
      <c r="G1530" t="inlineStr">
        <is>
          <t>silver</t>
        </is>
      </c>
      <c r="I1530" t="inlineStr">
        <is>
          <t>silver</t>
        </is>
      </c>
    </row>
    <row r="1531">
      <c r="A1531" t="inlineStr">
        <is>
          <t>market for epoxy resin, liquid</t>
        </is>
      </c>
      <c r="B1531">
        <v>5.0896739999999994e-06</v>
      </c>
      <c r="C1531" t="inlineStr">
        <is>
          <t>RER</t>
        </is>
      </c>
      <c r="D1531" t="inlineStr">
        <is>
          <t>kilogram</t>
        </is>
      </c>
      <c r="F1531" t="inlineStr">
        <is>
          <t>technosphere</t>
        </is>
      </c>
      <c r="G1531" t="inlineStr">
        <is>
          <t>epoxy resin, liquid</t>
        </is>
      </c>
      <c r="I1531" t="inlineStr">
        <is>
          <t>epoxy resin, liquid</t>
        </is>
      </c>
    </row>
    <row r="1532">
      <c r="A1532" t="inlineStr">
        <is>
          <t>market for steel, low-alloyed</t>
        </is>
      </c>
      <c r="B1532">
        <v>9.5667e-07</v>
      </c>
      <c r="C1532" t="inlineStr">
        <is>
          <t>GLO</t>
        </is>
      </c>
      <c r="D1532" t="inlineStr">
        <is>
          <t>kilogram</t>
        </is>
      </c>
      <c r="F1532" t="inlineStr">
        <is>
          <t>technosphere</t>
        </is>
      </c>
      <c r="G1532" t="inlineStr">
        <is>
          <t>steel, low-alloyed</t>
        </is>
      </c>
      <c r="I1532" t="inlineStr">
        <is>
          <t>steel, low-alloyed</t>
        </is>
      </c>
    </row>
    <row r="1533">
      <c r="A1533" t="inlineStr">
        <is>
          <t>market for phosphorus, white, liquid</t>
        </is>
      </c>
      <c r="B1533">
        <v>1.2441e-08</v>
      </c>
      <c r="C1533" t="inlineStr">
        <is>
          <t>GLO</t>
        </is>
      </c>
      <c r="D1533" t="inlineStr">
        <is>
          <t>kilogram</t>
        </is>
      </c>
      <c r="F1533" t="inlineStr">
        <is>
          <t>technosphere</t>
        </is>
      </c>
      <c r="G1533" t="inlineStr">
        <is>
          <t>phosphorus, white, liquid</t>
        </is>
      </c>
      <c r="I1533" t="inlineStr">
        <is>
          <t>phosphorus, white, liquid</t>
        </is>
      </c>
    </row>
    <row r="1534">
      <c r="A1534" t="inlineStr">
        <is>
          <t>market for lead</t>
        </is>
      </c>
      <c r="B1534">
        <v>8.58e-10</v>
      </c>
      <c r="C1534" t="inlineStr">
        <is>
          <t>GLO</t>
        </is>
      </c>
      <c r="D1534" t="inlineStr">
        <is>
          <t>kilogram</t>
        </is>
      </c>
      <c r="F1534" t="inlineStr">
        <is>
          <t>technosphere</t>
        </is>
      </c>
      <c r="G1534" t="inlineStr">
        <is>
          <t>lead</t>
        </is>
      </c>
      <c r="I1534" t="inlineStr">
        <is>
          <t>lead</t>
        </is>
      </c>
    </row>
    <row r="1535">
      <c r="A1535" t="inlineStr">
        <is>
          <t>market for zinc</t>
        </is>
      </c>
      <c r="B1535">
        <v>5.4912e-08</v>
      </c>
      <c r="C1535" t="inlineStr">
        <is>
          <t>GLO</t>
        </is>
      </c>
      <c r="D1535" t="inlineStr">
        <is>
          <t>kilogram</t>
        </is>
      </c>
      <c r="F1535" t="inlineStr">
        <is>
          <t>technosphere</t>
        </is>
      </c>
      <c r="G1535" t="inlineStr">
        <is>
          <t>zinc</t>
        </is>
      </c>
      <c r="I1535" t="inlineStr">
        <is>
          <t>zinc</t>
        </is>
      </c>
    </row>
    <row r="1536">
      <c r="A1536" t="inlineStr">
        <is>
          <t>market for nickel, class 1</t>
        </is>
      </c>
      <c r="B1536">
        <v>9.9876e-07</v>
      </c>
      <c r="C1536" t="inlineStr">
        <is>
          <t>GLO</t>
        </is>
      </c>
      <c r="D1536" t="inlineStr">
        <is>
          <t>kilogram</t>
        </is>
      </c>
      <c r="F1536" t="inlineStr">
        <is>
          <t>technosphere</t>
        </is>
      </c>
      <c r="G1536" t="inlineStr">
        <is>
          <t>nickel, class 1</t>
        </is>
      </c>
      <c r="I1536" t="inlineStr">
        <is>
          <t>nickel, class 1</t>
        </is>
      </c>
    </row>
    <row r="1537">
      <c r="A1537" t="inlineStr">
        <is>
          <t>market for phenolic resin</t>
        </is>
      </c>
      <c r="B1537">
        <v>1.6413549999999999e-06</v>
      </c>
      <c r="C1537" t="inlineStr">
        <is>
          <t>RER</t>
        </is>
      </c>
      <c r="D1537" t="inlineStr">
        <is>
          <t>kilogram</t>
        </is>
      </c>
      <c r="F1537" t="inlineStr">
        <is>
          <t>technosphere</t>
        </is>
      </c>
      <c r="G1537" t="inlineStr">
        <is>
          <t>phenolic resin</t>
        </is>
      </c>
      <c r="I1537" t="inlineStr">
        <is>
          <t>phenolic resin</t>
        </is>
      </c>
    </row>
    <row r="1538">
      <c r="A1538" t="inlineStr">
        <is>
          <t>market for silica sand</t>
        </is>
      </c>
      <c r="B1538">
        <v>4.0095957e-05</v>
      </c>
      <c r="C1538" t="inlineStr">
        <is>
          <t>GLO</t>
        </is>
      </c>
      <c r="D1538" t="inlineStr">
        <is>
          <t>kilogram</t>
        </is>
      </c>
      <c r="F1538" t="inlineStr">
        <is>
          <t>technosphere</t>
        </is>
      </c>
      <c r="G1538" t="inlineStr">
        <is>
          <t>silica sand</t>
        </is>
      </c>
      <c r="I1538" t="inlineStr">
        <is>
          <t>silica sand</t>
        </is>
      </c>
    </row>
    <row r="1539">
      <c r="A1539" t="inlineStr">
        <is>
          <t>market for carbon black</t>
        </is>
      </c>
      <c r="B1539">
        <v>2.34479e-07</v>
      </c>
      <c r="C1539" t="inlineStr">
        <is>
          <t>GLO</t>
        </is>
      </c>
      <c r="D1539" t="inlineStr">
        <is>
          <t>kilogram</t>
        </is>
      </c>
      <c r="F1539" t="inlineStr">
        <is>
          <t>technosphere</t>
        </is>
      </c>
      <c r="G1539" t="inlineStr">
        <is>
          <t>carbon black</t>
        </is>
      </c>
      <c r="I1539" t="inlineStr">
        <is>
          <t>carbon black</t>
        </is>
      </c>
    </row>
    <row r="1540">
      <c r="A1540" t="inlineStr">
        <is>
          <t>market for wafer, fabricated, for integrated circuit</t>
        </is>
      </c>
      <c r="B1540">
        <v>5.5324678111587985e-06</v>
      </c>
      <c r="C1540" t="inlineStr">
        <is>
          <t>GLO</t>
        </is>
      </c>
      <c r="D1540" t="inlineStr">
        <is>
          <t>square meter</t>
        </is>
      </c>
      <c r="F1540" t="inlineStr">
        <is>
          <t>technosphere</t>
        </is>
      </c>
      <c r="G1540" t="inlineStr">
        <is>
          <t>wafer, fabricated, for integrated circuit</t>
        </is>
      </c>
      <c r="I1540" t="inlineStr">
        <is>
          <t>wafer, fabricated, for integrated circuit</t>
        </is>
      </c>
    </row>
    <row r="1541">
      <c r="A1541" t="inlineStr">
        <is>
          <t>market group for electricity, medium voltage</t>
        </is>
      </c>
      <c r="B1541">
        <v>9.559906199999999e-05</v>
      </c>
      <c r="C1541" t="inlineStr">
        <is>
          <t>GLO</t>
        </is>
      </c>
      <c r="D1541" t="inlineStr">
        <is>
          <t>kilowatt hour</t>
        </is>
      </c>
      <c r="F1541" t="inlineStr">
        <is>
          <t>technosphere</t>
        </is>
      </c>
      <c r="G1541" t="inlineStr">
        <is>
          <t>electricity, medium voltage</t>
        </is>
      </c>
      <c r="I1541" t="inlineStr">
        <is>
          <t>electricity, medium voltage</t>
        </is>
      </c>
    </row>
    <row r="1544">
      <c r="A1544" t="inlineStr">
        <is>
          <t>Activity</t>
        </is>
      </c>
      <c r="B1544" t="inlineStr">
        <is>
          <t>semiconductor package, TXU0204QPWRQ1, declared material reference</t>
        </is>
      </c>
    </row>
    <row r="1545">
      <c r="A1545" t="inlineStr">
        <is>
          <t>location</t>
        </is>
      </c>
      <c r="B1545" t="inlineStr">
        <is>
          <t>GLO</t>
        </is>
      </c>
    </row>
    <row r="1546">
      <c r="A1546" t="inlineStr">
        <is>
          <t>production amount</t>
        </is>
      </c>
      <c r="B1546">
        <v>1</v>
      </c>
    </row>
    <row r="1547">
      <c r="A1547" t="inlineStr">
        <is>
          <t>reference product</t>
        </is>
      </c>
      <c r="B1547" t="inlineStr">
        <is>
          <t>semiconductor package, TXU0204QPWRQ1, declared material reference</t>
        </is>
      </c>
    </row>
    <row r="1548">
      <c r="A1548" t="inlineStr">
        <is>
          <t>unit</t>
        </is>
      </c>
      <c r="B1548" t="inlineStr">
        <is>
          <t>unit</t>
        </is>
      </c>
    </row>
    <row r="1549">
      <c r="A1549" t="inlineStr">
        <is>
          <t>source</t>
        </is>
      </c>
      <c r="B1549" t="inlineStr">
        <is>
          <t>TI manufacturer material-content reports https://www.ti.com/quality-reliability-packaging-download/de-de/report?opn=LM5168FQDDARQ1 ; ?opn=TXU0204QPWRQ1 ; ?opn=CC2662R1FTWRGZRQ1 , accessed2026-10-18; TI TIDA020076 fitted BOM and CC2662 WBMS controller guide.</t>
        </is>
      </c>
    </row>
    <row r="1550">
      <c r="A1550" t="inlineStr">
        <is>
          <t>comment</t>
        </is>
      </c>
      <c r="B1550" t="inlineStr">
        <is>
          <t>APPROVED PACKAGE-SPECIFIC CONTROL SEMICONDUCTORS, issue57, 2026-10-18. TI manufacturer material-content reports https://www.ti.com/quality-reliability-packaging-download/de-de/report?opn=LM5168FQDDARQ1 ; ?opn=TXU0204QPWRQ1 ; ?opn=CC2662R1FTWRGZRQ1 , accessed2026-10-18; TI TIDA020076 fitted BOM and CC2662 WBMS controller guide. Use one explicitly selected first returned material declaration per part, never sum alternative assembly-site tables. LM5168 FlyBuck regulator,TXU0204 logic translator andCC2662 WBMS MCU have distinct die,frame,bonds,mold and plating. Sum constituent rows excluding subtotals to recover declared package mass. Retain actual Zn alloying,Ag attach and Au/Pd plating; no arbitraryZn-for-Sb conversion or global antimony deletion. Sb is not listed in these selected declarations, which is not proof of analyticalzeroSb in all electronics. Purchase fabricated die wafer area from declared Si mass at explicit300micrometrethickness,2330kg/m3; no second rawSi charge. Silica-sand supply is an explicit fused-silica proxy with missing fusion/purity energy. Fe uses lowalloy steel proxy, resin uses epoxy/phenolic analogues, elementalP/chlorine feeds are nominal material proxies. Proprietary composition remains unresolved. Package assembly1kWh/kg and100%final retention are engineering assumptions,not suppliermeasured yield or complete semiconductor packaging LCI. Module priorlogic allowances1.5g and0.4g are replaced by oneTXU and oneLM5168 package,consistent with fitted reference parts; released mass remains explicitly unresolved board components. Other actualMCU/isolation packages are still coveragegaps,not proven identical. Central5gMCU allowance becomes oneCC2662 (firstselectedsite) and residual mass,not dozens of fictitious MCU packages. BQ79616 monitor package unchanged. Fixed70g/490g board budgets and their downstream endoflife retained. No motherboard/chassis electronics added. Process service, film,purity,actualsite and unknown-component sensitivity remain necessary; no certifiedexactvehicleBOM claim.</t>
        </is>
      </c>
    </row>
    <row r="1551">
      <c r="A1551" t="inlineStr">
        <is>
          <t>Exchanges</t>
        </is>
      </c>
    </row>
    <row r="1552">
      <c r="A1552" t="inlineStr">
        <is>
          <t>name</t>
        </is>
      </c>
      <c r="B1552" t="inlineStr">
        <is>
          <t>amount</t>
        </is>
      </c>
      <c r="C1552" t="inlineStr">
        <is>
          <t>location</t>
        </is>
      </c>
      <c r="D1552" t="inlineStr">
        <is>
          <t>unit</t>
        </is>
      </c>
      <c r="E1552" t="inlineStr">
        <is>
          <t>categories</t>
        </is>
      </c>
      <c r="F1552" t="inlineStr">
        <is>
          <t>type</t>
        </is>
      </c>
      <c r="G1552" t="inlineStr">
        <is>
          <t>reference product</t>
        </is>
      </c>
      <c r="H1552" t="inlineStr">
        <is>
          <t>comment</t>
        </is>
      </c>
      <c r="I1552" t="inlineStr">
        <is>
          <t>product</t>
        </is>
      </c>
    </row>
    <row r="1553">
      <c r="A1553" t="inlineStr">
        <is>
          <t>semiconductor package, TXU0204QPWRQ1, declared material reference</t>
        </is>
      </c>
      <c r="B1553">
        <v>1</v>
      </c>
      <c r="C1553" t="inlineStr">
        <is>
          <t>GLO</t>
        </is>
      </c>
      <c r="D1553" t="inlineStr">
        <is>
          <t>unit</t>
        </is>
      </c>
      <c r="F1553" t="inlineStr">
        <is>
          <t>production</t>
        </is>
      </c>
      <c r="G1553" t="inlineStr">
        <is>
          <t>semiconductor package, TXU0204QPWRQ1, declared material reference</t>
        </is>
      </c>
      <c r="I1553" t="inlineStr">
        <is>
          <t>semiconductor package, TXU0204QPWRQ1, declared material reference</t>
        </is>
      </c>
    </row>
    <row r="1554">
      <c r="A1554" t="inlineStr">
        <is>
          <t>market for copper, cathode</t>
        </is>
      </c>
      <c r="B1554">
        <v>2.8695129999999998e-05</v>
      </c>
      <c r="C1554" t="inlineStr">
        <is>
          <t>GLO</t>
        </is>
      </c>
      <c r="D1554" t="inlineStr">
        <is>
          <t>kilogram</t>
        </is>
      </c>
      <c r="F1554" t="inlineStr">
        <is>
          <t>technosphere</t>
        </is>
      </c>
      <c r="G1554" t="inlineStr">
        <is>
          <t>copper, cathode</t>
        </is>
      </c>
      <c r="I1554" t="inlineStr">
        <is>
          <t>copper, cathode</t>
        </is>
      </c>
    </row>
    <row r="1555">
      <c r="A1555" t="inlineStr">
        <is>
          <t>market for palladium</t>
        </is>
      </c>
      <c r="B1555">
        <v>6.033e-09</v>
      </c>
      <c r="C1555" t="inlineStr">
        <is>
          <t>GLO</t>
        </is>
      </c>
      <c r="D1555" t="inlineStr">
        <is>
          <t>kilogram</t>
        </is>
      </c>
      <c r="F1555" t="inlineStr">
        <is>
          <t>technosphere</t>
        </is>
      </c>
      <c r="G1555" t="inlineStr">
        <is>
          <t>palladium</t>
        </is>
      </c>
      <c r="I1555" t="inlineStr">
        <is>
          <t>palladium</t>
        </is>
      </c>
    </row>
    <row r="1556">
      <c r="A1556" t="inlineStr">
        <is>
          <t>market for silver</t>
        </is>
      </c>
      <c r="B1556">
        <v>7.7583e-08</v>
      </c>
      <c r="C1556" t="inlineStr">
        <is>
          <t>GLO</t>
        </is>
      </c>
      <c r="D1556" t="inlineStr">
        <is>
          <t>kilogram</t>
        </is>
      </c>
      <c r="F1556" t="inlineStr">
        <is>
          <t>technosphere</t>
        </is>
      </c>
      <c r="G1556" t="inlineStr">
        <is>
          <t>silver</t>
        </is>
      </c>
      <c r="I1556" t="inlineStr">
        <is>
          <t>silver</t>
        </is>
      </c>
    </row>
    <row r="1557">
      <c r="A1557" t="inlineStr">
        <is>
          <t>market for epoxy resin, liquid</t>
        </is>
      </c>
      <c r="B1557">
        <v>6.4927309999999995e-06</v>
      </c>
      <c r="C1557" t="inlineStr">
        <is>
          <t>RER</t>
        </is>
      </c>
      <c r="D1557" t="inlineStr">
        <is>
          <t>kilogram</t>
        </is>
      </c>
      <c r="F1557" t="inlineStr">
        <is>
          <t>technosphere</t>
        </is>
      </c>
      <c r="G1557" t="inlineStr">
        <is>
          <t>epoxy resin, liquid</t>
        </is>
      </c>
      <c r="I1557" t="inlineStr">
        <is>
          <t>epoxy resin, liquid</t>
        </is>
      </c>
    </row>
    <row r="1558">
      <c r="A1558" t="inlineStr">
        <is>
          <t>market for steel, low-alloyed</t>
        </is>
      </c>
      <c r="B1558">
        <v>7.17654e-07</v>
      </c>
      <c r="C1558" t="inlineStr">
        <is>
          <t>GLO</t>
        </is>
      </c>
      <c r="D1558" t="inlineStr">
        <is>
          <t>kilogram</t>
        </is>
      </c>
      <c r="F1558" t="inlineStr">
        <is>
          <t>technosphere</t>
        </is>
      </c>
      <c r="G1558" t="inlineStr">
        <is>
          <t>steel, low-alloyed</t>
        </is>
      </c>
      <c r="I1558" t="inlineStr">
        <is>
          <t>steel, low-alloyed</t>
        </is>
      </c>
    </row>
    <row r="1559">
      <c r="A1559" t="inlineStr">
        <is>
          <t>market for phosphorus, white, liquid</t>
        </is>
      </c>
      <c r="B1559">
        <v>2.4254999999999998e-08</v>
      </c>
      <c r="C1559" t="inlineStr">
        <is>
          <t>GLO</t>
        </is>
      </c>
      <c r="D1559" t="inlineStr">
        <is>
          <t>kilogram</t>
        </is>
      </c>
      <c r="F1559" t="inlineStr">
        <is>
          <t>technosphere</t>
        </is>
      </c>
      <c r="G1559" t="inlineStr">
        <is>
          <t>phosphorus, white, liquid</t>
        </is>
      </c>
      <c r="I1559" t="inlineStr">
        <is>
          <t>phosphorus, white, liquid</t>
        </is>
      </c>
    </row>
    <row r="1560">
      <c r="A1560" t="inlineStr">
        <is>
          <t>market for zinc</t>
        </is>
      </c>
      <c r="B1560">
        <v>3.8219999999999994e-08</v>
      </c>
      <c r="C1560" t="inlineStr">
        <is>
          <t>GLO</t>
        </is>
      </c>
      <c r="D1560" t="inlineStr">
        <is>
          <t>kilogram</t>
        </is>
      </c>
      <c r="F1560" t="inlineStr">
        <is>
          <t>technosphere</t>
        </is>
      </c>
      <c r="G1560" t="inlineStr">
        <is>
          <t>zinc</t>
        </is>
      </c>
      <c r="I1560" t="inlineStr">
        <is>
          <t>zinc</t>
        </is>
      </c>
    </row>
    <row r="1561">
      <c r="A1561" t="inlineStr">
        <is>
          <t>market for nickel, class 1</t>
        </is>
      </c>
      <c r="B1561">
        <v>9.7022e-08</v>
      </c>
      <c r="C1561" t="inlineStr">
        <is>
          <t>GLO</t>
        </is>
      </c>
      <c r="D1561" t="inlineStr">
        <is>
          <t>kilogram</t>
        </is>
      </c>
      <c r="F1561" t="inlineStr">
        <is>
          <t>technosphere</t>
        </is>
      </c>
      <c r="G1561" t="inlineStr">
        <is>
          <t>nickel, class 1</t>
        </is>
      </c>
      <c r="I1561" t="inlineStr">
        <is>
          <t>nickel, class 1</t>
        </is>
      </c>
    </row>
    <row r="1562">
      <c r="A1562" t="inlineStr">
        <is>
          <t>market for gold</t>
        </is>
      </c>
      <c r="B1562">
        <v>7.96e-10</v>
      </c>
      <c r="C1562" t="inlineStr">
        <is>
          <t>GLO</t>
        </is>
      </c>
      <c r="D1562" t="inlineStr">
        <is>
          <t>kilogram</t>
        </is>
      </c>
      <c r="F1562" t="inlineStr">
        <is>
          <t>technosphere</t>
        </is>
      </c>
      <c r="G1562" t="inlineStr">
        <is>
          <t>gold</t>
        </is>
      </c>
      <c r="I1562" t="inlineStr">
        <is>
          <t>gold</t>
        </is>
      </c>
    </row>
    <row r="1563">
      <c r="A1563" t="inlineStr">
        <is>
          <t>market for silica sand</t>
        </is>
      </c>
      <c r="B1563">
        <v>3.7947141999999996e-05</v>
      </c>
      <c r="C1563" t="inlineStr">
        <is>
          <t>GLO</t>
        </is>
      </c>
      <c r="D1563" t="inlineStr">
        <is>
          <t>kilogram</t>
        </is>
      </c>
      <c r="F1563" t="inlineStr">
        <is>
          <t>technosphere</t>
        </is>
      </c>
      <c r="G1563" t="inlineStr">
        <is>
          <t>silica sand</t>
        </is>
      </c>
      <c r="I1563" t="inlineStr">
        <is>
          <t>silica sand</t>
        </is>
      </c>
    </row>
    <row r="1564">
      <c r="A1564" t="inlineStr">
        <is>
          <t>market for carbon black</t>
        </is>
      </c>
      <c r="B1564">
        <v>2.2321799999999998e-07</v>
      </c>
      <c r="C1564" t="inlineStr">
        <is>
          <t>GLO</t>
        </is>
      </c>
      <c r="D1564" t="inlineStr">
        <is>
          <t>kilogram</t>
        </is>
      </c>
      <c r="F1564" t="inlineStr">
        <is>
          <t>technosphere</t>
        </is>
      </c>
      <c r="G1564" t="inlineStr">
        <is>
          <t>carbon black</t>
        </is>
      </c>
      <c r="I1564" t="inlineStr">
        <is>
          <t>carbon black</t>
        </is>
      </c>
    </row>
    <row r="1565">
      <c r="A1565" t="inlineStr">
        <is>
          <t>market for wafer, fabricated, for integrated circuit</t>
        </is>
      </c>
      <c r="B1565">
        <v>4.5406151645207437e-07</v>
      </c>
      <c r="C1565" t="inlineStr">
        <is>
          <t>GLO</t>
        </is>
      </c>
      <c r="D1565" t="inlineStr">
        <is>
          <t>square meter</t>
        </is>
      </c>
      <c r="F1565" t="inlineStr">
        <is>
          <t>technosphere</t>
        </is>
      </c>
      <c r="G1565" t="inlineStr">
        <is>
          <t>wafer, fabricated, for integrated circuit</t>
        </is>
      </c>
      <c r="I1565" t="inlineStr">
        <is>
          <t>wafer, fabricated, for integrated circuit</t>
        </is>
      </c>
    </row>
    <row r="1566">
      <c r="A1566" t="inlineStr">
        <is>
          <t>market group for electricity, medium voltage</t>
        </is>
      </c>
      <c r="B1566">
        <v>7.4637181e-05</v>
      </c>
      <c r="C1566" t="inlineStr">
        <is>
          <t>GLO</t>
        </is>
      </c>
      <c r="D1566" t="inlineStr">
        <is>
          <t>kilowatt hour</t>
        </is>
      </c>
      <c r="F1566" t="inlineStr">
        <is>
          <t>technosphere</t>
        </is>
      </c>
      <c r="G1566" t="inlineStr">
        <is>
          <t>electricity, medium voltage</t>
        </is>
      </c>
      <c r="I1566" t="inlineStr">
        <is>
          <t>electricity, medium voltage</t>
        </is>
      </c>
    </row>
  </sheetData>
  <autoFilter ref="A1:O1081" xr:uid="{00000000-0009-0000-0000-000000000000}"/>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Battery - Li-S</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Sacchi Romain</dc:creator>
  <cp:lastModifiedBy>Sacchi, Romain</cp:lastModifiedBy>
  <dcterms:created xsi:type="dcterms:W3CDTF">2021-12-06T10:43:53Z</dcterms:created>
  <dcterms:modified xsi:type="dcterms:W3CDTF">2025-09-25T11:27:53Z</dcterms:modified>
</cp:coreProperties>
</file>