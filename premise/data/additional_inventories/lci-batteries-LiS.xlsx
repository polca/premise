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92ADDE62-F391-1E48-B22D-C70267C828F7}" xr6:coauthVersionLast="47" xr6:coauthVersionMax="47" xr10:uidLastSave="{00000000-0000-0000-0000-000000000000}"/>
  <bookViews>
    <workbookView xWindow="0" yWindow="500" windowWidth="44800" windowHeight="23000" xr2:uid="{00000000-000D-0000-FFFF-FFFF00000000}"/>
  </bookViews>
  <sheets>
    <sheet name="Battery - Li-S" sheetId="1" r:id="rId1"/>
  </sheets>
  <definedNames>
    <definedName name="_xlnm._FilterDatabase" localSheetId="0" hidden="1">'Battery - Li-S'!$A$1:$O$1081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95" i="1" l="1"/>
  <c r="J95" i="1" s="1"/>
  <c r="K95" i="1"/>
  <c r="B458" i="1"/>
  <c r="G518" i="1"/>
  <c r="E518" i="1"/>
  <c r="A518" i="1"/>
  <c r="B830" i="1"/>
  <c r="B829" i="1" l="1"/>
  <c r="B472" i="1" l="1"/>
  <c r="B163" i="1" l="1"/>
  <c r="B471" i="1"/>
  <c r="B981" i="1" l="1"/>
  <c r="B979" i="1"/>
  <c r="B978" i="1"/>
  <c r="B962" i="1" l="1"/>
  <c r="B944" i="1" l="1"/>
  <c r="B845" i="1" l="1"/>
  <c r="B846" i="1"/>
  <c r="B847" i="1"/>
  <c r="B100" i="1"/>
  <c r="B99" i="1"/>
  <c r="B98" i="1"/>
  <c r="B97" i="1"/>
  <c r="B96" i="1"/>
  <c r="B94" i="1"/>
  <c r="B93" i="1"/>
  <c r="B92" i="1"/>
  <c r="B91" i="1"/>
  <c r="B90" i="1"/>
  <c r="B89" i="1"/>
  <c r="B88" i="1"/>
  <c r="B87" i="1"/>
  <c r="B86" i="1"/>
  <c r="B85" i="1"/>
  <c r="B84" i="1"/>
  <c r="B83" i="1"/>
  <c r="B82" i="1"/>
  <c r="B81" i="1"/>
  <c r="B80" i="1"/>
  <c r="B79" i="1"/>
  <c r="B78" i="1"/>
  <c r="B77" i="1"/>
  <c r="B500" i="1" l="1"/>
  <c r="B505" i="1"/>
  <c r="B811" i="1"/>
  <c r="B759" i="1"/>
  <c r="B507" i="1"/>
  <c r="B506" i="1"/>
  <c r="B504" i="1"/>
  <c r="B503" i="1"/>
  <c r="B502" i="1"/>
  <c r="B501" i="1"/>
  <c r="B457" i="1" l="1"/>
  <c r="B456" i="1"/>
  <c r="B455" i="1"/>
  <c r="B454" i="1"/>
  <c r="B453" i="1"/>
  <c r="B452" i="1"/>
  <c r="B451" i="1"/>
  <c r="B450" i="1"/>
  <c r="B449" i="1"/>
  <c r="B831" i="1" l="1"/>
  <c r="B385" i="1"/>
  <c r="B384" i="1"/>
  <c r="B383" i="1"/>
  <c r="B363" i="1"/>
  <c r="B362" i="1"/>
  <c r="B361" i="1"/>
  <c r="B683" i="1"/>
  <c r="B682" i="1"/>
  <c r="B679" i="1"/>
  <c r="B677" i="1"/>
  <c r="B663" i="1"/>
  <c r="B662" i="1"/>
  <c r="B661" i="1"/>
  <c r="B660" i="1"/>
  <c r="B659" i="1"/>
  <c r="B658" i="1"/>
  <c r="B656" i="1"/>
  <c r="B655" i="1"/>
  <c r="B653" i="1"/>
  <c r="B652" i="1"/>
  <c r="B650" i="1"/>
  <c r="B636" i="1"/>
  <c r="B635" i="1"/>
  <c r="B634" i="1"/>
  <c r="B632" i="1"/>
  <c r="B631" i="1"/>
  <c r="B630" i="1"/>
  <c r="B629" i="1"/>
  <c r="B628" i="1"/>
  <c r="B627" i="1"/>
  <c r="B626" i="1"/>
  <c r="B625" i="1"/>
  <c r="B624" i="1"/>
  <c r="B623" i="1"/>
  <c r="B488" i="1"/>
  <c r="B487" i="1"/>
  <c r="B486" i="1"/>
  <c r="B60" i="1"/>
  <c r="B202" i="1"/>
  <c r="B582" i="1" l="1"/>
  <c r="B580" i="1"/>
  <c r="B562" i="1"/>
  <c r="B559" i="1"/>
  <c r="B540" i="1"/>
  <c r="B536" i="1"/>
  <c r="B778" i="1"/>
  <c r="B743" i="1"/>
  <c r="B726" i="1"/>
  <c r="B701" i="1"/>
  <c r="B678" i="1"/>
  <c r="B676" i="1"/>
  <c r="B622" i="1"/>
  <c r="B600" i="1"/>
  <c r="B324" i="1"/>
  <c r="B283" i="1"/>
  <c r="B263" i="1"/>
  <c r="B243" i="1"/>
  <c r="B242" i="1"/>
  <c r="B180" i="1"/>
  <c r="B161" i="1"/>
  <c r="B140" i="1"/>
  <c r="B116" i="1"/>
  <c r="B36" i="1"/>
  <c r="B16" i="1"/>
</calcChain>
</file>

<file path=xl/sharedStrings.xml><?xml version="1.0" encoding="utf-8"?>
<sst xmlns="http://schemas.openxmlformats.org/spreadsheetml/2006/main" count="3170" uniqueCount="464">
  <si>
    <t>Activity</t>
  </si>
  <si>
    <t>comment</t>
  </si>
  <si>
    <t>location</t>
  </si>
  <si>
    <t>GLO</t>
  </si>
  <si>
    <t>production amount</t>
  </si>
  <si>
    <t>reference product</t>
  </si>
  <si>
    <t>unit</t>
  </si>
  <si>
    <t>kilogram</t>
  </si>
  <si>
    <t>source</t>
  </si>
  <si>
    <t>Exchanges</t>
  </si>
  <si>
    <t>name</t>
  </si>
  <si>
    <t>amount</t>
  </si>
  <si>
    <t>type</t>
  </si>
  <si>
    <t>production</t>
  </si>
  <si>
    <t>market for aluminium, wrought alloy</t>
  </si>
  <si>
    <t>technosphere</t>
  </si>
  <si>
    <t>aluminium, wrought alloy</t>
  </si>
  <si>
    <t>RoW</t>
  </si>
  <si>
    <t>market for injection moulding</t>
  </si>
  <si>
    <t>injection moulding</t>
  </si>
  <si>
    <t>market for sheet rolling, aluminium</t>
  </si>
  <si>
    <t>sheet rolling, aluminium</t>
  </si>
  <si>
    <t>market group for electricity, medium voltage</t>
  </si>
  <si>
    <t>kilowatt hour</t>
  </si>
  <si>
    <t>electricity, medium voltage</t>
  </si>
  <si>
    <t>market for metal working factory</t>
  </si>
  <si>
    <t>metal working factory</t>
  </si>
  <si>
    <t>market for polyethylene terephthalate, granulate, amorphous</t>
  </si>
  <si>
    <t>polyethylene terephthalate, granulate, amorphous</t>
  </si>
  <si>
    <t>RER</t>
  </si>
  <si>
    <t>market for nylon 6</t>
  </si>
  <si>
    <t>nylon 6</t>
  </si>
  <si>
    <t>casting, brass</t>
  </si>
  <si>
    <t>market for heat, district or industrial, natural gas</t>
  </si>
  <si>
    <t>megajoule</t>
  </si>
  <si>
    <t>heat, district or industrial, natural gas</t>
  </si>
  <si>
    <t>market for polypropylene, granulate</t>
  </si>
  <si>
    <t>polypropylene, granulate</t>
  </si>
  <si>
    <t>market for chemical factory, organics</t>
  </si>
  <si>
    <t>chemical factory, organics</t>
  </si>
  <si>
    <t>market for polyvinylfluoride</t>
  </si>
  <si>
    <t>polyvinylfluoride</t>
  </si>
  <si>
    <t>categories</t>
  </si>
  <si>
    <t>air</t>
  </si>
  <si>
    <t>biosphere</t>
  </si>
  <si>
    <t>cubic meter</t>
  </si>
  <si>
    <t>sodium hydroxide, without water, in 50% solution state</t>
  </si>
  <si>
    <t>market for ammonia, anhydrous, liquid</t>
  </si>
  <si>
    <t>ammonia, anhydrous, liquid</t>
  </si>
  <si>
    <t>market for wastewater, average</t>
  </si>
  <si>
    <t>wastewater, average</t>
  </si>
  <si>
    <t>market for water, deionised</t>
  </si>
  <si>
    <t>water, deionised</t>
  </si>
  <si>
    <t>market for spent solvent mixture</t>
  </si>
  <si>
    <t>Europe without Switzerland</t>
  </si>
  <si>
    <t>spent solvent mixture</t>
  </si>
  <si>
    <t>market for sulfuric acid</t>
  </si>
  <si>
    <t>sulfuric acid</t>
  </si>
  <si>
    <t>market for aluminium casting facility</t>
  </si>
  <si>
    <t>aluminium casting facility</t>
  </si>
  <si>
    <t>market for phthalic anhydride</t>
  </si>
  <si>
    <t>phthalic anhydride</t>
  </si>
  <si>
    <t>market for silica sand</t>
  </si>
  <si>
    <t>silica sand</t>
  </si>
  <si>
    <t>market for hexafluoroethane</t>
  </si>
  <si>
    <t>hexafluoroethane</t>
  </si>
  <si>
    <t>market for acetone, liquid</t>
  </si>
  <si>
    <t>acetone, liquid</t>
  </si>
  <si>
    <t>market for nitrogen, liquid</t>
  </si>
  <si>
    <t>nitrogen, liquid</t>
  </si>
  <si>
    <t>database</t>
  </si>
  <si>
    <t>aluminium, primary, ingot</t>
  </si>
  <si>
    <t>market for plastic processing factory</t>
  </si>
  <si>
    <t>plastic processing factory</t>
  </si>
  <si>
    <t>batteries</t>
  </si>
  <si>
    <t xml:space="preserve">market for methane sulfonic acid </t>
  </si>
  <si>
    <t>methane sulfonic acid</t>
  </si>
  <si>
    <t>market for hydrogen fluoride</t>
  </si>
  <si>
    <t>hydrogen fluoride</t>
  </si>
  <si>
    <t>CF3SO2NHNa</t>
  </si>
  <si>
    <t>market for cooling energy</t>
  </si>
  <si>
    <t>cooling energy</t>
  </si>
  <si>
    <t>market for methanol</t>
  </si>
  <si>
    <t>methanol</t>
  </si>
  <si>
    <t>market for sodium methoxide</t>
  </si>
  <si>
    <t>sodium methoxide</t>
  </si>
  <si>
    <t>market for steam, in chemical industry</t>
  </si>
  <si>
    <t>steam, in chemical industry</t>
  </si>
  <si>
    <t>(Me3Si)2NH</t>
  </si>
  <si>
    <t>trimethylchlorosilane</t>
  </si>
  <si>
    <t>CF3SO2NNaSiMe3</t>
  </si>
  <si>
    <t>(CF3SO2)2NNa</t>
  </si>
  <si>
    <t>market for tetrahydrofuran</t>
  </si>
  <si>
    <t>tetrahydrofuran</t>
  </si>
  <si>
    <t>market for dichloromethane</t>
  </si>
  <si>
    <t>dichloromethane</t>
  </si>
  <si>
    <t>(CF3SO2)2NH</t>
  </si>
  <si>
    <t>lithium carbonate</t>
  </si>
  <si>
    <t>Pluronic P123</t>
  </si>
  <si>
    <t>market for ethylene oxide</t>
  </si>
  <si>
    <t>ethylene oxide</t>
  </si>
  <si>
    <t>SBA-15</t>
  </si>
  <si>
    <t xml:space="preserve">market for tetraethyl orthosilicate </t>
  </si>
  <si>
    <t xml:space="preserve">tetraethyl orthosilicate </t>
  </si>
  <si>
    <t>market for hydrochloric acid, without water, in 30% solution state</t>
  </si>
  <si>
    <t>hydrochloric acid, without water, in 30% solution state</t>
  </si>
  <si>
    <t>CMK-3</t>
  </si>
  <si>
    <t>market for sugar, from sugar beet</t>
  </si>
  <si>
    <t>sugar, from sugar beet</t>
  </si>
  <si>
    <t>lithium foil</t>
  </si>
  <si>
    <t>electrolysis of lithium chloride</t>
  </si>
  <si>
    <t>lithium</t>
  </si>
  <si>
    <t>separator</t>
  </si>
  <si>
    <t>market for fleece, polyethylene</t>
  </si>
  <si>
    <t>fleece, polyethylene</t>
  </si>
  <si>
    <t>cathode</t>
  </si>
  <si>
    <t>market for sulfur</t>
  </si>
  <si>
    <t>sulfur</t>
  </si>
  <si>
    <t>market for acetonitrile</t>
  </si>
  <si>
    <t>acetonitrile</t>
  </si>
  <si>
    <t>aluminium foil</t>
  </si>
  <si>
    <t>electrolyte</t>
  </si>
  <si>
    <t>DOL</t>
  </si>
  <si>
    <t>ethylene glycol dimethyl ether production</t>
  </si>
  <si>
    <t>ethylene glycol dimethyl ether</t>
  </si>
  <si>
    <t>LiNO3</t>
  </si>
  <si>
    <t>battery pouch</t>
  </si>
  <si>
    <t>negative tab</t>
  </si>
  <si>
    <t>positive tab</t>
  </si>
  <si>
    <t>market for precious metal refinery</t>
  </si>
  <si>
    <t>precious metal refinery</t>
  </si>
  <si>
    <t>market for electronic component factory</t>
  </si>
  <si>
    <t>electronic component factory</t>
  </si>
  <si>
    <t>operating battery factory</t>
  </si>
  <si>
    <t>aluminium busbar</t>
  </si>
  <si>
    <t>bimetallic busbar</t>
  </si>
  <si>
    <t>copper busbar</t>
  </si>
  <si>
    <t>market for steel, low-alloyed</t>
  </si>
  <si>
    <t>steel, low-alloyed</t>
  </si>
  <si>
    <t>market for metal working, average for steel product manufacturing</t>
  </si>
  <si>
    <t>metal working, average for steel product manufacturing</t>
  </si>
  <si>
    <t>BMS</t>
  </si>
  <si>
    <t>high voltage system</t>
  </si>
  <si>
    <t>low voltage system</t>
  </si>
  <si>
    <t>market for acrylonitrile-butadiene-styrene copolymer</t>
  </si>
  <si>
    <t>acrylonitrile-butadiene-styrene copolymer</t>
  </si>
  <si>
    <t>market for brass</t>
  </si>
  <si>
    <t>BMS board, assembled, w/o external connector</t>
  </si>
  <si>
    <t>brass</t>
  </si>
  <si>
    <t>market for casting, brass</t>
  </si>
  <si>
    <t>IBIS fasteners</t>
  </si>
  <si>
    <t>logic board, assembled, with external connector</t>
  </si>
  <si>
    <t>BMS board and devices, unassembled</t>
  </si>
  <si>
    <t>square meter</t>
  </si>
  <si>
    <t>market for capacitor, electrolyte type, &lt; 2cm height</t>
  </si>
  <si>
    <t>capacitor, electrolyte type, &lt; 2cm height</t>
  </si>
  <si>
    <t>market for capacitor, for surface-mounting</t>
  </si>
  <si>
    <t>capacitor, for surface-mounting</t>
  </si>
  <si>
    <t>market for diode, glass-, for surface-mounting</t>
  </si>
  <si>
    <t>diode, glass-, for surface-mounting</t>
  </si>
  <si>
    <t>market for electric connector, wire clamp</t>
  </si>
  <si>
    <t>electric connector, wire clamp</t>
  </si>
  <si>
    <t>market for inductor, low value multilayer chip</t>
  </si>
  <si>
    <t>inductor, low value multilayer chip</t>
  </si>
  <si>
    <t>market for inductor, miniature radio frequency chip</t>
  </si>
  <si>
    <t>inductor, miniature radio frequency chip</t>
  </si>
  <si>
    <t>market for inductor, ring core choke type</t>
  </si>
  <si>
    <t>inductor, ring core choke type</t>
  </si>
  <si>
    <t>market for integrated circuit, logic type</t>
  </si>
  <si>
    <t>integrated circuit, logic type</t>
  </si>
  <si>
    <t>market for integrated circuit, memory type</t>
  </si>
  <si>
    <t>integrated circuit, memory type</t>
  </si>
  <si>
    <t>market for light emitting diode</t>
  </si>
  <si>
    <t>light emitting diode</t>
  </si>
  <si>
    <t>market for resistor, surface-mounted</t>
  </si>
  <si>
    <t>resistor, surface-mounted</t>
  </si>
  <si>
    <t>market for switch, toggle type</t>
  </si>
  <si>
    <t>switch, toggle type</t>
  </si>
  <si>
    <t>market for transistor, surface-mounted</t>
  </si>
  <si>
    <t>transistor, surface-mounted</t>
  </si>
  <si>
    <t>market for [thio]carbamate-compound</t>
  </si>
  <si>
    <t>[thio]carbamate-compound</t>
  </si>
  <si>
    <t>market for butyl acetate</t>
  </si>
  <si>
    <t>butyl acetate</t>
  </si>
  <si>
    <t>market for dipropylene glycol monomethyl ether</t>
  </si>
  <si>
    <t>dipropylene glycol monomethyl ether</t>
  </si>
  <si>
    <t>market for isohexane</t>
  </si>
  <si>
    <t>isohexane</t>
  </si>
  <si>
    <t>market for monoethanolamine</t>
  </si>
  <si>
    <t>monoethanolamine</t>
  </si>
  <si>
    <t>market for solder, paste, Sn95.5Ag3.9Cu0.6, for electronics industry</t>
  </si>
  <si>
    <t>solder, paste, Sn95.5Ag3.9Cu0.6, for electronics industry</t>
  </si>
  <si>
    <t>market for hazardous waste, for incineration</t>
  </si>
  <si>
    <t>hazardous waste, for incineration</t>
  </si>
  <si>
    <t>Ethanol</t>
  </si>
  <si>
    <t>market for adipic acid</t>
  </si>
  <si>
    <t>adipic acid</t>
  </si>
  <si>
    <t>market for aluminium, primary, ingot</t>
  </si>
  <si>
    <t>market for cable, ribbon cable, 20-pin, with plugs</t>
  </si>
  <si>
    <t>cable, ribbon cable, 20-pin, with plugs</t>
  </si>
  <si>
    <t>market for copper scrap, sorted, pressed</t>
  </si>
  <si>
    <t>copper scrap, sorted, pressed</t>
  </si>
  <si>
    <t>market for copper, cathode</t>
  </si>
  <si>
    <t>copper, cathode</t>
  </si>
  <si>
    <t>market for metal working, average for aluminium product manufacturing</t>
  </si>
  <si>
    <t>metal working, average for aluminium product manufacturing</t>
  </si>
  <si>
    <t>metal working, average for copper product manufacturing</t>
  </si>
  <si>
    <t>metal working, average for metal product manufacturing</t>
  </si>
  <si>
    <t>market for nylon 6-6</t>
  </si>
  <si>
    <t>nylon 6-6</t>
  </si>
  <si>
    <t>market for polyphenylene sulfide</t>
  </si>
  <si>
    <t>polyphenylene sulfide</t>
  </si>
  <si>
    <t>market for synthetic rubber</t>
  </si>
  <si>
    <t>synthetic rubber</t>
  </si>
  <si>
    <t>market for tin</t>
  </si>
  <si>
    <t>tin</t>
  </si>
  <si>
    <t>market for electronic component, passive, unspecified</t>
  </si>
  <si>
    <t>electronic component, passive, unspecified</t>
  </si>
  <si>
    <t>battery rack</t>
  </si>
  <si>
    <t>market for cable, unspecified</t>
  </si>
  <si>
    <t>cable, unspecified</t>
  </si>
  <si>
    <t>market for fan, for power supply unit, desktop computer</t>
  </si>
  <si>
    <t>fan, for power supply unit, desktop computer</t>
  </si>
  <si>
    <t>rack housing</t>
  </si>
  <si>
    <t>market for powder coat, steel</t>
  </si>
  <si>
    <t>powder coat, steel</t>
  </si>
  <si>
    <t>fire suppression system</t>
  </si>
  <si>
    <t>carbon dioxide, liquid</t>
  </si>
  <si>
    <t>installation</t>
  </si>
  <si>
    <t>market for intermodal shipping container, 40-foot</t>
  </si>
  <si>
    <t>intermodal shipping container, 40-foot</t>
  </si>
  <si>
    <t>market for inverter, 500kW</t>
  </si>
  <si>
    <t>inverter, 500kW</t>
  </si>
  <si>
    <t>delivered electricity to the grid</t>
  </si>
  <si>
    <t>DE</t>
  </si>
  <si>
    <t>market for sulfur hexafluoride, liquid</t>
  </si>
  <si>
    <t>sulfur hexafluoride, liquid</t>
  </si>
  <si>
    <t>market for transmission network, electricity, medium voltage</t>
  </si>
  <si>
    <t>kilometer</t>
  </si>
  <si>
    <t>transmission network, electricity, medium voltage</t>
  </si>
  <si>
    <t>Sulfur hexafluoride</t>
  </si>
  <si>
    <t>electricity production, wind, 1-3MW turbine, onshore</t>
  </si>
  <si>
    <t>electricity, high voltage</t>
  </si>
  <si>
    <t>disassembled installation</t>
  </si>
  <si>
    <t>disassembled battery module</t>
  </si>
  <si>
    <t>market for aluminium, cast alloy</t>
  </si>
  <si>
    <t>aluminium, cast alloy</t>
  </si>
  <si>
    <t>market for metal working, average for copper product manufacturing</t>
  </si>
  <si>
    <t xml:space="preserve">market for metal working factory </t>
  </si>
  <si>
    <t>deactivated cell</t>
  </si>
  <si>
    <t>market for sodium hydroxide, without water, in 50% solution state</t>
  </si>
  <si>
    <t>market for soda ash, dense</t>
  </si>
  <si>
    <t>soda ash, dense</t>
  </si>
  <si>
    <t>market for nitric acid, without water, in 50% solution state</t>
  </si>
  <si>
    <t>market for hydrogen peroxide, without water, in 50% solution state</t>
  </si>
  <si>
    <t>market for carbon dioxide, in chemical industry</t>
  </si>
  <si>
    <t>carbon dioxide, in chemical industry</t>
  </si>
  <si>
    <t>market for municipal solid waste</t>
  </si>
  <si>
    <t>municipal solid waste</t>
  </si>
  <si>
    <t>market for aluminium scrap, post-consumer</t>
  </si>
  <si>
    <t>aluminium scrap, post-consumer</t>
  </si>
  <si>
    <t>market for scrap copper</t>
  </si>
  <si>
    <t>scrap copper</t>
  </si>
  <si>
    <t>market for scrap steel</t>
  </si>
  <si>
    <t>scrap steel</t>
  </si>
  <si>
    <t>market for electronics scrap</t>
  </si>
  <si>
    <t>electronics scrap</t>
  </si>
  <si>
    <t>market group for heat, district or industrial, natural gas</t>
  </si>
  <si>
    <t>market for heat, from steam, in chemical industry</t>
  </si>
  <si>
    <t>heat, from steam, in chemical industry</t>
  </si>
  <si>
    <t>market for methylchloride</t>
  </si>
  <si>
    <t>methylchloride</t>
  </si>
  <si>
    <t>market for silicon, metallurgical grade</t>
  </si>
  <si>
    <t>silicon, metallurgical grade</t>
  </si>
  <si>
    <t>market group for tap water</t>
  </si>
  <si>
    <t>tap water</t>
  </si>
  <si>
    <t>CH</t>
  </si>
  <si>
    <t>water</t>
  </si>
  <si>
    <t>market for ethylene glycol</t>
  </si>
  <si>
    <t>ethylene glycol</t>
  </si>
  <si>
    <t>market for formaldehyde</t>
  </si>
  <si>
    <t>formaldehyde</t>
  </si>
  <si>
    <t>market for polyethylene, low density, granulate</t>
  </si>
  <si>
    <t>polyethylene, low density, granulate</t>
  </si>
  <si>
    <t>market for lithium hydroxide</t>
  </si>
  <si>
    <t>lithium hydroxide</t>
  </si>
  <si>
    <t>nitric acid, without water, in 50% solution state</t>
  </si>
  <si>
    <t>Carbon dioxide, fossil</t>
  </si>
  <si>
    <t>market for aluminium scrap, new</t>
  </si>
  <si>
    <t>aluminium scrap, new</t>
  </si>
  <si>
    <t>market for sheet rolling, copper</t>
  </si>
  <si>
    <t>sheet rolling, copper</t>
  </si>
  <si>
    <t>Comment</t>
  </si>
  <si>
    <t>trifluoromethanesulphonyl fluoride (CF3SO2F)</t>
  </si>
  <si>
    <t>Originally from  Wickerts et al. (2023). Prospective Life Cycle Assessment of Lithium-Sulfur Batteries for Stationary Energy Storage. ACS Sustainable Chemistry &amp; Engineering. Synthesis from Desmarteau, D. D., &amp; Witz, M. (1991). N-fluoro-bis (trifluoromethanesulfonyl) imide. An improved synthesis. Journal of fluorine chemistry, 52(1), 7-12. Scaled-up production based on Piccinno, F., Hischier, R., Seeger, S., &amp; Som, C. (2016). From laboratory to industrial scale: a scale-up framework for chemical processes in life cycle assessment studies. Journal of Cleaner Production, 135, 1085-1097.</t>
  </si>
  <si>
    <t>natural resource::in water</t>
  </si>
  <si>
    <t>Originally from  Wickerts et al. (2023). Prospective Life Cycle Assessment of Lithium-Sulfur Batteries for Stationary Energy Storage. ACS Sustainable Chemistry &amp; Engineering. Ecoinvent process, modified based on Wickerts et al. (2021). Prospective Life-Cycle Modeling of Quantum Dot Nanoparticles for Use in Photon Upconversion Devices. ACS Sustainable Chemistry &amp; Engineering, 9(14), 5187-5195.</t>
  </si>
  <si>
    <t>water::surface water</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</si>
  <si>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</si>
  <si>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</si>
  <si>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General polymerization reaction from Moulijn et al. (2013), reaction temperature from Noshay and McGrath (1977), upscaling based on Piccinno et al. (2016)</t>
  </si>
  <si>
    <t>Originally from  Wickerts et al. (2023). Prospective Life Cycle Assessment of Lithium-Sulfur Batteries for Stationary Energy Storage. ACS Sustainable Chemistry &amp; Engineering. Synthesis from Jun et al., upscaling based on Piccinno et al. (2016)</t>
  </si>
  <si>
    <t>Originally from  Wickerts et al. (2023). Prospective Life Cycle Assessment of Lithium-Sulfur Batteries for Stationary Energy Storage. ACS Sustainable Chemistry &amp; Engineering. Based on data and descriptions from Deng et al. (2017), Chordia et al. (2021), Heimes et al. (2018) and Schnell et al. (2018)</t>
  </si>
  <si>
    <t>Originally from  Wickerts et al. (2023). Prospective Life Cycle Assessment of Lithium-Sulfur Batteries for Stationary Energy Storage. ACS Sustainable Chemistry &amp; Engineering. Based on Li et al. (2014)</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</si>
  <si>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</si>
  <si>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Arvidsson et al. (2018) and Kolosnitsyn and Karaseva (2015)</t>
  </si>
  <si>
    <t>Originally from  Wickerts et al. (2023). Prospective Life Cycle Assessment of Lithium-Sulfur Batteries for Stationary Energy Storage. ACS Sustainable Chemistry &amp; Engineering. Based on Chordia et al. (2021)</t>
  </si>
  <si>
    <t>Originally from  Wickerts et al. (2023). Prospective Life Cycle Assessment of Lithium-Sulfur Batteries for Stationary Energy Storage. ACS Sustainable Chemistry &amp; Engineering. Based on Ellingsen et al. (2014)</t>
  </si>
  <si>
    <t>Originally from  Wickerts et al. (2023). Prospective Life Cycle Assessment of Lithium-Sulfur Batteries for Stationary Energy Storage. ACS Sustainable Chemistry &amp; Engineering. Adapted from Chordia et al. (2021)</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</si>
  <si>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</si>
  <si>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Ainsworth (2016), Peters and Weil (2017), Ellingsen et al. (2014)</t>
  </si>
  <si>
    <t>Originally from  Wickerts et al. (2023). Prospective Life Cycle Assessment of Lithium-Sulfur Batteries for Stationary Energy Storage. ACS Sustainable Chemistry &amp; Engineering. Obtained from Ellingsen et al. (2014)</t>
  </si>
  <si>
    <t>Originally from  Wickerts et al. (2023). Prospective Life Cycle Assessment of Lithium-Sulfur Batteries for Stationary Energy Storage. ACS Sustainable Chemistry &amp; Engineering. Production of the BMS components is based on Nordelöf and Alatalo (2018), and Ellingsen et al. (2014)</t>
  </si>
  <si>
    <t>Originally from  Wickerts et al. (2023). Prospective Life Cycle Assessment of Lithium-Sulfur Batteries for Stationary Energy Storage. ACS Sustainable Chemistry &amp; Engineering. Obtained from first author of Nordelöf and Alatalo (2018), Nordelöf et al. (2019) and Nordelöf (2019)</t>
  </si>
  <si>
    <t>NMVOC, non-methane volatile organic compounds</t>
  </si>
  <si>
    <t>Originally from  Wickerts et al. (2023). Prospective Life Cycle Assessment of Lithium-Sulfur Batteries for Stationary Energy Storage. ACS Sustainable Chemistry &amp; Engineering. Based on data from Peters and Weil (2017), Ainsworth (2016), Ellingsen et al. (2014), Pellow et al. (2020)</t>
  </si>
  <si>
    <t>Originally from  Wickerts et al. (2023). Prospective Life Cycle Assessment of Lithium-Sulfur Batteries for Stationary Energy Storage. ACS Sustainable Chemistry &amp; Engineering. Based on data from Peters and Weil (2017)</t>
  </si>
  <si>
    <t>Originally from  Wickerts et al. (2023). Prospective Life Cycle Assessment of Lithium-Sulfur Batteries for Stationary Energy Storage. ACS Sustainable Chemistry &amp; Engineering. Based on data from Pellow et al. (2020)</t>
  </si>
  <si>
    <t>Originally from  Wickerts et al. (2023). Prospective Life Cycle Assessment of Lithium-Sulfur Batteries for Stationary Energy Storage. ACS Sustainable Chemistry &amp; Engineering. Based on proxies from Pellow et al. (2020)</t>
  </si>
  <si>
    <t>Originally from  Wickerts et al. (2023). Prospective Life Cycle Assessment of Lithium-Sulfur Batteries for Stationary Energy Storage. ACS Sustainable Chemistry &amp; Engineering.</t>
  </si>
  <si>
    <t>trifluoromethanesulphonyl fluoride (CF3SO2F) production, for LiS battery</t>
  </si>
  <si>
    <t>CF3SO2NHNa production, for LiS battery</t>
  </si>
  <si>
    <r>
      <t>(Me</t>
    </r>
    <r>
      <rPr>
        <b/>
        <vertAlign val="subscript"/>
        <sz val="12"/>
        <color theme="1"/>
        <rFont val="Calibri"/>
        <family val="2"/>
        <scheme val="minor"/>
      </rPr>
      <t>3</t>
    </r>
    <r>
      <rPr>
        <b/>
        <sz val="12"/>
        <color theme="1"/>
        <rFont val="Calibri"/>
        <family val="2"/>
        <scheme val="minor"/>
      </rPr>
      <t>Si)</t>
    </r>
    <r>
      <rPr>
        <b/>
        <vertAlign val="subscript"/>
        <sz val="12"/>
        <color theme="1"/>
        <rFont val="Calibri"/>
        <family val="2"/>
        <scheme val="minor"/>
      </rPr>
      <t>2</t>
    </r>
    <r>
      <rPr>
        <b/>
        <sz val="12"/>
        <color theme="1"/>
        <rFont val="Calibri"/>
        <family val="2"/>
        <scheme val="minor"/>
      </rPr>
      <t>NH production, for LiS battery</t>
    </r>
  </si>
  <si>
    <t>(Me3Si)2NH production, for LiS battery</t>
  </si>
  <si>
    <t>trimethylchlorosilane production, for LiS battery</t>
  </si>
  <si>
    <r>
      <t>CF</t>
    </r>
    <r>
      <rPr>
        <b/>
        <vertAlign val="subscript"/>
        <sz val="12"/>
        <color rgb="FF000000"/>
        <rFont val="Calibri"/>
        <family val="2"/>
        <scheme val="minor"/>
      </rPr>
      <t>3</t>
    </r>
    <r>
      <rPr>
        <b/>
        <sz val="12"/>
        <color rgb="FF000000"/>
        <rFont val="Calibri"/>
        <family val="2"/>
        <scheme val="minor"/>
      </rPr>
      <t>SO</t>
    </r>
    <r>
      <rPr>
        <b/>
        <vertAlign val="subscript"/>
        <sz val="12"/>
        <color rgb="FF000000"/>
        <rFont val="Calibri"/>
        <family val="2"/>
        <scheme val="minor"/>
      </rPr>
      <t>2</t>
    </r>
    <r>
      <rPr>
        <b/>
        <sz val="12"/>
        <color rgb="FF000000"/>
        <rFont val="Calibri"/>
        <family val="2"/>
        <scheme val="minor"/>
      </rPr>
      <t>NNaSiMe</t>
    </r>
    <r>
      <rPr>
        <b/>
        <vertAlign val="subscript"/>
        <sz val="12"/>
        <color rgb="FF000000"/>
        <rFont val="Calibri"/>
        <family val="2"/>
        <scheme val="minor"/>
      </rPr>
      <t>3</t>
    </r>
    <r>
      <rPr>
        <b/>
        <sz val="12"/>
        <color rgb="FF000000"/>
        <rFont val="Calibri"/>
        <family val="2"/>
        <scheme val="minor"/>
      </rPr>
      <t xml:space="preserve"> </t>
    </r>
    <r>
      <rPr>
        <b/>
        <sz val="12"/>
        <color theme="1"/>
        <rFont val="Calibri"/>
        <family val="2"/>
        <scheme val="minor"/>
      </rPr>
      <t>production</t>
    </r>
    <r>
      <rPr>
        <b/>
        <sz val="12"/>
        <color rgb="FF000000"/>
        <rFont val="Calibri"/>
        <family val="2"/>
        <scheme val="minor"/>
      </rPr>
      <t>, for LiS battery</t>
    </r>
  </si>
  <si>
    <t>CF3SO2NNaSiMe3 production, for LiS battery</t>
  </si>
  <si>
    <t>(CF3SO2)2NNa production, for LiS battery</t>
  </si>
  <si>
    <t>(CF3SO2)2NH production, for LiS battery</t>
  </si>
  <si>
    <t>DOL production, for LiS battery</t>
  </si>
  <si>
    <t>LiNO3 production, for LiS battery</t>
  </si>
  <si>
    <t>Pluronic P123 production, for LiS battery</t>
  </si>
  <si>
    <t>SBA-15 production, for LiS battery</t>
  </si>
  <si>
    <t>CMK-3 production, for LiS battery</t>
  </si>
  <si>
    <t>lithium foil production, for LiS battery</t>
  </si>
  <si>
    <t>separator production, for LiS battery</t>
  </si>
  <si>
    <t>aluminium foil production, for LiS battery</t>
  </si>
  <si>
    <t>cathode production, for LiS battery</t>
  </si>
  <si>
    <t>electrolyte mixing and feeding, for LiS battery</t>
  </si>
  <si>
    <t>battery pouch production, for LiS battery</t>
  </si>
  <si>
    <t>positive tab production, for LiS battery</t>
  </si>
  <si>
    <t>negative tab production, for LiS battery</t>
  </si>
  <si>
    <t>factory construction and operation, for LiS battery</t>
  </si>
  <si>
    <t>battery module production, for LiS battery</t>
  </si>
  <si>
    <t>aluminium busbar production, for LiS battery</t>
  </si>
  <si>
    <t>bimetallic busbar production, for LiS battery</t>
  </si>
  <si>
    <t>copper busbar production, for LiS battery</t>
  </si>
  <si>
    <t>BMS production, for LiS battery</t>
  </si>
  <si>
    <t>high voltage system production, for LiS battery</t>
  </si>
  <si>
    <t>IBIS fasteners production, for LiS battery</t>
  </si>
  <si>
    <t>selective soldering for mounting larger external connector on BMS board, for LiS battery</t>
  </si>
  <si>
    <t>low voltage system production, for LiS battery</t>
  </si>
  <si>
    <t>Board components and panel input to logic board, for LiS battery</t>
  </si>
  <si>
    <t>board components and panel input to logic board, for LiS battery</t>
  </si>
  <si>
    <t>printed circuit board assembly, for LiS battery</t>
  </si>
  <si>
    <t>battery rack production, for LiS battery</t>
  </si>
  <si>
    <t>rack housing production, for LiS battery</t>
  </si>
  <si>
    <t>fire suppression system production, for LiS battery</t>
  </si>
  <si>
    <t>installation production, for LiS battery</t>
  </si>
  <si>
    <t>market for electricity, medium voltage, for LiS battery</t>
  </si>
  <si>
    <t>electricity voltage transformation from high to medium voltage, for LiS battery</t>
  </si>
  <si>
    <t>installation disassembly, for LiS battery</t>
  </si>
  <si>
    <t>battery module disassembly, for LiS battery</t>
  </si>
  <si>
    <t>battery cell deactivation, for LiS battery</t>
  </si>
  <si>
    <t>cell separation and grinding, for LiS battery</t>
  </si>
  <si>
    <t>hydrometallurgical recycling, for LiS battery</t>
  </si>
  <si>
    <t>LiTFSi, (CF3SO2)2NLi, production, for LiS battery</t>
  </si>
  <si>
    <t>LiTFSi, (CF3SO2)2NLi</t>
  </si>
  <si>
    <t>Multiplied by 10e6 to convert from gwh to kwh</t>
  </si>
  <si>
    <t>Multiplied by 10e6 to convert from TJ to MJ</t>
  </si>
  <si>
    <t>Location changed from "GLO" to "RoW". There is no GLO market for this activity</t>
  </si>
  <si>
    <t>Reference product was corrected</t>
  </si>
  <si>
    <t>Multiplied by 10e-3 to convert from kg to cubic meter</t>
  </si>
  <si>
    <t>propylene oxide, liquid</t>
  </si>
  <si>
    <t>use phase, for LiS battery</t>
  </si>
  <si>
    <t>market for propylene oxide, liquid</t>
  </si>
  <si>
    <t>note that this process is adjusted to have a lithium input instead of a aluminium input</t>
  </si>
  <si>
    <t>Multiplied by 10e-3 to convert from gram to kg</t>
  </si>
  <si>
    <t>Multiplied by 10e- to convert from gram to kg</t>
  </si>
  <si>
    <t>Multiplied by 10e3 as reference unit was changed from grams to kg</t>
  </si>
  <si>
    <t>Location changed from RoW to GLO</t>
  </si>
  <si>
    <t>Multiplied by 10e6 to convert from TJ to MJ. Location changed from GLO to RoW</t>
  </si>
  <si>
    <t>mounting, surface mount technology, Pb-free solder</t>
  </si>
  <si>
    <t>market for mounting, surface mount technology, Pb-free solder</t>
  </si>
  <si>
    <t>Activity name and product changed to match EI</t>
  </si>
  <si>
    <t>Location changed from GLO to RoW</t>
  </si>
  <si>
    <t>market for carbon dioxide, liquid</t>
  </si>
  <si>
    <t>market for concrete, normal strength</t>
  </si>
  <si>
    <t>concrete, normal strength</t>
  </si>
  <si>
    <t>Added 'strength' to match EI</t>
  </si>
  <si>
    <t>Original values in SI have been corrected. Additionally, unit changed from MWh to kWh</t>
  </si>
  <si>
    <t>heat production, natural gas, at industrial furnace &gt;100kW</t>
  </si>
  <si>
    <t>Reference product changed to match EI</t>
  </si>
  <si>
    <t>hydrogen peroxide, without water, in 50% solution state</t>
  </si>
  <si>
    <t>Multiplied by 10e-3 to convert from kilogram to cubic meter</t>
  </si>
  <si>
    <t>market for lithium carbonate, battery grade</t>
  </si>
  <si>
    <t>Changed to generic market to make it compatible with metals work</t>
  </si>
  <si>
    <t>lithium carbonate, battery grade</t>
  </si>
  <si>
    <t>Water, cooling, unspecified natural origin</t>
  </si>
  <si>
    <t>Water, river</t>
  </si>
  <si>
    <t>Methane, monochloro-, R-40</t>
  </si>
  <si>
    <t>Dimethyldichlorosilane</t>
  </si>
  <si>
    <t>Water, well, in ground</t>
  </si>
  <si>
    <t>Nitrogen</t>
  </si>
  <si>
    <t>Silicon</t>
  </si>
  <si>
    <t>Water</t>
  </si>
  <si>
    <t>Multiplied by 10e-3 to convert from gram to kg. Then multiplied by (1/0.046) to convert from unit of cell to kg of cell</t>
  </si>
  <si>
    <t>battery cell, LiS</t>
  </si>
  <si>
    <t>Source: Wickerts et al. (2023). Prospective Life Cycle Assessment of Lithium-Sulfur Batteries for Stationary Energy Storage. ACS Sustainable Chemistry &amp; Engineering. https://doi.org/10.1021/acssuschemeng.3c00141</t>
  </si>
  <si>
    <t>This is the functional unit for the cradle-to-grave boundary. Note that we have modified  "market for electricity, medium voltage". The upstream processes are provided below. See more details in the SI of the published paper. Source: Wickerts et al. (2023). Prospective Life Cycle Assessment of Lithium-Sulfur Batteries for Stationary Energy Storage. ACS Sustainable Chemistry &amp; Engineering. https://doi.org/10.1021/acssuschemeng.3c00141</t>
  </si>
  <si>
    <r>
      <t xml:space="preserve">This activity is aggregated to match the requirements of one battery rack, as it is modelled in the lithium-sulfur study. This includes both the BMS on a module level as well as on the rack level. BMS=battery management system. PCB=printed circut board. </t>
    </r>
    <r>
      <rPr>
        <b/>
        <sz val="11"/>
        <color theme="1"/>
        <rFont val="Calibri"/>
        <family val="2"/>
        <scheme val="minor"/>
      </rPr>
      <t>Source: Wickerts et al. (2023). Prospective Life Cycle Assessment of Lithium-Sulfur Batteries for Stationary Energy Storage. ACS Sustainable Chemistry &amp; Engineering. https://doi.org/10.1021/acssuschemeng.3c00141</t>
    </r>
  </si>
  <si>
    <t>Note that this is the updated dataset obtained from the published correction from Chordia et al. (2021) (which was not used in our published study). Source: Wickerts et al. (2023). Prospective Life Cycle Assessment of Lithium-Sulfur Batteries for Stationary Energy Storage. ACS Sustainable Chemistry &amp; Engineering. https://doi.org/10.1021/acssuschemeng.3c00141</t>
  </si>
  <si>
    <t>this is LiTFSI. Source: Wickerts et al. (2023). Prospective Life Cycle Assessment of Lithium-Sulfur Batteries for Stationary Energy Storage. ACS Sustainable Chemistry &amp; Engineering. https://doi.org/10.1021/acssuschemeng.3c00141</t>
  </si>
  <si>
    <t>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</si>
  <si>
    <t>battery, LiS module</t>
  </si>
  <si>
    <t>Original value multiplied by 0.03 to solve mass-allocation - and then divided by 0.03 to scale it to the production of 1 kg</t>
  </si>
  <si>
    <t>Original values in SI have been corrected. The specific electricity market that was created for the paper has been deleted and unified under the conventional market in Ecoinvent</t>
  </si>
  <si>
    <t>multiplied by (1/0.046) to convert from unit of cell to kg of cell</t>
  </si>
  <si>
    <t>Converted from battery unit to kilogram of battery. The size (41 litre) and total weight (25 kg) of a battery module, as well as the total battery cell weight in one module (19 kg), are obtained from Ainsworth</t>
  </si>
  <si>
    <t>converted from unit to kilogram</t>
  </si>
  <si>
    <t>converted from 'unit' to 'kilogram'</t>
  </si>
  <si>
    <t>Changed to negative</t>
  </si>
  <si>
    <t>EoL phase was not being considered</t>
  </si>
  <si>
    <t>cells to deactivation</t>
  </si>
  <si>
    <t>market for waste plastic, consumer electronics</t>
  </si>
  <si>
    <t>waste plastic, consumer electronics</t>
  </si>
  <si>
    <t>shredding and sorting, cell, for LiS battery</t>
  </si>
  <si>
    <t>shredded and sorted cell components</t>
  </si>
  <si>
    <t xml:space="preserve">shredded and sorted cell components </t>
  </si>
  <si>
    <t xml:space="preserve">shredded and sorted module components </t>
  </si>
  <si>
    <t>shredded and sorted module components</t>
  </si>
  <si>
    <t>shredding and sorting, module, for LiS battery</t>
  </si>
  <si>
    <t>shredding and sorting, installation, for LiS battery</t>
  </si>
  <si>
    <t xml:space="preserve">shredded and sorted installation components </t>
  </si>
  <si>
    <t>Market for aluminium or steel? Original inventory was not consistent</t>
  </si>
  <si>
    <t>Multiplied by 10e-3 to convert from kg to cubic meter. This should be negative, right?</t>
  </si>
  <si>
    <t>Should be negative</t>
  </si>
  <si>
    <t>Should be negative?</t>
  </si>
  <si>
    <t>market for extrusion, plastic film</t>
  </si>
  <si>
    <t>extrusion, plastic film</t>
  </si>
  <si>
    <t>battery cell production, Li-S</t>
  </si>
  <si>
    <t>battery cell</t>
  </si>
  <si>
    <t>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</si>
  <si>
    <t>battery cell assembly, Li-S</t>
  </si>
  <si>
    <t>Originally from  Wickerts et al. (2023). Prospective Life Cycle Assessment of Lithium-Sulfur Batteries for Stationary Energy Storage. ACS Sustainable Chemistry &amp; Engineering. Based on Chordia et al. (2021).</t>
  </si>
  <si>
    <t>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</si>
  <si>
    <t>Battery system mass: 321 kg</t>
  </si>
  <si>
    <t>market group for transport, freight train</t>
  </si>
  <si>
    <t>ton kilometer</t>
  </si>
  <si>
    <t>transport, freight train</t>
  </si>
  <si>
    <t>market group for transport, freight, inland waterways, barge</t>
  </si>
  <si>
    <t>transport, freight, inland waterways, barge</t>
  </si>
  <si>
    <t>market group for transport, freight, lorry, unspecified</t>
  </si>
  <si>
    <t>transport, freight, lorry, unspecified</t>
  </si>
  <si>
    <t>market for transport, freight, sea, container ship</t>
  </si>
  <si>
    <t>transport, freight, sea, container ship</t>
  </si>
  <si>
    <t>market for battery, Li-sulfur, Li-S</t>
  </si>
  <si>
    <t>battery, Li-S</t>
  </si>
  <si>
    <t>uncertainty type</t>
  </si>
  <si>
    <t>loc</t>
  </si>
  <si>
    <t>minimum</t>
  </si>
  <si>
    <t>maximum</t>
  </si>
  <si>
    <t>Original value in Wickerts et al., 2023 of 0.0412, representing a 4.5% leakage rate. This was reduced to 0.5% leakage rate. According to https://www.chlorinated-solvents.eu/wp-content/uploads/2021/05/Dichloromethane-paper.pdf, current leakage rate in the EU is 0.06%.</t>
  </si>
  <si>
    <t>This is a multi-output process, which produces dimethylchlorosilane (97%) but also trimethylchlorosilane (3%). The ecoinvent dataset for trimethylchlorosilane has been re-allocated to produce a proxy for dimethylchlorosilane production, based on a mass allocation. Note that, compared to the original values in ecoinvent and also Wickerts et al., 2023, we have reduced the emission of methyl chloride, a potent ozone-depleting gas, to 0.5%, instead of 4.5%, with a min-max of 0.06%-4.1%, as it seems to ignore current efforts in limiting venting of such gases and promoting recovery instead. According to this report (https://www.chlorinated-solvents.eu/wp-content/uploads/2021/05/Dichloromethane-paper.pdf), the current leak rate in the EU is about 0.06%. Source for Li-S battery: Wickerts et al. (2023). Prospective Life Cycle Assessment of Lithium-Sulfur Batteries for Stationary Energy Storage. ACS Sustainable Chemistry &amp; Engineering. https://doi.org/10.1021/acssuschemeng.3c00141. Source for trimethylchlorosilane: https://pubs.acs.org/doi/10.1021/acssuschemeng.1c00376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</si>
</sst>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0"/>
    <numFmt numFmtId="165" formatCode="0.000"/>
    <numFmt numFmtId="166" formatCode="0.0"/>
    <numFmt numFmtId="167" formatCode="0E+00"/>
    <numFmt numFmtId="168" formatCode="0.0E+00"/>
    <numFmt numFmtId="169" formatCode="0.00000"/>
    <numFmt numFmtId="170" formatCode="0.000000"/>
  </numFmts>
  <fonts count="1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2"/>
      <color theme="1"/>
      <name val="Calibri"/>
      <family val="2"/>
      <scheme val="minor"/>
    </font>
    <font>
      <sz val="12"/>
      <color theme="1"/>
      <name val="Times New Roman"/>
      <family val="1"/>
    </font>
    <font>
      <b/>
      <vertAlign val="subscript"/>
      <sz val="12"/>
      <color theme="1"/>
      <name val="Calibri"/>
      <family val="2"/>
      <scheme val="minor"/>
    </font>
    <font>
      <b/>
      <sz val="12"/>
      <color rgb="FF000000"/>
      <name val="Calibri"/>
      <family val="2"/>
      <scheme val="minor"/>
    </font>
    <font>
      <b/>
      <vertAlign val="subscript"/>
      <sz val="12"/>
      <color rgb="FF000000"/>
      <name val="Calibri"/>
      <family val="2"/>
      <scheme val="minor"/>
    </font>
    <font>
      <sz val="11"/>
      <color theme="1"/>
      <name val="Calibri (Body)"/>
    </font>
    <font>
      <sz val="11"/>
      <color rgb="FF000000"/>
      <name val="Calibri"/>
      <family val="2"/>
      <scheme val="minor"/>
    </font>
    <font>
      <b/>
      <sz val="11"/>
      <color rgb="FF000000"/>
      <name val="Calibri"/>
      <family val="2"/>
      <scheme val="minor"/>
    </font>
    <font>
      <sz val="12"/>
      <color rgb="FF00000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6" fillId="0" borderId="0"/>
    <xf numFmtId="9" fontId="6" fillId="0" borderId="0" applyFont="0" applyFill="0" applyBorder="0" applyAlignment="0" applyProtection="0"/>
  </cellStyleXfs>
  <cellXfs count="29">
    <xf numFmtId="0" fontId="0" fillId="0" borderId="0" xfId="0"/>
    <xf numFmtId="0" fontId="8" fillId="0" borderId="0" xfId="0" applyFont="1"/>
    <xf numFmtId="0" fontId="7" fillId="0" borderId="0" xfId="0" applyFont="1"/>
    <xf numFmtId="11" fontId="0" fillId="0" borderId="0" xfId="0" applyNumberFormat="1"/>
    <xf numFmtId="165" fontId="0" fillId="0" borderId="0" xfId="0" applyNumberFormat="1"/>
    <xf numFmtId="2" fontId="0" fillId="0" borderId="0" xfId="0" applyNumberFormat="1"/>
    <xf numFmtId="0" fontId="9" fillId="0" borderId="0" xfId="0" applyFont="1"/>
    <xf numFmtId="166" fontId="0" fillId="0" borderId="0" xfId="0" applyNumberFormat="1"/>
    <xf numFmtId="164" fontId="0" fillId="0" borderId="0" xfId="0" applyNumberFormat="1"/>
    <xf numFmtId="0" fontId="10" fillId="0" borderId="0" xfId="0" applyFont="1"/>
    <xf numFmtId="0" fontId="0" fillId="2" borderId="0" xfId="0" applyFill="1"/>
    <xf numFmtId="0" fontId="12" fillId="0" borderId="0" xfId="0" applyFont="1"/>
    <xf numFmtId="167" fontId="0" fillId="0" borderId="0" xfId="0" applyNumberFormat="1"/>
    <xf numFmtId="168" fontId="0" fillId="0" borderId="0" xfId="0" applyNumberFormat="1"/>
    <xf numFmtId="0" fontId="14" fillId="0" borderId="0" xfId="0" applyFont="1"/>
    <xf numFmtId="0" fontId="15" fillId="0" borderId="0" xfId="0" applyFont="1"/>
    <xf numFmtId="0" fontId="5" fillId="0" borderId="0" xfId="0" applyFont="1"/>
    <xf numFmtId="169" fontId="0" fillId="0" borderId="0" xfId="0" applyNumberFormat="1"/>
    <xf numFmtId="1" fontId="0" fillId="0" borderId="0" xfId="0" applyNumberFormat="1"/>
    <xf numFmtId="0" fontId="16" fillId="0" borderId="0" xfId="0" applyFont="1"/>
    <xf numFmtId="2" fontId="15" fillId="0" borderId="0" xfId="0" applyNumberFormat="1" applyFont="1"/>
    <xf numFmtId="11" fontId="15" fillId="0" borderId="0" xfId="0" applyNumberFormat="1" applyFont="1"/>
    <xf numFmtId="0" fontId="17" fillId="0" borderId="0" xfId="0" applyFont="1"/>
    <xf numFmtId="170" fontId="0" fillId="0" borderId="0" xfId="0" applyNumberFormat="1"/>
    <xf numFmtId="165" fontId="15" fillId="0" borderId="0" xfId="0" applyNumberFormat="1" applyFont="1"/>
    <xf numFmtId="0" fontId="4" fillId="0" borderId="0" xfId="0" applyFont="1"/>
    <xf numFmtId="0" fontId="3" fillId="0" borderId="0" xfId="0" applyFont="1"/>
    <xf numFmtId="0" fontId="2" fillId="0" borderId="0" xfId="0" applyFon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488"/>
  <sheetViews>
    <sheetView tabSelected="1" topLeftCell="A58" zoomScale="91" zoomScaleNormal="100" workbookViewId="0">
      <selection activeCell="B68" sqref="B68"/>
    </sheetView>
  </sheetViews>
  <sheetFormatPr baseColWidth="10" defaultColWidth="8.83203125" defaultRowHeight="15" x14ac:dyDescent="0.2"/>
  <cols>
    <col min="1" max="1" width="67.1640625" bestFit="1" customWidth="1"/>
    <col min="2" max="2" width="13.6640625" bestFit="1" customWidth="1"/>
    <col min="3" max="3" width="14.1640625" customWidth="1"/>
    <col min="4" max="5" width="26.1640625" bestFit="1" customWidth="1"/>
    <col min="6" max="6" width="36.5" customWidth="1"/>
    <col min="7" max="7" width="37.6640625" customWidth="1"/>
    <col min="9" max="9" width="9.5" bestFit="1" customWidth="1"/>
  </cols>
  <sheetData>
    <row r="1" spans="1:8" x14ac:dyDescent="0.2">
      <c r="A1" s="2" t="s">
        <v>70</v>
      </c>
      <c r="B1" t="s">
        <v>74</v>
      </c>
    </row>
    <row r="2" spans="1:8" x14ac:dyDescent="0.2">
      <c r="A2" s="2"/>
    </row>
    <row r="3" spans="1:8" x14ac:dyDescent="0.2">
      <c r="A3" s="2"/>
    </row>
    <row r="4" spans="1:8" ht="16" x14ac:dyDescent="0.2">
      <c r="A4" s="1" t="s">
        <v>0</v>
      </c>
      <c r="B4" s="1" t="s">
        <v>320</v>
      </c>
    </row>
    <row r="5" spans="1:8" ht="16" x14ac:dyDescent="0.2">
      <c r="A5" s="16" t="s">
        <v>1</v>
      </c>
      <c r="B5" s="16" t="inlineStr">
        <is>
          <t>APPROVED LI-S CF3SO2F SOURCE WASTE-DOSE ALIGNMENT, 2026-10-18. Wickerts et al., Prospective Life Cycle Assessment of Lithium-Sulfur Batteries for Stationary Energy Storage, DOI 10.1021/acssuschemeng.3c00141; supporting information Table S2, printed page S7 (PDF page 10), in the updated supporting file https://doi.org/10.1021/acssuschemeng.4c01782.s001. The table specifies 2.1E-1 kg organic waste sent to the market for spent solvent mixture, RoW, per 1 kg CF3SO2F output. Align the workbook treatment purchase from -0.22 to -0.21 kg/kg, retaining the negative waste-consumer sign. The source rounded material inputs 0.66 kg methanesulfonic acid plus 0.55 kg hydrogen fluoride minus 1 kg product also give 0.21 kg residual; this aggregate check is NOT an element-balanced reaction or validation of actual waste composition, water/hydrogen fates or industrial yield. The historical reason for the workbook value 0.22 is not established. Do not attribute this discrepancy to the 2024 published erratum: that correction concerns end-of-life tables S35/S36/S38, results S41 and Figure S17. The source generic 95 percent reaction yield, electricity proxy and spent-solvent treatment are retained modelling assumptions, not validated current industrial measurements. Keep all other material doses, 30 kWh electricity, chemical-factory formula/cache, supplier/product/geography, one-kg reference output, other chemical recipes and downstream battery capacity, density, cycle life and lifetime/per-MJ allocations unchanged. No new treatment route, recovery credit, primary/secondary share or global recipe renormalization is introduced. This is a small source-table alignment, not a demonstrated major critical-metal driver. The larger Li-S recipe/density, LiTFSI yield and silica template issues remain unresolved. Current net system metal effects remain unquantified without a full rebuild.
PREVIOUS SOURCE NOTES:
Source: Wickerts et al. (2023). Prospective Life Cycle Assessment of Lithium-Sulfur Batteries for Stationary Energy Storage. ACS Sustainable Chemistry &amp; Engineering. https://doi.org/10.1021/acssuschemeng.3c00141</t>
        </is>
      </c>
    </row>
    <row r="6" spans="1:8" x14ac:dyDescent="0.2">
      <c r="A6" t="s">
        <v>2</v>
      </c>
      <c r="B6" t="s">
        <v>3</v>
      </c>
    </row>
    <row r="7" spans="1:8" x14ac:dyDescent="0.2">
      <c r="A7" t="s">
        <v>4</v>
      </c>
      <c r="B7">
        <v>1</v>
      </c>
    </row>
    <row r="8" spans="1:8" x14ac:dyDescent="0.2">
      <c r="A8" t="s">
        <v>5</v>
      </c>
      <c r="B8" t="s">
        <v>293</v>
      </c>
    </row>
    <row r="9" spans="1:8" x14ac:dyDescent="0.2">
      <c r="A9" t="s">
        <v>6</v>
      </c>
      <c r="B9" t="s">
        <v>7</v>
      </c>
    </row>
    <row r="10" spans="1:8" x14ac:dyDescent="0.2">
      <c r="A10" t="s">
        <v>8</v>
      </c>
      <c r="B10" t="s">
        <v>294</v>
      </c>
    </row>
    <row r="11" spans="1:8" x14ac:dyDescent="0.2">
      <c r="A11" s="2" t="s">
        <v>9</v>
      </c>
    </row>
    <row r="12" spans="1:8" x14ac:dyDescent="0.2">
      <c r="A12" t="s">
        <v>10</v>
      </c>
      <c r="B12" t="s">
        <v>11</v>
      </c>
      <c r="C12" t="s">
        <v>6</v>
      </c>
      <c r="D12" t="s">
        <v>42</v>
      </c>
      <c r="E12" t="s">
        <v>2</v>
      </c>
      <c r="F12" t="s">
        <v>12</v>
      </c>
      <c r="G12" t="s">
        <v>5</v>
      </c>
      <c r="H12" t="s">
        <v>1</v>
      </c>
    </row>
    <row r="13" spans="1:8" x14ac:dyDescent="0.2">
      <c r="A13" t="s">
        <v>320</v>
      </c>
      <c r="B13">
        <v>1</v>
      </c>
      <c r="C13" t="s">
        <v>7</v>
      </c>
      <c r="E13" t="s">
        <v>3</v>
      </c>
      <c r="F13" t="s">
        <v>13</v>
      </c>
      <c r="G13" t="s">
        <v>293</v>
      </c>
    </row>
    <row r="14" spans="1:8" ht="16" x14ac:dyDescent="0.2">
      <c r="A14" s="9" t="s">
        <v>75</v>
      </c>
      <c r="B14" s="5">
        <v>0.66</v>
      </c>
      <c r="C14" t="s">
        <v>7</v>
      </c>
      <c r="E14" t="s">
        <v>3</v>
      </c>
      <c r="F14" t="s">
        <v>15</v>
      </c>
      <c r="G14" t="s">
        <v>76</v>
      </c>
    </row>
    <row r="15" spans="1:8" x14ac:dyDescent="0.2">
      <c r="A15" t="s">
        <v>77</v>
      </c>
      <c r="B15" s="5">
        <v>0.55000000000000004</v>
      </c>
      <c r="C15" t="s">
        <v>7</v>
      </c>
      <c r="E15" t="s">
        <v>17</v>
      </c>
      <c r="F15" t="s">
        <v>15</v>
      </c>
      <c r="G15" t="s">
        <v>78</v>
      </c>
    </row>
    <row r="16" spans="1:8" x14ac:dyDescent="0.2">
      <c r="A16" t="s">
        <v>38</v>
      </c>
      <c r="B16">
        <f>4*10^-10</f>
        <v>4.0000000000000001E-10</v>
      </c>
      <c r="C16" t="s">
        <v>6</v>
      </c>
      <c r="E16" t="s">
        <v>3</v>
      </c>
      <c r="F16" t="s">
        <v>15</v>
      </c>
      <c r="G16" t="s">
        <v>39</v>
      </c>
    </row>
    <row r="17" spans="1:7" x14ac:dyDescent="0.2">
      <c r="A17" t="s">
        <v>22</v>
      </c>
      <c r="B17" s="18">
        <v>30</v>
      </c>
      <c r="C17" t="s">
        <v>23</v>
      </c>
      <c r="E17" t="s">
        <v>54</v>
      </c>
      <c r="F17" t="s">
        <v>15</v>
      </c>
      <c r="G17" t="s">
        <v>24</v>
      </c>
    </row>
    <row r="18" spans="1:7" x14ac:dyDescent="0.2">
      <c r="A18" t="s">
        <v>53</v>
      </c>
      <c r="B18" s="5">
        <v>-0.21</v>
      </c>
      <c r="C18" t="s">
        <v>7</v>
      </c>
      <c r="E18" t="s">
        <v>17</v>
      </c>
      <c r="F18" t="s">
        <v>15</v>
      </c>
      <c r="G18" t="s">
        <v>55</v>
      </c>
    </row>
    <row r="19" spans="1:7" x14ac:dyDescent="0.2">
      <c r="B19" s="8"/>
    </row>
    <row r="20" spans="1:7" x14ac:dyDescent="0.2">
      <c r="B20" s="8"/>
    </row>
    <row r="22" spans="1:7" ht="16" x14ac:dyDescent="0.2">
      <c r="A22" s="1" t="s">
        <v>0</v>
      </c>
      <c r="B22" s="1" t="s">
        <v>321</v>
      </c>
    </row>
    <row r="23" spans="1:7" ht="16" x14ac:dyDescent="0.2">
      <c r="A23" s="16" t="s">
        <v>1</v>
      </c>
      <c r="B23" s="16" t="s">
        <v>408</v>
      </c>
    </row>
    <row r="24" spans="1:7" x14ac:dyDescent="0.2">
      <c r="A24" t="s">
        <v>2</v>
      </c>
      <c r="B24" t="s">
        <v>3</v>
      </c>
    </row>
    <row r="25" spans="1:7" x14ac:dyDescent="0.2">
      <c r="A25" t="s">
        <v>4</v>
      </c>
      <c r="B25">
        <v>1</v>
      </c>
    </row>
    <row r="26" spans="1:7" x14ac:dyDescent="0.2">
      <c r="A26" t="s">
        <v>5</v>
      </c>
      <c r="B26" t="s">
        <v>79</v>
      </c>
    </row>
    <row r="27" spans="1:7" x14ac:dyDescent="0.2">
      <c r="A27" t="s">
        <v>6</v>
      </c>
      <c r="B27" t="s">
        <v>7</v>
      </c>
    </row>
    <row r="28" spans="1:7" x14ac:dyDescent="0.2">
      <c r="A28" t="s">
        <v>8</v>
      </c>
      <c r="B28" t="s">
        <v>294</v>
      </c>
    </row>
    <row r="29" spans="1:7" x14ac:dyDescent="0.2">
      <c r="A29" s="2" t="s">
        <v>9</v>
      </c>
    </row>
    <row r="30" spans="1:7" x14ac:dyDescent="0.2">
      <c r="A30" t="s">
        <v>10</v>
      </c>
      <c r="B30" t="s">
        <v>11</v>
      </c>
      <c r="C30" t="s">
        <v>6</v>
      </c>
      <c r="D30" t="s">
        <v>42</v>
      </c>
      <c r="E30" t="s">
        <v>2</v>
      </c>
      <c r="F30" t="s">
        <v>12</v>
      </c>
      <c r="G30" t="s">
        <v>5</v>
      </c>
    </row>
    <row r="31" spans="1:7" x14ac:dyDescent="0.2">
      <c r="A31" t="s">
        <v>321</v>
      </c>
      <c r="B31">
        <v>1</v>
      </c>
      <c r="C31" t="s">
        <v>7</v>
      </c>
      <c r="E31" t="s">
        <v>3</v>
      </c>
      <c r="F31" t="s">
        <v>13</v>
      </c>
      <c r="G31" t="s">
        <v>79</v>
      </c>
    </row>
    <row r="32" spans="1:7" x14ac:dyDescent="0.2">
      <c r="A32" t="s">
        <v>47</v>
      </c>
      <c r="B32" s="7">
        <v>5</v>
      </c>
      <c r="C32" t="s">
        <v>7</v>
      </c>
      <c r="E32" t="s">
        <v>17</v>
      </c>
      <c r="F32" t="s">
        <v>15</v>
      </c>
      <c r="G32" t="s">
        <v>48</v>
      </c>
    </row>
    <row r="33" spans="1:7" x14ac:dyDescent="0.2">
      <c r="A33" t="s">
        <v>82</v>
      </c>
      <c r="B33" s="7">
        <v>1.6</v>
      </c>
      <c r="C33" t="s">
        <v>7</v>
      </c>
      <c r="E33" t="s">
        <v>3</v>
      </c>
      <c r="F33" t="s">
        <v>15</v>
      </c>
      <c r="G33" t="s">
        <v>83</v>
      </c>
    </row>
    <row r="34" spans="1:7" x14ac:dyDescent="0.2">
      <c r="A34" t="s">
        <v>84</v>
      </c>
      <c r="B34" s="5">
        <v>0.66</v>
      </c>
      <c r="C34" t="s">
        <v>7</v>
      </c>
      <c r="E34" t="s">
        <v>3</v>
      </c>
      <c r="F34" t="s">
        <v>15</v>
      </c>
      <c r="G34" t="s">
        <v>85</v>
      </c>
    </row>
    <row r="35" spans="1:7" x14ac:dyDescent="0.2">
      <c r="A35" t="s">
        <v>320</v>
      </c>
      <c r="B35" s="5">
        <v>0.94</v>
      </c>
      <c r="C35" t="s">
        <v>7</v>
      </c>
      <c r="E35" t="s">
        <v>3</v>
      </c>
      <c r="F35" t="s">
        <v>15</v>
      </c>
      <c r="G35" t="s">
        <v>293</v>
      </c>
    </row>
    <row r="36" spans="1:7" x14ac:dyDescent="0.2">
      <c r="A36" t="s">
        <v>38</v>
      </c>
      <c r="B36" s="12">
        <f>4*10^-10</f>
        <v>4.0000000000000001E-10</v>
      </c>
      <c r="C36" t="s">
        <v>6</v>
      </c>
      <c r="E36" t="s">
        <v>3</v>
      </c>
      <c r="F36" t="s">
        <v>15</v>
      </c>
      <c r="G36" t="s">
        <v>39</v>
      </c>
    </row>
    <row r="37" spans="1:7" x14ac:dyDescent="0.2">
      <c r="A37" t="s">
        <v>80</v>
      </c>
      <c r="B37" s="7">
        <v>5.9</v>
      </c>
      <c r="C37" t="s">
        <v>34</v>
      </c>
      <c r="E37" t="s">
        <v>3</v>
      </c>
      <c r="F37" t="s">
        <v>15</v>
      </c>
      <c r="G37" t="s">
        <v>81</v>
      </c>
    </row>
    <row r="38" spans="1:7" x14ac:dyDescent="0.2">
      <c r="A38" t="s">
        <v>22</v>
      </c>
      <c r="B38" s="8">
        <v>1.2999999999999999E-3</v>
      </c>
      <c r="C38" t="s">
        <v>23</v>
      </c>
      <c r="E38" t="s">
        <v>54</v>
      </c>
      <c r="F38" t="s">
        <v>15</v>
      </c>
      <c r="G38" t="s">
        <v>24</v>
      </c>
    </row>
    <row r="39" spans="1:7" x14ac:dyDescent="0.2">
      <c r="A39" t="s">
        <v>86</v>
      </c>
      <c r="B39" s="7">
        <v>7.8</v>
      </c>
      <c r="C39" t="s">
        <v>7</v>
      </c>
      <c r="E39" t="s">
        <v>17</v>
      </c>
      <c r="F39" t="s">
        <v>15</v>
      </c>
      <c r="G39" t="s">
        <v>87</v>
      </c>
    </row>
    <row r="40" spans="1:7" x14ac:dyDescent="0.2">
      <c r="A40" t="s">
        <v>53</v>
      </c>
      <c r="B40" s="7">
        <v>-2.2999999999999998</v>
      </c>
      <c r="C40" t="s">
        <v>7</v>
      </c>
      <c r="E40" t="s">
        <v>17</v>
      </c>
      <c r="F40" t="s">
        <v>15</v>
      </c>
      <c r="G40" t="s">
        <v>55</v>
      </c>
    </row>
    <row r="41" spans="1:7" x14ac:dyDescent="0.2">
      <c r="A41" t="s">
        <v>49</v>
      </c>
      <c r="B41" s="5">
        <v>-0.13</v>
      </c>
      <c r="C41" t="s">
        <v>45</v>
      </c>
      <c r="E41" t="s">
        <v>17</v>
      </c>
      <c r="F41" t="s">
        <v>15</v>
      </c>
      <c r="G41" t="s">
        <v>50</v>
      </c>
    </row>
    <row r="42" spans="1:7" x14ac:dyDescent="0.2">
      <c r="A42" t="s">
        <v>398</v>
      </c>
      <c r="B42" s="5">
        <v>0.13</v>
      </c>
      <c r="C42" t="s">
        <v>45</v>
      </c>
      <c r="D42" t="s">
        <v>295</v>
      </c>
      <c r="F42" t="s">
        <v>44</v>
      </c>
    </row>
    <row r="43" spans="1:7" x14ac:dyDescent="0.2">
      <c r="B43" s="8"/>
    </row>
    <row r="44" spans="1:7" x14ac:dyDescent="0.2">
      <c r="B44" s="8"/>
    </row>
    <row r="46" spans="1:7" ht="18" x14ac:dyDescent="0.25">
      <c r="A46" s="1" t="s">
        <v>0</v>
      </c>
      <c r="B46" s="1" t="s">
        <v>322</v>
      </c>
    </row>
    <row r="47" spans="1:7" ht="16" x14ac:dyDescent="0.2">
      <c r="A47" s="16" t="s">
        <v>1</v>
      </c>
      <c r="B47" s="16" t="s">
        <v>408</v>
      </c>
    </row>
    <row r="48" spans="1:7" x14ac:dyDescent="0.2">
      <c r="A48" t="s">
        <v>2</v>
      </c>
      <c r="B48" t="s">
        <v>3</v>
      </c>
    </row>
    <row r="49" spans="1:8" x14ac:dyDescent="0.2">
      <c r="A49" t="s">
        <v>4</v>
      </c>
      <c r="B49">
        <v>1</v>
      </c>
    </row>
    <row r="50" spans="1:8" x14ac:dyDescent="0.2">
      <c r="A50" t="s">
        <v>5</v>
      </c>
      <c r="B50" t="s">
        <v>88</v>
      </c>
    </row>
    <row r="51" spans="1:8" x14ac:dyDescent="0.2">
      <c r="A51" t="s">
        <v>6</v>
      </c>
      <c r="B51" t="s">
        <v>7</v>
      </c>
    </row>
    <row r="52" spans="1:8" x14ac:dyDescent="0.2">
      <c r="A52" t="s">
        <v>8</v>
      </c>
      <c r="B52" t="s">
        <v>294</v>
      </c>
    </row>
    <row r="53" spans="1:8" x14ac:dyDescent="0.2">
      <c r="A53" s="2" t="s">
        <v>9</v>
      </c>
    </row>
    <row r="54" spans="1:8" x14ac:dyDescent="0.2">
      <c r="A54" t="s">
        <v>10</v>
      </c>
      <c r="B54" t="s">
        <v>11</v>
      </c>
      <c r="C54" t="s">
        <v>6</v>
      </c>
      <c r="D54" t="s">
        <v>42</v>
      </c>
      <c r="E54" t="s">
        <v>2</v>
      </c>
      <c r="F54" t="s">
        <v>12</v>
      </c>
      <c r="G54" t="s">
        <v>5</v>
      </c>
      <c r="H54" t="s">
        <v>292</v>
      </c>
    </row>
    <row r="55" spans="1:8" x14ac:dyDescent="0.2">
      <c r="A55" t="s">
        <v>323</v>
      </c>
      <c r="B55">
        <v>1</v>
      </c>
      <c r="C55" t="s">
        <v>7</v>
      </c>
      <c r="E55" t="s">
        <v>3</v>
      </c>
      <c r="F55" t="s">
        <v>13</v>
      </c>
      <c r="G55" t="s">
        <v>88</v>
      </c>
    </row>
    <row r="56" spans="1:8" x14ac:dyDescent="0.2">
      <c r="A56" t="s">
        <v>324</v>
      </c>
      <c r="B56" s="7">
        <v>2.6</v>
      </c>
      <c r="C56" t="s">
        <v>7</v>
      </c>
      <c r="E56" t="s">
        <v>3</v>
      </c>
      <c r="F56" t="s">
        <v>15</v>
      </c>
      <c r="G56" t="s">
        <v>89</v>
      </c>
    </row>
    <row r="57" spans="1:8" x14ac:dyDescent="0.2">
      <c r="A57" t="s">
        <v>47</v>
      </c>
      <c r="B57" s="5">
        <v>0.64</v>
      </c>
      <c r="C57" t="s">
        <v>7</v>
      </c>
      <c r="E57" t="s">
        <v>17</v>
      </c>
      <c r="F57" t="s">
        <v>15</v>
      </c>
      <c r="G57" t="s">
        <v>48</v>
      </c>
      <c r="H57" t="s">
        <v>370</v>
      </c>
    </row>
    <row r="58" spans="1:8" x14ac:dyDescent="0.2">
      <c r="A58" t="s">
        <v>22</v>
      </c>
      <c r="B58" s="8">
        <v>3.5999999999999999E-3</v>
      </c>
      <c r="C58" t="s">
        <v>23</v>
      </c>
      <c r="E58" t="s">
        <v>54</v>
      </c>
      <c r="F58" t="s">
        <v>15</v>
      </c>
      <c r="G58" t="s">
        <v>24</v>
      </c>
    </row>
    <row r="59" spans="1:8" x14ac:dyDescent="0.2">
      <c r="A59" t="s">
        <v>86</v>
      </c>
      <c r="B59" s="7">
        <v>5.4</v>
      </c>
      <c r="C59" t="s">
        <v>7</v>
      </c>
      <c r="E59" t="s">
        <v>17</v>
      </c>
      <c r="F59" t="s">
        <v>15</v>
      </c>
      <c r="G59" t="s">
        <v>87</v>
      </c>
    </row>
    <row r="60" spans="1:8" x14ac:dyDescent="0.2">
      <c r="A60" t="s">
        <v>38</v>
      </c>
      <c r="B60" s="3">
        <f>0.0000000004</f>
        <v>4.0000000000000001E-10</v>
      </c>
      <c r="C60" t="s">
        <v>6</v>
      </c>
      <c r="E60" t="s">
        <v>3</v>
      </c>
      <c r="F60" t="s">
        <v>15</v>
      </c>
      <c r="G60" t="s">
        <v>39</v>
      </c>
    </row>
    <row r="61" spans="1:8" x14ac:dyDescent="0.2">
      <c r="A61" t="s">
        <v>53</v>
      </c>
      <c r="B61" s="7">
        <v>-2.2000000000000002</v>
      </c>
      <c r="C61" t="s">
        <v>7</v>
      </c>
      <c r="E61" t="s">
        <v>17</v>
      </c>
      <c r="F61" t="s">
        <v>15</v>
      </c>
      <c r="G61" t="s">
        <v>55</v>
      </c>
    </row>
    <row r="62" spans="1:8" x14ac:dyDescent="0.2">
      <c r="A62" t="s">
        <v>49</v>
      </c>
      <c r="B62" s="4">
        <v>-9.5000000000000001E-2</v>
      </c>
      <c r="C62" t="s">
        <v>45</v>
      </c>
      <c r="E62" t="s">
        <v>17</v>
      </c>
      <c r="F62" t="s">
        <v>15</v>
      </c>
      <c r="G62" t="s">
        <v>50</v>
      </c>
    </row>
    <row r="63" spans="1:8" x14ac:dyDescent="0.2">
      <c r="A63" t="s">
        <v>398</v>
      </c>
      <c r="B63" s="4">
        <v>9.5000000000000001E-2</v>
      </c>
      <c r="C63" t="s">
        <v>45</v>
      </c>
      <c r="D63" t="s">
        <v>295</v>
      </c>
      <c r="F63" t="s">
        <v>44</v>
      </c>
    </row>
    <row r="64" spans="1:8" x14ac:dyDescent="0.2">
      <c r="B64" s="8"/>
    </row>
    <row r="65" spans="1:12" x14ac:dyDescent="0.2">
      <c r="B65" s="8"/>
    </row>
    <row r="66" spans="1:12" x14ac:dyDescent="0.2">
      <c r="B66" s="8"/>
    </row>
    <row r="67" spans="1:12" ht="16" x14ac:dyDescent="0.2">
      <c r="A67" s="1" t="s">
        <v>0</v>
      </c>
      <c r="B67" s="1" t="s">
        <v>324</v>
      </c>
    </row>
    <row r="68" spans="1:12" x14ac:dyDescent="0.2">
      <c r="A68" t="s">
        <v>1</v>
      </c>
      <c r="B68" t="s">
        <v>463</v>
      </c>
    </row>
    <row r="69" spans="1:12" x14ac:dyDescent="0.2">
      <c r="A69" t="s">
        <v>2</v>
      </c>
      <c r="B69" t="s">
        <v>3</v>
      </c>
    </row>
    <row r="70" spans="1:12" x14ac:dyDescent="0.2">
      <c r="A70" t="s">
        <v>4</v>
      </c>
      <c r="B70">
        <v>1</v>
      </c>
    </row>
    <row r="71" spans="1:12" x14ac:dyDescent="0.2">
      <c r="A71" t="s">
        <v>5</v>
      </c>
      <c r="B71" t="s">
        <v>89</v>
      </c>
    </row>
    <row r="72" spans="1:12" x14ac:dyDescent="0.2">
      <c r="A72" t="s">
        <v>6</v>
      </c>
      <c r="B72" t="s">
        <v>7</v>
      </c>
    </row>
    <row r="73" spans="1:12" x14ac:dyDescent="0.2">
      <c r="A73" t="s">
        <v>8</v>
      </c>
      <c r="B73" t="s">
        <v>296</v>
      </c>
    </row>
    <row r="74" spans="1:12" x14ac:dyDescent="0.2">
      <c r="A74" s="2" t="s">
        <v>9</v>
      </c>
    </row>
    <row r="75" spans="1:12" x14ac:dyDescent="0.2">
      <c r="A75" t="s">
        <v>10</v>
      </c>
      <c r="B75" t="s">
        <v>11</v>
      </c>
      <c r="C75" t="s">
        <v>6</v>
      </c>
      <c r="D75" t="s">
        <v>42</v>
      </c>
      <c r="E75" t="s">
        <v>2</v>
      </c>
      <c r="F75" t="s">
        <v>12</v>
      </c>
      <c r="G75" t="s">
        <v>5</v>
      </c>
      <c r="H75" t="s">
        <v>1</v>
      </c>
      <c r="I75" t="s">
        <v>458</v>
      </c>
      <c r="J75" t="s">
        <v>459</v>
      </c>
      <c r="K75" t="s">
        <v>460</v>
      </c>
      <c r="L75" t="s">
        <v>461</v>
      </c>
    </row>
    <row r="76" spans="1:12" x14ac:dyDescent="0.2">
      <c r="A76" t="s">
        <v>324</v>
      </c>
      <c r="B76">
        <v>1</v>
      </c>
      <c r="C76" t="s">
        <v>7</v>
      </c>
      <c r="E76" t="s">
        <v>3</v>
      </c>
      <c r="F76" t="s">
        <v>13</v>
      </c>
      <c r="G76" t="s">
        <v>89</v>
      </c>
    </row>
    <row r="77" spans="1:12" x14ac:dyDescent="0.2">
      <c r="A77" t="s">
        <v>38</v>
      </c>
      <c r="B77">
        <f>0.0000000004</f>
        <v>4.0000000000000001E-10</v>
      </c>
      <c r="C77" t="s">
        <v>6</v>
      </c>
      <c r="E77" t="s">
        <v>3</v>
      </c>
      <c r="F77" t="s">
        <v>15</v>
      </c>
      <c r="G77" t="s">
        <v>39</v>
      </c>
      <c r="H77" t="s">
        <v>415</v>
      </c>
    </row>
    <row r="78" spans="1:12" x14ac:dyDescent="0.2">
      <c r="A78" t="s">
        <v>22</v>
      </c>
      <c r="B78" s="5">
        <f>0.416</f>
        <v>0.41599999999999998</v>
      </c>
      <c r="C78" t="s">
        <v>23</v>
      </c>
      <c r="E78" t="s">
        <v>3</v>
      </c>
      <c r="F78" t="s">
        <v>15</v>
      </c>
      <c r="G78" t="s">
        <v>24</v>
      </c>
    </row>
    <row r="79" spans="1:12" x14ac:dyDescent="0.2">
      <c r="A79" t="s">
        <v>267</v>
      </c>
      <c r="B79" s="7">
        <f>2.15</f>
        <v>2.15</v>
      </c>
      <c r="C79" t="s">
        <v>34</v>
      </c>
      <c r="E79" t="s">
        <v>3</v>
      </c>
      <c r="F79" t="s">
        <v>15</v>
      </c>
      <c r="G79" t="s">
        <v>35</v>
      </c>
    </row>
    <row r="80" spans="1:12" x14ac:dyDescent="0.2">
      <c r="A80" t="s">
        <v>268</v>
      </c>
      <c r="B80" s="4">
        <f>0.02998</f>
        <v>2.998E-2</v>
      </c>
      <c r="C80" t="s">
        <v>34</v>
      </c>
      <c r="E80" t="s">
        <v>29</v>
      </c>
      <c r="F80" t="s">
        <v>15</v>
      </c>
      <c r="G80" t="s">
        <v>269</v>
      </c>
    </row>
    <row r="81" spans="1:12" x14ac:dyDescent="0.2">
      <c r="A81" t="s">
        <v>268</v>
      </c>
      <c r="B81" s="5">
        <f>0.17002</f>
        <v>0.17002</v>
      </c>
      <c r="C81" t="s">
        <v>34</v>
      </c>
      <c r="E81" t="s">
        <v>17</v>
      </c>
      <c r="F81" t="s">
        <v>15</v>
      </c>
      <c r="G81" t="s">
        <v>269</v>
      </c>
    </row>
    <row r="82" spans="1:12" x14ac:dyDescent="0.2">
      <c r="A82" t="s">
        <v>270</v>
      </c>
      <c r="B82" s="5">
        <f>0.70572</f>
        <v>0.70572000000000001</v>
      </c>
      <c r="C82" t="s">
        <v>7</v>
      </c>
      <c r="E82" t="s">
        <v>17</v>
      </c>
      <c r="F82" t="s">
        <v>15</v>
      </c>
      <c r="G82" t="s">
        <v>271</v>
      </c>
    </row>
    <row r="83" spans="1:12" x14ac:dyDescent="0.2">
      <c r="A83" t="s">
        <v>270</v>
      </c>
      <c r="B83" s="5">
        <f>0.12023</f>
        <v>0.12023</v>
      </c>
      <c r="C83" t="s">
        <v>7</v>
      </c>
      <c r="E83" t="s">
        <v>29</v>
      </c>
      <c r="F83" t="s">
        <v>15</v>
      </c>
      <c r="G83" t="s">
        <v>271</v>
      </c>
    </row>
    <row r="84" spans="1:12" x14ac:dyDescent="0.2">
      <c r="A84" t="s">
        <v>68</v>
      </c>
      <c r="B84" s="4">
        <f>0.01491</f>
        <v>1.491E-2</v>
      </c>
      <c r="C84" t="s">
        <v>7</v>
      </c>
      <c r="E84" t="s">
        <v>17</v>
      </c>
      <c r="F84" t="s">
        <v>15</v>
      </c>
      <c r="G84" t="s">
        <v>69</v>
      </c>
    </row>
    <row r="85" spans="1:12" x14ac:dyDescent="0.2">
      <c r="A85" t="s">
        <v>68</v>
      </c>
      <c r="B85" s="8">
        <f>0.00409</f>
        <v>4.0899999999999999E-3</v>
      </c>
      <c r="C85" t="s">
        <v>7</v>
      </c>
      <c r="E85" t="s">
        <v>29</v>
      </c>
      <c r="F85" t="s">
        <v>15</v>
      </c>
      <c r="G85" t="s">
        <v>69</v>
      </c>
    </row>
    <row r="86" spans="1:12" x14ac:dyDescent="0.2">
      <c r="A86" t="s">
        <v>272</v>
      </c>
      <c r="B86" s="5">
        <f>0.22973</f>
        <v>0.22972999999999999</v>
      </c>
      <c r="C86" t="s">
        <v>7</v>
      </c>
      <c r="E86" t="s">
        <v>3</v>
      </c>
      <c r="F86" t="s">
        <v>15</v>
      </c>
      <c r="G86" t="s">
        <v>273</v>
      </c>
    </row>
    <row r="87" spans="1:12" x14ac:dyDescent="0.2">
      <c r="A87" t="s">
        <v>274</v>
      </c>
      <c r="B87">
        <f>0.026</f>
        <v>2.5999999999999999E-2</v>
      </c>
      <c r="C87" t="s">
        <v>7</v>
      </c>
      <c r="E87" t="s">
        <v>3</v>
      </c>
      <c r="F87" t="s">
        <v>15</v>
      </c>
      <c r="G87" t="s">
        <v>275</v>
      </c>
    </row>
    <row r="88" spans="1:12" x14ac:dyDescent="0.2">
      <c r="A88" t="s">
        <v>398</v>
      </c>
      <c r="B88" s="4">
        <f>0.0164</f>
        <v>1.6400000000000001E-2</v>
      </c>
      <c r="C88" t="s">
        <v>45</v>
      </c>
      <c r="D88" t="s">
        <v>295</v>
      </c>
      <c r="F88" t="s">
        <v>44</v>
      </c>
    </row>
    <row r="89" spans="1:12" x14ac:dyDescent="0.2">
      <c r="A89" t="s">
        <v>399</v>
      </c>
      <c r="B89">
        <f>0.00086</f>
        <v>8.5999999999999998E-4</v>
      </c>
      <c r="C89" t="s">
        <v>45</v>
      </c>
      <c r="D89" t="s">
        <v>295</v>
      </c>
      <c r="F89" t="s">
        <v>44</v>
      </c>
    </row>
    <row r="90" spans="1:12" x14ac:dyDescent="0.2">
      <c r="A90" t="s">
        <v>402</v>
      </c>
      <c r="B90">
        <f>0.00083</f>
        <v>8.3000000000000001E-4</v>
      </c>
      <c r="C90" t="s">
        <v>45</v>
      </c>
      <c r="D90" t="s">
        <v>295</v>
      </c>
      <c r="F90" t="s">
        <v>44</v>
      </c>
    </row>
    <row r="91" spans="1:12" x14ac:dyDescent="0.2">
      <c r="A91" t="s">
        <v>49</v>
      </c>
      <c r="B91" s="13">
        <f>(-0.00000176509)</f>
        <v>-1.76509E-6</v>
      </c>
      <c r="C91" t="s">
        <v>45</v>
      </c>
      <c r="E91" t="s">
        <v>17</v>
      </c>
      <c r="F91" t="s">
        <v>15</v>
      </c>
      <c r="G91" t="s">
        <v>50</v>
      </c>
    </row>
    <row r="92" spans="1:12" x14ac:dyDescent="0.2">
      <c r="A92" t="s">
        <v>49</v>
      </c>
      <c r="B92" s="13">
        <f>-0.000000091266</f>
        <v>-9.1266000000000005E-8</v>
      </c>
      <c r="C92" t="s">
        <v>45</v>
      </c>
      <c r="E92" t="s">
        <v>276</v>
      </c>
      <c r="F92" t="s">
        <v>15</v>
      </c>
      <c r="G92" t="s">
        <v>50</v>
      </c>
    </row>
    <row r="93" spans="1:12" x14ac:dyDescent="0.2">
      <c r="A93" t="s">
        <v>49</v>
      </c>
      <c r="B93" s="13">
        <f>-0.000000843646</f>
        <v>-8.4364599999999996E-7</v>
      </c>
      <c r="C93" t="s">
        <v>45</v>
      </c>
      <c r="E93" t="s">
        <v>54</v>
      </c>
      <c r="F93" t="s">
        <v>15</v>
      </c>
      <c r="G93" t="s">
        <v>50</v>
      </c>
    </row>
    <row r="94" spans="1:12" x14ac:dyDescent="0.2">
      <c r="A94" t="s">
        <v>401</v>
      </c>
      <c r="B94" s="13">
        <f>0.00289</f>
        <v>2.8900000000000002E-3</v>
      </c>
      <c r="C94" t="s">
        <v>7</v>
      </c>
      <c r="D94" t="s">
        <v>43</v>
      </c>
      <c r="F94" t="s">
        <v>44</v>
      </c>
    </row>
    <row r="95" spans="1:12" x14ac:dyDescent="0.2">
      <c r="A95" t="s">
        <v>400</v>
      </c>
      <c r="B95" s="13">
        <f>0.005*SUM(B82:B83)</f>
        <v>4.1297499999999997E-3</v>
      </c>
      <c r="C95" t="s">
        <v>7</v>
      </c>
      <c r="D95" t="s">
        <v>43</v>
      </c>
      <c r="F95" t="s">
        <v>44</v>
      </c>
      <c r="H95" t="s">
        <v>462</v>
      </c>
      <c r="I95">
        <v>5</v>
      </c>
      <c r="J95" s="13">
        <f>B95</f>
        <v>4.1297499999999997E-3</v>
      </c>
      <c r="K95">
        <f>0.0006*SUM(B82:B83)</f>
        <v>4.9556999999999997E-4</v>
      </c>
      <c r="L95">
        <v>4.1300000000000003E-2</v>
      </c>
    </row>
    <row r="96" spans="1:12" x14ac:dyDescent="0.2">
      <c r="A96" t="s">
        <v>403</v>
      </c>
      <c r="B96" s="13">
        <f>0.019</f>
        <v>1.9E-2</v>
      </c>
      <c r="C96" t="s">
        <v>7</v>
      </c>
      <c r="D96" t="s">
        <v>43</v>
      </c>
      <c r="F96" t="s">
        <v>44</v>
      </c>
    </row>
    <row r="97" spans="1:7" x14ac:dyDescent="0.2">
      <c r="A97" t="s">
        <v>404</v>
      </c>
      <c r="B97" s="13">
        <f>0.01091</f>
        <v>1.091E-2</v>
      </c>
      <c r="C97" t="s">
        <v>7</v>
      </c>
      <c r="D97" t="s">
        <v>297</v>
      </c>
      <c r="F97" t="s">
        <v>44</v>
      </c>
    </row>
    <row r="98" spans="1:7" x14ac:dyDescent="0.2">
      <c r="A98" t="s">
        <v>404</v>
      </c>
      <c r="B98" s="13">
        <f>0.00057</f>
        <v>5.6999999999999998E-4</v>
      </c>
      <c r="C98" t="s">
        <v>7</v>
      </c>
      <c r="D98" t="s">
        <v>277</v>
      </c>
      <c r="F98" t="s">
        <v>44</v>
      </c>
    </row>
    <row r="99" spans="1:7" x14ac:dyDescent="0.2">
      <c r="A99" t="s">
        <v>405</v>
      </c>
      <c r="B99" s="13">
        <f>0.03*0.001</f>
        <v>3.0000000000000001E-5</v>
      </c>
      <c r="C99" t="s">
        <v>45</v>
      </c>
      <c r="D99" t="s">
        <v>43</v>
      </c>
      <c r="F99" t="s">
        <v>44</v>
      </c>
    </row>
    <row r="100" spans="1:7" x14ac:dyDescent="0.2">
      <c r="A100" t="s">
        <v>405</v>
      </c>
      <c r="B100" s="13">
        <f>0.0167</f>
        <v>1.67E-2</v>
      </c>
      <c r="C100" t="s">
        <v>45</v>
      </c>
      <c r="D100" t="s">
        <v>277</v>
      </c>
      <c r="F100" t="s">
        <v>44</v>
      </c>
    </row>
    <row r="101" spans="1:7" x14ac:dyDescent="0.2">
      <c r="B101" s="3"/>
    </row>
    <row r="102" spans="1:7" x14ac:dyDescent="0.2">
      <c r="B102" s="3"/>
    </row>
    <row r="104" spans="1:7" ht="18" x14ac:dyDescent="0.25">
      <c r="A104" s="1" t="s">
        <v>0</v>
      </c>
      <c r="B104" s="11" t="s">
        <v>325</v>
      </c>
    </row>
    <row r="105" spans="1:7" ht="16" x14ac:dyDescent="0.2">
      <c r="A105" s="16" t="s">
        <v>1</v>
      </c>
      <c r="B105" s="22" t="s">
        <v>408</v>
      </c>
    </row>
    <row r="106" spans="1:7" x14ac:dyDescent="0.2">
      <c r="A106" t="s">
        <v>2</v>
      </c>
      <c r="B106" t="s">
        <v>3</v>
      </c>
    </row>
    <row r="107" spans="1:7" x14ac:dyDescent="0.2">
      <c r="A107" t="s">
        <v>4</v>
      </c>
      <c r="B107">
        <v>1</v>
      </c>
    </row>
    <row r="108" spans="1:7" x14ac:dyDescent="0.2">
      <c r="A108" t="s">
        <v>5</v>
      </c>
      <c r="B108" t="s">
        <v>90</v>
      </c>
    </row>
    <row r="109" spans="1:7" x14ac:dyDescent="0.2">
      <c r="A109" t="s">
        <v>6</v>
      </c>
      <c r="B109" t="s">
        <v>7</v>
      </c>
    </row>
    <row r="110" spans="1:7" x14ac:dyDescent="0.2">
      <c r="A110" t="s">
        <v>8</v>
      </c>
      <c r="B110" t="s">
        <v>294</v>
      </c>
    </row>
    <row r="111" spans="1:7" x14ac:dyDescent="0.2">
      <c r="A111" s="2" t="s">
        <v>9</v>
      </c>
    </row>
    <row r="112" spans="1:7" x14ac:dyDescent="0.2">
      <c r="A112" t="s">
        <v>10</v>
      </c>
      <c r="B112" t="s">
        <v>11</v>
      </c>
      <c r="C112" t="s">
        <v>6</v>
      </c>
      <c r="D112" t="s">
        <v>42</v>
      </c>
      <c r="E112" t="s">
        <v>2</v>
      </c>
      <c r="F112" t="s">
        <v>12</v>
      </c>
      <c r="G112" t="s">
        <v>5</v>
      </c>
    </row>
    <row r="113" spans="1:7" x14ac:dyDescent="0.2">
      <c r="A113" t="s">
        <v>326</v>
      </c>
      <c r="B113">
        <v>1</v>
      </c>
      <c r="C113" t="s">
        <v>7</v>
      </c>
      <c r="E113" t="s">
        <v>3</v>
      </c>
      <c r="F113" t="s">
        <v>13</v>
      </c>
      <c r="G113" t="s">
        <v>90</v>
      </c>
    </row>
    <row r="114" spans="1:7" x14ac:dyDescent="0.2">
      <c r="A114" t="s">
        <v>323</v>
      </c>
      <c r="B114">
        <v>2.2000000000000002</v>
      </c>
      <c r="C114" t="s">
        <v>7</v>
      </c>
      <c r="E114" t="s">
        <v>3</v>
      </c>
      <c r="F114" t="s">
        <v>15</v>
      </c>
      <c r="G114" t="s">
        <v>88</v>
      </c>
    </row>
    <row r="115" spans="1:7" x14ac:dyDescent="0.2">
      <c r="A115" t="s">
        <v>321</v>
      </c>
      <c r="B115">
        <v>0.76</v>
      </c>
      <c r="C115" t="s">
        <v>7</v>
      </c>
      <c r="E115" t="s">
        <v>3</v>
      </c>
      <c r="F115" t="s">
        <v>15</v>
      </c>
      <c r="G115" t="s">
        <v>79</v>
      </c>
    </row>
    <row r="116" spans="1:7" x14ac:dyDescent="0.2">
      <c r="A116" t="s">
        <v>38</v>
      </c>
      <c r="B116">
        <f>4*10^-10</f>
        <v>4.0000000000000001E-10</v>
      </c>
      <c r="C116" t="s">
        <v>6</v>
      </c>
      <c r="E116" t="s">
        <v>3</v>
      </c>
      <c r="F116" t="s">
        <v>15</v>
      </c>
      <c r="G116" t="s">
        <v>39</v>
      </c>
    </row>
    <row r="117" spans="1:7" x14ac:dyDescent="0.2">
      <c r="A117" t="s">
        <v>22</v>
      </c>
      <c r="B117">
        <v>2.3E-2</v>
      </c>
      <c r="C117" t="s">
        <v>23</v>
      </c>
      <c r="E117" t="s">
        <v>54</v>
      </c>
      <c r="F117" t="s">
        <v>15</v>
      </c>
      <c r="G117" t="s">
        <v>24</v>
      </c>
    </row>
    <row r="118" spans="1:7" x14ac:dyDescent="0.2">
      <c r="A118" t="s">
        <v>86</v>
      </c>
      <c r="B118">
        <v>16</v>
      </c>
      <c r="C118" t="s">
        <v>7</v>
      </c>
      <c r="E118" t="s">
        <v>17</v>
      </c>
      <c r="F118" t="s">
        <v>15</v>
      </c>
      <c r="G118" t="s">
        <v>87</v>
      </c>
    </row>
    <row r="119" spans="1:7" x14ac:dyDescent="0.2">
      <c r="A119" t="s">
        <v>53</v>
      </c>
      <c r="B119" s="7">
        <v>-2</v>
      </c>
      <c r="C119" t="s">
        <v>7</v>
      </c>
      <c r="E119" t="s">
        <v>17</v>
      </c>
      <c r="F119" t="s">
        <v>15</v>
      </c>
      <c r="G119" t="s">
        <v>55</v>
      </c>
    </row>
    <row r="120" spans="1:7" x14ac:dyDescent="0.2">
      <c r="A120" t="s">
        <v>49</v>
      </c>
      <c r="B120">
        <v>-0.28000000000000003</v>
      </c>
      <c r="C120" t="s">
        <v>45</v>
      </c>
      <c r="E120" t="s">
        <v>17</v>
      </c>
      <c r="F120" t="s">
        <v>15</v>
      </c>
      <c r="G120" t="s">
        <v>50</v>
      </c>
    </row>
    <row r="121" spans="1:7" x14ac:dyDescent="0.2">
      <c r="A121" t="s">
        <v>398</v>
      </c>
      <c r="B121">
        <v>0.28000000000000003</v>
      </c>
      <c r="C121" t="s">
        <v>45</v>
      </c>
      <c r="D121" t="s">
        <v>295</v>
      </c>
      <c r="F121" t="s">
        <v>44</v>
      </c>
    </row>
    <row r="125" spans="1:7" ht="16" x14ac:dyDescent="0.2">
      <c r="A125" s="1" t="s">
        <v>0</v>
      </c>
      <c r="B125" s="1" t="s">
        <v>327</v>
      </c>
    </row>
    <row r="126" spans="1:7" ht="16" x14ac:dyDescent="0.2">
      <c r="A126" s="16" t="s">
        <v>1</v>
      </c>
      <c r="B126" s="16" t="s">
        <v>408</v>
      </c>
    </row>
    <row r="127" spans="1:7" x14ac:dyDescent="0.2">
      <c r="A127" t="s">
        <v>2</v>
      </c>
      <c r="B127" t="s">
        <v>3</v>
      </c>
    </row>
    <row r="128" spans="1:7" x14ac:dyDescent="0.2">
      <c r="A128" t="s">
        <v>4</v>
      </c>
      <c r="B128">
        <v>1</v>
      </c>
    </row>
    <row r="129" spans="1:7" x14ac:dyDescent="0.2">
      <c r="A129" t="s">
        <v>5</v>
      </c>
      <c r="B129" t="s">
        <v>91</v>
      </c>
    </row>
    <row r="130" spans="1:7" x14ac:dyDescent="0.2">
      <c r="A130" t="s">
        <v>6</v>
      </c>
      <c r="B130" t="s">
        <v>7</v>
      </c>
    </row>
    <row r="131" spans="1:7" x14ac:dyDescent="0.2">
      <c r="A131" t="s">
        <v>8</v>
      </c>
      <c r="B131" t="s">
        <v>294</v>
      </c>
    </row>
    <row r="132" spans="1:7" x14ac:dyDescent="0.2">
      <c r="A132" s="2" t="s">
        <v>9</v>
      </c>
    </row>
    <row r="133" spans="1:7" x14ac:dyDescent="0.2">
      <c r="A133" t="s">
        <v>10</v>
      </c>
      <c r="B133" t="s">
        <v>11</v>
      </c>
      <c r="C133" t="s">
        <v>6</v>
      </c>
      <c r="D133" t="s">
        <v>42</v>
      </c>
      <c r="E133" t="s">
        <v>2</v>
      </c>
      <c r="F133" t="s">
        <v>12</v>
      </c>
      <c r="G133" t="s">
        <v>5</v>
      </c>
    </row>
    <row r="134" spans="1:7" x14ac:dyDescent="0.2">
      <c r="A134" t="s">
        <v>327</v>
      </c>
      <c r="B134">
        <v>1</v>
      </c>
      <c r="C134" t="s">
        <v>7</v>
      </c>
      <c r="E134" t="s">
        <v>3</v>
      </c>
      <c r="F134" t="s">
        <v>13</v>
      </c>
      <c r="G134" t="s">
        <v>91</v>
      </c>
    </row>
    <row r="135" spans="1:7" x14ac:dyDescent="0.2">
      <c r="A135" t="s">
        <v>326</v>
      </c>
      <c r="B135">
        <v>0.82</v>
      </c>
      <c r="C135" t="s">
        <v>7</v>
      </c>
      <c r="E135" t="s">
        <v>3</v>
      </c>
      <c r="F135" t="s">
        <v>15</v>
      </c>
      <c r="G135" t="s">
        <v>90</v>
      </c>
    </row>
    <row r="136" spans="1:7" x14ac:dyDescent="0.2">
      <c r="A136" t="s">
        <v>320</v>
      </c>
      <c r="B136">
        <v>0.52</v>
      </c>
      <c r="C136" t="s">
        <v>7</v>
      </c>
      <c r="E136" t="s">
        <v>3</v>
      </c>
      <c r="F136" t="s">
        <v>15</v>
      </c>
      <c r="G136" t="s">
        <v>293</v>
      </c>
    </row>
    <row r="137" spans="1:7" x14ac:dyDescent="0.2">
      <c r="A137" t="s">
        <v>92</v>
      </c>
      <c r="B137">
        <v>0.65</v>
      </c>
      <c r="C137" t="s">
        <v>7</v>
      </c>
      <c r="E137" t="s">
        <v>3</v>
      </c>
      <c r="F137" t="s">
        <v>15</v>
      </c>
      <c r="G137" t="s">
        <v>93</v>
      </c>
    </row>
    <row r="138" spans="1:7" x14ac:dyDescent="0.2">
      <c r="A138" t="s">
        <v>94</v>
      </c>
      <c r="B138">
        <v>1.3</v>
      </c>
      <c r="C138" t="s">
        <v>7</v>
      </c>
      <c r="E138" t="s">
        <v>17</v>
      </c>
      <c r="F138" t="s">
        <v>15</v>
      </c>
      <c r="G138" t="s">
        <v>95</v>
      </c>
    </row>
    <row r="139" spans="1:7" x14ac:dyDescent="0.2">
      <c r="A139" t="s">
        <v>51</v>
      </c>
      <c r="B139">
        <v>3.1</v>
      </c>
      <c r="C139" t="s">
        <v>7</v>
      </c>
      <c r="E139" t="s">
        <v>17</v>
      </c>
      <c r="F139" t="s">
        <v>15</v>
      </c>
      <c r="G139" t="s">
        <v>52</v>
      </c>
    </row>
    <row r="140" spans="1:7" x14ac:dyDescent="0.2">
      <c r="A140" t="s">
        <v>38</v>
      </c>
      <c r="B140">
        <f>4*10^-10</f>
        <v>4.0000000000000001E-10</v>
      </c>
      <c r="C140" t="s">
        <v>6</v>
      </c>
      <c r="E140" t="s">
        <v>3</v>
      </c>
      <c r="F140" t="s">
        <v>15</v>
      </c>
      <c r="G140" t="s">
        <v>39</v>
      </c>
    </row>
    <row r="141" spans="1:7" x14ac:dyDescent="0.2">
      <c r="A141" t="s">
        <v>22</v>
      </c>
      <c r="B141">
        <v>0.44</v>
      </c>
      <c r="C141" t="s">
        <v>23</v>
      </c>
      <c r="E141" t="s">
        <v>54</v>
      </c>
      <c r="F141" t="s">
        <v>15</v>
      </c>
      <c r="G141" t="s">
        <v>24</v>
      </c>
    </row>
    <row r="142" spans="1:7" x14ac:dyDescent="0.2">
      <c r="A142" t="s">
        <v>86</v>
      </c>
      <c r="B142">
        <v>26</v>
      </c>
      <c r="C142" t="s">
        <v>7</v>
      </c>
      <c r="E142" t="s">
        <v>17</v>
      </c>
      <c r="F142" t="s">
        <v>15</v>
      </c>
      <c r="G142" t="s">
        <v>87</v>
      </c>
    </row>
    <row r="143" spans="1:7" x14ac:dyDescent="0.2">
      <c r="A143" t="s">
        <v>53</v>
      </c>
      <c r="B143">
        <v>-5.4</v>
      </c>
      <c r="C143" t="s">
        <v>7</v>
      </c>
      <c r="E143" t="s">
        <v>17</v>
      </c>
      <c r="F143" t="s">
        <v>15</v>
      </c>
      <c r="G143" t="s">
        <v>55</v>
      </c>
    </row>
    <row r="144" spans="1:7" x14ac:dyDescent="0.2">
      <c r="A144" t="s">
        <v>49</v>
      </c>
      <c r="B144">
        <v>-0.38</v>
      </c>
      <c r="C144" t="s">
        <v>45</v>
      </c>
      <c r="E144" t="s">
        <v>17</v>
      </c>
      <c r="F144" t="s">
        <v>15</v>
      </c>
      <c r="G144" t="s">
        <v>50</v>
      </c>
    </row>
    <row r="145" spans="1:7" x14ac:dyDescent="0.2">
      <c r="A145" t="s">
        <v>398</v>
      </c>
      <c r="B145">
        <v>0.38</v>
      </c>
      <c r="C145" t="s">
        <v>45</v>
      </c>
      <c r="D145" t="s">
        <v>295</v>
      </c>
      <c r="F145" t="s">
        <v>44</v>
      </c>
    </row>
    <row r="149" spans="1:7" ht="16" x14ac:dyDescent="0.2">
      <c r="A149" s="1" t="s">
        <v>0</v>
      </c>
      <c r="B149" s="1" t="s">
        <v>328</v>
      </c>
    </row>
    <row r="150" spans="1:7" ht="16" x14ac:dyDescent="0.2">
      <c r="A150" s="16" t="s">
        <v>1</v>
      </c>
      <c r="B150" s="16" t="s">
        <v>408</v>
      </c>
    </row>
    <row r="151" spans="1:7" x14ac:dyDescent="0.2">
      <c r="A151" t="s">
        <v>2</v>
      </c>
      <c r="B151" t="s">
        <v>3</v>
      </c>
    </row>
    <row r="152" spans="1:7" x14ac:dyDescent="0.2">
      <c r="A152" t="s">
        <v>4</v>
      </c>
      <c r="B152">
        <v>1</v>
      </c>
    </row>
    <row r="153" spans="1:7" x14ac:dyDescent="0.2">
      <c r="A153" t="s">
        <v>5</v>
      </c>
      <c r="B153" t="s">
        <v>96</v>
      </c>
    </row>
    <row r="154" spans="1:7" x14ac:dyDescent="0.2">
      <c r="A154" t="s">
        <v>6</v>
      </c>
      <c r="B154" t="s">
        <v>7</v>
      </c>
    </row>
    <row r="155" spans="1:7" x14ac:dyDescent="0.2">
      <c r="A155" t="s">
        <v>8</v>
      </c>
      <c r="B155" t="s">
        <v>294</v>
      </c>
    </row>
    <row r="156" spans="1:7" x14ac:dyDescent="0.2">
      <c r="A156" s="2" t="s">
        <v>9</v>
      </c>
    </row>
    <row r="157" spans="1:7" x14ac:dyDescent="0.2">
      <c r="A157" t="s">
        <v>10</v>
      </c>
      <c r="B157" t="s">
        <v>11</v>
      </c>
      <c r="C157" t="s">
        <v>6</v>
      </c>
      <c r="D157" t="s">
        <v>2</v>
      </c>
      <c r="E157" t="s">
        <v>12</v>
      </c>
      <c r="F157" t="s">
        <v>5</v>
      </c>
      <c r="G157" t="s">
        <v>1</v>
      </c>
    </row>
    <row r="158" spans="1:7" x14ac:dyDescent="0.2">
      <c r="A158" t="s">
        <v>328</v>
      </c>
      <c r="B158">
        <v>1</v>
      </c>
      <c r="C158" t="s">
        <v>7</v>
      </c>
      <c r="D158" t="s">
        <v>3</v>
      </c>
      <c r="E158" t="s">
        <v>13</v>
      </c>
      <c r="F158" t="s">
        <v>96</v>
      </c>
    </row>
    <row r="159" spans="1:7" x14ac:dyDescent="0.2">
      <c r="A159" t="s">
        <v>327</v>
      </c>
      <c r="B159" s="8">
        <v>1.2</v>
      </c>
      <c r="C159" t="s">
        <v>7</v>
      </c>
      <c r="D159" t="s">
        <v>3</v>
      </c>
      <c r="E159" t="s">
        <v>15</v>
      </c>
      <c r="F159" t="s">
        <v>91</v>
      </c>
    </row>
    <row r="160" spans="1:7" x14ac:dyDescent="0.2">
      <c r="A160" t="s">
        <v>56</v>
      </c>
      <c r="B160" s="8">
        <v>2.5</v>
      </c>
      <c r="C160" t="s">
        <v>7</v>
      </c>
      <c r="D160" t="s">
        <v>17</v>
      </c>
      <c r="E160" t="s">
        <v>15</v>
      </c>
      <c r="F160" t="s">
        <v>57</v>
      </c>
    </row>
    <row r="161" spans="1:8" x14ac:dyDescent="0.2">
      <c r="A161" t="s">
        <v>38</v>
      </c>
      <c r="B161">
        <f>4*10^-10</f>
        <v>4.0000000000000001E-10</v>
      </c>
      <c r="C161" t="s">
        <v>6</v>
      </c>
      <c r="D161" t="s">
        <v>3</v>
      </c>
      <c r="E161" t="s">
        <v>15</v>
      </c>
      <c r="F161" t="s">
        <v>39</v>
      </c>
    </row>
    <row r="162" spans="1:8" x14ac:dyDescent="0.2">
      <c r="A162" t="s">
        <v>86</v>
      </c>
      <c r="B162" s="8">
        <v>0.12</v>
      </c>
      <c r="C162" t="s">
        <v>7</v>
      </c>
      <c r="D162" t="s">
        <v>17</v>
      </c>
      <c r="E162" t="s">
        <v>15</v>
      </c>
      <c r="F162" t="s">
        <v>87</v>
      </c>
    </row>
    <row r="163" spans="1:8" x14ac:dyDescent="0.2">
      <c r="A163" t="s">
        <v>49</v>
      </c>
      <c r="B163" s="8">
        <f>-2.7/1000</f>
        <v>-2.7000000000000001E-3</v>
      </c>
      <c r="C163" t="s">
        <v>45</v>
      </c>
      <c r="D163" t="s">
        <v>17</v>
      </c>
      <c r="E163" t="s">
        <v>15</v>
      </c>
      <c r="F163" t="s">
        <v>50</v>
      </c>
      <c r="G163" t="s">
        <v>435</v>
      </c>
    </row>
    <row r="164" spans="1:8" x14ac:dyDescent="0.2">
      <c r="B164" s="8"/>
    </row>
    <row r="165" spans="1:8" x14ac:dyDescent="0.2">
      <c r="B165" s="8"/>
    </row>
    <row r="167" spans="1:8" ht="16" x14ac:dyDescent="0.2">
      <c r="A167" s="1" t="s">
        <v>0</v>
      </c>
      <c r="B167" s="1" t="s">
        <v>366</v>
      </c>
    </row>
    <row r="168" spans="1:8" x14ac:dyDescent="0.2">
      <c r="A168" t="s">
        <v>1</v>
      </c>
      <c r="B168" t="inlineStr">
        <is>
          <t>APPROVED SALT-SPECIFIC ENGINEERING REFERENCE, item16, 2026-10-18. CN112536014B Example3 https://patents.google.com/patent/CN112536014B/en reports water:HTFSI:Li2CO3=2.8:7.54-7.56:1,110-115C neutralization, spray drying and99.1percent isolated LiTFSI yield. Adopt midpoint7.55, pure HTFSI and battery-grade carbonate as acid-limited feeds; consistent atomic masses Li6.94,H1.008,C12.011,F18.998403,N14.007,O15.999,S32.06g/mol. Perkg isolated salt: HTFSI=0.988230515068844, carbonate=0.13089145894951576, addedwater=0.3664960850586441kg. Assume complete acid conversion before0.9percent isolation loss: CO2=0.0773467098163841kg; excess carbonate=0.0010318008133847756kg and lost LiTFSI=0.00908173562058523kg. Filter residue and salt loss are routed to existing generic wastewater as an explicit hazardous-salt fate proxy, not credited recovery; wastewater inventory does not resolve fluorinated chemistry. Assume0.1kWh/kg auxiliaries, heat=((feedwater+neutralizationwater)*(4.18kJ/kg/K*75K+2.26MJ/kg)+0.5MJ)/0.70=2.1780844732991187MJ/kg; this is an engineering drying estimate, not measured patent utility data. Assume drying water is condensed and collected with salt losses/excess carbonate: the wastewater mass includes feedwater, stoichiometric neutralization water and residues at1000kg/m3. No additional dilution water is invented. Condensate collection and generic wastewater are fate proxies; dedicated fluorinated-salt treatment remains unrepresented. Preserve factory proxy4e-10unit/kg. Upstream HTFSI multistep synthesis remains an inherited source/proxy uncertainty; this corrects the final salt route without transferring unrelated LiPF6 yield. Sensitivities:95-99.1percent isolation yield,50-90percent thermal efficiency; patent scale-up, purification utilities and emissions remain gaps.
PREVIOUS NOTES (retained as history; the correction above takes precedence):
this is LiTFSI. Source: Wickerts et al. (2023). Prospective Life Cycle Assessment of Lithium-Sulfur Batteries for Stationary Energy Storage. ACS Sustainable Chemistry &amp; Engineering. https://doi.org/10.1021/acssuschemeng.3c00141</t>
        </is>
      </c>
    </row>
    <row r="169" spans="1:8" x14ac:dyDescent="0.2">
      <c r="A169" t="s">
        <v>2</v>
      </c>
      <c r="B169" t="s">
        <v>3</v>
      </c>
    </row>
    <row r="170" spans="1:8" x14ac:dyDescent="0.2">
      <c r="A170" t="s">
        <v>4</v>
      </c>
      <c r="B170">
        <v>1</v>
      </c>
    </row>
    <row r="171" spans="1:8" x14ac:dyDescent="0.2">
      <c r="A171" t="s">
        <v>5</v>
      </c>
      <c r="B171" t="s">
        <v>367</v>
      </c>
    </row>
    <row r="172" spans="1:8" x14ac:dyDescent="0.2">
      <c r="A172" t="s">
        <v>6</v>
      </c>
      <c r="B172" t="s">
        <v>7</v>
      </c>
    </row>
    <row r="173" spans="1:8" x14ac:dyDescent="0.2">
      <c r="A173" t="s">
        <v>8</v>
      </c>
      <c r="B173" t="s">
        <v>294</v>
      </c>
    </row>
    <row r="174" spans="1:8" x14ac:dyDescent="0.2">
      <c r="A174" s="2" t="s">
        <v>9</v>
      </c>
    </row>
    <row r="175" spans="1:8" x14ac:dyDescent="0.2">
      <c r="A175" t="s">
        <v>10</v>
      </c>
      <c r="B175" t="s">
        <v>11</v>
      </c>
      <c r="C175" t="s">
        <v>6</v>
      </c>
      <c r="D175" t="s">
        <v>42</v>
      </c>
      <c r="E175" t="s">
        <v>2</v>
      </c>
      <c r="F175" t="s">
        <v>12</v>
      </c>
      <c r="G175" t="s">
        <v>5</v>
      </c>
      <c r="H175" t="s">
        <v>1</v>
      </c>
    </row>
    <row r="176" spans="1:8" ht="16" x14ac:dyDescent="0.2">
      <c r="A176" s="16" t="s">
        <v>366</v>
      </c>
      <c r="B176">
        <v>1</v>
      </c>
      <c r="C176" t="s">
        <v>7</v>
      </c>
      <c r="E176" t="s">
        <v>3</v>
      </c>
      <c r="F176" t="s">
        <v>13</v>
      </c>
      <c r="G176" t="s">
        <v>367</v>
      </c>
    </row>
    <row r="177" spans="1:8" x14ac:dyDescent="0.2">
      <c r="A177" t="s">
        <v>328</v>
      </c>
      <c r="B177" s="7">
        <v>0.988230515068844</v>
      </c>
      <c r="C177" t="s">
        <v>7</v>
      </c>
      <c r="E177" t="s">
        <v>3</v>
      </c>
      <c r="F177" t="s">
        <v>15</v>
      </c>
      <c r="G177" t="s">
        <v>96</v>
      </c>
    </row>
    <row r="178" spans="1:8" x14ac:dyDescent="0.2">
      <c r="A178" t="s">
        <v>395</v>
      </c>
      <c r="B178" s="5">
        <v>0.13089145894951576</v>
      </c>
      <c r="C178" t="s">
        <v>7</v>
      </c>
      <c r="E178" t="s">
        <v>3</v>
      </c>
      <c r="F178" t="s">
        <v>15</v>
      </c>
      <c r="G178" t="s">
        <v>397</v>
      </c>
      <c r="H178" t="s">
        <v>396</v>
      </c>
    </row>
    <row r="179" spans="1:8" x14ac:dyDescent="0.2">
      <c r="A179" t="s">
        <v>51</v>
      </c>
      <c r="B179" s="18">
        <v>0.3664960850586441</v>
      </c>
      <c r="C179" t="s">
        <v>7</v>
      </c>
      <c r="E179" t="s">
        <v>17</v>
      </c>
      <c r="F179" t="s">
        <v>15</v>
      </c>
      <c r="G179" t="s">
        <v>52</v>
      </c>
    </row>
    <row r="180" spans="1:8" x14ac:dyDescent="0.2">
      <c r="A180" t="s">
        <v>38</v>
      </c>
      <c r="B180">
        <f>4*10^-10</f>
        <v>4.0000000000000001E-10</v>
      </c>
      <c r="C180" t="s">
        <v>6</v>
      </c>
      <c r="E180" t="s">
        <v>3</v>
      </c>
      <c r="F180" t="s">
        <v>15</v>
      </c>
      <c r="G180" t="s">
        <v>39</v>
      </c>
    </row>
    <row r="181" spans="1:8" x14ac:dyDescent="0.2">
      <c r="A181" t="s">
        <v>22</v>
      </c>
      <c r="B181" s="7">
        <v>0.1</v>
      </c>
      <c r="C181" t="s">
        <v>23</v>
      </c>
      <c r="E181" t="s">
        <v>54</v>
      </c>
      <c r="F181" t="s">
        <v>15</v>
      </c>
      <c r="G181" t="s">
        <v>24</v>
      </c>
    </row>
    <row r="182" spans="1:8" x14ac:dyDescent="0.2">
      <c r="A182" t="inlineStr">
        <is>
          <t>market for heat, district or industrial, natural gas</t>
        </is>
      </c>
      <c r="B182" s="7">
        <v>2.1780844732991187</v>
      </c>
      <c r="C182" t="inlineStr">
        <is>
          <t>megajoule</t>
        </is>
      </c>
      <c r="E182" t="s">
        <v>17</v>
      </c>
      <c r="F182" t="s">
        <v>15</v>
      </c>
      <c r="G182" t="inlineStr">
        <is>
          <t>heat, district or industrial, natural gas</t>
        </is>
      </c>
    </row>
    <row r="183" spans="1:8" x14ac:dyDescent="0.2">
      <c r="A183" t="s">
        <v>49</v>
      </c>
      <c r="B183" s="4">
        <v>-0.00040827134926061976</v>
      </c>
      <c r="C183" t="s">
        <v>45</v>
      </c>
      <c r="E183" t="s">
        <v>17</v>
      </c>
      <c r="F183" t="s">
        <v>15</v>
      </c>
      <c r="G183" t="s">
        <v>50</v>
      </c>
      <c r="H183" t="s">
        <v>436</v>
      </c>
    </row>
    <row r="184" spans="1:8" x14ac:dyDescent="0.2">
      <c r="A184" t="s">
        <v>287</v>
      </c>
      <c r="B184" s="4">
        <v>0.0773467098163841</v>
      </c>
      <c r="C184" t="s">
        <v>7</v>
      </c>
      <c r="D184" t="s">
        <v>43</v>
      </c>
      <c r="F184" t="s">
        <v>44</v>
      </c>
    </row>
    <row r="185" spans="1:8" x14ac:dyDescent="0.2">
      <c r="B185" s="8"/>
    </row>
    <row r="186" spans="1:8" x14ac:dyDescent="0.2">
      <c r="B186" s="8"/>
    </row>
    <row r="187" spans="1:8" x14ac:dyDescent="0.2">
      <c r="B187" s="8"/>
    </row>
    <row r="188" spans="1:8" ht="16" x14ac:dyDescent="0.2">
      <c r="A188" s="1" t="s">
        <v>0</v>
      </c>
      <c r="B188" s="1" t="s">
        <v>329</v>
      </c>
    </row>
    <row r="189" spans="1:8" ht="16" x14ac:dyDescent="0.2">
      <c r="A189" s="16" t="s">
        <v>1</v>
      </c>
      <c r="B189" s="16" t="s">
        <v>408</v>
      </c>
    </row>
    <row r="190" spans="1:8" x14ac:dyDescent="0.2">
      <c r="A190" t="s">
        <v>2</v>
      </c>
      <c r="B190" t="s">
        <v>3</v>
      </c>
    </row>
    <row r="191" spans="1:8" x14ac:dyDescent="0.2">
      <c r="A191" t="s">
        <v>4</v>
      </c>
      <c r="B191">
        <v>1</v>
      </c>
    </row>
    <row r="192" spans="1:8" x14ac:dyDescent="0.2">
      <c r="A192" t="s">
        <v>5</v>
      </c>
      <c r="B192" t="s">
        <v>122</v>
      </c>
    </row>
    <row r="193" spans="1:7" x14ac:dyDescent="0.2">
      <c r="A193" t="s">
        <v>6</v>
      </c>
      <c r="B193" t="s">
        <v>7</v>
      </c>
    </row>
    <row r="194" spans="1:7" x14ac:dyDescent="0.2">
      <c r="A194" t="s">
        <v>8</v>
      </c>
      <c r="B194" t="s">
        <v>298</v>
      </c>
    </row>
    <row r="195" spans="1:7" x14ac:dyDescent="0.2">
      <c r="A195" s="2" t="s">
        <v>9</v>
      </c>
    </row>
    <row r="196" spans="1:7" x14ac:dyDescent="0.2">
      <c r="A196" t="s">
        <v>10</v>
      </c>
      <c r="B196" t="s">
        <v>11</v>
      </c>
      <c r="C196" t="s">
        <v>6</v>
      </c>
      <c r="D196" t="s">
        <v>42</v>
      </c>
      <c r="E196" t="s">
        <v>2</v>
      </c>
      <c r="F196" t="s">
        <v>12</v>
      </c>
      <c r="G196" t="s">
        <v>5</v>
      </c>
    </row>
    <row r="197" spans="1:7" x14ac:dyDescent="0.2">
      <c r="A197" t="s">
        <v>329</v>
      </c>
      <c r="B197">
        <v>1</v>
      </c>
      <c r="C197" t="s">
        <v>7</v>
      </c>
      <c r="E197" t="s">
        <v>3</v>
      </c>
      <c r="F197" t="s">
        <v>13</v>
      </c>
      <c r="G197" t="s">
        <v>122</v>
      </c>
    </row>
    <row r="198" spans="1:7" x14ac:dyDescent="0.2">
      <c r="A198" t="s">
        <v>278</v>
      </c>
      <c r="B198" s="5">
        <v>0.874</v>
      </c>
      <c r="C198" t="s">
        <v>7</v>
      </c>
      <c r="E198" t="s">
        <v>3</v>
      </c>
      <c r="F198" t="s">
        <v>15</v>
      </c>
      <c r="G198" t="s">
        <v>279</v>
      </c>
    </row>
    <row r="199" spans="1:7" x14ac:dyDescent="0.2">
      <c r="A199" t="s">
        <v>280</v>
      </c>
      <c r="B199" s="5">
        <v>0.42299999999999999</v>
      </c>
      <c r="C199" t="s">
        <v>7</v>
      </c>
      <c r="E199" t="s">
        <v>17</v>
      </c>
      <c r="F199" t="s">
        <v>15</v>
      </c>
      <c r="G199" t="s">
        <v>281</v>
      </c>
    </row>
    <row r="200" spans="1:7" x14ac:dyDescent="0.2">
      <c r="A200" t="s">
        <v>86</v>
      </c>
      <c r="B200">
        <v>5.0999999999999996</v>
      </c>
      <c r="C200" t="s">
        <v>7</v>
      </c>
      <c r="E200" t="s">
        <v>17</v>
      </c>
      <c r="F200" t="s">
        <v>15</v>
      </c>
      <c r="G200" t="s">
        <v>87</v>
      </c>
    </row>
    <row r="201" spans="1:7" x14ac:dyDescent="0.2">
      <c r="A201" t="s">
        <v>274</v>
      </c>
      <c r="B201">
        <v>0.72</v>
      </c>
      <c r="C201" t="s">
        <v>7</v>
      </c>
      <c r="E201" t="s">
        <v>3</v>
      </c>
      <c r="F201" t="s">
        <v>15</v>
      </c>
      <c r="G201" t="s">
        <v>275</v>
      </c>
    </row>
    <row r="202" spans="1:7" x14ac:dyDescent="0.2">
      <c r="A202" t="s">
        <v>38</v>
      </c>
      <c r="B202">
        <f>0.0000000004</f>
        <v>4.0000000000000001E-10</v>
      </c>
      <c r="C202" t="s">
        <v>6</v>
      </c>
      <c r="E202" t="s">
        <v>3</v>
      </c>
      <c r="F202" t="s">
        <v>15</v>
      </c>
      <c r="G202" t="s">
        <v>39</v>
      </c>
    </row>
    <row r="203" spans="1:7" x14ac:dyDescent="0.2">
      <c r="A203" t="s">
        <v>22</v>
      </c>
      <c r="B203" s="5">
        <v>0.24199999999999999</v>
      </c>
      <c r="C203" t="s">
        <v>23</v>
      </c>
      <c r="E203" t="s">
        <v>54</v>
      </c>
      <c r="F203" t="s">
        <v>15</v>
      </c>
      <c r="G203" t="s">
        <v>24</v>
      </c>
    </row>
    <row r="204" spans="1:7" x14ac:dyDescent="0.2">
      <c r="A204" t="s">
        <v>53</v>
      </c>
      <c r="B204" s="7">
        <v>-1.02</v>
      </c>
      <c r="C204" t="s">
        <v>7</v>
      </c>
      <c r="E204" t="s">
        <v>17</v>
      </c>
      <c r="F204" t="s">
        <v>15</v>
      </c>
      <c r="G204" t="s">
        <v>55</v>
      </c>
    </row>
    <row r="208" spans="1:7" ht="16" x14ac:dyDescent="0.2">
      <c r="A208" s="1" t="s">
        <v>0</v>
      </c>
      <c r="B208" s="1" t="s">
        <v>330</v>
      </c>
    </row>
    <row r="209" spans="1:8" ht="16" x14ac:dyDescent="0.2">
      <c r="A209" s="16" t="s">
        <v>1</v>
      </c>
      <c r="B209" s="16" t="s">
        <v>408</v>
      </c>
    </row>
    <row r="210" spans="1:8" x14ac:dyDescent="0.2">
      <c r="A210" t="s">
        <v>2</v>
      </c>
      <c r="B210" t="s">
        <v>3</v>
      </c>
    </row>
    <row r="211" spans="1:8" x14ac:dyDescent="0.2">
      <c r="A211" t="s">
        <v>4</v>
      </c>
      <c r="B211">
        <v>1</v>
      </c>
    </row>
    <row r="212" spans="1:8" x14ac:dyDescent="0.2">
      <c r="A212" t="s">
        <v>5</v>
      </c>
      <c r="B212" t="s">
        <v>125</v>
      </c>
    </row>
    <row r="213" spans="1:8" x14ac:dyDescent="0.2">
      <c r="A213" t="s">
        <v>6</v>
      </c>
      <c r="B213" t="s">
        <v>7</v>
      </c>
    </row>
    <row r="214" spans="1:8" x14ac:dyDescent="0.2">
      <c r="A214" t="s">
        <v>8</v>
      </c>
      <c r="B214" t="s">
        <v>299</v>
      </c>
    </row>
    <row r="215" spans="1:8" x14ac:dyDescent="0.2">
      <c r="A215" s="2" t="s">
        <v>9</v>
      </c>
    </row>
    <row r="216" spans="1:8" x14ac:dyDescent="0.2">
      <c r="A216" t="s">
        <v>10</v>
      </c>
      <c r="B216" t="s">
        <v>11</v>
      </c>
      <c r="C216" t="s">
        <v>6</v>
      </c>
      <c r="D216" t="s">
        <v>42</v>
      </c>
      <c r="E216" t="s">
        <v>2</v>
      </c>
      <c r="F216" t="s">
        <v>12</v>
      </c>
      <c r="G216" t="s">
        <v>5</v>
      </c>
      <c r="H216" t="s">
        <v>1</v>
      </c>
    </row>
    <row r="217" spans="1:8" x14ac:dyDescent="0.2">
      <c r="A217" t="s">
        <v>330</v>
      </c>
      <c r="B217" s="8">
        <v>1</v>
      </c>
      <c r="C217" t="s">
        <v>7</v>
      </c>
      <c r="E217" t="s">
        <v>3</v>
      </c>
      <c r="F217" t="s">
        <v>13</v>
      </c>
      <c r="G217" t="s">
        <v>125</v>
      </c>
    </row>
    <row r="218" spans="1:8" x14ac:dyDescent="0.2">
      <c r="A218" t="s">
        <v>38</v>
      </c>
      <c r="B218" s="3">
        <v>4.0000000000000001E-10</v>
      </c>
      <c r="C218" t="s">
        <v>6</v>
      </c>
      <c r="E218" t="s">
        <v>3</v>
      </c>
      <c r="F218" t="s">
        <v>15</v>
      </c>
      <c r="G218" t="s">
        <v>39</v>
      </c>
    </row>
    <row r="219" spans="1:8" x14ac:dyDescent="0.2">
      <c r="A219" t="s">
        <v>22</v>
      </c>
      <c r="B219" s="8">
        <v>0.25</v>
      </c>
      <c r="C219" t="s">
        <v>23</v>
      </c>
      <c r="E219" t="s">
        <v>54</v>
      </c>
      <c r="F219" t="s">
        <v>15</v>
      </c>
      <c r="G219" t="s">
        <v>24</v>
      </c>
    </row>
    <row r="220" spans="1:8" x14ac:dyDescent="0.2">
      <c r="A220" t="s">
        <v>395</v>
      </c>
      <c r="B220" s="8">
        <v>0.48</v>
      </c>
      <c r="C220" t="s">
        <v>7</v>
      </c>
      <c r="E220" t="s">
        <v>3</v>
      </c>
      <c r="F220" t="s">
        <v>15</v>
      </c>
      <c r="G220" t="s">
        <v>397</v>
      </c>
      <c r="H220" t="s">
        <v>396</v>
      </c>
    </row>
    <row r="221" spans="1:8" x14ac:dyDescent="0.2">
      <c r="A221" t="s">
        <v>284</v>
      </c>
      <c r="B221" s="8">
        <v>3.3000000000000002E-2</v>
      </c>
      <c r="C221" t="s">
        <v>7</v>
      </c>
      <c r="E221" t="s">
        <v>3</v>
      </c>
      <c r="F221" t="s">
        <v>15</v>
      </c>
      <c r="G221" t="s">
        <v>285</v>
      </c>
    </row>
    <row r="222" spans="1:8" x14ac:dyDescent="0.2">
      <c r="A222" t="s">
        <v>253</v>
      </c>
      <c r="B222" s="8">
        <v>0.91</v>
      </c>
      <c r="C222" t="s">
        <v>7</v>
      </c>
      <c r="E222" t="s">
        <v>17</v>
      </c>
      <c r="F222" t="s">
        <v>15</v>
      </c>
      <c r="G222" t="s">
        <v>286</v>
      </c>
    </row>
    <row r="223" spans="1:8" x14ac:dyDescent="0.2">
      <c r="A223" t="s">
        <v>86</v>
      </c>
      <c r="B223" s="8">
        <v>0.7</v>
      </c>
      <c r="C223" t="s">
        <v>7</v>
      </c>
      <c r="E223" t="s">
        <v>17</v>
      </c>
      <c r="F223" t="s">
        <v>15</v>
      </c>
      <c r="G223" t="s">
        <v>87</v>
      </c>
    </row>
    <row r="224" spans="1:8" x14ac:dyDescent="0.2">
      <c r="A224" t="s">
        <v>274</v>
      </c>
      <c r="B224" s="8">
        <v>0.91</v>
      </c>
      <c r="C224" t="s">
        <v>7</v>
      </c>
      <c r="E224" t="s">
        <v>3</v>
      </c>
      <c r="F224" t="s">
        <v>15</v>
      </c>
      <c r="G224" t="s">
        <v>275</v>
      </c>
    </row>
    <row r="225" spans="1:7" x14ac:dyDescent="0.2">
      <c r="A225" t="s">
        <v>49</v>
      </c>
      <c r="B225" s="8">
        <v>-1E-3</v>
      </c>
      <c r="C225" t="s">
        <v>45</v>
      </c>
      <c r="E225" t="s">
        <v>17</v>
      </c>
      <c r="F225" t="s">
        <v>15</v>
      </c>
      <c r="G225" t="s">
        <v>50</v>
      </c>
    </row>
    <row r="226" spans="1:7" x14ac:dyDescent="0.2">
      <c r="A226" t="s">
        <v>287</v>
      </c>
      <c r="B226" s="8">
        <v>0.3</v>
      </c>
      <c r="C226" t="s">
        <v>7</v>
      </c>
      <c r="D226" t="s">
        <v>43</v>
      </c>
      <c r="F226" t="s">
        <v>44</v>
      </c>
    </row>
    <row r="227" spans="1:7" x14ac:dyDescent="0.2">
      <c r="B227" s="8"/>
    </row>
    <row r="228" spans="1:7" x14ac:dyDescent="0.2">
      <c r="B228" s="8"/>
    </row>
    <row r="229" spans="1:7" x14ac:dyDescent="0.2">
      <c r="B229" s="8"/>
    </row>
    <row r="230" spans="1:7" ht="16" x14ac:dyDescent="0.2">
      <c r="A230" s="1" t="s">
        <v>0</v>
      </c>
      <c r="B230" s="1" t="s">
        <v>331</v>
      </c>
    </row>
    <row r="231" spans="1:7" ht="16" x14ac:dyDescent="0.2">
      <c r="A231" s="16" t="s">
        <v>1</v>
      </c>
      <c r="B231" s="16" t="s">
        <v>408</v>
      </c>
    </row>
    <row r="232" spans="1:7" x14ac:dyDescent="0.2">
      <c r="A232" t="s">
        <v>2</v>
      </c>
      <c r="B232" t="s">
        <v>3</v>
      </c>
    </row>
    <row r="233" spans="1:7" x14ac:dyDescent="0.2">
      <c r="A233" t="s">
        <v>4</v>
      </c>
      <c r="B233">
        <v>1</v>
      </c>
    </row>
    <row r="234" spans="1:7" x14ac:dyDescent="0.2">
      <c r="A234" t="s">
        <v>5</v>
      </c>
      <c r="B234" t="s">
        <v>98</v>
      </c>
    </row>
    <row r="235" spans="1:7" x14ac:dyDescent="0.2">
      <c r="A235" t="s">
        <v>6</v>
      </c>
      <c r="B235" t="s">
        <v>7</v>
      </c>
    </row>
    <row r="236" spans="1:7" x14ac:dyDescent="0.2">
      <c r="A236" t="s">
        <v>8</v>
      </c>
      <c r="B236" t="s">
        <v>300</v>
      </c>
    </row>
    <row r="237" spans="1:7" x14ac:dyDescent="0.2">
      <c r="A237" s="2" t="s">
        <v>9</v>
      </c>
    </row>
    <row r="238" spans="1:7" x14ac:dyDescent="0.2">
      <c r="A238" t="s">
        <v>10</v>
      </c>
      <c r="B238" t="s">
        <v>11</v>
      </c>
      <c r="C238" t="s">
        <v>6</v>
      </c>
      <c r="D238" t="s">
        <v>2</v>
      </c>
      <c r="E238" t="s">
        <v>12</v>
      </c>
      <c r="F238" t="s">
        <v>5</v>
      </c>
      <c r="G238" t="s">
        <v>292</v>
      </c>
    </row>
    <row r="239" spans="1:7" x14ac:dyDescent="0.2">
      <c r="A239" t="s">
        <v>331</v>
      </c>
      <c r="B239">
        <v>1</v>
      </c>
      <c r="C239" t="s">
        <v>7</v>
      </c>
      <c r="D239" t="s">
        <v>3</v>
      </c>
      <c r="E239" t="s">
        <v>13</v>
      </c>
      <c r="F239" t="s">
        <v>98</v>
      </c>
    </row>
    <row r="240" spans="1:7" x14ac:dyDescent="0.2">
      <c r="A240" t="s">
        <v>99</v>
      </c>
      <c r="B240" s="5">
        <v>0.32</v>
      </c>
      <c r="C240" t="s">
        <v>7</v>
      </c>
      <c r="D240" t="s">
        <v>17</v>
      </c>
      <c r="E240" t="s">
        <v>15</v>
      </c>
      <c r="F240" t="s">
        <v>100</v>
      </c>
    </row>
    <row r="241" spans="1:7" x14ac:dyDescent="0.2">
      <c r="A241" t="s">
        <v>375</v>
      </c>
      <c r="B241" s="5">
        <v>0.74</v>
      </c>
      <c r="C241" t="s">
        <v>7</v>
      </c>
      <c r="D241" t="s">
        <v>17</v>
      </c>
      <c r="E241" t="s">
        <v>15</v>
      </c>
      <c r="F241" t="s">
        <v>373</v>
      </c>
      <c r="G241" t="s">
        <v>371</v>
      </c>
    </row>
    <row r="242" spans="1:7" x14ac:dyDescent="0.2">
      <c r="A242" t="s">
        <v>38</v>
      </c>
      <c r="B242">
        <f>4*10^-10</f>
        <v>4.0000000000000001E-10</v>
      </c>
      <c r="C242" t="s">
        <v>6</v>
      </c>
      <c r="D242" t="s">
        <v>3</v>
      </c>
      <c r="E242" t="s">
        <v>15</v>
      </c>
      <c r="F242" t="s">
        <v>39</v>
      </c>
    </row>
    <row r="243" spans="1:7" x14ac:dyDescent="0.2">
      <c r="A243" t="s">
        <v>22</v>
      </c>
      <c r="B243" s="13">
        <f>2.1*10^-7</f>
        <v>2.1E-7</v>
      </c>
      <c r="C243" t="s">
        <v>23</v>
      </c>
      <c r="D243" t="s">
        <v>54</v>
      </c>
      <c r="E243" t="s">
        <v>15</v>
      </c>
      <c r="F243" t="s">
        <v>24</v>
      </c>
    </row>
    <row r="244" spans="1:7" x14ac:dyDescent="0.2">
      <c r="A244" t="s">
        <v>86</v>
      </c>
      <c r="B244" s="5">
        <v>0.11</v>
      </c>
      <c r="C244" t="s">
        <v>7</v>
      </c>
      <c r="D244" t="s">
        <v>17</v>
      </c>
      <c r="E244" t="s">
        <v>15</v>
      </c>
      <c r="F244" t="s">
        <v>87</v>
      </c>
    </row>
    <row r="245" spans="1:7" x14ac:dyDescent="0.2">
      <c r="A245" t="s">
        <v>53</v>
      </c>
      <c r="B245" s="4">
        <v>-0.06</v>
      </c>
      <c r="C245" t="s">
        <v>7</v>
      </c>
      <c r="D245" t="s">
        <v>17</v>
      </c>
      <c r="E245" t="s">
        <v>15</v>
      </c>
      <c r="F245" t="s">
        <v>55</v>
      </c>
      <c r="G245" t="s">
        <v>437</v>
      </c>
    </row>
    <row r="246" spans="1:7" x14ac:dyDescent="0.2">
      <c r="B246" s="8"/>
    </row>
    <row r="247" spans="1:7" x14ac:dyDescent="0.2">
      <c r="B247" s="8"/>
    </row>
    <row r="249" spans="1:7" ht="16" x14ac:dyDescent="0.2">
      <c r="A249" s="1" t="s">
        <v>0</v>
      </c>
      <c r="B249" s="1" t="s">
        <v>332</v>
      </c>
    </row>
    <row r="250" spans="1:7" ht="16" x14ac:dyDescent="0.2">
      <c r="A250" s="16" t="s">
        <v>1</v>
      </c>
      <c r="B250" s="16" t="inlineStr">
        <is>
          <t>APPROVED ELEMENT-BALANCED TEMPLATE ENGINEERING REFERENCE, item17, 2026-10-18. Wickerts corrected SI DOI10.1021/acssuschemeng.4c01782.s001 Tables S15/S16 inherits Jun etal DOI10.1021/ja002261e. Original1.1kg TEOS cannot supply1kg drySiO2: theoretical1.1*60.0843/208.328kg. Treat the reported recipe as a batch and assume95percent isolated silicon yield, giving0.3013905643984486kg SBA15. Scale ALL batch reagents, electricity and factory together by3.3179539047478803perkg drySBA15. This95percent yield is an engineering assumption, not a reported measurement; morphology/wash losses/calcination are not fully resolved. CMK3 original2.1kg sucrose contains less than1kgcarbon; assume95percent carbon retention after pyrolysis, giving0.8400417182179777kg drycarbon per originalbatch. Scale template, sucrose, sulfuricacid,water,electricity,factory together by1.190417068953849. HF must dissolve SiO2: SiO2+6HF-&gt;H2SiF6+2H2O; use5percent molar excess, 2.0977184056400757kgHF/kgtemplate before carbon-batch normalization. No template/solvent recovery credit. Future energy efficiency, actual carbon retention, calcination emissions, alcohol/acid washes and fluorosilicate treatment remain coverage gaps; omitted flows are not zero emissions. Source factory/energy remain batch proxies rather than measured scale-up utilities. Sensitivities: silicon isolation80-100percent; carbon retention50-100percent; HF excess0-20percent. This is joint mass/energy normalization, not an isolated TEOS adjustment.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51" spans="1:7" x14ac:dyDescent="0.2">
      <c r="A251" t="s">
        <v>2</v>
      </c>
      <c r="B251" t="s">
        <v>3</v>
      </c>
    </row>
    <row r="252" spans="1:7" x14ac:dyDescent="0.2">
      <c r="A252" t="s">
        <v>4</v>
      </c>
      <c r="B252">
        <v>1</v>
      </c>
    </row>
    <row r="253" spans="1:7" x14ac:dyDescent="0.2">
      <c r="A253" t="s">
        <v>5</v>
      </c>
      <c r="B253" t="s">
        <v>101</v>
      </c>
    </row>
    <row r="254" spans="1:7" x14ac:dyDescent="0.2">
      <c r="A254" t="s">
        <v>6</v>
      </c>
      <c r="B254" t="s">
        <v>7</v>
      </c>
    </row>
    <row r="255" spans="1:7" x14ac:dyDescent="0.2">
      <c r="A255" t="s">
        <v>8</v>
      </c>
      <c r="B255" t="s">
        <v>301</v>
      </c>
    </row>
    <row r="256" spans="1:7" x14ac:dyDescent="0.2">
      <c r="A256" s="2" t="s">
        <v>9</v>
      </c>
    </row>
    <row r="257" spans="1:7" x14ac:dyDescent="0.2">
      <c r="A257" t="s">
        <v>10</v>
      </c>
      <c r="B257" t="s">
        <v>11</v>
      </c>
      <c r="C257" t="s">
        <v>6</v>
      </c>
      <c r="D257" t="s">
        <v>42</v>
      </c>
      <c r="E257" t="s">
        <v>2</v>
      </c>
      <c r="F257" t="s">
        <v>12</v>
      </c>
      <c r="G257" t="s">
        <v>5</v>
      </c>
    </row>
    <row r="258" spans="1:7" x14ac:dyDescent="0.2">
      <c r="A258" t="s">
        <v>332</v>
      </c>
      <c r="B258">
        <v>1</v>
      </c>
      <c r="C258" t="s">
        <v>7</v>
      </c>
      <c r="E258" t="s">
        <v>3</v>
      </c>
      <c r="F258" t="s">
        <v>13</v>
      </c>
      <c r="G258" t="s">
        <v>101</v>
      </c>
    </row>
    <row r="259" spans="1:7" x14ac:dyDescent="0.2">
      <c r="A259" t="s">
        <v>331</v>
      </c>
      <c r="B259" s="5">
        <v>1.7253360304688978</v>
      </c>
      <c r="C259" t="s">
        <v>7</v>
      </c>
      <c r="E259" t="s">
        <v>3</v>
      </c>
      <c r="F259" t="s">
        <v>15</v>
      </c>
      <c r="G259" t="s">
        <v>98</v>
      </c>
    </row>
    <row r="260" spans="1:7" x14ac:dyDescent="0.2">
      <c r="A260" s="14" t="s">
        <v>102</v>
      </c>
      <c r="B260" s="7">
        <v>3.6497492952226684</v>
      </c>
      <c r="C260" t="s">
        <v>7</v>
      </c>
      <c r="E260" t="s">
        <v>3</v>
      </c>
      <c r="F260" t="s">
        <v>15</v>
      </c>
      <c r="G260" t="s">
        <v>103</v>
      </c>
    </row>
    <row r="261" spans="1:7" x14ac:dyDescent="0.2">
      <c r="A261" t="s">
        <v>51</v>
      </c>
      <c r="B261" s="18">
        <v>59.72317028546185</v>
      </c>
      <c r="C261" t="s">
        <v>7</v>
      </c>
      <c r="E261" t="s">
        <v>17</v>
      </c>
      <c r="F261" t="s">
        <v>15</v>
      </c>
      <c r="G261" t="s">
        <v>52</v>
      </c>
    </row>
    <row r="262" spans="1:7" x14ac:dyDescent="0.2">
      <c r="A262" t="s">
        <v>104</v>
      </c>
      <c r="B262" s="7">
        <v>3.6497492952226684</v>
      </c>
      <c r="C262" t="s">
        <v>7</v>
      </c>
      <c r="E262" t="s">
        <v>17</v>
      </c>
      <c r="F262" t="s">
        <v>15</v>
      </c>
      <c r="G262" t="s">
        <v>105</v>
      </c>
    </row>
    <row r="263" spans="1:7" x14ac:dyDescent="0.2">
      <c r="A263" t="s">
        <v>38</v>
      </c>
      <c r="B263">
        <f>1.3271815618991522e-09</f>
        <v>1.3271815618991522e-09</v>
      </c>
      <c r="C263" t="s">
        <v>6</v>
      </c>
      <c r="E263" t="s">
        <v>3</v>
      </c>
      <c r="F263" t="s">
        <v>15</v>
      </c>
      <c r="G263" t="s">
        <v>39</v>
      </c>
    </row>
    <row r="264" spans="1:7" x14ac:dyDescent="0.2">
      <c r="A264" t="s">
        <v>22</v>
      </c>
      <c r="B264" s="18">
        <v>56.405216380713966</v>
      </c>
      <c r="C264" t="s">
        <v>23</v>
      </c>
      <c r="E264" t="s">
        <v>54</v>
      </c>
      <c r="F264" t="s">
        <v>15</v>
      </c>
      <c r="G264" t="s">
        <v>24</v>
      </c>
    </row>
    <row r="265" spans="1:7" x14ac:dyDescent="0.2">
      <c r="B265" s="4"/>
    </row>
    <row r="266" spans="1:7" x14ac:dyDescent="0.2">
      <c r="B266" s="3"/>
    </row>
    <row r="267" spans="1:7" x14ac:dyDescent="0.2">
      <c r="G267" s="3"/>
    </row>
    <row r="268" spans="1:7" ht="16" x14ac:dyDescent="0.2">
      <c r="A268" s="1" t="s">
        <v>0</v>
      </c>
      <c r="B268" s="1" t="s">
        <v>333</v>
      </c>
    </row>
    <row r="269" spans="1:7" ht="16" x14ac:dyDescent="0.2">
      <c r="A269" s="16" t="s">
        <v>1</v>
      </c>
      <c r="B269" s="16" t="inlineStr">
        <is>
          <t>APPROVED ELEMENT-BALANCED TEMPLATE ENGINEERING REFERENCE, item17, 2026-10-18. Wickerts corrected SI DOI10.1021/acssuschemeng.4c01782.s001 Tables S15/S16 inherits Jun etal DOI10.1021/ja002261e. Original1.1kg TEOS cannot supply1kg drySiO2: theoretical1.1*60.0843/208.328kg. Treat the reported recipe as a batch and assume95percent isolated silicon yield, giving0.3013905643984486kg SBA15. Scale ALL batch reagents, electricity and factory together by3.3179539047478803perkg drySBA15. This95percent yield is an engineering assumption, not a reported measurement; morphology/wash losses/calcination are not fully resolved. CMK3 original2.1kg sucrose contains less than1kgcarbon; assume95percent carbon retention after pyrolysis, giving0.8400417182179777kg drycarbon per originalbatch. Scale template, sucrose, sulfuricacid,water,electricity,factory together by1.190417068953849. HF must dissolve SiO2: SiO2+6HF-&gt;H2SiF6+2H2O; use5percent molar excess, 2.0977184056400757kgHF/kgtemplate before carbon-batch normalization. No template/solvent recovery credit. Future energy efficiency, actual carbon retention, calcination emissions, alcohol/acid washes and fluorosilicate treatment remain coverage gaps; omitted flows are not zero emissions. Source factory/energy remain batch proxies rather than measured scale-up utilities. Sensitivities: silicon isolation80-100percent; carbon retention50-100percent; HF excess0-20percent. This is joint mass/energy normalization, not an isolated TEOS adjustment.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70" spans="1:7" x14ac:dyDescent="0.2">
      <c r="A270" t="s">
        <v>2</v>
      </c>
      <c r="B270" t="s">
        <v>3</v>
      </c>
    </row>
    <row r="271" spans="1:7" x14ac:dyDescent="0.2">
      <c r="A271" t="s">
        <v>4</v>
      </c>
      <c r="B271">
        <v>1</v>
      </c>
    </row>
    <row r="272" spans="1:7" x14ac:dyDescent="0.2">
      <c r="A272" t="s">
        <v>5</v>
      </c>
      <c r="B272" t="s">
        <v>106</v>
      </c>
    </row>
    <row r="273" spans="1:7" x14ac:dyDescent="0.2">
      <c r="A273" t="s">
        <v>6</v>
      </c>
      <c r="B273" t="s">
        <v>7</v>
      </c>
    </row>
    <row r="274" spans="1:7" x14ac:dyDescent="0.2">
      <c r="A274" t="s">
        <v>8</v>
      </c>
      <c r="B274" t="s">
        <v>301</v>
      </c>
    </row>
    <row r="275" spans="1:7" x14ac:dyDescent="0.2">
      <c r="A275" s="2" t="s">
        <v>9</v>
      </c>
    </row>
    <row r="276" spans="1:7" x14ac:dyDescent="0.2">
      <c r="A276" t="s">
        <v>10</v>
      </c>
      <c r="B276" t="s">
        <v>11</v>
      </c>
      <c r="C276" t="s">
        <v>6</v>
      </c>
      <c r="D276" t="s">
        <v>42</v>
      </c>
      <c r="E276" t="s">
        <v>2</v>
      </c>
      <c r="F276" t="s">
        <v>12</v>
      </c>
      <c r="G276" t="s">
        <v>5</v>
      </c>
    </row>
    <row r="277" spans="1:7" x14ac:dyDescent="0.2">
      <c r="A277" t="s">
        <v>333</v>
      </c>
      <c r="B277">
        <v>1</v>
      </c>
      <c r="C277" t="s">
        <v>7</v>
      </c>
      <c r="E277" t="s">
        <v>3</v>
      </c>
      <c r="F277" t="s">
        <v>13</v>
      </c>
      <c r="G277" t="s">
        <v>106</v>
      </c>
    </row>
    <row r="278" spans="1:7" x14ac:dyDescent="0.2">
      <c r="A278" t="s">
        <v>332</v>
      </c>
      <c r="B278">
        <v>1.190417068953849</v>
      </c>
      <c r="C278" t="s">
        <v>7</v>
      </c>
      <c r="E278" t="s">
        <v>3</v>
      </c>
      <c r="F278" t="s">
        <v>15</v>
      </c>
      <c r="G278" t="s">
        <v>101</v>
      </c>
    </row>
    <row r="279" spans="1:7" x14ac:dyDescent="0.2">
      <c r="A279" t="s">
        <v>107</v>
      </c>
      <c r="B279" s="7">
        <v>2.499875844803083</v>
      </c>
      <c r="C279" t="s">
        <v>7</v>
      </c>
      <c r="E279" t="s">
        <v>3</v>
      </c>
      <c r="F279" t="s">
        <v>15</v>
      </c>
      <c r="G279" t="s">
        <v>108</v>
      </c>
    </row>
    <row r="280" spans="1:7" x14ac:dyDescent="0.2">
      <c r="A280" t="s">
        <v>56</v>
      </c>
      <c r="B280" s="5">
        <v>0.2737959258593853</v>
      </c>
      <c r="C280" t="s">
        <v>7</v>
      </c>
      <c r="E280" t="s">
        <v>17</v>
      </c>
      <c r="F280" t="s">
        <v>15</v>
      </c>
      <c r="G280" t="s">
        <v>57</v>
      </c>
    </row>
    <row r="281" spans="1:7" x14ac:dyDescent="0.2">
      <c r="A281" t="s">
        <v>77</v>
      </c>
      <c r="B281" s="7">
        <v>2.4971597959326</v>
      </c>
      <c r="C281" t="s">
        <v>7</v>
      </c>
      <c r="E281" t="s">
        <v>17</v>
      </c>
      <c r="F281" t="s">
        <v>15</v>
      </c>
      <c r="G281" t="s">
        <v>78</v>
      </c>
    </row>
    <row r="282" spans="1:7" x14ac:dyDescent="0.2">
      <c r="A282" t="s">
        <v>51</v>
      </c>
      <c r="B282" s="18">
        <v>11.90417068953849</v>
      </c>
      <c r="C282" t="s">
        <v>7</v>
      </c>
      <c r="E282" t="s">
        <v>17</v>
      </c>
      <c r="F282" t="s">
        <v>15</v>
      </c>
      <c r="G282" t="s">
        <v>52</v>
      </c>
    </row>
    <row r="283" spans="1:7" x14ac:dyDescent="0.2">
      <c r="A283" t="s">
        <v>38</v>
      </c>
      <c r="B283">
        <f>4.761668275815395e-10</f>
        <v>4.761668275815395e-10</v>
      </c>
      <c r="C283" t="s">
        <v>6</v>
      </c>
      <c r="E283" t="s">
        <v>3</v>
      </c>
      <c r="F283" t="s">
        <v>15</v>
      </c>
      <c r="G283" t="s">
        <v>39</v>
      </c>
    </row>
    <row r="284" spans="1:7" x14ac:dyDescent="0.2">
      <c r="A284" t="s">
        <v>22</v>
      </c>
      <c r="B284" s="18">
        <v>28.570009654892374</v>
      </c>
      <c r="C284" t="s">
        <v>23</v>
      </c>
      <c r="E284" t="s">
        <v>54</v>
      </c>
      <c r="F284" t="s">
        <v>15</v>
      </c>
      <c r="G284" t="s">
        <v>24</v>
      </c>
    </row>
    <row r="285" spans="1:7" x14ac:dyDescent="0.2">
      <c r="B285" s="8"/>
    </row>
    <row r="286" spans="1:7" x14ac:dyDescent="0.2">
      <c r="B286" s="8"/>
    </row>
    <row r="288" spans="1:7" ht="16" x14ac:dyDescent="0.2">
      <c r="A288" s="1" t="s">
        <v>0</v>
      </c>
      <c r="B288" s="1" t="s">
        <v>334</v>
      </c>
    </row>
    <row r="289" spans="1:17" ht="16" x14ac:dyDescent="0.2">
      <c r="A289" s="16" t="s">
        <v>1</v>
      </c>
      <c r="B289" s="16" t="inlineStr">
        <is>
          <t>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90" spans="1:17" x14ac:dyDescent="0.2">
      <c r="A290" t="s">
        <v>2</v>
      </c>
      <c r="B290" t="s">
        <v>3</v>
      </c>
    </row>
    <row r="291" spans="1:17" x14ac:dyDescent="0.2">
      <c r="A291" t="s">
        <v>4</v>
      </c>
      <c r="B291">
        <v>1</v>
      </c>
    </row>
    <row r="292" spans="1:17" x14ac:dyDescent="0.2">
      <c r="A292" t="s">
        <v>5</v>
      </c>
      <c r="B292" t="s">
        <v>109</v>
      </c>
    </row>
    <row r="293" spans="1:17" x14ac:dyDescent="0.2">
      <c r="A293" t="s">
        <v>6</v>
      </c>
      <c r="B293" t="s">
        <v>7</v>
      </c>
    </row>
    <row r="294" spans="1:17" x14ac:dyDescent="0.2">
      <c r="A294" t="s">
        <v>8</v>
      </c>
      <c r="B294" t="s">
        <v>302</v>
      </c>
    </row>
    <row r="295" spans="1:17" x14ac:dyDescent="0.2">
      <c r="A295" s="2" t="s">
        <v>9</v>
      </c>
    </row>
    <row r="296" spans="1:17" x14ac:dyDescent="0.2">
      <c r="A296" t="s">
        <v>10</v>
      </c>
      <c r="B296" t="s">
        <v>11</v>
      </c>
      <c r="C296" t="s">
        <v>6</v>
      </c>
      <c r="D296" t="s">
        <v>42</v>
      </c>
      <c r="E296" t="s">
        <v>2</v>
      </c>
      <c r="F296" t="s">
        <v>12</v>
      </c>
      <c r="G296" t="s">
        <v>5</v>
      </c>
      <c r="H296" t="s">
        <v>292</v>
      </c>
    </row>
    <row r="297" spans="1:17" x14ac:dyDescent="0.2">
      <c r="A297" t="s">
        <v>334</v>
      </c>
      <c r="B297" s="5">
        <v>1</v>
      </c>
      <c r="C297" t="s">
        <v>7</v>
      </c>
      <c r="E297" t="s">
        <v>3</v>
      </c>
      <c r="F297" t="s">
        <v>13</v>
      </c>
      <c r="G297" t="s">
        <v>109</v>
      </c>
    </row>
    <row r="298" spans="1:17" x14ac:dyDescent="0.2">
      <c r="A298" t="s">
        <v>80</v>
      </c>
      <c r="B298" s="5">
        <v>4.2</v>
      </c>
      <c r="C298" t="s">
        <v>34</v>
      </c>
      <c r="E298" t="s">
        <v>3</v>
      </c>
      <c r="F298" t="s">
        <v>15</v>
      </c>
      <c r="G298" t="s">
        <v>81</v>
      </c>
    </row>
    <row r="299" spans="1:17" x14ac:dyDescent="0.2">
      <c r="A299" t="inlineStr">
        <is>
          <t>lithium foil rolling service, engineering reference</t>
        </is>
      </c>
      <c r="B299" s="5">
        <v>4.95</v>
      </c>
      <c r="C299" t="s">
        <v>7</v>
      </c>
      <c r="E299" t="inlineStr">
        <is>
          <t>GLO</t>
        </is>
      </c>
      <c r="F299" t="s">
        <v>15</v>
      </c>
      <c r="G299" t="inlineStr">
        <is>
          <t>lithium foil rolling service, engineering reference</t>
        </is>
      </c>
      <c r="H299" s="10" t="inlineStr">
        <is>
          <t>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t>
        </is>
      </c>
      <c r="K299" s="10"/>
      <c r="L299" s="10"/>
      <c r="M299" s="10"/>
      <c r="N299" s="10"/>
      <c r="O299" s="10"/>
      <c r="P299" s="10"/>
      <c r="Q299" s="10"/>
    </row>
    <row r="300" spans="1:17" x14ac:dyDescent="0.2">
      <c r="A300" t="s">
        <v>22</v>
      </c>
      <c r="B300" s="5">
        <v>2.1</v>
      </c>
      <c r="C300" t="s">
        <v>23</v>
      </c>
      <c r="E300" t="s">
        <v>54</v>
      </c>
      <c r="F300" t="s">
        <v>15</v>
      </c>
      <c r="G300" t="s">
        <v>24</v>
      </c>
    </row>
    <row r="301" spans="1:17" x14ac:dyDescent="0.2">
      <c r="A301" t="s">
        <v>33</v>
      </c>
      <c r="B301" s="5">
        <v>5</v>
      </c>
      <c r="C301" t="s">
        <v>34</v>
      </c>
      <c r="E301" t="s">
        <v>17</v>
      </c>
      <c r="F301" t="s">
        <v>15</v>
      </c>
      <c r="G301" t="s">
        <v>35</v>
      </c>
    </row>
    <row r="302" spans="1:17" x14ac:dyDescent="0.2">
      <c r="A302" t="s">
        <v>110</v>
      </c>
      <c r="B302" s="5">
        <v>1.0204081632653061</v>
      </c>
      <c r="C302" t="s">
        <v>7</v>
      </c>
      <c r="E302" t="s">
        <v>3</v>
      </c>
      <c r="F302" t="s">
        <v>15</v>
      </c>
      <c r="G302" t="s">
        <v>111</v>
      </c>
    </row>
    <row r="303">
      <c r="A303" t="inlineStr">
        <is>
          <t>market for hazardous waste, for incineration</t>
        </is>
      </c>
      <c r="B303">
        <v>-0.020408163265306145</v>
      </c>
      <c r="C303" t="inlineStr">
        <is>
          <t>kilogram</t>
        </is>
      </c>
      <c r="E303" t="inlineStr">
        <is>
          <t>RoW</t>
        </is>
      </c>
      <c r="F303" t="inlineStr">
        <is>
          <t>technosphere</t>
        </is>
      </c>
      <c r="G303" t="inlineStr">
        <is>
          <t>hazardous waste, for incineration</t>
        </is>
      </c>
      <c r="H303" t="inlineStr">
        <is>
          <t>Assumed2percent lithium loss; reactive-metal fate proxy, not validated safe disposal or recovery.</t>
        </is>
      </c>
    </row>
    <row r="304" spans="1:17" x14ac:dyDescent="0.2">
      <c r="B304" s="4"/>
    </row>
    <row r="305" spans="1:7" x14ac:dyDescent="0.2">
      <c r="B305" s="4"/>
    </row>
    <row r="306" spans="1:7" ht="16" x14ac:dyDescent="0.2">
      <c r="A306" s="1" t="s">
        <v>0</v>
      </c>
      <c r="B306" s="1" t="s">
        <v>335</v>
      </c>
    </row>
    <row r="307" spans="1:7" ht="16" x14ac:dyDescent="0.2">
      <c r="A307" s="16" t="s">
        <v>1</v>
      </c>
      <c r="B307" s="16" t="s">
        <v>408</v>
      </c>
    </row>
    <row r="308" spans="1:7" x14ac:dyDescent="0.2">
      <c r="A308" t="s">
        <v>2</v>
      </c>
      <c r="B308" t="s">
        <v>3</v>
      </c>
    </row>
    <row r="309" spans="1:7" x14ac:dyDescent="0.2">
      <c r="A309" t="s">
        <v>4</v>
      </c>
      <c r="B309">
        <v>1</v>
      </c>
    </row>
    <row r="310" spans="1:7" x14ac:dyDescent="0.2">
      <c r="A310" t="s">
        <v>5</v>
      </c>
      <c r="B310" t="s">
        <v>112</v>
      </c>
    </row>
    <row r="311" spans="1:7" x14ac:dyDescent="0.2">
      <c r="A311" t="s">
        <v>6</v>
      </c>
      <c r="B311" t="s">
        <v>7</v>
      </c>
    </row>
    <row r="312" spans="1:7" x14ac:dyDescent="0.2">
      <c r="A312" t="s">
        <v>8</v>
      </c>
      <c r="B312" t="s">
        <v>303</v>
      </c>
    </row>
    <row r="313" spans="1:7" x14ac:dyDescent="0.2">
      <c r="A313" s="2" t="s">
        <v>9</v>
      </c>
    </row>
    <row r="314" spans="1:7" x14ac:dyDescent="0.2">
      <c r="A314" t="s">
        <v>10</v>
      </c>
      <c r="B314" t="s">
        <v>11</v>
      </c>
      <c r="C314" t="s">
        <v>6</v>
      </c>
      <c r="D314" t="s">
        <v>42</v>
      </c>
      <c r="E314" t="s">
        <v>2</v>
      </c>
      <c r="F314" t="s">
        <v>12</v>
      </c>
      <c r="G314" t="s">
        <v>5</v>
      </c>
    </row>
    <row r="315" spans="1:7" x14ac:dyDescent="0.2">
      <c r="A315" t="s">
        <v>335</v>
      </c>
      <c r="B315">
        <v>1</v>
      </c>
      <c r="C315" t="s">
        <v>7</v>
      </c>
      <c r="E315" t="s">
        <v>3</v>
      </c>
      <c r="F315" t="s">
        <v>13</v>
      </c>
      <c r="G315" t="s">
        <v>112</v>
      </c>
    </row>
    <row r="316" spans="1:7" x14ac:dyDescent="0.2">
      <c r="A316" t="s">
        <v>66</v>
      </c>
      <c r="B316" s="3">
        <v>0.14000000000000001</v>
      </c>
      <c r="C316" t="s">
        <v>7</v>
      </c>
      <c r="E316" t="s">
        <v>17</v>
      </c>
      <c r="F316" t="s">
        <v>15</v>
      </c>
      <c r="G316" t="s">
        <v>67</v>
      </c>
    </row>
    <row r="317" spans="1:7" x14ac:dyDescent="0.2">
      <c r="A317" t="s">
        <v>113</v>
      </c>
      <c r="B317">
        <v>0.12</v>
      </c>
      <c r="C317" t="s">
        <v>7</v>
      </c>
      <c r="E317" t="s">
        <v>3</v>
      </c>
      <c r="F317" t="s">
        <v>15</v>
      </c>
      <c r="G317" t="s">
        <v>114</v>
      </c>
    </row>
    <row r="318" spans="1:7" x14ac:dyDescent="0.2">
      <c r="A318" t="s">
        <v>64</v>
      </c>
      <c r="B318">
        <v>2.5999999999999999E-2</v>
      </c>
      <c r="C318" t="s">
        <v>7</v>
      </c>
      <c r="E318" t="s">
        <v>3</v>
      </c>
      <c r="F318" t="s">
        <v>15</v>
      </c>
      <c r="G318" t="s">
        <v>65</v>
      </c>
    </row>
    <row r="319" spans="1:7" x14ac:dyDescent="0.2">
      <c r="A319" t="s">
        <v>60</v>
      </c>
      <c r="B319">
        <v>0.28999999999999998</v>
      </c>
      <c r="C319" t="s">
        <v>7</v>
      </c>
      <c r="E319" t="s">
        <v>3</v>
      </c>
      <c r="F319" t="s">
        <v>15</v>
      </c>
      <c r="G319" t="s">
        <v>61</v>
      </c>
    </row>
    <row r="320" spans="1:7" x14ac:dyDescent="0.2">
      <c r="A320" t="s">
        <v>36</v>
      </c>
      <c r="B320" s="7">
        <v>1</v>
      </c>
      <c r="C320" t="s">
        <v>7</v>
      </c>
      <c r="E320" t="s">
        <v>3</v>
      </c>
      <c r="F320" t="s">
        <v>15</v>
      </c>
      <c r="G320" t="s">
        <v>37</v>
      </c>
    </row>
    <row r="321" spans="1:7" x14ac:dyDescent="0.2">
      <c r="A321" t="s">
        <v>40</v>
      </c>
      <c r="B321">
        <v>0.19</v>
      </c>
      <c r="C321" t="s">
        <v>7</v>
      </c>
      <c r="E321" t="s">
        <v>3</v>
      </c>
      <c r="F321" t="s">
        <v>15</v>
      </c>
      <c r="G321" t="s">
        <v>41</v>
      </c>
    </row>
    <row r="322" spans="1:7" x14ac:dyDescent="0.2">
      <c r="A322" t="s">
        <v>62</v>
      </c>
      <c r="B322">
        <v>0.22</v>
      </c>
      <c r="C322" t="s">
        <v>7</v>
      </c>
      <c r="E322" t="s">
        <v>3</v>
      </c>
      <c r="F322" t="s">
        <v>15</v>
      </c>
      <c r="G322" t="s">
        <v>63</v>
      </c>
    </row>
    <row r="323" spans="1:7" x14ac:dyDescent="0.2">
      <c r="A323" t="s">
        <v>282</v>
      </c>
      <c r="B323">
        <v>0.39</v>
      </c>
      <c r="C323" t="s">
        <v>7</v>
      </c>
      <c r="E323" t="s">
        <v>3</v>
      </c>
      <c r="F323" t="s">
        <v>15</v>
      </c>
      <c r="G323" t="s">
        <v>283</v>
      </c>
    </row>
    <row r="324" spans="1:7" x14ac:dyDescent="0.2">
      <c r="A324" t="s">
        <v>38</v>
      </c>
      <c r="B324">
        <f>4*10^-10</f>
        <v>4.0000000000000001E-10</v>
      </c>
      <c r="C324" t="s">
        <v>6</v>
      </c>
      <c r="E324" t="s">
        <v>3</v>
      </c>
      <c r="F324" t="s">
        <v>15</v>
      </c>
      <c r="G324" t="s">
        <v>39</v>
      </c>
    </row>
    <row r="325" spans="1:7" x14ac:dyDescent="0.2">
      <c r="A325" t="s">
        <v>22</v>
      </c>
      <c r="B325">
        <v>5.8000000000000003E-2</v>
      </c>
      <c r="C325" t="s">
        <v>23</v>
      </c>
      <c r="E325" t="s">
        <v>54</v>
      </c>
      <c r="F325" t="s">
        <v>15</v>
      </c>
      <c r="G325" t="s">
        <v>24</v>
      </c>
    </row>
    <row r="326" spans="1:7" x14ac:dyDescent="0.2">
      <c r="A326" t="s">
        <v>391</v>
      </c>
      <c r="B326">
        <v>0.19</v>
      </c>
      <c r="C326" t="s">
        <v>34</v>
      </c>
      <c r="E326" t="s">
        <v>17</v>
      </c>
      <c r="F326" t="s">
        <v>15</v>
      </c>
      <c r="G326" t="s">
        <v>35</v>
      </c>
    </row>
    <row r="327" spans="1:7" x14ac:dyDescent="0.2">
      <c r="A327" t="s">
        <v>53</v>
      </c>
      <c r="B327">
        <v>-1.4</v>
      </c>
      <c r="C327" t="s">
        <v>7</v>
      </c>
      <c r="E327" t="s">
        <v>17</v>
      </c>
      <c r="F327" t="s">
        <v>15</v>
      </c>
      <c r="G327" t="s">
        <v>55</v>
      </c>
    </row>
    <row r="331" spans="1:7" ht="16" x14ac:dyDescent="0.2">
      <c r="A331" s="1" t="s">
        <v>0</v>
      </c>
      <c r="B331" s="1" t="s">
        <v>336</v>
      </c>
    </row>
    <row r="332" spans="1:7" ht="16" x14ac:dyDescent="0.2">
      <c r="A332" s="16" t="s">
        <v>1</v>
      </c>
      <c r="B332" s="16" t="s">
        <v>408</v>
      </c>
    </row>
    <row r="333" spans="1:7" x14ac:dyDescent="0.2">
      <c r="A333" t="s">
        <v>2</v>
      </c>
      <c r="B333" t="s">
        <v>3</v>
      </c>
    </row>
    <row r="334" spans="1:7" x14ac:dyDescent="0.2">
      <c r="A334" t="s">
        <v>4</v>
      </c>
      <c r="B334">
        <v>1</v>
      </c>
    </row>
    <row r="335" spans="1:7" x14ac:dyDescent="0.2">
      <c r="A335" t="s">
        <v>5</v>
      </c>
      <c r="B335" t="s">
        <v>120</v>
      </c>
    </row>
    <row r="336" spans="1:7" x14ac:dyDescent="0.2">
      <c r="A336" t="s">
        <v>6</v>
      </c>
      <c r="B336" t="s">
        <v>7</v>
      </c>
    </row>
    <row r="337" spans="1:7" x14ac:dyDescent="0.2">
      <c r="A337" t="s">
        <v>8</v>
      </c>
      <c r="B337" t="s">
        <v>304</v>
      </c>
    </row>
    <row r="338" spans="1:7" x14ac:dyDescent="0.2">
      <c r="A338" s="2" t="s">
        <v>9</v>
      </c>
    </row>
    <row r="339" spans="1:7" x14ac:dyDescent="0.2">
      <c r="A339" t="s">
        <v>10</v>
      </c>
      <c r="B339" t="s">
        <v>11</v>
      </c>
      <c r="C339" t="s">
        <v>6</v>
      </c>
      <c r="D339" t="s">
        <v>42</v>
      </c>
      <c r="E339" t="s">
        <v>2</v>
      </c>
      <c r="F339" t="s">
        <v>12</v>
      </c>
      <c r="G339" t="s">
        <v>5</v>
      </c>
    </row>
    <row r="340" spans="1:7" x14ac:dyDescent="0.2">
      <c r="A340" t="s">
        <v>336</v>
      </c>
      <c r="B340">
        <v>1</v>
      </c>
      <c r="C340" t="s">
        <v>7</v>
      </c>
      <c r="E340" t="s">
        <v>3</v>
      </c>
      <c r="F340" t="s">
        <v>13</v>
      </c>
      <c r="G340" t="s">
        <v>120</v>
      </c>
    </row>
    <row r="341" spans="1:7" x14ac:dyDescent="0.2">
      <c r="A341" t="s">
        <v>14</v>
      </c>
      <c r="B341">
        <v>1</v>
      </c>
      <c r="C341" t="s">
        <v>7</v>
      </c>
      <c r="E341" t="s">
        <v>3</v>
      </c>
      <c r="F341" t="s">
        <v>15</v>
      </c>
      <c r="G341" t="s">
        <v>16</v>
      </c>
    </row>
    <row r="342" spans="1:7" x14ac:dyDescent="0.2">
      <c r="A342" t="s">
        <v>20</v>
      </c>
      <c r="B342">
        <v>1</v>
      </c>
      <c r="C342" t="s">
        <v>7</v>
      </c>
      <c r="E342" t="s">
        <v>3</v>
      </c>
      <c r="F342" t="s">
        <v>15</v>
      </c>
      <c r="G342" t="s">
        <v>21</v>
      </c>
    </row>
    <row r="346" spans="1:7" ht="16" x14ac:dyDescent="0.2">
      <c r="A346" s="1" t="s">
        <v>0</v>
      </c>
      <c r="B346" s="1" t="s">
        <v>337</v>
      </c>
    </row>
    <row r="347" spans="1:7" ht="16" x14ac:dyDescent="0.2">
      <c r="A347" s="16" t="s">
        <v>1</v>
      </c>
      <c r="B347"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348" spans="1:7" x14ac:dyDescent="0.2">
      <c r="A348" t="s">
        <v>2</v>
      </c>
      <c r="B348" t="s">
        <v>3</v>
      </c>
    </row>
    <row r="349" spans="1:7" x14ac:dyDescent="0.2">
      <c r="A349" t="s">
        <v>4</v>
      </c>
      <c r="B349">
        <v>1</v>
      </c>
    </row>
    <row r="350" spans="1:7" x14ac:dyDescent="0.2">
      <c r="A350" t="s">
        <v>5</v>
      </c>
      <c r="B350" t="s">
        <v>115</v>
      </c>
    </row>
    <row r="351" spans="1:7" x14ac:dyDescent="0.2">
      <c r="A351" t="s">
        <v>6</v>
      </c>
      <c r="B351" t="s">
        <v>7</v>
      </c>
    </row>
    <row r="352" spans="1:7" x14ac:dyDescent="0.2">
      <c r="A352" t="s">
        <v>8</v>
      </c>
      <c r="B352" t="s">
        <v>305</v>
      </c>
    </row>
    <row r="353" spans="1:8" x14ac:dyDescent="0.2">
      <c r="A353" s="2" t="s">
        <v>9</v>
      </c>
    </row>
    <row r="354" spans="1:8" x14ac:dyDescent="0.2">
      <c r="A354" t="s">
        <v>10</v>
      </c>
      <c r="B354" t="s">
        <v>11</v>
      </c>
      <c r="C354" t="s">
        <v>6</v>
      </c>
      <c r="D354" t="s">
        <v>42</v>
      </c>
      <c r="E354" t="s">
        <v>2</v>
      </c>
      <c r="F354" t="s">
        <v>12</v>
      </c>
      <c r="G354" t="s">
        <v>5</v>
      </c>
      <c r="H354" t="s">
        <v>1</v>
      </c>
    </row>
    <row r="355" spans="1:8" x14ac:dyDescent="0.2">
      <c r="A355" t="s">
        <v>337</v>
      </c>
      <c r="B355">
        <v>1</v>
      </c>
      <c r="C355" t="s">
        <v>7</v>
      </c>
      <c r="E355" t="s">
        <v>3</v>
      </c>
      <c r="F355" t="s">
        <v>13</v>
      </c>
      <c r="G355" t="s">
        <v>115</v>
      </c>
    </row>
    <row r="356" spans="1:8" x14ac:dyDescent="0.2">
      <c r="A356" t="s">
        <v>116</v>
      </c>
      <c r="B356" s="5">
        <v>0.28</v>
      </c>
      <c r="C356" t="s">
        <v>7</v>
      </c>
      <c r="E356" t="s">
        <v>3</v>
      </c>
      <c r="F356" t="s">
        <v>15</v>
      </c>
      <c r="G356" t="s">
        <v>117</v>
      </c>
    </row>
    <row r="357" spans="1:8" x14ac:dyDescent="0.2">
      <c r="A357" t="s">
        <v>40</v>
      </c>
      <c r="B357" s="5">
        <v>0.13</v>
      </c>
      <c r="C357" t="s">
        <v>7</v>
      </c>
      <c r="E357" t="s">
        <v>3</v>
      </c>
      <c r="F357" t="s">
        <v>15</v>
      </c>
      <c r="G357" t="s">
        <v>41</v>
      </c>
    </row>
    <row r="358" spans="1:8" x14ac:dyDescent="0.2">
      <c r="A358" t="s">
        <v>118</v>
      </c>
      <c r="B358" s="4">
        <v>0.044</v>
      </c>
      <c r="C358" t="s">
        <v>7</v>
      </c>
      <c r="E358" t="s">
        <v>3</v>
      </c>
      <c r="F358" t="s">
        <v>15</v>
      </c>
      <c r="G358" t="s">
        <v>119</v>
      </c>
    </row>
    <row r="359" spans="1:8" x14ac:dyDescent="0.2">
      <c r="A359" t="s">
        <v>336</v>
      </c>
      <c r="B359" s="5">
        <v>0.38</v>
      </c>
      <c r="C359" t="s">
        <v>7</v>
      </c>
      <c r="E359" t="s">
        <v>3</v>
      </c>
      <c r="F359" t="s">
        <v>15</v>
      </c>
      <c r="G359" t="s">
        <v>120</v>
      </c>
    </row>
    <row r="360" spans="1:8" x14ac:dyDescent="0.2">
      <c r="A360" t="s">
        <v>333</v>
      </c>
      <c r="B360" s="5">
        <v>0.22</v>
      </c>
      <c r="C360" t="s">
        <v>7</v>
      </c>
      <c r="E360" t="s">
        <v>3</v>
      </c>
      <c r="F360" t="s">
        <v>15</v>
      </c>
      <c r="G360" t="s">
        <v>106</v>
      </c>
    </row>
    <row r="361" spans="1:8" x14ac:dyDescent="0.2">
      <c r="A361" t="s">
        <v>22</v>
      </c>
      <c r="B361" s="8">
        <f>0.00629*1000</f>
        <v>6.2899999999999991</v>
      </c>
      <c r="C361" t="s">
        <v>23</v>
      </c>
      <c r="E361" t="s">
        <v>54</v>
      </c>
      <c r="F361" t="s">
        <v>15</v>
      </c>
      <c r="G361" t="s">
        <v>24</v>
      </c>
      <c r="H361" t="s">
        <v>379</v>
      </c>
    </row>
    <row r="362" spans="1:8" x14ac:dyDescent="0.2">
      <c r="A362" t="s">
        <v>33</v>
      </c>
      <c r="B362" s="3">
        <f>0.00049*1000</f>
        <v>0.49</v>
      </c>
      <c r="C362" t="s">
        <v>34</v>
      </c>
      <c r="E362" t="s">
        <v>17</v>
      </c>
      <c r="F362" t="s">
        <v>15</v>
      </c>
      <c r="G362" t="s">
        <v>35</v>
      </c>
      <c r="H362" t="s">
        <v>379</v>
      </c>
    </row>
    <row r="363" spans="1:8" x14ac:dyDescent="0.2">
      <c r="A363" t="s">
        <v>80</v>
      </c>
      <c r="B363" s="4">
        <f>0.0164*1000</f>
        <v>16.400000000000002</v>
      </c>
      <c r="C363" t="s">
        <v>34</v>
      </c>
      <c r="E363" t="s">
        <v>3</v>
      </c>
      <c r="F363" t="s">
        <v>15</v>
      </c>
      <c r="G363" t="s">
        <v>81</v>
      </c>
      <c r="H363" t="s">
        <v>379</v>
      </c>
    </row>
    <row r="364" spans="1:8" x14ac:dyDescent="0.2">
      <c r="A364" t="s">
        <v>53</v>
      </c>
      <c r="B364" s="4">
        <v>-0.054</v>
      </c>
      <c r="C364" t="s">
        <v>7</v>
      </c>
      <c r="E364" t="s">
        <v>17</v>
      </c>
      <c r="F364" t="s">
        <v>15</v>
      </c>
      <c r="G364" t="s">
        <v>55</v>
      </c>
    </row>
    <row r="365" spans="1:8" x14ac:dyDescent="0.2">
      <c r="B365" s="8"/>
    </row>
    <row r="366" spans="1:8" x14ac:dyDescent="0.2">
      <c r="B366" s="8"/>
    </row>
    <row r="368" spans="1:8" ht="16" x14ac:dyDescent="0.2">
      <c r="A368" s="1" t="s">
        <v>0</v>
      </c>
      <c r="B368" s="1" t="s">
        <v>338</v>
      </c>
    </row>
    <row r="369" spans="1:8" ht="16" x14ac:dyDescent="0.2">
      <c r="A369" s="16" t="s">
        <v>1</v>
      </c>
      <c r="B369" s="16" t="s">
        <v>408</v>
      </c>
    </row>
    <row r="370" spans="1:8" x14ac:dyDescent="0.2">
      <c r="A370" t="s">
        <v>2</v>
      </c>
      <c r="B370" t="s">
        <v>3</v>
      </c>
    </row>
    <row r="371" spans="1:8" x14ac:dyDescent="0.2">
      <c r="A371" t="s">
        <v>4</v>
      </c>
      <c r="B371">
        <v>1</v>
      </c>
    </row>
    <row r="372" spans="1:8" x14ac:dyDescent="0.2">
      <c r="A372" t="s">
        <v>5</v>
      </c>
      <c r="B372" t="s">
        <v>121</v>
      </c>
    </row>
    <row r="373" spans="1:8" x14ac:dyDescent="0.2">
      <c r="A373" t="s">
        <v>6</v>
      </c>
      <c r="B373" t="s">
        <v>7</v>
      </c>
    </row>
    <row r="374" spans="1:8" x14ac:dyDescent="0.2">
      <c r="A374" t="s">
        <v>8</v>
      </c>
      <c r="B374" t="s">
        <v>306</v>
      </c>
    </row>
    <row r="375" spans="1:8" x14ac:dyDescent="0.2">
      <c r="A375" s="2" t="s">
        <v>9</v>
      </c>
    </row>
    <row r="376" spans="1:8" x14ac:dyDescent="0.2">
      <c r="A376" t="s">
        <v>10</v>
      </c>
      <c r="B376" t="s">
        <v>11</v>
      </c>
      <c r="C376" t="s">
        <v>6</v>
      </c>
      <c r="D376" t="s">
        <v>42</v>
      </c>
      <c r="E376" t="s">
        <v>2</v>
      </c>
      <c r="F376" t="s">
        <v>12</v>
      </c>
      <c r="G376" t="s">
        <v>5</v>
      </c>
      <c r="H376" t="s">
        <v>1</v>
      </c>
    </row>
    <row r="377" spans="1:8" x14ac:dyDescent="0.2">
      <c r="A377" t="s">
        <v>338</v>
      </c>
      <c r="B377">
        <v>1</v>
      </c>
      <c r="C377" t="s">
        <v>7</v>
      </c>
      <c r="E377" t="s">
        <v>3</v>
      </c>
      <c r="F377" t="s">
        <v>13</v>
      </c>
      <c r="G377" t="s">
        <v>121</v>
      </c>
    </row>
    <row r="378" spans="1:8" ht="16" x14ac:dyDescent="0.2">
      <c r="A378" s="16" t="s">
        <v>366</v>
      </c>
      <c r="B378" s="5">
        <v>0.28000000000000003</v>
      </c>
      <c r="C378" t="s">
        <v>7</v>
      </c>
      <c r="E378" t="s">
        <v>3</v>
      </c>
      <c r="F378" t="s">
        <v>15</v>
      </c>
      <c r="G378" t="s">
        <v>367</v>
      </c>
    </row>
    <row r="379" spans="1:8" x14ac:dyDescent="0.2">
      <c r="A379" t="s">
        <v>329</v>
      </c>
      <c r="B379" s="5">
        <v>0.32</v>
      </c>
      <c r="C379" t="s">
        <v>7</v>
      </c>
      <c r="E379" t="s">
        <v>3</v>
      </c>
      <c r="F379" t="s">
        <v>15</v>
      </c>
      <c r="G379" t="s">
        <v>122</v>
      </c>
    </row>
    <row r="380" spans="1:8" x14ac:dyDescent="0.2">
      <c r="A380" t="s">
        <v>330</v>
      </c>
      <c r="B380" s="4">
        <v>1.7999999999999999E-2</v>
      </c>
      <c r="C380" t="s">
        <v>7</v>
      </c>
      <c r="E380" t="s">
        <v>3</v>
      </c>
      <c r="F380" t="s">
        <v>15</v>
      </c>
      <c r="G380" t="s">
        <v>125</v>
      </c>
    </row>
    <row r="381" spans="1:8" x14ac:dyDescent="0.2">
      <c r="A381" t="s">
        <v>123</v>
      </c>
      <c r="B381" s="5">
        <v>0.39</v>
      </c>
      <c r="C381" t="s">
        <v>7</v>
      </c>
      <c r="E381" t="s">
        <v>17</v>
      </c>
      <c r="F381" t="s">
        <v>15</v>
      </c>
      <c r="G381" t="s">
        <v>124</v>
      </c>
    </row>
    <row r="382" spans="1:8" x14ac:dyDescent="0.2">
      <c r="A382" t="s">
        <v>68</v>
      </c>
      <c r="B382" s="7">
        <v>1.6</v>
      </c>
      <c r="C382" t="s">
        <v>7</v>
      </c>
      <c r="E382" t="s">
        <v>17</v>
      </c>
      <c r="F382" t="s">
        <v>15</v>
      </c>
      <c r="G382" t="s">
        <v>69</v>
      </c>
    </row>
    <row r="383" spans="1:8" x14ac:dyDescent="0.2">
      <c r="A383" t="s">
        <v>22</v>
      </c>
      <c r="B383" s="13">
        <f>0.0000247*1000</f>
        <v>2.47E-2</v>
      </c>
      <c r="C383" t="s">
        <v>23</v>
      </c>
      <c r="E383" t="s">
        <v>54</v>
      </c>
      <c r="F383" t="s">
        <v>15</v>
      </c>
      <c r="G383" t="s">
        <v>24</v>
      </c>
      <c r="H383" t="s">
        <v>379</v>
      </c>
    </row>
    <row r="384" spans="1:8" x14ac:dyDescent="0.2">
      <c r="A384" t="s">
        <v>33</v>
      </c>
      <c r="B384" s="13">
        <f>0.00042*1000</f>
        <v>0.42000000000000004</v>
      </c>
      <c r="C384" t="s">
        <v>34</v>
      </c>
      <c r="E384" t="s">
        <v>17</v>
      </c>
      <c r="F384" t="s">
        <v>15</v>
      </c>
      <c r="G384" t="s">
        <v>35</v>
      </c>
      <c r="H384" t="s">
        <v>379</v>
      </c>
    </row>
    <row r="385" spans="1:8" x14ac:dyDescent="0.2">
      <c r="A385" t="s">
        <v>80</v>
      </c>
      <c r="B385" s="13">
        <f>0.00036*1000</f>
        <v>0.36000000000000004</v>
      </c>
      <c r="C385" t="s">
        <v>34</v>
      </c>
      <c r="E385" t="s">
        <v>3</v>
      </c>
      <c r="F385" t="s">
        <v>15</v>
      </c>
      <c r="G385" t="s">
        <v>81</v>
      </c>
      <c r="H385" t="s">
        <v>379</v>
      </c>
    </row>
    <row r="386" spans="1:8" x14ac:dyDescent="0.2">
      <c r="B386" s="8"/>
    </row>
    <row r="387" spans="1:8" x14ac:dyDescent="0.2">
      <c r="B387" s="8"/>
    </row>
    <row r="388" spans="1:8" x14ac:dyDescent="0.2">
      <c r="B388" s="8"/>
    </row>
    <row r="389" spans="1:8" ht="16" x14ac:dyDescent="0.2">
      <c r="A389" s="11" t="s">
        <v>0</v>
      </c>
      <c r="B389" s="11" t="s">
        <v>339</v>
      </c>
      <c r="C389" s="11"/>
      <c r="D389" s="15"/>
      <c r="E389" s="15"/>
      <c r="F389" s="15"/>
      <c r="G389" s="15"/>
    </row>
    <row r="390" spans="1:8" ht="16" x14ac:dyDescent="0.2">
      <c r="A390" s="22" t="s">
        <v>1</v>
      </c>
      <c r="B390" s="22" t="s">
        <v>408</v>
      </c>
      <c r="C390" s="11"/>
      <c r="D390" s="15"/>
      <c r="E390" s="15"/>
      <c r="F390" s="15"/>
      <c r="G390" s="15"/>
    </row>
    <row r="391" spans="1:8" x14ac:dyDescent="0.2">
      <c r="A391" s="15" t="s">
        <v>2</v>
      </c>
      <c r="B391" s="15" t="s">
        <v>3</v>
      </c>
      <c r="C391" s="15"/>
      <c r="D391" s="15"/>
      <c r="E391" s="15"/>
      <c r="F391" s="15"/>
      <c r="G391" s="15"/>
    </row>
    <row r="392" spans="1:8" x14ac:dyDescent="0.2">
      <c r="A392" s="15" t="s">
        <v>4</v>
      </c>
      <c r="B392" s="15">
        <v>1</v>
      </c>
      <c r="C392" s="15"/>
      <c r="D392" s="15"/>
      <c r="E392" s="15"/>
      <c r="F392" s="15"/>
      <c r="G392" s="15"/>
    </row>
    <row r="393" spans="1:8" x14ac:dyDescent="0.2">
      <c r="A393" s="15" t="s">
        <v>5</v>
      </c>
      <c r="B393" s="15" t="s">
        <v>126</v>
      </c>
      <c r="C393" s="15"/>
      <c r="D393" s="15"/>
      <c r="E393" s="15"/>
      <c r="F393" s="15"/>
      <c r="G393" s="15"/>
    </row>
    <row r="394" spans="1:8" x14ac:dyDescent="0.2">
      <c r="A394" s="15" t="s">
        <v>6</v>
      </c>
      <c r="B394" s="15" t="s">
        <v>7</v>
      </c>
      <c r="C394" s="15"/>
      <c r="D394" s="15"/>
      <c r="E394" s="15"/>
      <c r="F394" s="15"/>
      <c r="G394" s="15"/>
    </row>
    <row r="395" spans="1:8" x14ac:dyDescent="0.2">
      <c r="A395" s="15" t="s">
        <v>8</v>
      </c>
      <c r="B395" s="15" t="s">
        <v>307</v>
      </c>
      <c r="C395" s="15"/>
      <c r="D395" s="15"/>
      <c r="E395" s="15"/>
      <c r="F395" s="15"/>
      <c r="G395" s="15"/>
    </row>
    <row r="396" spans="1:8" x14ac:dyDescent="0.2">
      <c r="A396" s="19" t="s">
        <v>9</v>
      </c>
      <c r="B396" s="15"/>
      <c r="C396" s="15"/>
      <c r="D396" s="15"/>
      <c r="E396" s="15"/>
      <c r="F396" s="15"/>
      <c r="G396" s="15"/>
    </row>
    <row r="397" spans="1:8" x14ac:dyDescent="0.2">
      <c r="A397" s="15" t="s">
        <v>10</v>
      </c>
      <c r="B397" s="15" t="s">
        <v>11</v>
      </c>
      <c r="C397" s="15" t="s">
        <v>6</v>
      </c>
      <c r="D397" s="15" t="s">
        <v>42</v>
      </c>
      <c r="E397" s="15" t="s">
        <v>2</v>
      </c>
      <c r="F397" s="15" t="s">
        <v>12</v>
      </c>
      <c r="G397" s="15" t="s">
        <v>5</v>
      </c>
    </row>
    <row r="398" spans="1:8" x14ac:dyDescent="0.2">
      <c r="A398" s="15" t="s">
        <v>339</v>
      </c>
      <c r="B398" s="15">
        <v>1</v>
      </c>
      <c r="C398" s="15" t="s">
        <v>7</v>
      </c>
      <c r="D398" s="15"/>
      <c r="E398" s="15" t="s">
        <v>3</v>
      </c>
      <c r="F398" s="15" t="s">
        <v>13</v>
      </c>
      <c r="G398" s="15" t="s">
        <v>126</v>
      </c>
    </row>
    <row r="399" spans="1:8" x14ac:dyDescent="0.2">
      <c r="A399" s="15" t="s">
        <v>288</v>
      </c>
      <c r="B399" s="15">
        <v>0.55000000000000004</v>
      </c>
      <c r="C399" s="15" t="s">
        <v>7</v>
      </c>
      <c r="D399" s="15"/>
      <c r="E399" s="15" t="s">
        <v>17</v>
      </c>
      <c r="F399" s="15" t="s">
        <v>15</v>
      </c>
      <c r="G399" s="15" t="s">
        <v>289</v>
      </c>
    </row>
    <row r="400" spans="1:8" x14ac:dyDescent="0.2">
      <c r="A400" s="15" t="s">
        <v>197</v>
      </c>
      <c r="B400" s="20">
        <v>0.129</v>
      </c>
      <c r="C400" s="15" t="s">
        <v>7</v>
      </c>
      <c r="D400" s="15"/>
      <c r="E400" s="15" t="s">
        <v>17</v>
      </c>
      <c r="F400" s="15" t="s">
        <v>15</v>
      </c>
      <c r="G400" s="15" t="s">
        <v>71</v>
      </c>
    </row>
    <row r="401" spans="1:8" x14ac:dyDescent="0.2">
      <c r="A401" s="15" t="s">
        <v>27</v>
      </c>
      <c r="B401" s="20">
        <v>0.13700000000000001</v>
      </c>
      <c r="C401" s="15" t="s">
        <v>7</v>
      </c>
      <c r="D401" s="15"/>
      <c r="E401" s="15" t="s">
        <v>3</v>
      </c>
      <c r="F401" s="15" t="s">
        <v>15</v>
      </c>
      <c r="G401" s="15" t="s">
        <v>28</v>
      </c>
    </row>
    <row r="402" spans="1:8" x14ac:dyDescent="0.2">
      <c r="A402" s="15" t="s">
        <v>36</v>
      </c>
      <c r="B402" s="20">
        <v>0.20599999999999999</v>
      </c>
      <c r="C402" s="15" t="s">
        <v>7</v>
      </c>
      <c r="D402" s="15"/>
      <c r="E402" s="15" t="s">
        <v>3</v>
      </c>
      <c r="F402" s="15" t="s">
        <v>15</v>
      </c>
      <c r="G402" s="15" t="s">
        <v>37</v>
      </c>
    </row>
    <row r="403" spans="1:8" x14ac:dyDescent="0.2">
      <c r="A403" s="15" t="s">
        <v>20</v>
      </c>
      <c r="B403" s="20">
        <v>0.66700000000000004</v>
      </c>
      <c r="C403" s="15" t="s">
        <v>7</v>
      </c>
      <c r="D403" s="15"/>
      <c r="E403" s="15" t="s">
        <v>3</v>
      </c>
      <c r="F403" s="15" t="s">
        <v>15</v>
      </c>
      <c r="G403" s="15" t="s">
        <v>21</v>
      </c>
    </row>
    <row r="404" spans="1:8" x14ac:dyDescent="0.2">
      <c r="A404" s="15" t="s">
        <v>438</v>
      </c>
      <c r="B404" s="15">
        <v>0.33</v>
      </c>
      <c r="C404" s="15" t="s">
        <v>7</v>
      </c>
      <c r="D404" s="15"/>
      <c r="E404" s="15" t="s">
        <v>3</v>
      </c>
      <c r="F404" s="15" t="s">
        <v>15</v>
      </c>
      <c r="G404" s="15" t="s">
        <v>439</v>
      </c>
    </row>
    <row r="405" spans="1:8" x14ac:dyDescent="0.2">
      <c r="A405" s="15"/>
      <c r="B405" s="15"/>
      <c r="C405" s="15"/>
      <c r="D405" s="15"/>
      <c r="E405" s="15"/>
      <c r="F405" s="15"/>
      <c r="G405" s="15"/>
    </row>
    <row r="406" spans="1:8" x14ac:dyDescent="0.2">
      <c r="A406" s="15"/>
      <c r="B406" s="15"/>
      <c r="C406" s="15"/>
      <c r="D406" s="15"/>
      <c r="E406" s="15"/>
      <c r="F406" s="15"/>
      <c r="G406" s="15"/>
    </row>
    <row r="407" spans="1:8" ht="16" x14ac:dyDescent="0.2">
      <c r="A407" s="11" t="s">
        <v>0</v>
      </c>
      <c r="B407" s="11" t="s">
        <v>340</v>
      </c>
      <c r="C407" s="11"/>
      <c r="D407" s="15"/>
      <c r="E407" s="15"/>
      <c r="F407" s="15"/>
      <c r="G407" s="15"/>
    </row>
    <row r="408" spans="1:8" ht="16" x14ac:dyDescent="0.2">
      <c r="A408" s="22" t="s">
        <v>1</v>
      </c>
      <c r="B408" s="22" t="s">
        <v>408</v>
      </c>
      <c r="C408" s="11"/>
      <c r="D408" s="15"/>
      <c r="E408" s="15"/>
      <c r="F408" s="15"/>
      <c r="G408" s="15"/>
    </row>
    <row r="409" spans="1:8" x14ac:dyDescent="0.2">
      <c r="A409" s="15" t="s">
        <v>2</v>
      </c>
      <c r="B409" s="15" t="s">
        <v>3</v>
      </c>
      <c r="C409" s="15"/>
      <c r="D409" s="15"/>
      <c r="E409" s="15"/>
      <c r="F409" s="15"/>
      <c r="G409" s="15"/>
    </row>
    <row r="410" spans="1:8" x14ac:dyDescent="0.2">
      <c r="A410" s="15" t="s">
        <v>4</v>
      </c>
      <c r="B410" s="15">
        <v>1</v>
      </c>
      <c r="C410" s="15"/>
      <c r="D410" s="15"/>
      <c r="E410" s="15"/>
      <c r="F410" s="15"/>
      <c r="G410" s="15"/>
    </row>
    <row r="411" spans="1:8" x14ac:dyDescent="0.2">
      <c r="A411" s="15" t="s">
        <v>5</v>
      </c>
      <c r="B411" s="15" t="s">
        <v>128</v>
      </c>
      <c r="C411" s="15"/>
      <c r="D411" s="15"/>
      <c r="E411" s="15"/>
      <c r="F411" s="15"/>
      <c r="G411" s="15"/>
    </row>
    <row r="412" spans="1:8" x14ac:dyDescent="0.2">
      <c r="A412" s="15" t="s">
        <v>6</v>
      </c>
      <c r="B412" s="15" t="s">
        <v>7</v>
      </c>
      <c r="C412" s="15"/>
      <c r="D412" s="15"/>
      <c r="E412" s="15"/>
      <c r="F412" s="15"/>
      <c r="G412" s="15"/>
    </row>
    <row r="413" spans="1:8" x14ac:dyDescent="0.2">
      <c r="A413" s="15" t="s">
        <v>8</v>
      </c>
      <c r="B413" s="15" t="s">
        <v>307</v>
      </c>
      <c r="C413" s="15"/>
      <c r="D413" s="15"/>
      <c r="E413" s="15"/>
      <c r="F413" s="15"/>
      <c r="G413" s="15"/>
    </row>
    <row r="414" spans="1:8" x14ac:dyDescent="0.2">
      <c r="A414" s="19" t="s">
        <v>9</v>
      </c>
      <c r="B414" s="15"/>
      <c r="C414" s="15"/>
      <c r="D414" s="15"/>
      <c r="E414" s="15"/>
      <c r="F414" s="15"/>
      <c r="G414" s="15"/>
    </row>
    <row r="415" spans="1:8" x14ac:dyDescent="0.2">
      <c r="A415" s="15" t="s">
        <v>10</v>
      </c>
      <c r="B415" s="15" t="s">
        <v>11</v>
      </c>
      <c r="C415" s="15" t="s">
        <v>6</v>
      </c>
      <c r="D415" s="15" t="s">
        <v>42</v>
      </c>
      <c r="E415" s="15" t="s">
        <v>2</v>
      </c>
      <c r="F415" s="15" t="s">
        <v>12</v>
      </c>
      <c r="G415" s="15" t="s">
        <v>5</v>
      </c>
      <c r="H415" s="15" t="s">
        <v>1</v>
      </c>
    </row>
    <row r="416" spans="1:8" x14ac:dyDescent="0.2">
      <c r="A416" s="15" t="s">
        <v>340</v>
      </c>
      <c r="B416">
        <v>1</v>
      </c>
      <c r="C416" t="s">
        <v>7</v>
      </c>
      <c r="E416" t="s">
        <v>3</v>
      </c>
      <c r="F416" t="s">
        <v>13</v>
      </c>
      <c r="G416" t="s">
        <v>128</v>
      </c>
    </row>
    <row r="417" spans="1:8" x14ac:dyDescent="0.2">
      <c r="A417" s="15" t="s">
        <v>197</v>
      </c>
      <c r="B417">
        <v>0.81</v>
      </c>
      <c r="C417" s="15" t="s">
        <v>7</v>
      </c>
      <c r="E417" s="15" t="s">
        <v>17</v>
      </c>
      <c r="F417" s="15" t="s">
        <v>15</v>
      </c>
      <c r="G417" t="s">
        <v>71</v>
      </c>
    </row>
    <row r="418" spans="1:8" x14ac:dyDescent="0.2">
      <c r="A418" s="15" t="s">
        <v>288</v>
      </c>
      <c r="B418">
        <v>0.2</v>
      </c>
      <c r="C418" s="15" t="s">
        <v>7</v>
      </c>
      <c r="E418" s="15" t="s">
        <v>17</v>
      </c>
      <c r="F418" s="15" t="s">
        <v>15</v>
      </c>
      <c r="G418" t="s">
        <v>289</v>
      </c>
    </row>
    <row r="419" spans="1:8" x14ac:dyDescent="0.2">
      <c r="A419" s="15" t="s">
        <v>20</v>
      </c>
      <c r="B419">
        <v>1</v>
      </c>
      <c r="C419" s="15" t="s">
        <v>7</v>
      </c>
      <c r="E419" s="15" t="s">
        <v>3</v>
      </c>
      <c r="F419" s="15" t="s">
        <v>15</v>
      </c>
      <c r="G419" t="s">
        <v>21</v>
      </c>
      <c r="H419" s="15" t="s">
        <v>380</v>
      </c>
    </row>
    <row r="420" spans="1:8" x14ac:dyDescent="0.2">
      <c r="A420" s="15" t="s">
        <v>58</v>
      </c>
      <c r="B420" s="3">
        <v>1.5E-10</v>
      </c>
      <c r="C420" s="15" t="s">
        <v>6</v>
      </c>
      <c r="E420" s="15" t="s">
        <v>3</v>
      </c>
      <c r="F420" s="15" t="s">
        <v>15</v>
      </c>
      <c r="G420" t="s">
        <v>59</v>
      </c>
    </row>
    <row r="421" spans="1:8" x14ac:dyDescent="0.2">
      <c r="A421" s="15"/>
      <c r="C421" s="15"/>
      <c r="E421" s="15"/>
      <c r="F421" s="15"/>
    </row>
    <row r="422" spans="1:8" x14ac:dyDescent="0.2">
      <c r="A422" s="15"/>
      <c r="C422" s="15"/>
      <c r="E422" s="15"/>
      <c r="F422" s="15"/>
    </row>
    <row r="423" spans="1:8" ht="16" x14ac:dyDescent="0.2">
      <c r="A423" s="11" t="s">
        <v>0</v>
      </c>
      <c r="B423" s="11" t="s">
        <v>341</v>
      </c>
      <c r="C423" s="11"/>
      <c r="D423" s="15"/>
      <c r="E423" s="15"/>
      <c r="F423" s="15"/>
      <c r="G423" s="15"/>
    </row>
    <row r="424" spans="1:8" ht="16" x14ac:dyDescent="0.2">
      <c r="A424" s="22" t="s">
        <v>1</v>
      </c>
      <c r="B424" s="22" t="s">
        <v>408</v>
      </c>
      <c r="C424" s="11"/>
      <c r="D424" s="15"/>
      <c r="E424" s="15"/>
      <c r="F424" s="15"/>
      <c r="G424" s="15"/>
    </row>
    <row r="425" spans="1:8" x14ac:dyDescent="0.2">
      <c r="A425" s="15" t="s">
        <v>2</v>
      </c>
      <c r="B425" s="15" t="s">
        <v>3</v>
      </c>
      <c r="C425" s="15"/>
      <c r="D425" s="15"/>
      <c r="E425" s="15"/>
      <c r="F425" s="15"/>
      <c r="G425" s="15"/>
    </row>
    <row r="426" spans="1:8" x14ac:dyDescent="0.2">
      <c r="A426" s="15" t="s">
        <v>4</v>
      </c>
      <c r="B426" s="15">
        <v>1</v>
      </c>
      <c r="C426" s="15"/>
      <c r="D426" s="15"/>
      <c r="E426" s="15"/>
      <c r="F426" s="15"/>
      <c r="G426" s="15"/>
    </row>
    <row r="427" spans="1:8" x14ac:dyDescent="0.2">
      <c r="A427" s="15" t="s">
        <v>5</v>
      </c>
      <c r="B427" s="15" t="s">
        <v>127</v>
      </c>
      <c r="C427" s="15"/>
      <c r="D427" s="15"/>
      <c r="E427" s="15"/>
      <c r="F427" s="15"/>
      <c r="G427" s="15"/>
    </row>
    <row r="428" spans="1:8" x14ac:dyDescent="0.2">
      <c r="A428" s="15" t="s">
        <v>6</v>
      </c>
      <c r="B428" s="15" t="s">
        <v>7</v>
      </c>
      <c r="C428" s="15"/>
      <c r="D428" s="15"/>
      <c r="E428" s="15"/>
      <c r="F428" s="15"/>
      <c r="G428" s="15"/>
    </row>
    <row r="429" spans="1:8" x14ac:dyDescent="0.2">
      <c r="A429" s="15" t="s">
        <v>8</v>
      </c>
      <c r="B429" s="15"/>
      <c r="C429" s="15"/>
      <c r="D429" s="15"/>
      <c r="E429" s="15"/>
      <c r="F429" s="15"/>
      <c r="G429" s="15"/>
    </row>
    <row r="430" spans="1:8" x14ac:dyDescent="0.2">
      <c r="A430" s="19" t="s">
        <v>9</v>
      </c>
      <c r="B430" s="15"/>
      <c r="C430" s="15"/>
      <c r="D430" s="15"/>
      <c r="E430" s="15"/>
      <c r="F430" s="15"/>
      <c r="G430" s="15"/>
    </row>
    <row r="431" spans="1:8" x14ac:dyDescent="0.2">
      <c r="A431" s="15" t="s">
        <v>10</v>
      </c>
      <c r="B431" s="15" t="s">
        <v>11</v>
      </c>
      <c r="C431" s="15" t="s">
        <v>6</v>
      </c>
      <c r="D431" s="15" t="s">
        <v>42</v>
      </c>
      <c r="E431" s="15" t="s">
        <v>2</v>
      </c>
      <c r="F431" s="15" t="s">
        <v>12</v>
      </c>
      <c r="G431" s="15" t="s">
        <v>5</v>
      </c>
    </row>
    <row r="432" spans="1:8" x14ac:dyDescent="0.2">
      <c r="A432" s="15" t="s">
        <v>341</v>
      </c>
      <c r="B432" s="15">
        <v>1</v>
      </c>
      <c r="C432" s="15" t="s">
        <v>7</v>
      </c>
      <c r="D432" s="15"/>
      <c r="E432" s="15" t="s">
        <v>3</v>
      </c>
      <c r="F432" s="15" t="s">
        <v>13</v>
      </c>
      <c r="G432" s="15" t="s">
        <v>127</v>
      </c>
    </row>
    <row r="433" spans="1:8" x14ac:dyDescent="0.2">
      <c r="A433" s="15" t="s">
        <v>202</v>
      </c>
      <c r="B433" s="15">
        <v>1</v>
      </c>
      <c r="C433" s="15" t="s">
        <v>7</v>
      </c>
      <c r="D433" s="15"/>
      <c r="E433" s="15" t="s">
        <v>3</v>
      </c>
      <c r="F433" s="15" t="s">
        <v>15</v>
      </c>
      <c r="G433" s="15" t="s">
        <v>203</v>
      </c>
    </row>
    <row r="434" spans="1:8" x14ac:dyDescent="0.2">
      <c r="A434" s="15" t="s">
        <v>290</v>
      </c>
      <c r="B434" s="15">
        <v>1</v>
      </c>
      <c r="C434" s="15" t="s">
        <v>7</v>
      </c>
      <c r="D434" s="15"/>
      <c r="E434" s="15" t="s">
        <v>3</v>
      </c>
      <c r="F434" s="15" t="s">
        <v>15</v>
      </c>
      <c r="G434" s="15" t="s">
        <v>291</v>
      </c>
    </row>
    <row r="435" spans="1:8" x14ac:dyDescent="0.2">
      <c r="A435" s="15" t="s">
        <v>247</v>
      </c>
      <c r="B435" s="21">
        <v>4.6000000000000001E-10</v>
      </c>
      <c r="C435" s="15" t="s">
        <v>7</v>
      </c>
      <c r="D435" s="15"/>
      <c r="E435" s="15" t="s">
        <v>3</v>
      </c>
      <c r="F435" s="15" t="s">
        <v>15</v>
      </c>
      <c r="G435" s="15" t="s">
        <v>206</v>
      </c>
    </row>
    <row r="436" spans="1:8" x14ac:dyDescent="0.2">
      <c r="A436" s="15"/>
      <c r="B436" s="15"/>
      <c r="C436" s="15"/>
      <c r="D436" s="15"/>
      <c r="E436" s="15"/>
      <c r="F436" s="15"/>
      <c r="G436" s="15"/>
    </row>
    <row r="437" spans="1:8" x14ac:dyDescent="0.2">
      <c r="A437" s="15"/>
      <c r="B437" s="15"/>
      <c r="C437" s="15"/>
      <c r="D437" s="15"/>
      <c r="E437" s="15"/>
      <c r="F437" s="15"/>
      <c r="G437" s="15"/>
    </row>
    <row r="438" spans="1:8" x14ac:dyDescent="0.2">
      <c r="A438" s="15"/>
    </row>
    <row r="439" spans="1:8" ht="16" x14ac:dyDescent="0.2">
      <c r="A439" s="1" t="s">
        <v>0</v>
      </c>
      <c r="B439" s="1" t="s">
        <v>443</v>
      </c>
    </row>
    <row r="440" spans="1:8" ht="16" x14ac:dyDescent="0.2">
      <c r="A440" s="16" t="s">
        <v>1</v>
      </c>
      <c r="B440" s="2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is>
      </c>
    </row>
    <row r="441" spans="1:8" x14ac:dyDescent="0.2">
      <c r="A441" t="s">
        <v>2</v>
      </c>
      <c r="B441" t="s">
        <v>3</v>
      </c>
    </row>
    <row r="442" spans="1:8" x14ac:dyDescent="0.2">
      <c r="A442" t="s">
        <v>4</v>
      </c>
      <c r="B442">
        <v>1</v>
      </c>
    </row>
    <row r="443" spans="1:8" x14ac:dyDescent="0.2">
      <c r="A443" t="s">
        <v>5</v>
      </c>
      <c r="B443" t="s">
        <v>441</v>
      </c>
    </row>
    <row r="444" spans="1:8" x14ac:dyDescent="0.2">
      <c r="A444" t="s">
        <v>6</v>
      </c>
      <c r="B444" t="s">
        <v>7</v>
      </c>
    </row>
    <row r="445" spans="1:8" x14ac:dyDescent="0.2">
      <c r="A445" t="s">
        <v>8</v>
      </c>
      <c r="B445" t="s">
        <v>308</v>
      </c>
    </row>
    <row r="446" spans="1:8" x14ac:dyDescent="0.2">
      <c r="A446" s="2" t="s">
        <v>9</v>
      </c>
    </row>
    <row r="447" spans="1:8" x14ac:dyDescent="0.2">
      <c r="A447" t="s">
        <v>10</v>
      </c>
      <c r="B447" t="s">
        <v>11</v>
      </c>
      <c r="C447" t="s">
        <v>6</v>
      </c>
      <c r="D447" t="s">
        <v>42</v>
      </c>
      <c r="E447" t="s">
        <v>2</v>
      </c>
      <c r="F447" t="s">
        <v>12</v>
      </c>
      <c r="G447" t="s">
        <v>5</v>
      </c>
      <c r="H447" t="s">
        <v>1</v>
      </c>
    </row>
    <row r="448" spans="1:8" x14ac:dyDescent="0.2">
      <c r="A448" t="s">
        <v>443</v>
      </c>
      <c r="B448">
        <v>1</v>
      </c>
      <c r="C448" t="s">
        <v>7</v>
      </c>
      <c r="E448" t="s">
        <v>3</v>
      </c>
      <c r="F448" t="s">
        <v>13</v>
      </c>
      <c r="G448" t="s">
        <v>441</v>
      </c>
    </row>
    <row r="449" spans="1:8" x14ac:dyDescent="0.2">
      <c r="A449" t="s">
        <v>334</v>
      </c>
      <c r="B449" s="3">
        <f>0.004/0.047319</f>
        <v>0.08453264016568397</v>
      </c>
      <c r="C449" t="s">
        <v>7</v>
      </c>
      <c r="E449" t="s">
        <v>3</v>
      </c>
      <c r="F449" t="s">
        <v>15</v>
      </c>
      <c r="G449" t="s">
        <v>109</v>
      </c>
      <c r="H449" t="s">
        <v>406</v>
      </c>
    </row>
    <row r="450" spans="1:8" x14ac:dyDescent="0.2">
      <c r="A450" t="s">
        <v>335</v>
      </c>
      <c r="B450" s="3">
        <f>0.006/0.047319</f>
        <v>0.12679896024852597</v>
      </c>
      <c r="C450" t="s">
        <v>7</v>
      </c>
      <c r="E450" t="s">
        <v>3</v>
      </c>
      <c r="F450" t="s">
        <v>15</v>
      </c>
      <c r="G450" t="s">
        <v>112</v>
      </c>
      <c r="H450" t="s">
        <v>406</v>
      </c>
    </row>
    <row r="451" spans="1:8" x14ac:dyDescent="0.2">
      <c r="A451" t="s">
        <v>337</v>
      </c>
      <c r="B451" s="3">
        <f>0.008/0.047319</f>
        <v>0.16906528033136795</v>
      </c>
      <c r="C451" t="s">
        <v>7</v>
      </c>
      <c r="E451" t="s">
        <v>3</v>
      </c>
      <c r="F451" t="s">
        <v>15</v>
      </c>
      <c r="G451" t="s">
        <v>115</v>
      </c>
      <c r="H451" t="s">
        <v>406</v>
      </c>
    </row>
    <row r="452" spans="1:8" x14ac:dyDescent="0.2">
      <c r="A452" t="s">
        <v>338</v>
      </c>
      <c r="B452" s="3">
        <f>0.029/0.047319</f>
        <v>0.6128616412012089</v>
      </c>
      <c r="C452" t="s">
        <v>7</v>
      </c>
      <c r="E452" t="s">
        <v>3</v>
      </c>
      <c r="F452" t="s">
        <v>15</v>
      </c>
      <c r="G452" t="s">
        <v>121</v>
      </c>
      <c r="H452" t="s">
        <v>406</v>
      </c>
    </row>
    <row r="453" spans="1:8" x14ac:dyDescent="0.2">
      <c r="A453" t="s">
        <v>339</v>
      </c>
      <c r="B453" s="3">
        <f>0.00013/0.047319</f>
        <v>0.0027473108053847287</v>
      </c>
      <c r="C453" t="s">
        <v>7</v>
      </c>
      <c r="E453" t="s">
        <v>3</v>
      </c>
      <c r="F453" t="s">
        <v>15</v>
      </c>
      <c r="G453" t="s">
        <v>126</v>
      </c>
      <c r="H453" t="s">
        <v>406</v>
      </c>
    </row>
    <row r="454" spans="1:8" x14ac:dyDescent="0.2">
      <c r="A454" t="s">
        <v>341</v>
      </c>
      <c r="B454" s="3">
        <f>0.00012/0.047319</f>
        <v>0.002535979204970519</v>
      </c>
      <c r="C454" t="s">
        <v>7</v>
      </c>
      <c r="E454" t="s">
        <v>3</v>
      </c>
      <c r="F454" t="s">
        <v>15</v>
      </c>
      <c r="G454" t="s">
        <v>127</v>
      </c>
      <c r="H454" t="s">
        <v>406</v>
      </c>
    </row>
    <row r="455" spans="1:8" x14ac:dyDescent="0.2">
      <c r="A455" t="s">
        <v>340</v>
      </c>
      <c r="B455" s="3">
        <f>6.9e-05/0.047319</f>
        <v>0.0014581880428580485</v>
      </c>
      <c r="C455" t="s">
        <v>7</v>
      </c>
      <c r="E455" t="s">
        <v>3</v>
      </c>
      <c r="F455" t="s">
        <v>15</v>
      </c>
      <c r="G455" t="s">
        <v>128</v>
      </c>
      <c r="H455" t="s">
        <v>406</v>
      </c>
    </row>
    <row r="456" spans="1:8" x14ac:dyDescent="0.2">
      <c r="A456" t="s">
        <v>51</v>
      </c>
      <c r="B456" s="3">
        <f>0.031/0.047319</f>
        <v>0.6551279612840508</v>
      </c>
      <c r="C456" t="s">
        <v>7</v>
      </c>
      <c r="E456" t="s">
        <v>17</v>
      </c>
      <c r="F456" t="s">
        <v>15</v>
      </c>
      <c r="G456" t="s">
        <v>52</v>
      </c>
      <c r="H456" t="s">
        <v>406</v>
      </c>
    </row>
    <row r="457" spans="1:8" x14ac:dyDescent="0.2">
      <c r="A457" t="s">
        <v>22</v>
      </c>
      <c r="B457" s="13">
        <f>0.046/0.047319</f>
        <v>0.9721253619053657</v>
      </c>
      <c r="C457" t="s">
        <v>23</v>
      </c>
      <c r="E457" t="s">
        <v>54</v>
      </c>
      <c r="F457" t="s">
        <v>15</v>
      </c>
      <c r="G457" t="s">
        <v>24</v>
      </c>
    </row>
    <row r="458" spans="1:8" x14ac:dyDescent="0.2">
      <c r="A458" t="s">
        <v>49</v>
      </c>
      <c r="B458" s="23">
        <f>-3.1e-05/0.047319</f>
        <v>-0.0006551279612840509</v>
      </c>
      <c r="C458" t="s">
        <v>45</v>
      </c>
      <c r="E458" t="s">
        <v>17</v>
      </c>
      <c r="F458" t="s">
        <v>15</v>
      </c>
      <c r="G458" t="s">
        <v>50</v>
      </c>
      <c r="H458" t="s">
        <v>372</v>
      </c>
    </row>
    <row r="459" spans="1:8" x14ac:dyDescent="0.2">
      <c r="B459" s="8"/>
    </row>
    <row r="460" spans="1:8" ht="16" x14ac:dyDescent="0.2">
      <c r="A460" s="1" t="s">
        <v>0</v>
      </c>
      <c r="B460" s="1" t="s">
        <v>440</v>
      </c>
    </row>
    <row r="461" spans="1:8" x14ac:dyDescent="0.2">
      <c r="A461" t="s">
        <v>1</v>
      </c>
      <c r="B461"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is>
      </c>
      <c r="H461" s="5"/>
    </row>
    <row r="462" spans="1:8" x14ac:dyDescent="0.2">
      <c r="A462" t="s">
        <v>2</v>
      </c>
      <c r="B462" t="s">
        <v>3</v>
      </c>
    </row>
    <row r="463" spans="1:8" x14ac:dyDescent="0.2">
      <c r="A463" t="s">
        <v>4</v>
      </c>
      <c r="B463">
        <v>1</v>
      </c>
    </row>
    <row r="464" spans="1:8" x14ac:dyDescent="0.2">
      <c r="A464" t="s">
        <v>5</v>
      </c>
      <c r="B464" t="s">
        <v>407</v>
      </c>
    </row>
    <row r="465" spans="1:7" x14ac:dyDescent="0.2">
      <c r="A465" t="s">
        <v>6</v>
      </c>
      <c r="B465" t="s">
        <v>7</v>
      </c>
    </row>
    <row r="466" spans="1:7" x14ac:dyDescent="0.2">
      <c r="A466" t="s">
        <v>8</v>
      </c>
      <c r="B466" t="s">
        <v>444</v>
      </c>
    </row>
    <row r="467" spans="1:7" x14ac:dyDescent="0.2">
      <c r="A467" s="2" t="s">
        <v>9</v>
      </c>
    </row>
    <row r="468" spans="1:7" x14ac:dyDescent="0.2">
      <c r="A468" t="s">
        <v>10</v>
      </c>
      <c r="B468" t="s">
        <v>11</v>
      </c>
      <c r="C468" t="s">
        <v>6</v>
      </c>
      <c r="D468" t="s">
        <v>2</v>
      </c>
      <c r="E468" t="s">
        <v>12</v>
      </c>
      <c r="F468" t="s">
        <v>5</v>
      </c>
      <c r="G468" t="s">
        <v>1</v>
      </c>
    </row>
    <row r="469" spans="1:7" x14ac:dyDescent="0.2">
      <c r="A469" t="s">
        <v>440</v>
      </c>
      <c r="B469">
        <v>1</v>
      </c>
      <c r="C469" t="s">
        <v>7</v>
      </c>
      <c r="D469" t="s">
        <v>3</v>
      </c>
      <c r="E469" t="s">
        <v>13</v>
      </c>
      <c r="F469" t="s">
        <v>407</v>
      </c>
    </row>
    <row r="470" spans="1:7" x14ac:dyDescent="0.2">
      <c r="A470" t="s">
        <v>443</v>
      </c>
      <c r="B470">
        <v>1</v>
      </c>
      <c r="C470" t="s">
        <v>7</v>
      </c>
      <c r="D470" t="s">
        <v>3</v>
      </c>
      <c r="E470" t="s">
        <v>15</v>
      </c>
      <c r="F470" t="s">
        <v>441</v>
      </c>
    </row>
    <row r="471" spans="1:7" x14ac:dyDescent="0.2">
      <c r="A471" t="s">
        <v>22</v>
      </c>
      <c r="B471" s="5">
        <f>0.225/0.047319</f>
        <v>4.754961009319723</v>
      </c>
      <c r="C471" t="s">
        <v>23</v>
      </c>
      <c r="D471" t="s">
        <v>54</v>
      </c>
      <c r="E471" t="s">
        <v>15</v>
      </c>
      <c r="F471" t="s">
        <v>24</v>
      </c>
      <c r="G471" t="s">
        <v>417</v>
      </c>
    </row>
    <row r="472" spans="1:7" x14ac:dyDescent="0.2">
      <c r="A472" t="s">
        <v>342</v>
      </c>
      <c r="B472" s="13">
        <f>1.15e-08/0.047319</f>
        <v>2.4303134047634144e-07</v>
      </c>
      <c r="C472" t="s">
        <v>6</v>
      </c>
      <c r="D472" t="s">
        <v>3</v>
      </c>
      <c r="E472" t="s">
        <v>15</v>
      </c>
      <c r="F472" t="s">
        <v>133</v>
      </c>
      <c r="G472" t="s">
        <v>417</v>
      </c>
    </row>
    <row r="473" spans="1:7" x14ac:dyDescent="0.2">
      <c r="B473" s="8"/>
    </row>
    <row r="474" spans="1:7" ht="16" x14ac:dyDescent="0.2">
      <c r="A474" s="1" t="s">
        <v>0</v>
      </c>
      <c r="B474" s="1" t="s">
        <v>342</v>
      </c>
    </row>
    <row r="475" spans="1:7" x14ac:dyDescent="0.2">
      <c r="A475" t="s">
        <v>1</v>
      </c>
      <c r="B475" t="s">
        <v>411</v>
      </c>
    </row>
    <row r="476" spans="1:7" x14ac:dyDescent="0.2">
      <c r="A476" t="s">
        <v>2</v>
      </c>
      <c r="B476" t="s">
        <v>3</v>
      </c>
    </row>
    <row r="477" spans="1:7" x14ac:dyDescent="0.2">
      <c r="A477" t="s">
        <v>4</v>
      </c>
      <c r="B477">
        <v>1</v>
      </c>
    </row>
    <row r="478" spans="1:7" x14ac:dyDescent="0.2">
      <c r="A478" t="s">
        <v>5</v>
      </c>
      <c r="B478" t="s">
        <v>133</v>
      </c>
    </row>
    <row r="479" spans="1:7" x14ac:dyDescent="0.2">
      <c r="A479" t="s">
        <v>6</v>
      </c>
      <c r="B479" t="s">
        <v>6</v>
      </c>
    </row>
    <row r="480" spans="1:7" x14ac:dyDescent="0.2">
      <c r="A480" t="s">
        <v>8</v>
      </c>
      <c r="B480" t="s">
        <v>309</v>
      </c>
    </row>
    <row r="481" spans="1:7" x14ac:dyDescent="0.2">
      <c r="A481" s="2" t="s">
        <v>9</v>
      </c>
    </row>
    <row r="482" spans="1:7" x14ac:dyDescent="0.2">
      <c r="A482" t="s">
        <v>10</v>
      </c>
      <c r="B482" t="s">
        <v>11</v>
      </c>
      <c r="C482" t="s">
        <v>6</v>
      </c>
      <c r="D482" t="s">
        <v>2</v>
      </c>
      <c r="E482" t="s">
        <v>12</v>
      </c>
      <c r="F482" t="s">
        <v>5</v>
      </c>
      <c r="G482" t="s">
        <v>292</v>
      </c>
    </row>
    <row r="483" spans="1:7" x14ac:dyDescent="0.2">
      <c r="A483" t="s">
        <v>342</v>
      </c>
      <c r="B483">
        <v>1</v>
      </c>
      <c r="C483" t="s">
        <v>6</v>
      </c>
      <c r="D483" t="s">
        <v>3</v>
      </c>
      <c r="E483" t="s">
        <v>13</v>
      </c>
      <c r="F483" t="s">
        <v>133</v>
      </c>
    </row>
    <row r="484" spans="1:7" x14ac:dyDescent="0.2">
      <c r="A484" t="s">
        <v>129</v>
      </c>
      <c r="B484" s="4">
        <v>7.4999999999999997E-2</v>
      </c>
      <c r="C484" t="s">
        <v>6</v>
      </c>
      <c r="D484" t="s">
        <v>3</v>
      </c>
      <c r="E484" t="s">
        <v>15</v>
      </c>
      <c r="F484" t="s">
        <v>130</v>
      </c>
    </row>
    <row r="485" spans="1:7" x14ac:dyDescent="0.2">
      <c r="A485" t="s">
        <v>131</v>
      </c>
      <c r="B485" s="8">
        <v>7.0099999999999997E-3</v>
      </c>
      <c r="C485" t="s">
        <v>6</v>
      </c>
      <c r="D485" t="s">
        <v>3</v>
      </c>
      <c r="E485" t="s">
        <v>15</v>
      </c>
      <c r="F485" t="s">
        <v>132</v>
      </c>
    </row>
    <row r="486" spans="1:7" x14ac:dyDescent="0.2">
      <c r="A486" t="s">
        <v>22</v>
      </c>
      <c r="B486" s="13">
        <f>24.1*1000000</f>
        <v>24100000</v>
      </c>
      <c r="C486" t="s">
        <v>23</v>
      </c>
      <c r="D486" t="s">
        <v>54</v>
      </c>
      <c r="E486" t="s">
        <v>15</v>
      </c>
      <c r="F486" t="s">
        <v>24</v>
      </c>
      <c r="G486" t="s">
        <v>368</v>
      </c>
    </row>
    <row r="487" spans="1:7" x14ac:dyDescent="0.2">
      <c r="A487" t="s">
        <v>33</v>
      </c>
      <c r="B487" s="18">
        <f>48.3*1000000</f>
        <v>48300000</v>
      </c>
      <c r="C487" t="s">
        <v>34</v>
      </c>
      <c r="D487" t="s">
        <v>17</v>
      </c>
      <c r="E487" t="s">
        <v>15</v>
      </c>
      <c r="F487" t="s">
        <v>35</v>
      </c>
      <c r="G487" t="s">
        <v>381</v>
      </c>
    </row>
    <row r="488" spans="1:7" x14ac:dyDescent="0.2">
      <c r="A488" t="s">
        <v>80</v>
      </c>
      <c r="B488" s="18">
        <f>59.7*1000000</f>
        <v>59700000</v>
      </c>
      <c r="C488" t="s">
        <v>34</v>
      </c>
      <c r="D488" t="s">
        <v>3</v>
      </c>
      <c r="E488" t="s">
        <v>15</v>
      </c>
      <c r="F488" t="s">
        <v>81</v>
      </c>
      <c r="G488" t="s">
        <v>369</v>
      </c>
    </row>
    <row r="490" spans="1:7" ht="16" x14ac:dyDescent="0.2">
      <c r="A490" s="1" t="s">
        <v>0</v>
      </c>
      <c r="B490" s="1" t="s">
        <v>343</v>
      </c>
    </row>
    <row r="491" spans="1:7" ht="16" x14ac:dyDescent="0.2">
      <c r="A491" s="16" t="s">
        <v>1</v>
      </c>
      <c r="B491"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492" spans="1:7" x14ac:dyDescent="0.2">
      <c r="A492" t="s">
        <v>2</v>
      </c>
      <c r="B492" t="s">
        <v>3</v>
      </c>
    </row>
    <row r="493" spans="1:7" x14ac:dyDescent="0.2">
      <c r="A493" t="s">
        <v>4</v>
      </c>
      <c r="B493">
        <v>1</v>
      </c>
    </row>
    <row r="494" spans="1:7" x14ac:dyDescent="0.2">
      <c r="A494" t="s">
        <v>5</v>
      </c>
      <c r="B494" t="s">
        <v>414</v>
      </c>
    </row>
    <row r="495" spans="1:7" x14ac:dyDescent="0.2">
      <c r="A495" t="s">
        <v>6</v>
      </c>
      <c r="B495" t="s">
        <v>7</v>
      </c>
    </row>
    <row r="496" spans="1:7" x14ac:dyDescent="0.2">
      <c r="A496" t="s">
        <v>8</v>
      </c>
      <c r="B496" t="s">
        <v>310</v>
      </c>
    </row>
    <row r="497" spans="1:11" x14ac:dyDescent="0.2">
      <c r="A497" s="2" t="s">
        <v>9</v>
      </c>
    </row>
    <row r="498" spans="1:11" x14ac:dyDescent="0.2">
      <c r="A498" t="s">
        <v>10</v>
      </c>
      <c r="B498" t="s">
        <v>11</v>
      </c>
      <c r="C498" t="s">
        <v>6</v>
      </c>
      <c r="D498" t="s">
        <v>42</v>
      </c>
      <c r="E498" t="s">
        <v>2</v>
      </c>
      <c r="F498" t="s">
        <v>12</v>
      </c>
      <c r="G498" t="s">
        <v>5</v>
      </c>
      <c r="H498" t="s">
        <v>1</v>
      </c>
    </row>
    <row r="499" spans="1:11" x14ac:dyDescent="0.2">
      <c r="A499" t="s">
        <v>343</v>
      </c>
      <c r="B499">
        <v>1</v>
      </c>
      <c r="C499" t="s">
        <v>7</v>
      </c>
      <c r="E499" t="s">
        <v>3</v>
      </c>
      <c r="F499" t="s">
        <v>13</v>
      </c>
      <c r="G499" t="s">
        <v>414</v>
      </c>
    </row>
    <row r="500" spans="1:11" x14ac:dyDescent="0.2">
      <c r="A500" t="s">
        <v>440</v>
      </c>
      <c r="B500" s="5">
        <f>19.306152/25.509152</f>
        <v>0.7568323713779275</v>
      </c>
      <c r="C500" t="s">
        <v>7</v>
      </c>
      <c r="E500" t="s">
        <v>3</v>
      </c>
      <c r="F500" t="s">
        <v>15</v>
      </c>
      <c r="G500" t="s">
        <v>407</v>
      </c>
      <c r="H500" t="s">
        <v>418</v>
      </c>
    </row>
    <row r="501" spans="1:11" x14ac:dyDescent="0.2">
      <c r="A501" t="s">
        <v>344</v>
      </c>
      <c r="B501" s="5">
        <f>0.275/25.509152</f>
        <v>0.010780444602784132</v>
      </c>
      <c r="C501" t="s">
        <v>7</v>
      </c>
      <c r="E501" t="s">
        <v>3</v>
      </c>
      <c r="F501" t="s">
        <v>15</v>
      </c>
      <c r="G501" t="s">
        <v>134</v>
      </c>
    </row>
    <row r="502" spans="1:11" x14ac:dyDescent="0.2">
      <c r="A502" t="s">
        <v>345</v>
      </c>
      <c r="B502" s="5">
        <f>0.593/25.509152</f>
        <v>0.023246558725276322</v>
      </c>
      <c r="C502" t="s">
        <v>7</v>
      </c>
      <c r="E502" t="s">
        <v>3</v>
      </c>
      <c r="F502" t="s">
        <v>15</v>
      </c>
      <c r="G502" t="s">
        <v>135</v>
      </c>
    </row>
    <row r="503" spans="1:11" ht="16" x14ac:dyDescent="0.2">
      <c r="A503" s="16" t="s">
        <v>346</v>
      </c>
      <c r="B503" s="4">
        <f>0.085/25.509152</f>
        <v>0.003332137422678731</v>
      </c>
      <c r="C503" t="s">
        <v>7</v>
      </c>
      <c r="E503" t="s">
        <v>3</v>
      </c>
      <c r="F503" t="s">
        <v>15</v>
      </c>
      <c r="G503" t="s">
        <v>136</v>
      </c>
    </row>
    <row r="504" spans="1:11" x14ac:dyDescent="0.2">
      <c r="A504" t="s">
        <v>36</v>
      </c>
      <c r="B504" s="7">
        <f>2.75/25.509152</f>
        <v>0.1078044460278413</v>
      </c>
      <c r="C504" t="s">
        <v>7</v>
      </c>
      <c r="E504" t="s">
        <v>3</v>
      </c>
      <c r="F504" t="s">
        <v>15</v>
      </c>
      <c r="G504" t="s">
        <v>37</v>
      </c>
      <c r="I504" s="23"/>
      <c r="J504" s="18"/>
      <c r="K504" s="18"/>
    </row>
    <row r="505" spans="1:11" x14ac:dyDescent="0.2">
      <c r="A505" t="s">
        <v>137</v>
      </c>
      <c r="B505" s="7">
        <f>2.5/25.509152</f>
        <v>0.0980040418434921</v>
      </c>
      <c r="C505" t="s">
        <v>7</v>
      </c>
      <c r="E505" t="s">
        <v>3</v>
      </c>
      <c r="F505" t="s">
        <v>15</v>
      </c>
      <c r="G505" t="s">
        <v>138</v>
      </c>
    </row>
    <row r="506" spans="1:11" x14ac:dyDescent="0.2">
      <c r="A506" t="s">
        <v>18</v>
      </c>
      <c r="B506" s="7">
        <f>2.75/25.509152</f>
        <v>0.1078044460278413</v>
      </c>
      <c r="C506" t="s">
        <v>7</v>
      </c>
      <c r="E506" t="s">
        <v>3</v>
      </c>
      <c r="F506" t="s">
        <v>15</v>
      </c>
      <c r="G506" t="s">
        <v>19</v>
      </c>
    </row>
    <row r="507" spans="1:11" x14ac:dyDescent="0.2">
      <c r="A507" t="s">
        <v>139</v>
      </c>
      <c r="B507" s="13">
        <f>2.5/25.509152</f>
        <v>0.0980040418434921</v>
      </c>
      <c r="C507" t="s">
        <v>7</v>
      </c>
      <c r="E507" t="s">
        <v>3</v>
      </c>
      <c r="F507" t="s">
        <v>15</v>
      </c>
      <c r="G507" t="s">
        <v>140</v>
      </c>
    </row>
    <row r="508" spans="1:11" x14ac:dyDescent="0.2">
      <c r="B508" s="8"/>
    </row>
    <row r="509" spans="1:11" ht="16" x14ac:dyDescent="0.2">
      <c r="A509" s="1" t="s">
        <v>0</v>
      </c>
      <c r="B509" s="1" t="s">
        <v>456</v>
      </c>
    </row>
    <row r="510" spans="1:11" ht="16" x14ac:dyDescent="0.2">
      <c r="A510" t="s">
        <v>1</v>
      </c>
      <c r="B510" s="28"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511" spans="1:11" x14ac:dyDescent="0.2">
      <c r="A511" t="s">
        <v>2</v>
      </c>
      <c r="B511" t="s">
        <v>3</v>
      </c>
    </row>
    <row r="512" spans="1:11" x14ac:dyDescent="0.2">
      <c r="A512" t="s">
        <v>4</v>
      </c>
      <c r="B512">
        <v>1</v>
      </c>
    </row>
    <row r="513" spans="1:8" x14ac:dyDescent="0.2">
      <c r="A513" t="s">
        <v>5</v>
      </c>
      <c r="B513" t="s">
        <v>457</v>
      </c>
    </row>
    <row r="514" spans="1:8" x14ac:dyDescent="0.2">
      <c r="A514" t="s">
        <v>6</v>
      </c>
      <c r="B514" t="s">
        <v>7</v>
      </c>
    </row>
    <row r="515" spans="1:8" x14ac:dyDescent="0.2">
      <c r="A515" t="s">
        <v>8</v>
      </c>
      <c r="B515" t="s">
        <v>444</v>
      </c>
    </row>
    <row r="516" spans="1:8" x14ac:dyDescent="0.2">
      <c r="A516" s="2" t="s">
        <v>9</v>
      </c>
      <c r="B516" s="2"/>
      <c r="C516" s="2"/>
      <c r="D516" s="2"/>
      <c r="E516" s="2"/>
      <c r="F516" s="2"/>
      <c r="G516" s="2"/>
    </row>
    <row r="517" spans="1:8" x14ac:dyDescent="0.2">
      <c r="A517" s="2" t="s">
        <v>10</v>
      </c>
      <c r="B517" s="2" t="s">
        <v>11</v>
      </c>
      <c r="C517" s="2" t="s">
        <v>6</v>
      </c>
      <c r="D517" s="2" t="s">
        <v>42</v>
      </c>
      <c r="E517" s="2" t="s">
        <v>2</v>
      </c>
      <c r="F517" s="2" t="s">
        <v>12</v>
      </c>
      <c r="G517" s="2" t="s">
        <v>5</v>
      </c>
      <c r="H517" s="2" t="s">
        <v>1</v>
      </c>
    </row>
    <row r="518" spans="1:8" ht="16" x14ac:dyDescent="0.2">
      <c r="A518" s="27" t="str">
        <f>B509</f>
        <v>market for battery, Li-sulfur, Li-S</v>
      </c>
      <c r="B518">
        <v>1</v>
      </c>
      <c r="C518" t="s">
        <v>7</v>
      </c>
      <c r="E518" t="str">
        <f>B511</f>
        <v>GLO</v>
      </c>
      <c r="F518" t="s">
        <v>13</v>
      </c>
      <c r="G518" t="str">
        <f>B513</f>
        <v>battery, Li-S</v>
      </c>
      <c r="H518" t="inlineStr">
        <is>
          <t>One kg baseline engineering Li-S module; cell47.319g,408cells/module, module25.509152kg,150Wh/kg cell. See current activity comment; older copied whole-system labels are superseded.</t>
        </is>
      </c>
    </row>
    <row r="519" spans="1:8" x14ac:dyDescent="0.2">
      <c r="A519" t="s">
        <v>343</v>
      </c>
      <c r="B519">
        <v>1</v>
      </c>
      <c r="C519" t="s">
        <v>7</v>
      </c>
      <c r="E519" t="s">
        <v>3</v>
      </c>
      <c r="F519" t="s">
        <v>15</v>
      </c>
      <c r="G519" t="s">
        <v>414</v>
      </c>
    </row>
    <row r="520" spans="1:8" x14ac:dyDescent="0.2">
      <c r="A520" t="s">
        <v>447</v>
      </c>
      <c r="B520">
        <v>0.30910727700000001</v>
      </c>
      <c r="C520" t="s">
        <v>448</v>
      </c>
      <c r="E520" t="s">
        <v>3</v>
      </c>
      <c r="F520" t="s">
        <v>15</v>
      </c>
      <c r="G520" t="s">
        <v>449</v>
      </c>
    </row>
    <row r="521" spans="1:8" x14ac:dyDescent="0.2">
      <c r="A521" t="s">
        <v>450</v>
      </c>
      <c r="B521">
        <v>2.4627409999999999E-2</v>
      </c>
      <c r="C521" t="s">
        <v>448</v>
      </c>
      <c r="E521" t="s">
        <v>3</v>
      </c>
      <c r="F521" t="s">
        <v>15</v>
      </c>
      <c r="G521" t="s">
        <v>451</v>
      </c>
    </row>
    <row r="522" spans="1:8" x14ac:dyDescent="0.2">
      <c r="A522" t="s">
        <v>452</v>
      </c>
      <c r="B522">
        <v>0.20877976500000001</v>
      </c>
      <c r="C522" t="s">
        <v>448</v>
      </c>
      <c r="E522" t="s">
        <v>3</v>
      </c>
      <c r="F522" t="s">
        <v>15</v>
      </c>
      <c r="G522" t="s">
        <v>453</v>
      </c>
    </row>
    <row r="523" spans="1:8" x14ac:dyDescent="0.2">
      <c r="A523" t="s">
        <v>454</v>
      </c>
      <c r="B523">
        <v>0.59901584900000004</v>
      </c>
      <c r="C523" t="s">
        <v>448</v>
      </c>
      <c r="E523" t="s">
        <v>3</v>
      </c>
      <c r="F523" t="s">
        <v>15</v>
      </c>
      <c r="G523" t="s">
        <v>455</v>
      </c>
    </row>
    <row r="524" spans="1:8" x14ac:dyDescent="0.2">
      <c r="G524" s="3"/>
    </row>
    <row r="525" spans="1:8" ht="16" x14ac:dyDescent="0.2">
      <c r="A525" s="1" t="s">
        <v>0</v>
      </c>
      <c r="B525" s="1" t="s">
        <v>344</v>
      </c>
    </row>
    <row r="526" spans="1:8" ht="16" x14ac:dyDescent="0.2">
      <c r="A526" s="16" t="s">
        <v>1</v>
      </c>
      <c r="B526" s="16" t="s">
        <v>408</v>
      </c>
    </row>
    <row r="527" spans="1:8" x14ac:dyDescent="0.2">
      <c r="A527" t="s">
        <v>2</v>
      </c>
      <c r="B527" t="s">
        <v>3</v>
      </c>
    </row>
    <row r="528" spans="1:8" x14ac:dyDescent="0.2">
      <c r="A528" t="s">
        <v>4</v>
      </c>
      <c r="B528">
        <v>1</v>
      </c>
    </row>
    <row r="529" spans="1:8" x14ac:dyDescent="0.2">
      <c r="A529" t="s">
        <v>5</v>
      </c>
      <c r="B529" t="s">
        <v>134</v>
      </c>
    </row>
    <row r="530" spans="1:8" x14ac:dyDescent="0.2">
      <c r="A530" t="s">
        <v>6</v>
      </c>
      <c r="B530" t="s">
        <v>7</v>
      </c>
    </row>
    <row r="531" spans="1:8" x14ac:dyDescent="0.2">
      <c r="A531" t="s">
        <v>8</v>
      </c>
      <c r="B531" t="s">
        <v>311</v>
      </c>
    </row>
    <row r="532" spans="1:8" x14ac:dyDescent="0.2">
      <c r="A532" s="2" t="s">
        <v>9</v>
      </c>
    </row>
    <row r="533" spans="1:8" x14ac:dyDescent="0.2">
      <c r="A533" t="s">
        <v>10</v>
      </c>
      <c r="B533" t="s">
        <v>11</v>
      </c>
      <c r="C533" t="s">
        <v>6</v>
      </c>
      <c r="D533" t="s">
        <v>42</v>
      </c>
      <c r="E533" t="s">
        <v>2</v>
      </c>
      <c r="F533" t="s">
        <v>12</v>
      </c>
      <c r="G533" t="s">
        <v>5</v>
      </c>
      <c r="H533" t="s">
        <v>1</v>
      </c>
    </row>
    <row r="534" spans="1:8" x14ac:dyDescent="0.2">
      <c r="A534" t="s">
        <v>344</v>
      </c>
      <c r="B534">
        <v>1</v>
      </c>
      <c r="C534" t="s">
        <v>7</v>
      </c>
      <c r="E534" t="s">
        <v>3</v>
      </c>
      <c r="F534" t="s">
        <v>13</v>
      </c>
      <c r="G534" t="s">
        <v>134</v>
      </c>
    </row>
    <row r="535" spans="1:8" x14ac:dyDescent="0.2">
      <c r="A535" t="s">
        <v>144</v>
      </c>
      <c r="B535" s="4">
        <v>9.0999999999999998E-2</v>
      </c>
      <c r="C535" t="s">
        <v>7</v>
      </c>
      <c r="E535" t="s">
        <v>3</v>
      </c>
      <c r="F535" t="s">
        <v>15</v>
      </c>
      <c r="G535" t="s">
        <v>145</v>
      </c>
    </row>
    <row r="536" spans="1:8" x14ac:dyDescent="0.2">
      <c r="A536" t="s">
        <v>58</v>
      </c>
      <c r="B536" s="13">
        <f>1.4*10^-10</f>
        <v>1.4000000000000001E-10</v>
      </c>
      <c r="C536" t="s">
        <v>6</v>
      </c>
      <c r="E536" t="s">
        <v>3</v>
      </c>
      <c r="F536" t="s">
        <v>15</v>
      </c>
      <c r="G536" t="s">
        <v>59</v>
      </c>
    </row>
    <row r="537" spans="1:8" x14ac:dyDescent="0.2">
      <c r="A537" t="s">
        <v>245</v>
      </c>
      <c r="B537" s="5">
        <v>0.91</v>
      </c>
      <c r="C537" t="s">
        <v>7</v>
      </c>
      <c r="E537" t="s">
        <v>3</v>
      </c>
      <c r="F537" t="s">
        <v>15</v>
      </c>
      <c r="G537" t="s">
        <v>246</v>
      </c>
    </row>
    <row r="538" spans="1:8" x14ac:dyDescent="0.2">
      <c r="A538" t="s">
        <v>18</v>
      </c>
      <c r="B538" s="4">
        <v>9.0999999999999998E-2</v>
      </c>
      <c r="C538" t="s">
        <v>7</v>
      </c>
      <c r="E538" t="s">
        <v>3</v>
      </c>
      <c r="F538" t="s">
        <v>15</v>
      </c>
      <c r="G538" t="s">
        <v>19</v>
      </c>
    </row>
    <row r="539" spans="1:8" x14ac:dyDescent="0.2">
      <c r="A539" t="s">
        <v>205</v>
      </c>
      <c r="B539" s="5">
        <v>0.91</v>
      </c>
      <c r="C539" t="s">
        <v>7</v>
      </c>
      <c r="E539" t="s">
        <v>17</v>
      </c>
      <c r="F539" t="s">
        <v>15</v>
      </c>
      <c r="G539" t="s">
        <v>205</v>
      </c>
    </row>
    <row r="540" spans="1:8" x14ac:dyDescent="0.2">
      <c r="A540" t="s">
        <v>72</v>
      </c>
      <c r="B540" s="13">
        <f>6.7*10^-11</f>
        <v>6.7000000000000001E-11</v>
      </c>
      <c r="C540" t="s">
        <v>6</v>
      </c>
      <c r="E540" t="s">
        <v>3</v>
      </c>
      <c r="F540" t="s">
        <v>15</v>
      </c>
      <c r="G540" t="s">
        <v>73</v>
      </c>
      <c r="H540" t="s">
        <v>392</v>
      </c>
    </row>
    <row r="541" spans="1:8" x14ac:dyDescent="0.2">
      <c r="B541" s="8"/>
    </row>
    <row r="542" spans="1:8" x14ac:dyDescent="0.2">
      <c r="B542" s="8"/>
    </row>
    <row r="544" spans="1:8" ht="16" x14ac:dyDescent="0.2">
      <c r="A544" s="1" t="s">
        <v>0</v>
      </c>
      <c r="B544" s="1" t="s">
        <v>345</v>
      </c>
    </row>
    <row r="545" spans="1:6" ht="16" x14ac:dyDescent="0.2">
      <c r="A545" s="16" t="s">
        <v>1</v>
      </c>
      <c r="B545" s="16" t="s">
        <v>408</v>
      </c>
    </row>
    <row r="546" spans="1:6" x14ac:dyDescent="0.2">
      <c r="A546" t="s">
        <v>2</v>
      </c>
      <c r="B546" t="s">
        <v>3</v>
      </c>
    </row>
    <row r="547" spans="1:6" x14ac:dyDescent="0.2">
      <c r="A547" t="s">
        <v>4</v>
      </c>
      <c r="B547">
        <v>1</v>
      </c>
    </row>
    <row r="548" spans="1:6" x14ac:dyDescent="0.2">
      <c r="A548" t="s">
        <v>5</v>
      </c>
      <c r="B548" t="s">
        <v>135</v>
      </c>
    </row>
    <row r="549" spans="1:6" x14ac:dyDescent="0.2">
      <c r="A549" t="s">
        <v>6</v>
      </c>
      <c r="B549" t="s">
        <v>7</v>
      </c>
    </row>
    <row r="550" spans="1:6" x14ac:dyDescent="0.2">
      <c r="A550" t="s">
        <v>8</v>
      </c>
      <c r="B550" t="s">
        <v>311</v>
      </c>
    </row>
    <row r="551" spans="1:6" x14ac:dyDescent="0.2">
      <c r="A551" s="2" t="s">
        <v>9</v>
      </c>
    </row>
    <row r="552" spans="1:6" x14ac:dyDescent="0.2">
      <c r="A552" t="s">
        <v>10</v>
      </c>
      <c r="B552" t="s">
        <v>11</v>
      </c>
      <c r="C552" t="s">
        <v>6</v>
      </c>
      <c r="D552" t="s">
        <v>2</v>
      </c>
      <c r="E552" t="s">
        <v>12</v>
      </c>
      <c r="F552" t="s">
        <v>5</v>
      </c>
    </row>
    <row r="553" spans="1:6" x14ac:dyDescent="0.2">
      <c r="A553" t="s">
        <v>345</v>
      </c>
      <c r="B553">
        <v>1</v>
      </c>
      <c r="C553" t="s">
        <v>7</v>
      </c>
      <c r="D553" t="s">
        <v>3</v>
      </c>
      <c r="E553" t="s">
        <v>13</v>
      </c>
      <c r="F553" t="s">
        <v>135</v>
      </c>
    </row>
    <row r="554" spans="1:6" x14ac:dyDescent="0.2">
      <c r="A554" t="s">
        <v>144</v>
      </c>
      <c r="B554" s="5">
        <v>0.17</v>
      </c>
      <c r="C554" t="s">
        <v>7</v>
      </c>
      <c r="D554" t="s">
        <v>3</v>
      </c>
      <c r="E554" t="s">
        <v>15</v>
      </c>
      <c r="F554" t="s">
        <v>145</v>
      </c>
    </row>
    <row r="555" spans="1:6" x14ac:dyDescent="0.2">
      <c r="A555" t="s">
        <v>245</v>
      </c>
      <c r="B555" s="5">
        <v>0.25</v>
      </c>
      <c r="C555" t="s">
        <v>7</v>
      </c>
      <c r="D555" t="s">
        <v>3</v>
      </c>
      <c r="E555" t="s">
        <v>15</v>
      </c>
      <c r="F555" t="s">
        <v>246</v>
      </c>
    </row>
    <row r="556" spans="1:6" x14ac:dyDescent="0.2">
      <c r="A556" t="s">
        <v>200</v>
      </c>
      <c r="B556" s="4">
        <v>8.5999999999999993E-2</v>
      </c>
      <c r="C556" t="s">
        <v>7</v>
      </c>
      <c r="D556" t="s">
        <v>3</v>
      </c>
      <c r="E556" t="s">
        <v>15</v>
      </c>
      <c r="F556" t="s">
        <v>201</v>
      </c>
    </row>
    <row r="557" spans="1:6" x14ac:dyDescent="0.2">
      <c r="A557" t="s">
        <v>202</v>
      </c>
      <c r="B557" s="5">
        <v>0.49</v>
      </c>
      <c r="C557" t="s">
        <v>7</v>
      </c>
      <c r="D557" t="s">
        <v>3</v>
      </c>
      <c r="E557" t="s">
        <v>15</v>
      </c>
      <c r="F557" t="s">
        <v>203</v>
      </c>
    </row>
    <row r="558" spans="1:6" x14ac:dyDescent="0.2">
      <c r="A558" t="s">
        <v>18</v>
      </c>
      <c r="B558" s="5">
        <v>0.17</v>
      </c>
      <c r="C558" t="s">
        <v>7</v>
      </c>
      <c r="D558" t="s">
        <v>3</v>
      </c>
      <c r="E558" t="s">
        <v>15</v>
      </c>
      <c r="F558" t="s">
        <v>19</v>
      </c>
    </row>
    <row r="559" spans="1:6" x14ac:dyDescent="0.2">
      <c r="A559" t="s">
        <v>25</v>
      </c>
      <c r="B559" s="13">
        <f>3.8*10^-10</f>
        <v>3.7999999999999998E-10</v>
      </c>
      <c r="C559" t="s">
        <v>6</v>
      </c>
      <c r="D559" t="s">
        <v>3</v>
      </c>
      <c r="E559" t="s">
        <v>15</v>
      </c>
      <c r="F559" t="s">
        <v>26</v>
      </c>
    </row>
    <row r="560" spans="1:6" x14ac:dyDescent="0.2">
      <c r="A560" t="s">
        <v>204</v>
      </c>
      <c r="B560" s="5">
        <v>0.25</v>
      </c>
      <c r="C560" t="s">
        <v>7</v>
      </c>
      <c r="D560" t="s">
        <v>3</v>
      </c>
      <c r="E560" t="s">
        <v>15</v>
      </c>
      <c r="F560" t="s">
        <v>205</v>
      </c>
    </row>
    <row r="561" spans="1:6" x14ac:dyDescent="0.2">
      <c r="A561" t="s">
        <v>247</v>
      </c>
      <c r="B561" s="5">
        <v>0.56999999999999995</v>
      </c>
      <c r="C561" t="s">
        <v>7</v>
      </c>
      <c r="D561" t="s">
        <v>3</v>
      </c>
      <c r="E561" t="s">
        <v>15</v>
      </c>
      <c r="F561" t="s">
        <v>206</v>
      </c>
    </row>
    <row r="562" spans="1:6" x14ac:dyDescent="0.2">
      <c r="A562" t="s">
        <v>72</v>
      </c>
      <c r="B562" s="13">
        <f>1.3*10^-10</f>
        <v>1.3000000000000002E-10</v>
      </c>
      <c r="C562" t="s">
        <v>6</v>
      </c>
      <c r="D562" t="s">
        <v>3</v>
      </c>
      <c r="E562" t="s">
        <v>15</v>
      </c>
      <c r="F562" t="s">
        <v>73</v>
      </c>
    </row>
    <row r="563" spans="1:6" x14ac:dyDescent="0.2">
      <c r="B563" s="8"/>
    </row>
    <row r="564" spans="1:6" x14ac:dyDescent="0.2">
      <c r="B564" s="8"/>
    </row>
    <row r="566" spans="1:6" ht="16" x14ac:dyDescent="0.2">
      <c r="A566" s="1" t="s">
        <v>0</v>
      </c>
      <c r="B566" s="1" t="s">
        <v>346</v>
      </c>
    </row>
    <row r="567" spans="1:6" ht="16" x14ac:dyDescent="0.2">
      <c r="A567" s="16" t="s">
        <v>1</v>
      </c>
      <c r="B567" s="16" t="s">
        <v>408</v>
      </c>
    </row>
    <row r="568" spans="1:6" x14ac:dyDescent="0.2">
      <c r="A568" t="s">
        <v>2</v>
      </c>
      <c r="B568" t="s">
        <v>3</v>
      </c>
    </row>
    <row r="569" spans="1:6" x14ac:dyDescent="0.2">
      <c r="A569" t="s">
        <v>4</v>
      </c>
      <c r="B569">
        <v>1</v>
      </c>
    </row>
    <row r="570" spans="1:6" x14ac:dyDescent="0.2">
      <c r="A570" t="s">
        <v>5</v>
      </c>
      <c r="B570" t="s">
        <v>136</v>
      </c>
    </row>
    <row r="571" spans="1:6" x14ac:dyDescent="0.2">
      <c r="A571" t="s">
        <v>6</v>
      </c>
      <c r="B571" t="s">
        <v>7</v>
      </c>
    </row>
    <row r="572" spans="1:6" x14ac:dyDescent="0.2">
      <c r="A572" t="s">
        <v>8</v>
      </c>
      <c r="B572" t="s">
        <v>311</v>
      </c>
    </row>
    <row r="573" spans="1:6" x14ac:dyDescent="0.2">
      <c r="A573" s="2" t="s">
        <v>9</v>
      </c>
    </row>
    <row r="574" spans="1:6" x14ac:dyDescent="0.2">
      <c r="A574" t="s">
        <v>10</v>
      </c>
      <c r="B574" t="s">
        <v>11</v>
      </c>
      <c r="C574" t="s">
        <v>6</v>
      </c>
      <c r="D574" t="s">
        <v>2</v>
      </c>
      <c r="E574" t="s">
        <v>12</v>
      </c>
      <c r="F574" t="s">
        <v>5</v>
      </c>
    </row>
    <row r="575" spans="1:6" x14ac:dyDescent="0.2">
      <c r="A575" t="s">
        <v>346</v>
      </c>
      <c r="B575">
        <v>1</v>
      </c>
      <c r="C575" t="s">
        <v>7</v>
      </c>
      <c r="D575" t="s">
        <v>3</v>
      </c>
      <c r="E575" t="s">
        <v>13</v>
      </c>
      <c r="F575" t="s">
        <v>136</v>
      </c>
    </row>
    <row r="576" spans="1:6" x14ac:dyDescent="0.2">
      <c r="A576" t="s">
        <v>144</v>
      </c>
      <c r="B576" s="4">
        <v>3.1E-2</v>
      </c>
      <c r="C576" t="s">
        <v>7</v>
      </c>
      <c r="D576" t="s">
        <v>3</v>
      </c>
      <c r="E576" t="s">
        <v>15</v>
      </c>
      <c r="F576" t="s">
        <v>145</v>
      </c>
    </row>
    <row r="577" spans="1:7" x14ac:dyDescent="0.2">
      <c r="A577" t="s">
        <v>202</v>
      </c>
      <c r="B577" s="5">
        <v>0.82</v>
      </c>
      <c r="C577" t="s">
        <v>7</v>
      </c>
      <c r="D577" t="s">
        <v>3</v>
      </c>
      <c r="E577" t="s">
        <v>15</v>
      </c>
      <c r="F577" t="s">
        <v>203</v>
      </c>
    </row>
    <row r="578" spans="1:7" x14ac:dyDescent="0.2">
      <c r="A578" t="s">
        <v>18</v>
      </c>
      <c r="B578" s="4">
        <v>3.1E-2</v>
      </c>
      <c r="C578" t="s">
        <v>7</v>
      </c>
      <c r="D578" t="s">
        <v>3</v>
      </c>
      <c r="E578" t="s">
        <v>15</v>
      </c>
      <c r="F578" t="s">
        <v>19</v>
      </c>
    </row>
    <row r="579" spans="1:7" x14ac:dyDescent="0.2">
      <c r="A579" t="s">
        <v>200</v>
      </c>
      <c r="B579" s="5">
        <v>0.15</v>
      </c>
      <c r="C579" t="s">
        <v>7</v>
      </c>
      <c r="D579" t="s">
        <v>3</v>
      </c>
      <c r="E579" t="s">
        <v>15</v>
      </c>
      <c r="F579" t="s">
        <v>201</v>
      </c>
    </row>
    <row r="580" spans="1:7" x14ac:dyDescent="0.2">
      <c r="A580" t="s">
        <v>248</v>
      </c>
      <c r="B580" s="13">
        <f>4.4*10^-10</f>
        <v>4.4000000000000003E-10</v>
      </c>
      <c r="C580" t="s">
        <v>6</v>
      </c>
      <c r="D580" t="s">
        <v>3</v>
      </c>
      <c r="E580" t="s">
        <v>15</v>
      </c>
      <c r="F580" t="s">
        <v>26</v>
      </c>
    </row>
    <row r="581" spans="1:7" x14ac:dyDescent="0.2">
      <c r="A581" t="s">
        <v>247</v>
      </c>
      <c r="B581" s="5">
        <v>0.97</v>
      </c>
      <c r="C581" t="s">
        <v>7</v>
      </c>
      <c r="D581" t="s">
        <v>3</v>
      </c>
      <c r="E581" t="s">
        <v>15</v>
      </c>
      <c r="F581" t="s">
        <v>206</v>
      </c>
    </row>
    <row r="582" spans="1:7" x14ac:dyDescent="0.2">
      <c r="A582" t="s">
        <v>72</v>
      </c>
      <c r="B582" s="13">
        <f>2.3*10^-11</f>
        <v>2.2999999999999998E-11</v>
      </c>
      <c r="C582" t="s">
        <v>6</v>
      </c>
      <c r="D582" t="s">
        <v>3</v>
      </c>
      <c r="E582" t="s">
        <v>15</v>
      </c>
      <c r="F582" t="s">
        <v>73</v>
      </c>
    </row>
    <row r="583" spans="1:7" x14ac:dyDescent="0.2">
      <c r="B583" s="8"/>
    </row>
    <row r="584" spans="1:7" x14ac:dyDescent="0.2">
      <c r="B584" s="3"/>
      <c r="G584" s="3"/>
    </row>
    <row r="586" spans="1:7" ht="16" x14ac:dyDescent="0.2">
      <c r="A586" s="1" t="s">
        <v>0</v>
      </c>
      <c r="B586" s="1" t="s">
        <v>347</v>
      </c>
    </row>
    <row r="587" spans="1:7" x14ac:dyDescent="0.2">
      <c r="A587" t="s">
        <v>1</v>
      </c>
      <c r="B587" t="inlineStr">
        <is>
          <t>APPROVED Li-S BMS FASTENER SOURCE-CONFLICT NOTE, 2026-10-18. The adapted Wickerts supporting information Table S26 lists IBIS fasteners at 2.8E-3 kg per BMS inventory, while its cited original Ellingsen et al. (2014) supporting-information detailed BMS component inventory lists IBIS fasteners at 2.8E-2 kg. The original source therefore supports retaining the existing 0.028 kg fastener input (B602). Do not silently reduce it tenfold to match the adapted table. This records an unresolved source conflict; it does not validate complete BMS sizing, module/rack allocation, cooling coverage or metal composition. All BMS quantities and suppliers remain unchanged.
PREVIOUS NOTES (retained as history; the correction above takes precedence):
This activity is aggregated to match the requirements of one battery rack, as it is modelled in the lithium-sulfur study. This includes both the BMS on a module level as well as on the rack level. BMS=battery management system. PCB=printed circut board. Source: Wickerts et al. (2023). Prospective Life Cycle Assessment of Lithium-Sulfur Batteries for Stationary Energy Storage. ACS Sustainable Chemistry &amp; Engineering. https://doi.org/10.1021/acssuschemeng.3c00141</t>
        </is>
      </c>
    </row>
    <row r="588" spans="1:7" x14ac:dyDescent="0.2">
      <c r="A588" t="s">
        <v>2</v>
      </c>
      <c r="B588" t="s">
        <v>3</v>
      </c>
    </row>
    <row r="589" spans="1:7" x14ac:dyDescent="0.2">
      <c r="A589" t="s">
        <v>4</v>
      </c>
      <c r="B589">
        <v>1</v>
      </c>
    </row>
    <row r="590" spans="1:7" x14ac:dyDescent="0.2">
      <c r="A590" t="s">
        <v>5</v>
      </c>
      <c r="B590" t="s">
        <v>141</v>
      </c>
    </row>
    <row r="591" spans="1:7" x14ac:dyDescent="0.2">
      <c r="A591" t="s">
        <v>6</v>
      </c>
      <c r="B591" t="s">
        <v>6</v>
      </c>
    </row>
    <row r="592" spans="1:7" x14ac:dyDescent="0.2">
      <c r="A592" t="s">
        <v>8</v>
      </c>
      <c r="B592" t="s">
        <v>312</v>
      </c>
    </row>
    <row r="593" spans="1:7" x14ac:dyDescent="0.2">
      <c r="A593" s="2" t="s">
        <v>9</v>
      </c>
    </row>
    <row r="594" spans="1:7" x14ac:dyDescent="0.2">
      <c r="A594" t="s">
        <v>10</v>
      </c>
      <c r="B594" t="s">
        <v>11</v>
      </c>
      <c r="C594" t="s">
        <v>6</v>
      </c>
      <c r="D594" t="s">
        <v>42</v>
      </c>
      <c r="E594" t="s">
        <v>2</v>
      </c>
      <c r="F594" t="s">
        <v>12</v>
      </c>
      <c r="G594" t="s">
        <v>5</v>
      </c>
    </row>
    <row r="595" spans="1:7" x14ac:dyDescent="0.2">
      <c r="A595" t="s">
        <v>347</v>
      </c>
      <c r="B595">
        <v>1</v>
      </c>
      <c r="C595" t="s">
        <v>6</v>
      </c>
      <c r="E595" t="s">
        <v>3</v>
      </c>
      <c r="F595" t="s">
        <v>13</v>
      </c>
      <c r="G595" t="s">
        <v>141</v>
      </c>
    </row>
    <row r="596" spans="1:7" x14ac:dyDescent="0.2">
      <c r="A596" t="s">
        <v>144</v>
      </c>
      <c r="B596" s="17">
        <v>8.9999999999999998E-4</v>
      </c>
      <c r="C596" t="s">
        <v>7</v>
      </c>
      <c r="E596" t="s">
        <v>3</v>
      </c>
      <c r="F596" t="s">
        <v>15</v>
      </c>
      <c r="G596" t="s">
        <v>145</v>
      </c>
    </row>
    <row r="597" spans="1:7" x14ac:dyDescent="0.2">
      <c r="A597" t="s">
        <v>354</v>
      </c>
      <c r="B597" s="5">
        <v>0.152</v>
      </c>
      <c r="C597" t="s">
        <v>153</v>
      </c>
      <c r="E597" t="s">
        <v>3</v>
      </c>
      <c r="F597" t="s">
        <v>15</v>
      </c>
      <c r="G597" t="s">
        <v>147</v>
      </c>
    </row>
    <row r="598" spans="1:7" x14ac:dyDescent="0.2">
      <c r="A598" t="s">
        <v>146</v>
      </c>
      <c r="B598" s="4">
        <v>2.5999999999999999E-2</v>
      </c>
      <c r="C598" t="s">
        <v>7</v>
      </c>
      <c r="E598" t="s">
        <v>17</v>
      </c>
      <c r="F598" t="s">
        <v>15</v>
      </c>
      <c r="G598" t="s">
        <v>148</v>
      </c>
    </row>
    <row r="599" spans="1:7" x14ac:dyDescent="0.2">
      <c r="A599" t="s">
        <v>149</v>
      </c>
      <c r="B599" s="4">
        <v>0.03</v>
      </c>
      <c r="C599" t="s">
        <v>7</v>
      </c>
      <c r="E599" t="s">
        <v>3</v>
      </c>
      <c r="F599" t="s">
        <v>15</v>
      </c>
      <c r="G599" t="s">
        <v>32</v>
      </c>
    </row>
    <row r="600" spans="1:7" x14ac:dyDescent="0.2">
      <c r="A600" t="s">
        <v>131</v>
      </c>
      <c r="B600" s="13">
        <f>8.99*10^-8</f>
        <v>8.9900000000000004E-8</v>
      </c>
      <c r="C600" t="s">
        <v>6</v>
      </c>
      <c r="E600" t="s">
        <v>3</v>
      </c>
      <c r="F600" t="s">
        <v>15</v>
      </c>
      <c r="G600" t="s">
        <v>132</v>
      </c>
    </row>
    <row r="601" spans="1:7" x14ac:dyDescent="0.2">
      <c r="A601" t="s">
        <v>348</v>
      </c>
      <c r="B601" s="7">
        <v>2.8</v>
      </c>
      <c r="C601" t="s">
        <v>7</v>
      </c>
      <c r="E601" t="s">
        <v>3</v>
      </c>
      <c r="F601" t="s">
        <v>15</v>
      </c>
      <c r="G601" t="s">
        <v>142</v>
      </c>
    </row>
    <row r="602" spans="1:7" x14ac:dyDescent="0.2">
      <c r="A602" t="s">
        <v>349</v>
      </c>
      <c r="B602" s="4">
        <v>2.8000000000000001E-2</v>
      </c>
      <c r="C602" t="s">
        <v>7</v>
      </c>
      <c r="E602" t="s">
        <v>3</v>
      </c>
      <c r="F602" t="s">
        <v>15</v>
      </c>
      <c r="G602" t="s">
        <v>150</v>
      </c>
    </row>
    <row r="603" spans="1:7" x14ac:dyDescent="0.2">
      <c r="A603" t="s">
        <v>18</v>
      </c>
      <c r="B603" s="13">
        <v>0.04</v>
      </c>
      <c r="C603" t="s">
        <v>7</v>
      </c>
      <c r="E603" t="s">
        <v>3</v>
      </c>
      <c r="F603" t="s">
        <v>15</v>
      </c>
      <c r="G603" t="s">
        <v>19</v>
      </c>
    </row>
    <row r="604" spans="1:7" x14ac:dyDescent="0.2">
      <c r="A604" t="s">
        <v>350</v>
      </c>
      <c r="B604" s="4">
        <v>6.7699999999999996E-2</v>
      </c>
      <c r="C604" t="s">
        <v>153</v>
      </c>
      <c r="E604" t="s">
        <v>3</v>
      </c>
      <c r="F604" t="s">
        <v>15</v>
      </c>
      <c r="G604" t="s">
        <v>151</v>
      </c>
    </row>
    <row r="605" spans="1:7" x14ac:dyDescent="0.2">
      <c r="A605" t="s">
        <v>351</v>
      </c>
      <c r="B605" s="7">
        <v>1.2</v>
      </c>
      <c r="C605" t="s">
        <v>7</v>
      </c>
      <c r="E605" t="s">
        <v>3</v>
      </c>
      <c r="F605" t="s">
        <v>15</v>
      </c>
      <c r="G605" t="s">
        <v>143</v>
      </c>
    </row>
    <row r="606" spans="1:7" x14ac:dyDescent="0.2">
      <c r="A606" t="s">
        <v>139</v>
      </c>
      <c r="B606" s="7">
        <v>3.8</v>
      </c>
      <c r="C606" t="s">
        <v>7</v>
      </c>
      <c r="E606" t="s">
        <v>3</v>
      </c>
      <c r="F606" t="s">
        <v>15</v>
      </c>
      <c r="G606" t="s">
        <v>140</v>
      </c>
    </row>
    <row r="607" spans="1:7" x14ac:dyDescent="0.2">
      <c r="A607" t="s">
        <v>30</v>
      </c>
      <c r="B607" s="8">
        <v>8.5000000000000006E-3</v>
      </c>
      <c r="C607" t="s">
        <v>7</v>
      </c>
      <c r="E607" t="s">
        <v>17</v>
      </c>
      <c r="F607" t="s">
        <v>15</v>
      </c>
      <c r="G607" t="s">
        <v>31</v>
      </c>
    </row>
    <row r="608" spans="1:7" x14ac:dyDescent="0.2">
      <c r="A608" t="s">
        <v>27</v>
      </c>
      <c r="B608" s="4">
        <v>3.1E-2</v>
      </c>
      <c r="C608" t="s">
        <v>7</v>
      </c>
      <c r="E608" t="s">
        <v>3</v>
      </c>
      <c r="F608" t="s">
        <v>15</v>
      </c>
      <c r="G608" t="s">
        <v>28</v>
      </c>
    </row>
    <row r="609" spans="1:8" x14ac:dyDescent="0.2">
      <c r="A609" t="s">
        <v>137</v>
      </c>
      <c r="B609" s="7">
        <v>3.8</v>
      </c>
      <c r="C609" t="s">
        <v>7</v>
      </c>
      <c r="E609" t="s">
        <v>3</v>
      </c>
      <c r="F609" t="s">
        <v>15</v>
      </c>
      <c r="G609" t="s">
        <v>138</v>
      </c>
    </row>
    <row r="610" spans="1:8" x14ac:dyDescent="0.2">
      <c r="B610" s="8"/>
    </row>
    <row r="611" spans="1:8" x14ac:dyDescent="0.2">
      <c r="B611" s="8"/>
    </row>
    <row r="612" spans="1:8" x14ac:dyDescent="0.2">
      <c r="G612" s="3"/>
    </row>
    <row r="613" spans="1:8" ht="16" x14ac:dyDescent="0.2">
      <c r="A613" s="1" t="s">
        <v>0</v>
      </c>
      <c r="B613" s="1" t="s">
        <v>353</v>
      </c>
    </row>
    <row r="614" spans="1:8" ht="16" x14ac:dyDescent="0.2">
      <c r="A614" s="16" t="s">
        <v>1</v>
      </c>
      <c r="B614" s="16" t="s">
        <v>408</v>
      </c>
    </row>
    <row r="615" spans="1:8" x14ac:dyDescent="0.2">
      <c r="A615" t="s">
        <v>2</v>
      </c>
      <c r="B615" t="s">
        <v>3</v>
      </c>
    </row>
    <row r="616" spans="1:8" x14ac:dyDescent="0.2">
      <c r="A616" t="s">
        <v>4</v>
      </c>
      <c r="B616">
        <v>1</v>
      </c>
    </row>
    <row r="617" spans="1:8" x14ac:dyDescent="0.2">
      <c r="A617" t="s">
        <v>5</v>
      </c>
      <c r="B617" t="s">
        <v>152</v>
      </c>
    </row>
    <row r="618" spans="1:8" x14ac:dyDescent="0.2">
      <c r="A618" t="s">
        <v>6</v>
      </c>
      <c r="B618" t="s">
        <v>153</v>
      </c>
    </row>
    <row r="619" spans="1:8" x14ac:dyDescent="0.2">
      <c r="A619" t="s">
        <v>8</v>
      </c>
      <c r="B619" t="s">
        <v>313</v>
      </c>
    </row>
    <row r="620" spans="1:8" x14ac:dyDescent="0.2">
      <c r="A620" s="2" t="s">
        <v>9</v>
      </c>
    </row>
    <row r="621" spans="1:8" x14ac:dyDescent="0.2">
      <c r="A621" t="s">
        <v>10</v>
      </c>
      <c r="B621" t="s">
        <v>11</v>
      </c>
      <c r="C621" t="s">
        <v>6</v>
      </c>
      <c r="D621" t="s">
        <v>42</v>
      </c>
      <c r="E621" t="s">
        <v>2</v>
      </c>
      <c r="F621" t="s">
        <v>12</v>
      </c>
      <c r="G621" t="s">
        <v>5</v>
      </c>
      <c r="H621" t="s">
        <v>1</v>
      </c>
    </row>
    <row r="622" spans="1:8" x14ac:dyDescent="0.2">
      <c r="A622" t="s">
        <v>352</v>
      </c>
      <c r="B622">
        <f>0.07/0.07</f>
        <v>1</v>
      </c>
      <c r="C622" t="s">
        <v>153</v>
      </c>
      <c r="E622" t="s">
        <v>3</v>
      </c>
      <c r="F622" t="s">
        <v>13</v>
      </c>
      <c r="G622" t="s">
        <v>152</v>
      </c>
    </row>
    <row r="623" spans="1:8" x14ac:dyDescent="0.2">
      <c r="A623" t="s">
        <v>154</v>
      </c>
      <c r="B623" s="18">
        <f>38.4/0.07/1000</f>
        <v>0.5485714285714286</v>
      </c>
      <c r="C623" t="s">
        <v>7</v>
      </c>
      <c r="E623" t="s">
        <v>3</v>
      </c>
      <c r="F623" t="s">
        <v>15</v>
      </c>
      <c r="G623" t="s">
        <v>155</v>
      </c>
      <c r="H623" t="s">
        <v>377</v>
      </c>
    </row>
    <row r="624" spans="1:8" x14ac:dyDescent="0.2">
      <c r="A624" t="s">
        <v>156</v>
      </c>
      <c r="B624" s="18">
        <f>19.7/0.07/1000</f>
        <v>0.28142857142857136</v>
      </c>
      <c r="C624" t="s">
        <v>7</v>
      </c>
      <c r="E624" t="s">
        <v>3</v>
      </c>
      <c r="F624" t="s">
        <v>15</v>
      </c>
      <c r="G624" t="s">
        <v>157</v>
      </c>
      <c r="H624" t="s">
        <v>377</v>
      </c>
    </row>
    <row r="625" spans="1:14" x14ac:dyDescent="0.2">
      <c r="A625" t="s">
        <v>158</v>
      </c>
      <c r="B625" s="7">
        <f>5.6/0.07/1000</f>
        <v>7.9999999999999988E-2</v>
      </c>
      <c r="C625" t="s">
        <v>7</v>
      </c>
      <c r="E625" t="s">
        <v>3</v>
      </c>
      <c r="F625" t="s">
        <v>15</v>
      </c>
      <c r="G625" t="s">
        <v>159</v>
      </c>
      <c r="H625" t="s">
        <v>377</v>
      </c>
    </row>
    <row r="626" spans="1:14" x14ac:dyDescent="0.2">
      <c r="A626" t="s">
        <v>160</v>
      </c>
      <c r="B626" s="18">
        <f>49.8/0.07/1000</f>
        <v>0.7114285714285713</v>
      </c>
      <c r="C626" t="s">
        <v>7</v>
      </c>
      <c r="E626" t="s">
        <v>3</v>
      </c>
      <c r="F626" t="s">
        <v>15</v>
      </c>
      <c r="G626" t="s">
        <v>161</v>
      </c>
      <c r="H626" t="s">
        <v>377</v>
      </c>
    </row>
    <row r="627" spans="1:14" x14ac:dyDescent="0.2">
      <c r="A627" t="s">
        <v>162</v>
      </c>
      <c r="B627" s="5">
        <f>0.2/0.07/1000</f>
        <v>2.8571428571428571E-3</v>
      </c>
      <c r="C627" t="s">
        <v>7</v>
      </c>
      <c r="E627" t="s">
        <v>3</v>
      </c>
      <c r="F627" t="s">
        <v>15</v>
      </c>
      <c r="G627" t="s">
        <v>163</v>
      </c>
      <c r="H627" t="s">
        <v>377</v>
      </c>
    </row>
    <row r="628" spans="1:14" x14ac:dyDescent="0.2">
      <c r="A628" t="s">
        <v>164</v>
      </c>
      <c r="B628" s="7">
        <f>3.6/0.07/1000</f>
        <v>5.1428571428571421E-2</v>
      </c>
      <c r="C628" t="s">
        <v>7</v>
      </c>
      <c r="E628" t="s">
        <v>3</v>
      </c>
      <c r="F628" t="s">
        <v>15</v>
      </c>
      <c r="G628" t="s">
        <v>165</v>
      </c>
      <c r="H628" t="s">
        <v>377</v>
      </c>
    </row>
    <row r="629" spans="1:14" x14ac:dyDescent="0.2">
      <c r="A629" t="s">
        <v>166</v>
      </c>
      <c r="B629" s="18">
        <f>59.1/0.07/1000</f>
        <v>0.84428571428571419</v>
      </c>
      <c r="C629" t="s">
        <v>7</v>
      </c>
      <c r="E629" t="s">
        <v>3</v>
      </c>
      <c r="F629" t="s">
        <v>15</v>
      </c>
      <c r="G629" t="s">
        <v>167</v>
      </c>
      <c r="H629" t="s">
        <v>377</v>
      </c>
    </row>
    <row r="630" spans="1:14" x14ac:dyDescent="0.2">
      <c r="A630" t="s">
        <v>168</v>
      </c>
      <c r="B630" s="18">
        <f>67.4/0.07/1000</f>
        <v>0.96285714285714286</v>
      </c>
      <c r="C630" t="s">
        <v>7</v>
      </c>
      <c r="E630" t="s">
        <v>3</v>
      </c>
      <c r="F630" t="s">
        <v>15</v>
      </c>
      <c r="G630" t="s">
        <v>169</v>
      </c>
      <c r="H630" t="s">
        <v>377</v>
      </c>
    </row>
    <row r="631" spans="1:14" x14ac:dyDescent="0.2">
      <c r="A631" t="s">
        <v>170</v>
      </c>
      <c r="B631" s="5">
        <f>0.4/0.07/1000</f>
        <v>5.7142857142857143E-3</v>
      </c>
      <c r="C631" t="s">
        <v>7</v>
      </c>
      <c r="E631" t="s">
        <v>3</v>
      </c>
      <c r="F631" t="s">
        <v>15</v>
      </c>
      <c r="G631" t="s">
        <v>171</v>
      </c>
      <c r="H631" t="s">
        <v>377</v>
      </c>
    </row>
    <row r="632" spans="1:14" x14ac:dyDescent="0.2">
      <c r="A632" t="s">
        <v>172</v>
      </c>
      <c r="B632" s="5">
        <f>0.1/0.07/1000</f>
        <v>1.4285714285714286E-3</v>
      </c>
      <c r="C632" t="s">
        <v>7</v>
      </c>
      <c r="E632" t="s">
        <v>3</v>
      </c>
      <c r="F632" t="s">
        <v>15</v>
      </c>
      <c r="G632" t="s">
        <v>173</v>
      </c>
      <c r="H632" t="s">
        <v>377</v>
      </c>
      <c r="N632" s="5"/>
    </row>
    <row r="633" spans="1:14" x14ac:dyDescent="0.2">
      <c r="A633" t="s">
        <v>383</v>
      </c>
      <c r="B633" s="5">
        <v>1.004</v>
      </c>
      <c r="C633" t="s">
        <v>153</v>
      </c>
      <c r="E633" t="s">
        <v>3</v>
      </c>
      <c r="F633" t="s">
        <v>15</v>
      </c>
      <c r="G633" t="s">
        <v>382</v>
      </c>
      <c r="H633" t="s">
        <v>384</v>
      </c>
    </row>
    <row r="634" spans="1:14" x14ac:dyDescent="0.2">
      <c r="A634" t="s">
        <v>174</v>
      </c>
      <c r="B634" s="7">
        <f>3.1/0.07/1000</f>
        <v>4.4285714285714282E-2</v>
      </c>
      <c r="C634" t="s">
        <v>7</v>
      </c>
      <c r="E634" t="s">
        <v>3</v>
      </c>
      <c r="F634" t="s">
        <v>15</v>
      </c>
      <c r="G634" t="s">
        <v>175</v>
      </c>
      <c r="H634" t="s">
        <v>377</v>
      </c>
    </row>
    <row r="635" spans="1:14" x14ac:dyDescent="0.2">
      <c r="A635" t="s">
        <v>176</v>
      </c>
      <c r="B635" s="7">
        <f>3.1/0.07/1000</f>
        <v>4.4285714285714282E-2</v>
      </c>
      <c r="C635" t="s">
        <v>7</v>
      </c>
      <c r="E635" t="s">
        <v>3</v>
      </c>
      <c r="F635" t="s">
        <v>15</v>
      </c>
      <c r="G635" t="s">
        <v>177</v>
      </c>
      <c r="H635" t="s">
        <v>377</v>
      </c>
    </row>
    <row r="636" spans="1:14" x14ac:dyDescent="0.2">
      <c r="A636" t="s">
        <v>178</v>
      </c>
      <c r="B636" s="7">
        <f>5.6/0.07/1000</f>
        <v>7.9999999999999988E-2</v>
      </c>
      <c r="C636" t="s">
        <v>7</v>
      </c>
      <c r="E636" t="s">
        <v>3</v>
      </c>
      <c r="F636" t="s">
        <v>15</v>
      </c>
      <c r="G636" t="s">
        <v>179</v>
      </c>
      <c r="H636" t="s">
        <v>377</v>
      </c>
    </row>
    <row r="637" spans="1:14" x14ac:dyDescent="0.2">
      <c r="B637" s="8"/>
    </row>
    <row r="638" spans="1:14" x14ac:dyDescent="0.2">
      <c r="B638" s="8"/>
    </row>
    <row r="640" spans="1:14" ht="16" x14ac:dyDescent="0.2">
      <c r="A640" s="1" t="s">
        <v>0</v>
      </c>
      <c r="B640" s="1" t="s">
        <v>354</v>
      </c>
    </row>
    <row r="641" spans="1:8" ht="16" x14ac:dyDescent="0.2">
      <c r="A641" s="16" t="s">
        <v>1</v>
      </c>
      <c r="B641" s="16" t="s">
        <v>408</v>
      </c>
    </row>
    <row r="642" spans="1:8" x14ac:dyDescent="0.2">
      <c r="A642" t="s">
        <v>2</v>
      </c>
      <c r="B642" t="s">
        <v>3</v>
      </c>
    </row>
    <row r="643" spans="1:8" x14ac:dyDescent="0.2">
      <c r="A643" t="s">
        <v>4</v>
      </c>
      <c r="B643">
        <v>1</v>
      </c>
    </row>
    <row r="644" spans="1:8" x14ac:dyDescent="0.2">
      <c r="A644" t="s">
        <v>5</v>
      </c>
      <c r="B644" t="s">
        <v>147</v>
      </c>
    </row>
    <row r="645" spans="1:8" x14ac:dyDescent="0.2">
      <c r="A645" t="s">
        <v>6</v>
      </c>
      <c r="B645" t="s">
        <v>153</v>
      </c>
    </row>
    <row r="646" spans="1:8" x14ac:dyDescent="0.2">
      <c r="A646" t="s">
        <v>8</v>
      </c>
      <c r="B646" t="s">
        <v>313</v>
      </c>
    </row>
    <row r="647" spans="1:8" x14ac:dyDescent="0.2">
      <c r="A647" s="2" t="s">
        <v>9</v>
      </c>
    </row>
    <row r="648" spans="1:8" x14ac:dyDescent="0.2">
      <c r="A648" t="s">
        <v>10</v>
      </c>
      <c r="B648" t="s">
        <v>11</v>
      </c>
      <c r="C648" t="s">
        <v>6</v>
      </c>
      <c r="D648" t="s">
        <v>42</v>
      </c>
      <c r="E648" t="s">
        <v>2</v>
      </c>
      <c r="F648" t="s">
        <v>12</v>
      </c>
      <c r="G648" t="s">
        <v>5</v>
      </c>
      <c r="H648" t="s">
        <v>1</v>
      </c>
    </row>
    <row r="649" spans="1:8" x14ac:dyDescent="0.2">
      <c r="A649" t="s">
        <v>354</v>
      </c>
      <c r="B649">
        <v>1</v>
      </c>
      <c r="C649" t="s">
        <v>153</v>
      </c>
      <c r="E649" t="s">
        <v>3</v>
      </c>
      <c r="F649" t="s">
        <v>13</v>
      </c>
      <c r="G649" t="s">
        <v>147</v>
      </c>
    </row>
    <row r="650" spans="1:8" x14ac:dyDescent="0.2">
      <c r="A650" t="s">
        <v>180</v>
      </c>
      <c r="B650">
        <f>70/1000</f>
        <v>7.0000000000000007E-2</v>
      </c>
      <c r="C650" t="s">
        <v>7</v>
      </c>
      <c r="E650" t="s">
        <v>3</v>
      </c>
      <c r="F650" t="s">
        <v>15</v>
      </c>
      <c r="G650" t="s">
        <v>181</v>
      </c>
      <c r="H650" t="s">
        <v>378</v>
      </c>
    </row>
    <row r="651" spans="1:8" x14ac:dyDescent="0.2">
      <c r="A651" t="s">
        <v>353</v>
      </c>
      <c r="B651">
        <v>1</v>
      </c>
      <c r="C651" t="s">
        <v>153</v>
      </c>
      <c r="E651" t="s">
        <v>3</v>
      </c>
      <c r="F651" t="s">
        <v>15</v>
      </c>
      <c r="G651" t="s">
        <v>152</v>
      </c>
    </row>
    <row r="652" spans="1:8" x14ac:dyDescent="0.2">
      <c r="A652" t="s">
        <v>182</v>
      </c>
      <c r="B652">
        <f>24/1000</f>
        <v>2.4E-2</v>
      </c>
      <c r="C652" t="s">
        <v>7</v>
      </c>
      <c r="E652" t="s">
        <v>17</v>
      </c>
      <c r="F652" t="s">
        <v>15</v>
      </c>
      <c r="G652" t="s">
        <v>183</v>
      </c>
      <c r="H652" t="s">
        <v>378</v>
      </c>
    </row>
    <row r="653" spans="1:8" x14ac:dyDescent="0.2">
      <c r="A653" t="s">
        <v>184</v>
      </c>
      <c r="B653">
        <f>65/1000</f>
        <v>6.5000000000000002E-2</v>
      </c>
      <c r="C653" t="s">
        <v>7</v>
      </c>
      <c r="E653" t="s">
        <v>17</v>
      </c>
      <c r="F653" t="s">
        <v>15</v>
      </c>
      <c r="G653" t="s">
        <v>185</v>
      </c>
      <c r="H653" t="s">
        <v>378</v>
      </c>
    </row>
    <row r="654" spans="1:8" x14ac:dyDescent="0.2">
      <c r="A654" t="s">
        <v>22</v>
      </c>
      <c r="B654">
        <v>46</v>
      </c>
      <c r="C654" t="s">
        <v>23</v>
      </c>
      <c r="E654" t="s">
        <v>54</v>
      </c>
      <c r="F654" t="s">
        <v>15</v>
      </c>
      <c r="G654" t="s">
        <v>24</v>
      </c>
    </row>
    <row r="655" spans="1:8" x14ac:dyDescent="0.2">
      <c r="A655" t="s">
        <v>186</v>
      </c>
      <c r="B655">
        <f>126/1000</f>
        <v>0.126</v>
      </c>
      <c r="C655" t="s">
        <v>7</v>
      </c>
      <c r="E655" t="s">
        <v>3</v>
      </c>
      <c r="F655" t="s">
        <v>15</v>
      </c>
      <c r="G655" t="s">
        <v>187</v>
      </c>
      <c r="H655" t="s">
        <v>378</v>
      </c>
    </row>
    <row r="656" spans="1:8" x14ac:dyDescent="0.2">
      <c r="A656" t="s">
        <v>188</v>
      </c>
      <c r="B656">
        <f>10/1000</f>
        <v>0.01</v>
      </c>
      <c r="C656" t="s">
        <v>7</v>
      </c>
      <c r="E656" t="s">
        <v>3</v>
      </c>
      <c r="F656" t="s">
        <v>15</v>
      </c>
      <c r="G656" t="s">
        <v>189</v>
      </c>
      <c r="H656" t="s">
        <v>378</v>
      </c>
    </row>
    <row r="657" spans="1:11" x14ac:dyDescent="0.2">
      <c r="A657" t="s">
        <v>68</v>
      </c>
      <c r="B657">
        <v>64</v>
      </c>
      <c r="C657" t="s">
        <v>7</v>
      </c>
      <c r="E657" t="s">
        <v>17</v>
      </c>
      <c r="F657" t="s">
        <v>15</v>
      </c>
      <c r="G657" t="s">
        <v>69</v>
      </c>
      <c r="H657" t="s">
        <v>385</v>
      </c>
    </row>
    <row r="658" spans="1:11" x14ac:dyDescent="0.2">
      <c r="A658" t="s">
        <v>190</v>
      </c>
      <c r="B658">
        <f>94/1000</f>
        <v>9.4E-2</v>
      </c>
      <c r="C658" t="s">
        <v>7</v>
      </c>
      <c r="E658" t="s">
        <v>3</v>
      </c>
      <c r="F658" t="s">
        <v>15</v>
      </c>
      <c r="G658" t="s">
        <v>191</v>
      </c>
      <c r="H658" t="s">
        <v>378</v>
      </c>
    </row>
    <row r="659" spans="1:11" x14ac:dyDescent="0.2">
      <c r="A659" t="s">
        <v>51</v>
      </c>
      <c r="B659">
        <f>320/1000</f>
        <v>0.32</v>
      </c>
      <c r="C659" t="s">
        <v>7</v>
      </c>
      <c r="E659" t="s">
        <v>17</v>
      </c>
      <c r="F659" t="s">
        <v>15</v>
      </c>
      <c r="G659" t="s">
        <v>52</v>
      </c>
      <c r="H659" t="s">
        <v>378</v>
      </c>
      <c r="K659" s="3"/>
    </row>
    <row r="660" spans="1:11" x14ac:dyDescent="0.2">
      <c r="A660" t="s">
        <v>192</v>
      </c>
      <c r="B660">
        <f>-3/1000</f>
        <v>-3.0000000000000001E-3</v>
      </c>
      <c r="C660" t="s">
        <v>7</v>
      </c>
      <c r="E660" t="s">
        <v>17</v>
      </c>
      <c r="F660" t="s">
        <v>15</v>
      </c>
      <c r="G660" t="s">
        <v>193</v>
      </c>
      <c r="H660" t="s">
        <v>378</v>
      </c>
    </row>
    <row r="661" spans="1:11" x14ac:dyDescent="0.2">
      <c r="A661" t="s">
        <v>53</v>
      </c>
      <c r="B661">
        <f>-75/1000</f>
        <v>-7.4999999999999997E-2</v>
      </c>
      <c r="C661" t="s">
        <v>7</v>
      </c>
      <c r="E661" t="s">
        <v>17</v>
      </c>
      <c r="F661" t="s">
        <v>15</v>
      </c>
      <c r="G661" t="s">
        <v>55</v>
      </c>
      <c r="H661" t="s">
        <v>378</v>
      </c>
    </row>
    <row r="662" spans="1:11" x14ac:dyDescent="0.2">
      <c r="A662" t="s">
        <v>194</v>
      </c>
      <c r="B662" s="18">
        <f>4/1000</f>
        <v>4.0000000000000001E-3</v>
      </c>
      <c r="C662" t="s">
        <v>7</v>
      </c>
      <c r="D662" t="s">
        <v>43</v>
      </c>
      <c r="F662" t="s">
        <v>44</v>
      </c>
      <c r="H662" t="s">
        <v>378</v>
      </c>
    </row>
    <row r="663" spans="1:11" x14ac:dyDescent="0.2">
      <c r="A663" t="s">
        <v>314</v>
      </c>
      <c r="B663">
        <f>155/1000</f>
        <v>0.155</v>
      </c>
      <c r="C663" t="s">
        <v>7</v>
      </c>
      <c r="D663" t="s">
        <v>43</v>
      </c>
      <c r="F663" t="s">
        <v>44</v>
      </c>
      <c r="H663" t="s">
        <v>378</v>
      </c>
    </row>
    <row r="664" spans="1:11" x14ac:dyDescent="0.2">
      <c r="B664" s="3"/>
    </row>
    <row r="667" spans="1:11" ht="16" x14ac:dyDescent="0.2">
      <c r="A667" s="1" t="s">
        <v>0</v>
      </c>
      <c r="B667" s="1" t="s">
        <v>350</v>
      </c>
    </row>
    <row r="668" spans="1:11" ht="16" x14ac:dyDescent="0.2">
      <c r="A668" s="16" t="s">
        <v>1</v>
      </c>
      <c r="B668" s="16" t="s">
        <v>408</v>
      </c>
    </row>
    <row r="669" spans="1:11" x14ac:dyDescent="0.2">
      <c r="A669" t="s">
        <v>2</v>
      </c>
      <c r="B669" t="s">
        <v>3</v>
      </c>
    </row>
    <row r="670" spans="1:11" x14ac:dyDescent="0.2">
      <c r="A670" t="s">
        <v>4</v>
      </c>
      <c r="B670">
        <v>1</v>
      </c>
    </row>
    <row r="671" spans="1:11" x14ac:dyDescent="0.2">
      <c r="A671" t="s">
        <v>5</v>
      </c>
      <c r="B671" t="s">
        <v>151</v>
      </c>
    </row>
    <row r="672" spans="1:11" x14ac:dyDescent="0.2">
      <c r="A672" t="s">
        <v>6</v>
      </c>
      <c r="B672" t="s">
        <v>153</v>
      </c>
    </row>
    <row r="673" spans="1:7" x14ac:dyDescent="0.2">
      <c r="A673" t="s">
        <v>8</v>
      </c>
      <c r="B673" t="s">
        <v>313</v>
      </c>
    </row>
    <row r="674" spans="1:7" x14ac:dyDescent="0.2">
      <c r="A674" s="2" t="s">
        <v>9</v>
      </c>
    </row>
    <row r="675" spans="1:7" x14ac:dyDescent="0.2">
      <c r="A675" t="s">
        <v>10</v>
      </c>
      <c r="B675" t="s">
        <v>11</v>
      </c>
      <c r="C675" t="s">
        <v>6</v>
      </c>
      <c r="D675" t="s">
        <v>2</v>
      </c>
      <c r="E675" t="s">
        <v>12</v>
      </c>
      <c r="F675" t="s">
        <v>5</v>
      </c>
      <c r="G675" t="s">
        <v>1</v>
      </c>
    </row>
    <row r="676" spans="1:7" x14ac:dyDescent="0.2">
      <c r="A676" t="s">
        <v>350</v>
      </c>
      <c r="B676">
        <f>0.5/0.5</f>
        <v>1</v>
      </c>
      <c r="C676" t="s">
        <v>153</v>
      </c>
      <c r="D676" t="s">
        <v>3</v>
      </c>
      <c r="E676" t="s">
        <v>13</v>
      </c>
      <c r="F676" t="s">
        <v>151</v>
      </c>
    </row>
    <row r="677" spans="1:7" x14ac:dyDescent="0.2">
      <c r="A677" t="s">
        <v>195</v>
      </c>
      <c r="B677" s="18">
        <f>10/1000</f>
        <v>0.01</v>
      </c>
      <c r="C677" t="s">
        <v>7</v>
      </c>
      <c r="D677" t="s">
        <v>3</v>
      </c>
      <c r="E677" t="s">
        <v>15</v>
      </c>
      <c r="F677" t="s">
        <v>196</v>
      </c>
      <c r="G677" t="s">
        <v>378</v>
      </c>
    </row>
    <row r="678" spans="1:7" x14ac:dyDescent="0.2">
      <c r="A678" t="s">
        <v>354</v>
      </c>
      <c r="B678" s="7">
        <f>0.5/0.5</f>
        <v>1</v>
      </c>
      <c r="C678" t="s">
        <v>153</v>
      </c>
      <c r="D678" t="s">
        <v>3</v>
      </c>
      <c r="E678" t="s">
        <v>15</v>
      </c>
      <c r="F678" t="s">
        <v>147</v>
      </c>
    </row>
    <row r="679" spans="1:7" x14ac:dyDescent="0.2">
      <c r="A679" t="s">
        <v>160</v>
      </c>
      <c r="B679" s="13">
        <f>19000/1000</f>
        <v>19</v>
      </c>
      <c r="C679" t="s">
        <v>7</v>
      </c>
      <c r="D679" t="s">
        <v>3</v>
      </c>
      <c r="E679" t="s">
        <v>15</v>
      </c>
      <c r="F679" t="s">
        <v>161</v>
      </c>
      <c r="G679" t="s">
        <v>378</v>
      </c>
    </row>
    <row r="680" spans="1:7" x14ac:dyDescent="0.2">
      <c r="A680" t="s">
        <v>22</v>
      </c>
      <c r="B680" s="18">
        <v>72.400000000000006</v>
      </c>
      <c r="C680" t="s">
        <v>23</v>
      </c>
      <c r="D680" t="s">
        <v>54</v>
      </c>
      <c r="E680" t="s">
        <v>15</v>
      </c>
      <c r="F680" t="s">
        <v>24</v>
      </c>
    </row>
    <row r="681" spans="1:7" x14ac:dyDescent="0.2">
      <c r="A681" t="s">
        <v>68</v>
      </c>
      <c r="B681" s="18">
        <v>21</v>
      </c>
      <c r="C681" t="s">
        <v>7</v>
      </c>
      <c r="D681" t="s">
        <v>17</v>
      </c>
      <c r="E681" t="s">
        <v>15</v>
      </c>
      <c r="F681" t="s">
        <v>69</v>
      </c>
    </row>
    <row r="682" spans="1:7" x14ac:dyDescent="0.2">
      <c r="A682" t="s">
        <v>190</v>
      </c>
      <c r="B682" s="18">
        <f>442/1000</f>
        <v>0.442</v>
      </c>
      <c r="C682" t="s">
        <v>7</v>
      </c>
      <c r="D682" t="s">
        <v>3</v>
      </c>
      <c r="E682" t="s">
        <v>15</v>
      </c>
      <c r="F682" t="s">
        <v>191</v>
      </c>
      <c r="G682" t="s">
        <v>378</v>
      </c>
    </row>
    <row r="683" spans="1:7" x14ac:dyDescent="0.2">
      <c r="A683" t="s">
        <v>51</v>
      </c>
      <c r="B683" s="18">
        <f>180/1000</f>
        <v>0.18</v>
      </c>
      <c r="C683" t="s">
        <v>7</v>
      </c>
      <c r="D683" t="s">
        <v>17</v>
      </c>
      <c r="E683" t="s">
        <v>15</v>
      </c>
      <c r="F683" t="s">
        <v>52</v>
      </c>
      <c r="G683" t="s">
        <v>378</v>
      </c>
    </row>
    <row r="684" spans="1:7" x14ac:dyDescent="0.2">
      <c r="B684" s="8"/>
    </row>
    <row r="685" spans="1:7" x14ac:dyDescent="0.2">
      <c r="B685" s="8"/>
    </row>
    <row r="687" spans="1:7" ht="16" x14ac:dyDescent="0.2">
      <c r="A687" s="1" t="s">
        <v>0</v>
      </c>
      <c r="B687" s="1" t="s">
        <v>348</v>
      </c>
    </row>
    <row r="688" spans="1:7" ht="16" x14ac:dyDescent="0.2">
      <c r="A688" s="16" t="s">
        <v>1</v>
      </c>
      <c r="B688" s="16" t="s">
        <v>408</v>
      </c>
    </row>
    <row r="689" spans="1:6" x14ac:dyDescent="0.2">
      <c r="A689" t="s">
        <v>2</v>
      </c>
      <c r="B689" t="s">
        <v>3</v>
      </c>
    </row>
    <row r="690" spans="1:6" x14ac:dyDescent="0.2">
      <c r="A690" t="s">
        <v>4</v>
      </c>
      <c r="B690">
        <v>1</v>
      </c>
    </row>
    <row r="691" spans="1:6" x14ac:dyDescent="0.2">
      <c r="A691" t="s">
        <v>5</v>
      </c>
      <c r="B691" t="s">
        <v>142</v>
      </c>
    </row>
    <row r="692" spans="1:6" x14ac:dyDescent="0.2">
      <c r="A692" t="s">
        <v>6</v>
      </c>
      <c r="B692" t="s">
        <v>7</v>
      </c>
    </row>
    <row r="693" spans="1:6" x14ac:dyDescent="0.2">
      <c r="A693" t="s">
        <v>8</v>
      </c>
      <c r="B693" t="s">
        <v>311</v>
      </c>
    </row>
    <row r="694" spans="1:6" x14ac:dyDescent="0.2">
      <c r="A694" s="2" t="s">
        <v>9</v>
      </c>
    </row>
    <row r="695" spans="1:6" x14ac:dyDescent="0.2">
      <c r="A695" t="s">
        <v>10</v>
      </c>
      <c r="B695" t="s">
        <v>11</v>
      </c>
      <c r="C695" t="s">
        <v>6</v>
      </c>
      <c r="D695" t="s">
        <v>2</v>
      </c>
      <c r="E695" t="s">
        <v>12</v>
      </c>
      <c r="F695" t="s">
        <v>5</v>
      </c>
    </row>
    <row r="696" spans="1:6" x14ac:dyDescent="0.2">
      <c r="A696" t="s">
        <v>348</v>
      </c>
      <c r="B696">
        <v>1</v>
      </c>
      <c r="C696" t="s">
        <v>7</v>
      </c>
      <c r="D696" t="s">
        <v>3</v>
      </c>
      <c r="E696" t="s">
        <v>13</v>
      </c>
      <c r="F696" t="s">
        <v>142</v>
      </c>
    </row>
    <row r="697" spans="1:6" x14ac:dyDescent="0.2">
      <c r="A697" t="s">
        <v>197</v>
      </c>
      <c r="B697" s="5">
        <v>0.12</v>
      </c>
      <c r="C697" t="s">
        <v>7</v>
      </c>
      <c r="D697" t="s">
        <v>17</v>
      </c>
      <c r="E697" t="s">
        <v>15</v>
      </c>
      <c r="F697" t="s">
        <v>71</v>
      </c>
    </row>
    <row r="698" spans="1:6" x14ac:dyDescent="0.2">
      <c r="A698" t="s">
        <v>198</v>
      </c>
      <c r="B698" s="5">
        <v>0.45</v>
      </c>
      <c r="C698" t="s">
        <v>7</v>
      </c>
      <c r="D698" t="s">
        <v>3</v>
      </c>
      <c r="E698" t="s">
        <v>15</v>
      </c>
      <c r="F698" t="s">
        <v>199</v>
      </c>
    </row>
    <row r="699" spans="1:6" x14ac:dyDescent="0.2">
      <c r="A699" t="s">
        <v>200</v>
      </c>
      <c r="B699" s="4">
        <v>4.1000000000000002E-2</v>
      </c>
      <c r="C699" t="s">
        <v>7</v>
      </c>
      <c r="D699" t="s">
        <v>3</v>
      </c>
      <c r="E699" t="s">
        <v>15</v>
      </c>
      <c r="F699" t="s">
        <v>201</v>
      </c>
    </row>
    <row r="700" spans="1:6" x14ac:dyDescent="0.2">
      <c r="A700" t="s">
        <v>202</v>
      </c>
      <c r="B700" s="5">
        <v>0.23</v>
      </c>
      <c r="C700" t="s">
        <v>7</v>
      </c>
      <c r="D700" t="s">
        <v>3</v>
      </c>
      <c r="E700" t="s">
        <v>15</v>
      </c>
      <c r="F700" t="s">
        <v>203</v>
      </c>
    </row>
    <row r="701" spans="1:6" x14ac:dyDescent="0.2">
      <c r="A701" t="s">
        <v>131</v>
      </c>
      <c r="B701" s="13">
        <f>2*10^-8</f>
        <v>2E-8</v>
      </c>
      <c r="C701" t="s">
        <v>6</v>
      </c>
      <c r="D701" t="s">
        <v>3</v>
      </c>
      <c r="E701" t="s">
        <v>15</v>
      </c>
      <c r="F701" t="s">
        <v>132</v>
      </c>
    </row>
    <row r="702" spans="1:6" x14ac:dyDescent="0.2">
      <c r="A702" t="s">
        <v>18</v>
      </c>
      <c r="B702" s="5">
        <v>0.14000000000000001</v>
      </c>
      <c r="C702" t="s">
        <v>7</v>
      </c>
      <c r="D702" t="s">
        <v>3</v>
      </c>
      <c r="E702" t="s">
        <v>15</v>
      </c>
      <c r="F702" t="s">
        <v>19</v>
      </c>
    </row>
    <row r="703" spans="1:6" x14ac:dyDescent="0.2">
      <c r="A703" t="s">
        <v>204</v>
      </c>
      <c r="B703" s="5">
        <v>0.12</v>
      </c>
      <c r="C703" t="s">
        <v>7</v>
      </c>
      <c r="D703" t="s">
        <v>3</v>
      </c>
      <c r="E703" t="s">
        <v>15</v>
      </c>
      <c r="F703" t="s">
        <v>205</v>
      </c>
    </row>
    <row r="704" spans="1:6" x14ac:dyDescent="0.2">
      <c r="A704" t="s">
        <v>206</v>
      </c>
      <c r="B704" s="5">
        <v>0.27</v>
      </c>
      <c r="C704" t="s">
        <v>7</v>
      </c>
      <c r="D704" t="s">
        <v>17</v>
      </c>
      <c r="E704" t="s">
        <v>15</v>
      </c>
      <c r="F704" t="s">
        <v>206</v>
      </c>
    </row>
    <row r="705" spans="1:7" x14ac:dyDescent="0.2">
      <c r="A705" t="s">
        <v>207</v>
      </c>
      <c r="B705">
        <v>1.6E-2</v>
      </c>
      <c r="C705" t="s">
        <v>7</v>
      </c>
      <c r="D705" t="s">
        <v>17</v>
      </c>
      <c r="E705" t="s">
        <v>15</v>
      </c>
      <c r="F705" t="s">
        <v>207</v>
      </c>
      <c r="G705" s="3"/>
    </row>
    <row r="706" spans="1:7" x14ac:dyDescent="0.2">
      <c r="A706" t="s">
        <v>139</v>
      </c>
      <c r="B706" s="8">
        <v>1.4E-3</v>
      </c>
      <c r="C706" t="s">
        <v>7</v>
      </c>
      <c r="D706" t="s">
        <v>3</v>
      </c>
      <c r="E706" t="s">
        <v>15</v>
      </c>
      <c r="F706" t="s">
        <v>140</v>
      </c>
    </row>
    <row r="707" spans="1:7" x14ac:dyDescent="0.2">
      <c r="A707" t="s">
        <v>208</v>
      </c>
      <c r="B707" s="4">
        <v>4.3999999999999997E-2</v>
      </c>
      <c r="C707" t="s">
        <v>7</v>
      </c>
      <c r="D707" t="s">
        <v>17</v>
      </c>
      <c r="E707" t="s">
        <v>15</v>
      </c>
      <c r="F707" t="s">
        <v>209</v>
      </c>
    </row>
    <row r="708" spans="1:7" x14ac:dyDescent="0.2">
      <c r="A708" t="s">
        <v>27</v>
      </c>
      <c r="B708" s="8">
        <v>5.7000000000000002E-3</v>
      </c>
      <c r="C708" t="s">
        <v>7</v>
      </c>
      <c r="D708" t="s">
        <v>3</v>
      </c>
      <c r="E708" t="s">
        <v>15</v>
      </c>
      <c r="F708" t="s">
        <v>28</v>
      </c>
    </row>
    <row r="709" spans="1:7" x14ac:dyDescent="0.2">
      <c r="A709" t="s">
        <v>210</v>
      </c>
      <c r="B709" s="4">
        <v>3.2000000000000001E-2</v>
      </c>
      <c r="C709" t="s">
        <v>7</v>
      </c>
      <c r="D709" t="s">
        <v>3</v>
      </c>
      <c r="E709" t="s">
        <v>15</v>
      </c>
      <c r="F709" t="s">
        <v>211</v>
      </c>
    </row>
    <row r="710" spans="1:7" x14ac:dyDescent="0.2">
      <c r="A710" t="s">
        <v>137</v>
      </c>
      <c r="B710" s="8">
        <v>1.4E-3</v>
      </c>
      <c r="C710" t="s">
        <v>7</v>
      </c>
      <c r="D710" t="s">
        <v>3</v>
      </c>
      <c r="E710" t="s">
        <v>15</v>
      </c>
      <c r="F710" t="s">
        <v>138</v>
      </c>
    </row>
    <row r="711" spans="1:7" x14ac:dyDescent="0.2">
      <c r="A711" t="s">
        <v>212</v>
      </c>
      <c r="B711" s="8">
        <v>3.5999999999999999E-3</v>
      </c>
      <c r="C711" t="s">
        <v>7</v>
      </c>
      <c r="D711" t="s">
        <v>3</v>
      </c>
      <c r="E711" t="s">
        <v>15</v>
      </c>
      <c r="F711" t="s">
        <v>213</v>
      </c>
    </row>
    <row r="712" spans="1:7" x14ac:dyDescent="0.2">
      <c r="A712" t="s">
        <v>214</v>
      </c>
      <c r="B712" s="4">
        <v>1.6E-2</v>
      </c>
      <c r="C712" t="s">
        <v>7</v>
      </c>
      <c r="D712" t="s">
        <v>3</v>
      </c>
      <c r="E712" t="s">
        <v>15</v>
      </c>
      <c r="F712" t="s">
        <v>215</v>
      </c>
    </row>
    <row r="713" spans="1:7" x14ac:dyDescent="0.2">
      <c r="B713" s="8"/>
    </row>
    <row r="714" spans="1:7" x14ac:dyDescent="0.2">
      <c r="B714" s="8"/>
    </row>
    <row r="716" spans="1:7" ht="16" x14ac:dyDescent="0.2">
      <c r="A716" s="1" t="s">
        <v>0</v>
      </c>
      <c r="B716" s="1" t="s">
        <v>351</v>
      </c>
    </row>
    <row r="717" spans="1:7" ht="16" x14ac:dyDescent="0.2">
      <c r="A717" s="16" t="s">
        <v>1</v>
      </c>
      <c r="B717" s="16" t="s">
        <v>408</v>
      </c>
    </row>
    <row r="718" spans="1:7" x14ac:dyDescent="0.2">
      <c r="A718" t="s">
        <v>2</v>
      </c>
      <c r="B718" t="s">
        <v>3</v>
      </c>
    </row>
    <row r="719" spans="1:7" x14ac:dyDescent="0.2">
      <c r="A719" t="s">
        <v>4</v>
      </c>
      <c r="B719">
        <v>1</v>
      </c>
    </row>
    <row r="720" spans="1:7" x14ac:dyDescent="0.2">
      <c r="A720" t="s">
        <v>5</v>
      </c>
      <c r="B720" t="s">
        <v>143</v>
      </c>
    </row>
    <row r="721" spans="1:7" x14ac:dyDescent="0.2">
      <c r="A721" t="s">
        <v>6</v>
      </c>
      <c r="B721" t="s">
        <v>7</v>
      </c>
    </row>
    <row r="722" spans="1:7" x14ac:dyDescent="0.2">
      <c r="A722" t="s">
        <v>8</v>
      </c>
      <c r="B722" t="s">
        <v>311</v>
      </c>
    </row>
    <row r="723" spans="1:7" x14ac:dyDescent="0.2">
      <c r="A723" s="2" t="s">
        <v>9</v>
      </c>
    </row>
    <row r="724" spans="1:7" x14ac:dyDescent="0.2">
      <c r="A724" t="s">
        <v>10</v>
      </c>
      <c r="B724" t="s">
        <v>11</v>
      </c>
      <c r="C724" t="s">
        <v>6</v>
      </c>
      <c r="D724" t="s">
        <v>42</v>
      </c>
      <c r="E724" t="s">
        <v>2</v>
      </c>
      <c r="F724" t="s">
        <v>12</v>
      </c>
      <c r="G724" t="s">
        <v>5</v>
      </c>
    </row>
    <row r="725" spans="1:7" x14ac:dyDescent="0.2">
      <c r="A725" t="s">
        <v>351</v>
      </c>
      <c r="B725">
        <v>1</v>
      </c>
      <c r="C725" t="s">
        <v>7</v>
      </c>
      <c r="E725" t="s">
        <v>3</v>
      </c>
      <c r="F725" t="s">
        <v>13</v>
      </c>
      <c r="G725" t="s">
        <v>143</v>
      </c>
    </row>
    <row r="726" spans="1:7" x14ac:dyDescent="0.2">
      <c r="A726" t="s">
        <v>131</v>
      </c>
      <c r="B726" s="13">
        <f>2*10^-8</f>
        <v>2E-8</v>
      </c>
      <c r="C726" t="s">
        <v>6</v>
      </c>
      <c r="E726" t="s">
        <v>3</v>
      </c>
      <c r="F726" t="s">
        <v>15</v>
      </c>
      <c r="G726" t="s">
        <v>132</v>
      </c>
    </row>
    <row r="727" spans="1:7" x14ac:dyDescent="0.2">
      <c r="A727" t="s">
        <v>216</v>
      </c>
      <c r="B727" s="5">
        <v>0.97</v>
      </c>
      <c r="C727" t="s">
        <v>7</v>
      </c>
      <c r="E727" t="s">
        <v>3</v>
      </c>
      <c r="F727" t="s">
        <v>15</v>
      </c>
      <c r="G727" t="s">
        <v>217</v>
      </c>
    </row>
    <row r="728" spans="1:7" x14ac:dyDescent="0.2">
      <c r="A728" t="s">
        <v>18</v>
      </c>
      <c r="B728" s="4">
        <v>2.9000000000000001E-2</v>
      </c>
      <c r="C728" t="s">
        <v>7</v>
      </c>
      <c r="E728" t="s">
        <v>3</v>
      </c>
      <c r="F728" t="s">
        <v>15</v>
      </c>
      <c r="G728" t="s">
        <v>19</v>
      </c>
    </row>
    <row r="729" spans="1:7" x14ac:dyDescent="0.2">
      <c r="A729" t="s">
        <v>208</v>
      </c>
      <c r="B729" s="4">
        <v>2.9000000000000001E-2</v>
      </c>
      <c r="C729" t="s">
        <v>7</v>
      </c>
      <c r="E729" t="s">
        <v>17</v>
      </c>
      <c r="F729" t="s">
        <v>15</v>
      </c>
      <c r="G729" t="s">
        <v>209</v>
      </c>
    </row>
    <row r="730" spans="1:7" x14ac:dyDescent="0.2">
      <c r="B730" s="8"/>
    </row>
    <row r="731" spans="1:7" x14ac:dyDescent="0.2">
      <c r="B731" s="8"/>
    </row>
    <row r="732" spans="1:7" x14ac:dyDescent="0.2">
      <c r="G732" s="3"/>
    </row>
    <row r="733" spans="1:7" ht="16" x14ac:dyDescent="0.2">
      <c r="A733" s="1" t="s">
        <v>0</v>
      </c>
      <c r="B733" s="1" t="s">
        <v>349</v>
      </c>
    </row>
    <row r="734" spans="1:7" ht="16" x14ac:dyDescent="0.2">
      <c r="A734" s="16" t="s">
        <v>1</v>
      </c>
      <c r="B734" s="16" t="s">
        <v>408</v>
      </c>
    </row>
    <row r="735" spans="1:7" x14ac:dyDescent="0.2">
      <c r="A735" t="s">
        <v>2</v>
      </c>
      <c r="B735" t="s">
        <v>3</v>
      </c>
    </row>
    <row r="736" spans="1:7" x14ac:dyDescent="0.2">
      <c r="A736" t="s">
        <v>4</v>
      </c>
      <c r="B736">
        <v>1</v>
      </c>
    </row>
    <row r="737" spans="1:7" x14ac:dyDescent="0.2">
      <c r="A737" t="s">
        <v>5</v>
      </c>
      <c r="B737" t="s">
        <v>150</v>
      </c>
    </row>
    <row r="738" spans="1:7" x14ac:dyDescent="0.2">
      <c r="A738" t="s">
        <v>6</v>
      </c>
      <c r="B738" t="s">
        <v>7</v>
      </c>
    </row>
    <row r="739" spans="1:7" x14ac:dyDescent="0.2">
      <c r="A739" t="s">
        <v>8</v>
      </c>
      <c r="B739" t="s">
        <v>311</v>
      </c>
    </row>
    <row r="740" spans="1:7" x14ac:dyDescent="0.2">
      <c r="A740" s="2" t="s">
        <v>9</v>
      </c>
    </row>
    <row r="741" spans="1:7" x14ac:dyDescent="0.2">
      <c r="A741" t="s">
        <v>10</v>
      </c>
      <c r="B741" t="s">
        <v>11</v>
      </c>
      <c r="C741" t="s">
        <v>6</v>
      </c>
      <c r="D741" t="s">
        <v>42</v>
      </c>
      <c r="E741" t="s">
        <v>2</v>
      </c>
      <c r="F741" t="s">
        <v>12</v>
      </c>
      <c r="G741" t="s">
        <v>5</v>
      </c>
    </row>
    <row r="742" spans="1:7" x14ac:dyDescent="0.2">
      <c r="A742" t="s">
        <v>349</v>
      </c>
      <c r="B742">
        <v>1</v>
      </c>
      <c r="C742" t="s">
        <v>7</v>
      </c>
      <c r="E742" t="s">
        <v>3</v>
      </c>
      <c r="F742" t="s">
        <v>13</v>
      </c>
      <c r="G742" t="s">
        <v>150</v>
      </c>
    </row>
    <row r="743" spans="1:7" x14ac:dyDescent="0.2">
      <c r="A743" t="s">
        <v>25</v>
      </c>
      <c r="B743" s="13">
        <f>4.6*10^-10</f>
        <v>4.5999999999999996E-10</v>
      </c>
      <c r="C743" t="s">
        <v>6</v>
      </c>
      <c r="E743" t="s">
        <v>3</v>
      </c>
      <c r="F743" t="s">
        <v>15</v>
      </c>
      <c r="G743" t="s">
        <v>26</v>
      </c>
    </row>
    <row r="744" spans="1:7" x14ac:dyDescent="0.2">
      <c r="A744" t="s">
        <v>139</v>
      </c>
      <c r="B744" s="7">
        <v>1</v>
      </c>
      <c r="C744" t="s">
        <v>7</v>
      </c>
      <c r="E744" t="s">
        <v>3</v>
      </c>
      <c r="F744" t="s">
        <v>15</v>
      </c>
      <c r="G744" t="s">
        <v>140</v>
      </c>
    </row>
    <row r="745" spans="1:7" x14ac:dyDescent="0.2">
      <c r="A745" t="s">
        <v>137</v>
      </c>
      <c r="B745" s="7">
        <v>1</v>
      </c>
      <c r="C745" t="s">
        <v>7</v>
      </c>
      <c r="E745" t="s">
        <v>3</v>
      </c>
      <c r="F745" t="s">
        <v>15</v>
      </c>
      <c r="G745" t="s">
        <v>138</v>
      </c>
    </row>
    <row r="746" spans="1:7" x14ac:dyDescent="0.2">
      <c r="B746" s="8"/>
    </row>
    <row r="747" spans="1:7" x14ac:dyDescent="0.2">
      <c r="B747" s="8"/>
    </row>
    <row r="749" spans="1:7" ht="16" x14ac:dyDescent="0.2">
      <c r="A749" s="1" t="s">
        <v>0</v>
      </c>
      <c r="B749" s="1" t="s">
        <v>355</v>
      </c>
    </row>
    <row r="750" spans="1:7" ht="16" x14ac:dyDescent="0.2">
      <c r="A750" s="16" t="s">
        <v>1</v>
      </c>
      <c r="B750"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751" spans="1:7" x14ac:dyDescent="0.2">
      <c r="A751" t="s">
        <v>2</v>
      </c>
      <c r="B751" t="s">
        <v>3</v>
      </c>
    </row>
    <row r="752" spans="1:7" x14ac:dyDescent="0.2">
      <c r="A752" t="s">
        <v>4</v>
      </c>
      <c r="B752">
        <v>1</v>
      </c>
    </row>
    <row r="753" spans="1:7" x14ac:dyDescent="0.2">
      <c r="A753" t="s">
        <v>5</v>
      </c>
      <c r="B753" t="s">
        <v>218</v>
      </c>
    </row>
    <row r="754" spans="1:7" x14ac:dyDescent="0.2">
      <c r="A754" t="s">
        <v>6</v>
      </c>
      <c r="B754" t="s">
        <v>6</v>
      </c>
    </row>
    <row r="755" spans="1:7" x14ac:dyDescent="0.2">
      <c r="A755" t="s">
        <v>8</v>
      </c>
      <c r="B755" t="s">
        <v>315</v>
      </c>
    </row>
    <row r="756" spans="1:7" ht="16" x14ac:dyDescent="0.2">
      <c r="A756" s="1" t="s">
        <v>9</v>
      </c>
    </row>
    <row r="757" spans="1:7" x14ac:dyDescent="0.2">
      <c r="A757" t="s">
        <v>10</v>
      </c>
      <c r="B757" t="s">
        <v>11</v>
      </c>
      <c r="C757" t="s">
        <v>6</v>
      </c>
      <c r="D757" t="s">
        <v>2</v>
      </c>
      <c r="E757" t="s">
        <v>12</v>
      </c>
      <c r="F757" t="s">
        <v>5</v>
      </c>
      <c r="G757" t="s">
        <v>1</v>
      </c>
    </row>
    <row r="758" spans="1:7" ht="16" x14ac:dyDescent="0.2">
      <c r="A758" s="16" t="s">
        <v>355</v>
      </c>
      <c r="B758">
        <v>1</v>
      </c>
      <c r="C758" t="s">
        <v>6</v>
      </c>
      <c r="D758" t="s">
        <v>3</v>
      </c>
      <c r="E758" t="s">
        <v>13</v>
      </c>
      <c r="F758" t="s">
        <v>218</v>
      </c>
    </row>
    <row r="759" spans="1:7" x14ac:dyDescent="0.2">
      <c r="A759" t="s">
        <v>343</v>
      </c>
      <c r="B759">
        <f>16*25.509152</f>
        <v>408.146432</v>
      </c>
      <c r="C759" t="s">
        <v>7</v>
      </c>
      <c r="D759" t="s">
        <v>3</v>
      </c>
      <c r="E759" t="s">
        <v>15</v>
      </c>
      <c r="F759" t="s">
        <v>414</v>
      </c>
      <c r="G759" t="s">
        <v>419</v>
      </c>
    </row>
    <row r="760" spans="1:7" x14ac:dyDescent="0.2">
      <c r="A760" t="s">
        <v>347</v>
      </c>
      <c r="B760">
        <v>1</v>
      </c>
      <c r="C760" t="s">
        <v>6</v>
      </c>
      <c r="D760" t="s">
        <v>3</v>
      </c>
      <c r="E760" t="s">
        <v>15</v>
      </c>
      <c r="F760" t="s">
        <v>141</v>
      </c>
    </row>
    <row r="761" spans="1:7" x14ac:dyDescent="0.2">
      <c r="A761" t="s">
        <v>219</v>
      </c>
      <c r="B761">
        <v>1.8</v>
      </c>
      <c r="C761" t="s">
        <v>7</v>
      </c>
      <c r="D761" t="s">
        <v>3</v>
      </c>
      <c r="E761" t="s">
        <v>15</v>
      </c>
      <c r="F761" t="s">
        <v>220</v>
      </c>
    </row>
    <row r="762" spans="1:7" x14ac:dyDescent="0.2">
      <c r="A762" t="s">
        <v>356</v>
      </c>
      <c r="B762">
        <v>50</v>
      </c>
      <c r="C762" t="s">
        <v>7</v>
      </c>
      <c r="D762" t="s">
        <v>3</v>
      </c>
      <c r="E762" t="s">
        <v>15</v>
      </c>
      <c r="F762" t="s">
        <v>223</v>
      </c>
    </row>
    <row r="763" spans="1:7" x14ac:dyDescent="0.2">
      <c r="A763" t="s">
        <v>221</v>
      </c>
      <c r="B763">
        <v>17</v>
      </c>
      <c r="C763" t="s">
        <v>7</v>
      </c>
      <c r="D763" t="s">
        <v>3</v>
      </c>
      <c r="E763" t="s">
        <v>15</v>
      </c>
      <c r="F763" t="s">
        <v>222</v>
      </c>
    </row>
    <row r="764" spans="1:7" x14ac:dyDescent="0.2">
      <c r="A764" t="s">
        <v>25</v>
      </c>
      <c r="B764" s="13">
        <v>2.1E-7</v>
      </c>
      <c r="C764" t="s">
        <v>6</v>
      </c>
      <c r="D764" t="s">
        <v>3</v>
      </c>
      <c r="E764" t="s">
        <v>15</v>
      </c>
      <c r="F764" t="s">
        <v>26</v>
      </c>
    </row>
    <row r="766" spans="1:7" x14ac:dyDescent="0.2">
      <c r="C766" s="4"/>
    </row>
    <row r="768" spans="1:7" ht="16" x14ac:dyDescent="0.2">
      <c r="A768" s="1" t="s">
        <v>0</v>
      </c>
      <c r="B768" s="1" t="s">
        <v>356</v>
      </c>
    </row>
    <row r="769" spans="1:6" ht="16" x14ac:dyDescent="0.2">
      <c r="A769" s="16" t="s">
        <v>1</v>
      </c>
      <c r="B769" s="16" t="s">
        <v>408</v>
      </c>
    </row>
    <row r="770" spans="1:6" x14ac:dyDescent="0.2">
      <c r="A770" t="s">
        <v>2</v>
      </c>
      <c r="B770" t="s">
        <v>3</v>
      </c>
    </row>
    <row r="771" spans="1:6" x14ac:dyDescent="0.2">
      <c r="A771" t="s">
        <v>4</v>
      </c>
      <c r="B771">
        <v>1</v>
      </c>
    </row>
    <row r="772" spans="1:6" x14ac:dyDescent="0.2">
      <c r="A772" t="s">
        <v>5</v>
      </c>
      <c r="B772" t="s">
        <v>223</v>
      </c>
    </row>
    <row r="773" spans="1:6" x14ac:dyDescent="0.2">
      <c r="A773" t="s">
        <v>6</v>
      </c>
      <c r="B773" t="s">
        <v>7</v>
      </c>
    </row>
    <row r="774" spans="1:6" x14ac:dyDescent="0.2">
      <c r="A774" t="s">
        <v>8</v>
      </c>
      <c r="B774" t="s">
        <v>316</v>
      </c>
    </row>
    <row r="775" spans="1:6" ht="16" x14ac:dyDescent="0.2">
      <c r="A775" s="1" t="s">
        <v>9</v>
      </c>
    </row>
    <row r="776" spans="1:6" x14ac:dyDescent="0.2">
      <c r="A776" t="s">
        <v>10</v>
      </c>
      <c r="B776" t="s">
        <v>11</v>
      </c>
      <c r="C776" t="s">
        <v>6</v>
      </c>
      <c r="D776" t="s">
        <v>2</v>
      </c>
      <c r="E776" t="s">
        <v>12</v>
      </c>
      <c r="F776" t="s">
        <v>5</v>
      </c>
    </row>
    <row r="777" spans="1:6" x14ac:dyDescent="0.2">
      <c r="A777" t="s">
        <v>356</v>
      </c>
      <c r="B777">
        <v>1</v>
      </c>
      <c r="C777" t="s">
        <v>7</v>
      </c>
      <c r="D777" t="s">
        <v>3</v>
      </c>
      <c r="E777" t="s">
        <v>13</v>
      </c>
      <c r="F777" t="s">
        <v>223</v>
      </c>
    </row>
    <row r="778" spans="1:6" x14ac:dyDescent="0.2">
      <c r="A778" t="s">
        <v>25</v>
      </c>
      <c r="B778" s="13">
        <f>4.58*10^-10</f>
        <v>4.5800000000000002E-10</v>
      </c>
      <c r="C778" t="s">
        <v>6</v>
      </c>
      <c r="D778" t="s">
        <v>3</v>
      </c>
      <c r="E778" t="s">
        <v>15</v>
      </c>
      <c r="F778" t="s">
        <v>26</v>
      </c>
    </row>
    <row r="779" spans="1:6" x14ac:dyDescent="0.2">
      <c r="A779" t="s">
        <v>139</v>
      </c>
      <c r="B779">
        <v>1</v>
      </c>
      <c r="C779" t="s">
        <v>7</v>
      </c>
      <c r="D779" t="s">
        <v>3</v>
      </c>
      <c r="E779" t="s">
        <v>15</v>
      </c>
      <c r="F779" t="s">
        <v>140</v>
      </c>
    </row>
    <row r="780" spans="1:6" x14ac:dyDescent="0.2">
      <c r="A780" t="s">
        <v>224</v>
      </c>
      <c r="B780">
        <v>5.5E-2</v>
      </c>
      <c r="C780" t="s">
        <v>153</v>
      </c>
      <c r="D780" t="s">
        <v>3</v>
      </c>
      <c r="E780" t="s">
        <v>15</v>
      </c>
      <c r="F780" t="s">
        <v>225</v>
      </c>
    </row>
    <row r="781" spans="1:6" x14ac:dyDescent="0.2">
      <c r="A781" t="s">
        <v>137</v>
      </c>
      <c r="B781">
        <v>1</v>
      </c>
      <c r="C781" t="s">
        <v>7</v>
      </c>
      <c r="D781" t="s">
        <v>3</v>
      </c>
      <c r="E781" t="s">
        <v>15</v>
      </c>
      <c r="F781" t="s">
        <v>138</v>
      </c>
    </row>
    <row r="785" spans="1:6" ht="16" x14ac:dyDescent="0.2">
      <c r="A785" s="1" t="s">
        <v>0</v>
      </c>
      <c r="B785" s="1" t="s">
        <v>357</v>
      </c>
    </row>
    <row r="786" spans="1:6" ht="16" x14ac:dyDescent="0.2">
      <c r="A786" s="16" t="s">
        <v>1</v>
      </c>
      <c r="B786" s="16" t="s">
        <v>408</v>
      </c>
    </row>
    <row r="787" spans="1:6" x14ac:dyDescent="0.2">
      <c r="A787" t="s">
        <v>2</v>
      </c>
      <c r="B787" t="s">
        <v>3</v>
      </c>
    </row>
    <row r="788" spans="1:6" x14ac:dyDescent="0.2">
      <c r="A788" t="s">
        <v>4</v>
      </c>
      <c r="B788">
        <v>1</v>
      </c>
    </row>
    <row r="789" spans="1:6" x14ac:dyDescent="0.2">
      <c r="A789" t="s">
        <v>5</v>
      </c>
      <c r="B789" t="s">
        <v>226</v>
      </c>
    </row>
    <row r="790" spans="1:6" x14ac:dyDescent="0.2">
      <c r="A790" t="s">
        <v>6</v>
      </c>
      <c r="B790" t="s">
        <v>7</v>
      </c>
    </row>
    <row r="791" spans="1:6" x14ac:dyDescent="0.2">
      <c r="A791" t="s">
        <v>8</v>
      </c>
      <c r="B791" t="s">
        <v>317</v>
      </c>
    </row>
    <row r="792" spans="1:6" ht="16" x14ac:dyDescent="0.2">
      <c r="A792" s="1" t="s">
        <v>9</v>
      </c>
    </row>
    <row r="793" spans="1:6" x14ac:dyDescent="0.2">
      <c r="A793" t="s">
        <v>10</v>
      </c>
      <c r="B793" t="s">
        <v>11</v>
      </c>
      <c r="C793" t="s">
        <v>6</v>
      </c>
      <c r="D793" t="s">
        <v>2</v>
      </c>
      <c r="E793" t="s">
        <v>12</v>
      </c>
      <c r="F793" t="s">
        <v>5</v>
      </c>
    </row>
    <row r="794" spans="1:6" x14ac:dyDescent="0.2">
      <c r="A794" t="s">
        <v>357</v>
      </c>
      <c r="B794">
        <v>1</v>
      </c>
      <c r="C794" t="s">
        <v>7</v>
      </c>
      <c r="D794" t="s">
        <v>3</v>
      </c>
      <c r="E794" t="s">
        <v>13</v>
      </c>
      <c r="F794" t="s">
        <v>226</v>
      </c>
    </row>
    <row r="795" spans="1:6" x14ac:dyDescent="0.2">
      <c r="A795" t="s">
        <v>137</v>
      </c>
      <c r="B795">
        <v>0.78</v>
      </c>
      <c r="C795" t="s">
        <v>7</v>
      </c>
      <c r="D795" t="s">
        <v>3</v>
      </c>
      <c r="E795" t="s">
        <v>15</v>
      </c>
      <c r="F795" t="s">
        <v>138</v>
      </c>
    </row>
    <row r="796" spans="1:6" x14ac:dyDescent="0.2">
      <c r="A796" t="s">
        <v>386</v>
      </c>
      <c r="B796">
        <v>0.22</v>
      </c>
      <c r="C796" t="s">
        <v>7</v>
      </c>
      <c r="D796" t="s">
        <v>17</v>
      </c>
      <c r="E796" t="s">
        <v>15</v>
      </c>
      <c r="F796" t="s">
        <v>227</v>
      </c>
    </row>
    <row r="800" spans="1:6" ht="16" x14ac:dyDescent="0.2">
      <c r="A800" s="1" t="s">
        <v>0</v>
      </c>
      <c r="B800" s="1" t="s">
        <v>358</v>
      </c>
    </row>
    <row r="801" spans="1:7" ht="16" x14ac:dyDescent="0.2">
      <c r="A801" s="16" t="s">
        <v>1</v>
      </c>
      <c r="B801" s="16" t="s">
        <v>408</v>
      </c>
    </row>
    <row r="802" spans="1:7" x14ac:dyDescent="0.2">
      <c r="A802" t="s">
        <v>2</v>
      </c>
      <c r="B802" t="s">
        <v>3</v>
      </c>
    </row>
    <row r="803" spans="1:7" x14ac:dyDescent="0.2">
      <c r="A803" t="s">
        <v>4</v>
      </c>
      <c r="B803">
        <v>1</v>
      </c>
    </row>
    <row r="804" spans="1:7" x14ac:dyDescent="0.2">
      <c r="A804" t="s">
        <v>5</v>
      </c>
      <c r="B804" t="s">
        <v>228</v>
      </c>
    </row>
    <row r="805" spans="1:7" x14ac:dyDescent="0.2">
      <c r="A805" t="s">
        <v>6</v>
      </c>
      <c r="B805" t="s">
        <v>6</v>
      </c>
    </row>
    <row r="806" spans="1:7" x14ac:dyDescent="0.2">
      <c r="A806" t="s">
        <v>8</v>
      </c>
      <c r="B806" t="s">
        <v>318</v>
      </c>
    </row>
    <row r="807" spans="1:7" ht="16" x14ac:dyDescent="0.2">
      <c r="A807" s="1" t="s">
        <v>9</v>
      </c>
    </row>
    <row r="808" spans="1:7" x14ac:dyDescent="0.2">
      <c r="A808" t="s">
        <v>10</v>
      </c>
      <c r="B808" t="s">
        <v>11</v>
      </c>
      <c r="C808" t="s">
        <v>6</v>
      </c>
      <c r="D808" t="s">
        <v>2</v>
      </c>
      <c r="E808" t="s">
        <v>12</v>
      </c>
      <c r="F808" t="s">
        <v>5</v>
      </c>
      <c r="G808" t="s">
        <v>1</v>
      </c>
    </row>
    <row r="809" spans="1:7" x14ac:dyDescent="0.2">
      <c r="A809" t="s">
        <v>358</v>
      </c>
      <c r="B809">
        <v>1</v>
      </c>
      <c r="C809" t="s">
        <v>6</v>
      </c>
      <c r="D809" t="s">
        <v>3</v>
      </c>
      <c r="E809" t="s">
        <v>13</v>
      </c>
      <c r="F809" t="s">
        <v>228</v>
      </c>
    </row>
    <row r="810" spans="1:7" x14ac:dyDescent="0.2">
      <c r="A810" t="s">
        <v>355</v>
      </c>
      <c r="B810">
        <v>40</v>
      </c>
      <c r="C810" t="s">
        <v>6</v>
      </c>
      <c r="D810" t="s">
        <v>3</v>
      </c>
      <c r="E810" t="s">
        <v>15</v>
      </c>
      <c r="F810" t="s">
        <v>218</v>
      </c>
    </row>
    <row r="811" spans="1:7" x14ac:dyDescent="0.2">
      <c r="A811" t="s">
        <v>343</v>
      </c>
      <c r="B811">
        <f>640*24.971</f>
        <v>15981.44</v>
      </c>
      <c r="C811" t="s">
        <v>7</v>
      </c>
      <c r="D811" t="s">
        <v>3</v>
      </c>
      <c r="E811" t="s">
        <v>15</v>
      </c>
      <c r="F811" t="s">
        <v>414</v>
      </c>
      <c r="G811" t="s">
        <v>420</v>
      </c>
    </row>
    <row r="812" spans="1:7" x14ac:dyDescent="0.2">
      <c r="A812" t="s">
        <v>387</v>
      </c>
      <c r="B812">
        <v>15</v>
      </c>
      <c r="C812" t="s">
        <v>45</v>
      </c>
      <c r="D812" t="s">
        <v>17</v>
      </c>
      <c r="E812" t="s">
        <v>15</v>
      </c>
      <c r="F812" t="s">
        <v>388</v>
      </c>
      <c r="G812" t="s">
        <v>389</v>
      </c>
    </row>
    <row r="813" spans="1:7" x14ac:dyDescent="0.2">
      <c r="A813" t="s">
        <v>357</v>
      </c>
      <c r="B813">
        <v>480</v>
      </c>
      <c r="C813" t="s">
        <v>7</v>
      </c>
      <c r="D813" t="s">
        <v>3</v>
      </c>
      <c r="E813" t="s">
        <v>15</v>
      </c>
      <c r="F813" t="s">
        <v>226</v>
      </c>
    </row>
    <row r="814" spans="1:7" x14ac:dyDescent="0.2">
      <c r="A814" t="s">
        <v>229</v>
      </c>
      <c r="B814">
        <v>1</v>
      </c>
      <c r="C814" t="s">
        <v>6</v>
      </c>
      <c r="D814" t="s">
        <v>3</v>
      </c>
      <c r="E814" t="s">
        <v>15</v>
      </c>
      <c r="F814" t="s">
        <v>230</v>
      </c>
    </row>
    <row r="815" spans="1:7" x14ac:dyDescent="0.2">
      <c r="A815" t="s">
        <v>231</v>
      </c>
      <c r="B815">
        <v>1.2</v>
      </c>
      <c r="C815" t="s">
        <v>6</v>
      </c>
      <c r="D815" t="s">
        <v>3</v>
      </c>
      <c r="E815" t="s">
        <v>15</v>
      </c>
      <c r="F815" t="s">
        <v>232</v>
      </c>
    </row>
    <row r="819" spans="1:7" ht="16" x14ac:dyDescent="0.2">
      <c r="A819" s="1" t="s">
        <v>0</v>
      </c>
      <c r="B819" s="1" t="s">
        <v>374</v>
      </c>
    </row>
    <row r="820" spans="1:7" x14ac:dyDescent="0.2">
      <c r="A820" t="s">
        <v>1</v>
      </c>
      <c r="B820" t="s">
        <v>409</v>
      </c>
    </row>
    <row r="821" spans="1:7" x14ac:dyDescent="0.2">
      <c r="A821" t="s">
        <v>2</v>
      </c>
      <c r="B821" t="s">
        <v>3</v>
      </c>
    </row>
    <row r="822" spans="1:7" x14ac:dyDescent="0.2">
      <c r="A822" t="s">
        <v>4</v>
      </c>
      <c r="B822">
        <v>1</v>
      </c>
    </row>
    <row r="823" spans="1:7" x14ac:dyDescent="0.2">
      <c r="A823" t="s">
        <v>5</v>
      </c>
      <c r="B823" t="s">
        <v>233</v>
      </c>
    </row>
    <row r="824" spans="1:7" x14ac:dyDescent="0.2">
      <c r="A824" t="s">
        <v>6</v>
      </c>
      <c r="B824" t="s">
        <v>23</v>
      </c>
    </row>
    <row r="825" spans="1:7" x14ac:dyDescent="0.2">
      <c r="A825" t="s">
        <v>8</v>
      </c>
      <c r="B825" t="s">
        <v>319</v>
      </c>
    </row>
    <row r="826" spans="1:7" ht="16" x14ac:dyDescent="0.2">
      <c r="A826" s="1" t="s">
        <v>9</v>
      </c>
    </row>
    <row r="827" spans="1:7" x14ac:dyDescent="0.2">
      <c r="A827" t="s">
        <v>10</v>
      </c>
      <c r="B827" t="s">
        <v>11</v>
      </c>
      <c r="C827" t="s">
        <v>6</v>
      </c>
      <c r="D827" t="s">
        <v>2</v>
      </c>
      <c r="E827" t="s">
        <v>12</v>
      </c>
      <c r="F827" t="s">
        <v>5</v>
      </c>
      <c r="G827" t="s">
        <v>292</v>
      </c>
    </row>
    <row r="828" spans="1:7" x14ac:dyDescent="0.2">
      <c r="A828" t="s">
        <v>374</v>
      </c>
      <c r="B828">
        <v>1</v>
      </c>
      <c r="C828" t="s">
        <v>23</v>
      </c>
      <c r="D828" t="s">
        <v>3</v>
      </c>
      <c r="E828" t="s">
        <v>13</v>
      </c>
      <c r="F828" t="s">
        <v>233</v>
      </c>
    </row>
    <row r="829" spans="1:7" x14ac:dyDescent="0.2">
      <c r="A829" t="s">
        <v>358</v>
      </c>
      <c r="B829" s="13">
        <f>0.0000278/1000</f>
        <v>2.7800000000000001E-8</v>
      </c>
      <c r="C829" t="s">
        <v>6</v>
      </c>
      <c r="D829" t="s">
        <v>3</v>
      </c>
      <c r="E829" t="s">
        <v>15</v>
      </c>
      <c r="F829" t="s">
        <v>228</v>
      </c>
      <c r="G829" t="s">
        <v>390</v>
      </c>
    </row>
    <row r="830" spans="1:7" x14ac:dyDescent="0.2">
      <c r="A830" t="s">
        <v>22</v>
      </c>
      <c r="B830">
        <f>0.122+0.313</f>
        <v>0.435</v>
      </c>
      <c r="C830" t="s">
        <v>23</v>
      </c>
      <c r="D830" t="s">
        <v>54</v>
      </c>
      <c r="E830" t="s">
        <v>15</v>
      </c>
      <c r="F830" t="s">
        <v>24</v>
      </c>
      <c r="G830" t="s">
        <v>416</v>
      </c>
    </row>
    <row r="831" spans="1:7" x14ac:dyDescent="0.2">
      <c r="A831" t="s">
        <v>361</v>
      </c>
      <c r="B831" s="13">
        <f>-B829</f>
        <v>-2.7800000000000001E-8</v>
      </c>
      <c r="C831" t="s">
        <v>6</v>
      </c>
      <c r="D831" t="s">
        <v>3</v>
      </c>
      <c r="E831" t="s">
        <v>15</v>
      </c>
      <c r="F831" t="s">
        <v>243</v>
      </c>
      <c r="G831" t="s">
        <v>422</v>
      </c>
    </row>
    <row r="834" spans="1:7" ht="16" x14ac:dyDescent="0.2">
      <c r="A834" s="1" t="s">
        <v>0</v>
      </c>
      <c r="B834" s="1" t="s">
        <v>359</v>
      </c>
    </row>
    <row r="835" spans="1:7" ht="16" x14ac:dyDescent="0.2">
      <c r="A835" s="16" t="s">
        <v>1</v>
      </c>
      <c r="B835" s="16" t="s">
        <v>408</v>
      </c>
    </row>
    <row r="836" spans="1:7" x14ac:dyDescent="0.2">
      <c r="A836" t="s">
        <v>2</v>
      </c>
      <c r="B836" t="s">
        <v>234</v>
      </c>
    </row>
    <row r="837" spans="1:7" x14ac:dyDescent="0.2">
      <c r="A837" t="s">
        <v>4</v>
      </c>
      <c r="B837">
        <v>1</v>
      </c>
    </row>
    <row r="838" spans="1:7" x14ac:dyDescent="0.2">
      <c r="A838" t="s">
        <v>5</v>
      </c>
      <c r="B838" t="s">
        <v>24</v>
      </c>
    </row>
    <row r="839" spans="1:7" x14ac:dyDescent="0.2">
      <c r="A839" t="s">
        <v>6</v>
      </c>
      <c r="B839" t="s">
        <v>23</v>
      </c>
    </row>
    <row r="840" spans="1:7" x14ac:dyDescent="0.2">
      <c r="A840" t="s">
        <v>8</v>
      </c>
      <c r="B840" t="s">
        <v>319</v>
      </c>
    </row>
    <row r="841" spans="1:7" ht="16" x14ac:dyDescent="0.2">
      <c r="A841" s="1" t="s">
        <v>9</v>
      </c>
    </row>
    <row r="842" spans="1:7" x14ac:dyDescent="0.2">
      <c r="A842" t="s">
        <v>10</v>
      </c>
      <c r="B842" t="s">
        <v>11</v>
      </c>
      <c r="C842" t="s">
        <v>6</v>
      </c>
      <c r="D842" t="s">
        <v>42</v>
      </c>
      <c r="E842" t="s">
        <v>2</v>
      </c>
      <c r="F842" t="s">
        <v>12</v>
      </c>
      <c r="G842" t="s">
        <v>5</v>
      </c>
    </row>
    <row r="843" spans="1:7" x14ac:dyDescent="0.2">
      <c r="A843" t="s">
        <v>359</v>
      </c>
      <c r="B843">
        <v>1</v>
      </c>
      <c r="C843" t="s">
        <v>23</v>
      </c>
      <c r="E843" t="s">
        <v>234</v>
      </c>
      <c r="F843" t="s">
        <v>13</v>
      </c>
      <c r="G843" t="s">
        <v>24</v>
      </c>
    </row>
    <row r="844" spans="1:7" x14ac:dyDescent="0.2">
      <c r="A844" t="s">
        <v>360</v>
      </c>
      <c r="B844">
        <v>1</v>
      </c>
      <c r="C844" t="s">
        <v>23</v>
      </c>
      <c r="E844" t="s">
        <v>234</v>
      </c>
      <c r="F844" t="s">
        <v>15</v>
      </c>
      <c r="G844" t="s">
        <v>24</v>
      </c>
    </row>
    <row r="845" spans="1:7" x14ac:dyDescent="0.2">
      <c r="A845" t="s">
        <v>235</v>
      </c>
      <c r="B845" s="13">
        <f>1.13*10^-7</f>
        <v>1.1299999999999998E-7</v>
      </c>
      <c r="C845" t="s">
        <v>7</v>
      </c>
      <c r="E845" t="s">
        <v>29</v>
      </c>
      <c r="F845" t="s">
        <v>15</v>
      </c>
      <c r="G845" t="s">
        <v>236</v>
      </c>
    </row>
    <row r="846" spans="1:7" x14ac:dyDescent="0.2">
      <c r="A846" t="s">
        <v>237</v>
      </c>
      <c r="B846" s="13">
        <f>1.86278*10^-8</f>
        <v>1.8627800000000002E-8</v>
      </c>
      <c r="C846" t="s">
        <v>238</v>
      </c>
      <c r="E846" t="s">
        <v>3</v>
      </c>
      <c r="F846" t="s">
        <v>15</v>
      </c>
      <c r="G846" t="s">
        <v>239</v>
      </c>
    </row>
    <row r="847" spans="1:7" x14ac:dyDescent="0.2">
      <c r="A847" t="s">
        <v>240</v>
      </c>
      <c r="B847" s="13">
        <f>1.13*10^-7</f>
        <v>1.1299999999999998E-7</v>
      </c>
      <c r="C847" t="s">
        <v>7</v>
      </c>
      <c r="D847" t="s">
        <v>43</v>
      </c>
      <c r="F847" t="s">
        <v>44</v>
      </c>
    </row>
    <row r="848" spans="1:7" x14ac:dyDescent="0.2">
      <c r="B848" s="3"/>
    </row>
    <row r="849" spans="1:8" x14ac:dyDescent="0.2">
      <c r="B849" s="3"/>
    </row>
    <row r="851" spans="1:8" ht="16" x14ac:dyDescent="0.2">
      <c r="A851" s="1" t="s">
        <v>0</v>
      </c>
      <c r="B851" s="2" t="s">
        <v>360</v>
      </c>
    </row>
    <row r="852" spans="1:8" ht="16" x14ac:dyDescent="0.2">
      <c r="A852" s="16" t="s">
        <v>1</v>
      </c>
      <c r="B852" t="s">
        <v>408</v>
      </c>
    </row>
    <row r="853" spans="1:8" x14ac:dyDescent="0.2">
      <c r="A853" t="s">
        <v>2</v>
      </c>
      <c r="B853" t="s">
        <v>234</v>
      </c>
    </row>
    <row r="854" spans="1:8" x14ac:dyDescent="0.2">
      <c r="A854" t="s">
        <v>4</v>
      </c>
      <c r="B854">
        <v>1</v>
      </c>
    </row>
    <row r="855" spans="1:8" x14ac:dyDescent="0.2">
      <c r="A855" t="s">
        <v>5</v>
      </c>
      <c r="B855" t="s">
        <v>24</v>
      </c>
    </row>
    <row r="856" spans="1:8" x14ac:dyDescent="0.2">
      <c r="A856" t="s">
        <v>6</v>
      </c>
      <c r="B856" t="s">
        <v>23</v>
      </c>
    </row>
    <row r="857" spans="1:8" x14ac:dyDescent="0.2">
      <c r="A857" t="s">
        <v>8</v>
      </c>
      <c r="B857" t="s">
        <v>319</v>
      </c>
    </row>
    <row r="858" spans="1:8" ht="16" x14ac:dyDescent="0.2">
      <c r="A858" s="1" t="s">
        <v>9</v>
      </c>
    </row>
    <row r="859" spans="1:8" x14ac:dyDescent="0.2">
      <c r="A859" s="15" t="s">
        <v>10</v>
      </c>
      <c r="B859" s="15" t="s">
        <v>11</v>
      </c>
      <c r="C859" s="15" t="s">
        <v>6</v>
      </c>
      <c r="D859" s="15" t="s">
        <v>42</v>
      </c>
      <c r="E859" s="15" t="s">
        <v>2</v>
      </c>
      <c r="F859" s="15" t="s">
        <v>12</v>
      </c>
      <c r="G859" s="15" t="s">
        <v>5</v>
      </c>
      <c r="H859" s="15"/>
    </row>
    <row r="860" spans="1:8" x14ac:dyDescent="0.2">
      <c r="A860" t="s">
        <v>360</v>
      </c>
      <c r="B860">
        <v>1</v>
      </c>
      <c r="C860" t="s">
        <v>23</v>
      </c>
      <c r="E860" t="s">
        <v>234</v>
      </c>
      <c r="F860" t="s">
        <v>13</v>
      </c>
      <c r="G860" t="s">
        <v>24</v>
      </c>
    </row>
    <row r="861" spans="1:8" x14ac:dyDescent="0.2">
      <c r="A861" t="s">
        <v>241</v>
      </c>
      <c r="B861" s="7">
        <v>1.0037</v>
      </c>
      <c r="C861" t="s">
        <v>23</v>
      </c>
      <c r="E861" t="s">
        <v>234</v>
      </c>
      <c r="F861" t="s">
        <v>15</v>
      </c>
      <c r="G861" t="s">
        <v>242</v>
      </c>
    </row>
    <row r="865" spans="1:8" ht="16" x14ac:dyDescent="0.2">
      <c r="A865" s="1" t="s">
        <v>0</v>
      </c>
      <c r="B865" s="1" t="s">
        <v>361</v>
      </c>
    </row>
    <row r="866" spans="1:8" ht="16" x14ac:dyDescent="0.2">
      <c r="A866" s="16" t="s">
        <v>1</v>
      </c>
      <c r="B866" s="16" t="s">
        <v>408</v>
      </c>
    </row>
    <row r="867" spans="1:8" x14ac:dyDescent="0.2">
      <c r="A867" t="s">
        <v>2</v>
      </c>
      <c r="B867" t="s">
        <v>3</v>
      </c>
    </row>
    <row r="868" spans="1:8" x14ac:dyDescent="0.2">
      <c r="A868" t="s">
        <v>4</v>
      </c>
      <c r="B868">
        <v>1</v>
      </c>
    </row>
    <row r="869" spans="1:8" x14ac:dyDescent="0.2">
      <c r="A869" t="s">
        <v>5</v>
      </c>
      <c r="B869" t="s">
        <v>243</v>
      </c>
    </row>
    <row r="870" spans="1:8" x14ac:dyDescent="0.2">
      <c r="A870" t="s">
        <v>6</v>
      </c>
      <c r="B870" t="s">
        <v>6</v>
      </c>
    </row>
    <row r="871" spans="1:8" x14ac:dyDescent="0.2">
      <c r="A871" t="s">
        <v>8</v>
      </c>
      <c r="B871" t="s">
        <v>319</v>
      </c>
    </row>
    <row r="872" spans="1:8" ht="16" x14ac:dyDescent="0.2">
      <c r="A872" s="1" t="s">
        <v>9</v>
      </c>
    </row>
    <row r="873" spans="1:8" x14ac:dyDescent="0.2">
      <c r="A873" s="15" t="s">
        <v>10</v>
      </c>
      <c r="B873" s="15" t="s">
        <v>11</v>
      </c>
      <c r="C873" s="15" t="s">
        <v>6</v>
      </c>
      <c r="D873" s="15" t="s">
        <v>42</v>
      </c>
      <c r="E873" s="15" t="s">
        <v>2</v>
      </c>
      <c r="F873" s="15" t="s">
        <v>12</v>
      </c>
      <c r="G873" s="15" t="s">
        <v>5</v>
      </c>
      <c r="H873" s="15" t="s">
        <v>1</v>
      </c>
    </row>
    <row r="874" spans="1:8" x14ac:dyDescent="0.2">
      <c r="A874" t="s">
        <v>361</v>
      </c>
      <c r="B874">
        <v>-1</v>
      </c>
      <c r="C874" t="s">
        <v>6</v>
      </c>
      <c r="E874" t="s">
        <v>3</v>
      </c>
      <c r="F874" t="s">
        <v>13</v>
      </c>
      <c r="G874" t="s">
        <v>243</v>
      </c>
      <c r="H874" t="s">
        <v>421</v>
      </c>
    </row>
    <row r="875" spans="1:8" x14ac:dyDescent="0.2">
      <c r="A875" t="s">
        <v>362</v>
      </c>
      <c r="B875">
        <v>-1300</v>
      </c>
      <c r="C875" t="s">
        <v>6</v>
      </c>
      <c r="E875" t="s">
        <v>3</v>
      </c>
      <c r="F875" t="s">
        <v>15</v>
      </c>
      <c r="G875" t="s">
        <v>244</v>
      </c>
    </row>
    <row r="876" spans="1:8" ht="16" x14ac:dyDescent="0.2">
      <c r="A876" s="22" t="s">
        <v>432</v>
      </c>
      <c r="B876">
        <v>-9000</v>
      </c>
      <c r="C876" t="s">
        <v>7</v>
      </c>
      <c r="E876" t="s">
        <v>3</v>
      </c>
      <c r="F876" t="s">
        <v>15</v>
      </c>
      <c r="G876" s="15" t="s">
        <v>433</v>
      </c>
    </row>
    <row r="879" spans="1:8" ht="16" x14ac:dyDescent="0.2">
      <c r="A879" s="1" t="s">
        <v>0</v>
      </c>
      <c r="B879" s="1" t="s">
        <v>362</v>
      </c>
    </row>
    <row r="880" spans="1:8" ht="16" x14ac:dyDescent="0.2">
      <c r="A880" s="16" t="s">
        <v>1</v>
      </c>
      <c r="B880" s="16" t="s">
        <v>408</v>
      </c>
    </row>
    <row r="881" spans="1:8" x14ac:dyDescent="0.2">
      <c r="A881" t="s">
        <v>2</v>
      </c>
      <c r="B881" t="s">
        <v>3</v>
      </c>
    </row>
    <row r="882" spans="1:8" x14ac:dyDescent="0.2">
      <c r="A882" t="s">
        <v>4</v>
      </c>
      <c r="B882">
        <v>1</v>
      </c>
    </row>
    <row r="883" spans="1:8" x14ac:dyDescent="0.2">
      <c r="A883" t="s">
        <v>5</v>
      </c>
      <c r="B883" t="s">
        <v>244</v>
      </c>
    </row>
    <row r="884" spans="1:8" x14ac:dyDescent="0.2">
      <c r="A884" t="s">
        <v>6</v>
      </c>
      <c r="B884" t="s">
        <v>6</v>
      </c>
    </row>
    <row r="885" spans="1:8" x14ac:dyDescent="0.2">
      <c r="A885" t="s">
        <v>8</v>
      </c>
      <c r="B885" t="s">
        <v>319</v>
      </c>
    </row>
    <row r="886" spans="1:8" ht="16" x14ac:dyDescent="0.2">
      <c r="A886" s="1" t="s">
        <v>9</v>
      </c>
    </row>
    <row r="887" spans="1:8" x14ac:dyDescent="0.2">
      <c r="A887" s="15" t="s">
        <v>10</v>
      </c>
      <c r="B887" s="15" t="s">
        <v>11</v>
      </c>
      <c r="C887" s="15" t="s">
        <v>6</v>
      </c>
      <c r="D887" s="15" t="s">
        <v>42</v>
      </c>
      <c r="E887" s="15" t="s">
        <v>2</v>
      </c>
      <c r="F887" s="15" t="s">
        <v>12</v>
      </c>
      <c r="G887" s="15" t="s">
        <v>5</v>
      </c>
      <c r="H887" s="15" t="s">
        <v>1</v>
      </c>
    </row>
    <row r="888" spans="1:8" x14ac:dyDescent="0.2">
      <c r="A888" t="s">
        <v>362</v>
      </c>
      <c r="B888">
        <v>-1</v>
      </c>
      <c r="C888" t="s">
        <v>6</v>
      </c>
      <c r="E888" t="s">
        <v>3</v>
      </c>
      <c r="F888" t="s">
        <v>13</v>
      </c>
      <c r="G888" t="s">
        <v>244</v>
      </c>
      <c r="H888" t="s">
        <v>421</v>
      </c>
    </row>
    <row r="889" spans="1:8" x14ac:dyDescent="0.2">
      <c r="A889" t="s">
        <v>363</v>
      </c>
      <c r="B889">
        <v>-18.77</v>
      </c>
      <c r="C889" t="s">
        <v>7</v>
      </c>
      <c r="E889" t="s">
        <v>3</v>
      </c>
      <c r="F889" t="s">
        <v>15</v>
      </c>
      <c r="G889" t="s">
        <v>423</v>
      </c>
    </row>
    <row r="890" spans="1:8" x14ac:dyDescent="0.2">
      <c r="A890" t="s">
        <v>431</v>
      </c>
      <c r="B890">
        <v>-6.27</v>
      </c>
      <c r="C890" t="s">
        <v>7</v>
      </c>
      <c r="E890" t="s">
        <v>3</v>
      </c>
      <c r="F890" t="s">
        <v>15</v>
      </c>
      <c r="G890" t="s">
        <v>430</v>
      </c>
    </row>
    <row r="894" spans="1:8" ht="16" x14ac:dyDescent="0.2">
      <c r="A894" s="1" t="s">
        <v>0</v>
      </c>
      <c r="B894" s="1" t="s">
        <v>363</v>
      </c>
    </row>
    <row r="895" spans="1:8" ht="16" x14ac:dyDescent="0.2">
      <c r="A895" s="16" t="s">
        <v>1</v>
      </c>
      <c r="B895" s="16" t="s">
        <v>408</v>
      </c>
    </row>
    <row r="896" spans="1:8" x14ac:dyDescent="0.2">
      <c r="A896" t="s">
        <v>2</v>
      </c>
      <c r="B896" t="s">
        <v>3</v>
      </c>
    </row>
    <row r="897" spans="1:8" x14ac:dyDescent="0.2">
      <c r="A897" t="s">
        <v>4</v>
      </c>
      <c r="B897">
        <v>1</v>
      </c>
    </row>
    <row r="898" spans="1:8" x14ac:dyDescent="0.2">
      <c r="A898" t="s">
        <v>5</v>
      </c>
      <c r="B898" t="s">
        <v>423</v>
      </c>
    </row>
    <row r="899" spans="1:8" x14ac:dyDescent="0.2">
      <c r="A899" t="s">
        <v>6</v>
      </c>
      <c r="B899" t="s">
        <v>7</v>
      </c>
    </row>
    <row r="900" spans="1:8" x14ac:dyDescent="0.2">
      <c r="A900" t="s">
        <v>8</v>
      </c>
      <c r="B900" t="s">
        <v>319</v>
      </c>
    </row>
    <row r="901" spans="1:8" ht="16" x14ac:dyDescent="0.2">
      <c r="A901" s="1" t="s">
        <v>9</v>
      </c>
    </row>
    <row r="902" spans="1:8" x14ac:dyDescent="0.2">
      <c r="A902" s="15" t="s">
        <v>10</v>
      </c>
      <c r="B902" s="15" t="s">
        <v>11</v>
      </c>
      <c r="C902" s="15" t="s">
        <v>6</v>
      </c>
      <c r="D902" s="15" t="s">
        <v>42</v>
      </c>
      <c r="E902" s="15" t="s">
        <v>2</v>
      </c>
      <c r="F902" s="15" t="s">
        <v>12</v>
      </c>
      <c r="G902" s="15" t="s">
        <v>5</v>
      </c>
      <c r="H902" s="15" t="s">
        <v>292</v>
      </c>
    </row>
    <row r="903" spans="1:8" x14ac:dyDescent="0.2">
      <c r="A903" s="15" t="s">
        <v>363</v>
      </c>
      <c r="B903" s="15">
        <v>-1</v>
      </c>
      <c r="C903" s="15" t="s">
        <v>7</v>
      </c>
      <c r="D903" s="15"/>
      <c r="E903" s="15" t="s">
        <v>3</v>
      </c>
      <c r="F903" s="15" t="s">
        <v>13</v>
      </c>
      <c r="G903" s="15" t="s">
        <v>423</v>
      </c>
      <c r="H903" s="15"/>
    </row>
    <row r="904" spans="1:8" ht="16" x14ac:dyDescent="0.2">
      <c r="A904" s="25" t="s">
        <v>364</v>
      </c>
      <c r="B904">
        <v>-0.72</v>
      </c>
      <c r="C904" t="s">
        <v>7</v>
      </c>
      <c r="E904" t="s">
        <v>3</v>
      </c>
      <c r="F904" t="s">
        <v>15</v>
      </c>
      <c r="G904" t="s">
        <v>249</v>
      </c>
      <c r="H904" t="s">
        <v>421</v>
      </c>
    </row>
    <row r="905" spans="1:8" x14ac:dyDescent="0.2">
      <c r="A905" t="s">
        <v>22</v>
      </c>
      <c r="B905">
        <v>0.26</v>
      </c>
      <c r="C905" t="s">
        <v>23</v>
      </c>
      <c r="E905" t="s">
        <v>54</v>
      </c>
      <c r="F905" t="s">
        <v>15</v>
      </c>
      <c r="G905" t="s">
        <v>24</v>
      </c>
    </row>
    <row r="906" spans="1:8" x14ac:dyDescent="0.2">
      <c r="A906" t="s">
        <v>314</v>
      </c>
      <c r="B906">
        <v>0.28000000000000003</v>
      </c>
      <c r="C906" t="s">
        <v>7</v>
      </c>
      <c r="D906" t="s">
        <v>43</v>
      </c>
      <c r="F906" t="s">
        <v>44</v>
      </c>
    </row>
    <row r="910" spans="1:8" ht="16" x14ac:dyDescent="0.2">
      <c r="A910" s="1" t="s">
        <v>0</v>
      </c>
      <c r="B910" s="1" t="s">
        <v>364</v>
      </c>
    </row>
    <row r="911" spans="1:8" ht="16" x14ac:dyDescent="0.2">
      <c r="A911" s="16" t="s">
        <v>1</v>
      </c>
      <c r="B911" s="16" t="s">
        <v>408</v>
      </c>
    </row>
    <row r="912" spans="1:8" x14ac:dyDescent="0.2">
      <c r="A912" t="s">
        <v>2</v>
      </c>
      <c r="B912" t="s">
        <v>3</v>
      </c>
    </row>
    <row r="913" spans="1:8" x14ac:dyDescent="0.2">
      <c r="A913" t="s">
        <v>4</v>
      </c>
      <c r="B913">
        <v>1</v>
      </c>
    </row>
    <row r="914" spans="1:8" x14ac:dyDescent="0.2">
      <c r="A914" t="s">
        <v>5</v>
      </c>
      <c r="B914" t="s">
        <v>249</v>
      </c>
    </row>
    <row r="915" spans="1:8" x14ac:dyDescent="0.2">
      <c r="A915" t="s">
        <v>6</v>
      </c>
      <c r="B915" t="s">
        <v>7</v>
      </c>
    </row>
    <row r="916" spans="1:8" x14ac:dyDescent="0.2">
      <c r="A916" t="s">
        <v>8</v>
      </c>
      <c r="B916" t="s">
        <v>319</v>
      </c>
    </row>
    <row r="917" spans="1:8" ht="16" x14ac:dyDescent="0.2">
      <c r="A917" s="1" t="s">
        <v>9</v>
      </c>
    </row>
    <row r="918" spans="1:8" x14ac:dyDescent="0.2">
      <c r="A918" s="15" t="s">
        <v>10</v>
      </c>
      <c r="B918" s="15" t="s">
        <v>11</v>
      </c>
      <c r="C918" s="15" t="s">
        <v>6</v>
      </c>
      <c r="D918" s="15" t="s">
        <v>42</v>
      </c>
      <c r="E918" s="15" t="s">
        <v>2</v>
      </c>
      <c r="F918" s="15" t="s">
        <v>12</v>
      </c>
      <c r="G918" s="15" t="s">
        <v>5</v>
      </c>
      <c r="H918" s="15" t="s">
        <v>292</v>
      </c>
    </row>
    <row r="919" spans="1:8" x14ac:dyDescent="0.2">
      <c r="A919" t="s">
        <v>364</v>
      </c>
      <c r="B919" s="7">
        <v>-1</v>
      </c>
      <c r="C919" t="s">
        <v>7</v>
      </c>
      <c r="E919" t="s">
        <v>3</v>
      </c>
      <c r="F919" t="s">
        <v>13</v>
      </c>
      <c r="G919" t="s">
        <v>249</v>
      </c>
    </row>
    <row r="920" spans="1:8" x14ac:dyDescent="0.2">
      <c r="A920" t="s">
        <v>365</v>
      </c>
      <c r="B920">
        <v>-0.95</v>
      </c>
      <c r="C920" t="s">
        <v>7</v>
      </c>
      <c r="E920" t="s">
        <v>3</v>
      </c>
      <c r="F920" t="s">
        <v>15</v>
      </c>
      <c r="G920" t="s">
        <v>97</v>
      </c>
      <c r="H920" t="s">
        <v>421</v>
      </c>
    </row>
    <row r="921" spans="1:8" x14ac:dyDescent="0.2">
      <c r="A921" t="s">
        <v>22</v>
      </c>
      <c r="B921" s="7">
        <v>1.6</v>
      </c>
      <c r="C921" t="s">
        <v>23</v>
      </c>
      <c r="E921" t="s">
        <v>3</v>
      </c>
      <c r="F921" t="s">
        <v>15</v>
      </c>
      <c r="G921" t="s">
        <v>24</v>
      </c>
    </row>
    <row r="922" spans="1:8" x14ac:dyDescent="0.2">
      <c r="A922" t="s">
        <v>33</v>
      </c>
      <c r="B922">
        <v>5</v>
      </c>
      <c r="C922" t="s">
        <v>34</v>
      </c>
      <c r="E922" t="s">
        <v>17</v>
      </c>
      <c r="F922" t="s">
        <v>15</v>
      </c>
      <c r="G922" t="s">
        <v>35</v>
      </c>
    </row>
    <row r="923" spans="1:8" x14ac:dyDescent="0.2">
      <c r="A923" t="s">
        <v>80</v>
      </c>
      <c r="B923" s="7">
        <v>4.2</v>
      </c>
      <c r="C923" t="s">
        <v>34</v>
      </c>
      <c r="E923" t="s">
        <v>3</v>
      </c>
      <c r="F923" t="s">
        <v>15</v>
      </c>
      <c r="G923" t="s">
        <v>81</v>
      </c>
    </row>
    <row r="924" spans="1:8" x14ac:dyDescent="0.2">
      <c r="A924" t="s">
        <v>426</v>
      </c>
      <c r="B924">
        <v>-4.7E-2</v>
      </c>
      <c r="C924" t="s">
        <v>7</v>
      </c>
      <c r="E924" t="s">
        <v>3</v>
      </c>
      <c r="F924" t="s">
        <v>15</v>
      </c>
      <c r="G924" t="s">
        <v>427</v>
      </c>
    </row>
    <row r="926" spans="1:8" ht="16" x14ac:dyDescent="0.2">
      <c r="A926" s="1" t="s">
        <v>0</v>
      </c>
      <c r="B926" s="1" t="s">
        <v>365</v>
      </c>
    </row>
    <row r="927" spans="1:8" ht="16" x14ac:dyDescent="0.2">
      <c r="A927" s="16" t="s">
        <v>1</v>
      </c>
      <c r="B927" s="16" t="s">
        <v>408</v>
      </c>
    </row>
    <row r="928" spans="1:8" x14ac:dyDescent="0.2">
      <c r="A928" t="s">
        <v>2</v>
      </c>
      <c r="B928" t="s">
        <v>3</v>
      </c>
    </row>
    <row r="929" spans="1:8" x14ac:dyDescent="0.2">
      <c r="A929" t="s">
        <v>4</v>
      </c>
      <c r="B929">
        <v>1</v>
      </c>
    </row>
    <row r="930" spans="1:8" x14ac:dyDescent="0.2">
      <c r="A930" t="s">
        <v>5</v>
      </c>
      <c r="B930" t="s">
        <v>97</v>
      </c>
    </row>
    <row r="931" spans="1:8" x14ac:dyDescent="0.2">
      <c r="A931" t="s">
        <v>6</v>
      </c>
      <c r="B931" t="s">
        <v>7</v>
      </c>
    </row>
    <row r="932" spans="1:8" x14ac:dyDescent="0.2">
      <c r="A932" t="s">
        <v>8</v>
      </c>
      <c r="B932" t="s">
        <v>319</v>
      </c>
    </row>
    <row r="933" spans="1:8" ht="16" x14ac:dyDescent="0.2">
      <c r="A933" s="1" t="s">
        <v>9</v>
      </c>
    </row>
    <row r="934" spans="1:8" x14ac:dyDescent="0.2">
      <c r="A934" s="15" t="s">
        <v>10</v>
      </c>
      <c r="B934" s="15" t="s">
        <v>11</v>
      </c>
      <c r="C934" s="15" t="s">
        <v>6</v>
      </c>
      <c r="D934" s="15" t="s">
        <v>42</v>
      </c>
      <c r="E934" s="15" t="s">
        <v>2</v>
      </c>
      <c r="F934" s="15" t="s">
        <v>12</v>
      </c>
      <c r="G934" s="15" t="s">
        <v>5</v>
      </c>
      <c r="H934" s="15" t="s">
        <v>1</v>
      </c>
    </row>
    <row r="935" spans="1:8" x14ac:dyDescent="0.2">
      <c r="A935" t="s">
        <v>365</v>
      </c>
      <c r="B935">
        <v>-1</v>
      </c>
      <c r="C935" t="s">
        <v>7</v>
      </c>
      <c r="E935" t="s">
        <v>3</v>
      </c>
      <c r="F935" t="s">
        <v>13</v>
      </c>
      <c r="G935" t="s">
        <v>97</v>
      </c>
      <c r="H935" t="s">
        <v>421</v>
      </c>
    </row>
    <row r="936" spans="1:8" x14ac:dyDescent="0.2">
      <c r="A936" t="s">
        <v>250</v>
      </c>
      <c r="B936">
        <v>6.4</v>
      </c>
      <c r="C936" t="s">
        <v>7</v>
      </c>
      <c r="E936" t="s">
        <v>3</v>
      </c>
      <c r="F936" t="s">
        <v>15</v>
      </c>
      <c r="G936" t="s">
        <v>46</v>
      </c>
    </row>
    <row r="937" spans="1:8" x14ac:dyDescent="0.2">
      <c r="A937" t="s">
        <v>251</v>
      </c>
      <c r="B937">
        <v>1.8</v>
      </c>
      <c r="C937" t="s">
        <v>7</v>
      </c>
      <c r="E937" t="s">
        <v>3</v>
      </c>
      <c r="F937" t="s">
        <v>15</v>
      </c>
      <c r="G937" t="s">
        <v>252</v>
      </c>
    </row>
    <row r="938" spans="1:8" x14ac:dyDescent="0.2">
      <c r="A938" t="s">
        <v>253</v>
      </c>
      <c r="B938">
        <v>0.32</v>
      </c>
      <c r="C938" t="s">
        <v>7</v>
      </c>
      <c r="E938" t="s">
        <v>17</v>
      </c>
      <c r="F938" t="s">
        <v>15</v>
      </c>
      <c r="G938" t="s">
        <v>286</v>
      </c>
    </row>
    <row r="939" spans="1:8" x14ac:dyDescent="0.2">
      <c r="A939" t="s">
        <v>254</v>
      </c>
      <c r="B939">
        <v>0.18</v>
      </c>
      <c r="C939" t="s">
        <v>7</v>
      </c>
      <c r="E939" t="s">
        <v>17</v>
      </c>
      <c r="F939" t="s">
        <v>15</v>
      </c>
      <c r="G939" t="s">
        <v>393</v>
      </c>
    </row>
    <row r="940" spans="1:8" x14ac:dyDescent="0.2">
      <c r="A940" t="s">
        <v>255</v>
      </c>
      <c r="B940">
        <v>0.2</v>
      </c>
      <c r="C940" t="s">
        <v>7</v>
      </c>
      <c r="E940" t="s">
        <v>3</v>
      </c>
      <c r="F940" t="s">
        <v>15</v>
      </c>
      <c r="G940" t="s">
        <v>256</v>
      </c>
    </row>
    <row r="941" spans="1:8" x14ac:dyDescent="0.2">
      <c r="A941" t="s">
        <v>51</v>
      </c>
      <c r="B941">
        <v>81</v>
      </c>
      <c r="C941" t="s">
        <v>7</v>
      </c>
      <c r="E941" t="s">
        <v>17</v>
      </c>
      <c r="F941" t="s">
        <v>15</v>
      </c>
      <c r="G941" t="s">
        <v>52</v>
      </c>
    </row>
    <row r="942" spans="1:8" x14ac:dyDescent="0.2">
      <c r="A942" t="s">
        <v>22</v>
      </c>
      <c r="B942">
        <v>0.01</v>
      </c>
      <c r="C942" t="s">
        <v>23</v>
      </c>
      <c r="E942" t="s">
        <v>54</v>
      </c>
      <c r="F942" t="s">
        <v>15</v>
      </c>
      <c r="G942" t="s">
        <v>24</v>
      </c>
    </row>
    <row r="943" spans="1:8" x14ac:dyDescent="0.2">
      <c r="A943" t="s">
        <v>86</v>
      </c>
      <c r="B943">
        <v>17</v>
      </c>
      <c r="C943" t="s">
        <v>7</v>
      </c>
      <c r="E943" t="s">
        <v>17</v>
      </c>
      <c r="F943" t="s">
        <v>15</v>
      </c>
      <c r="G943" t="s">
        <v>87</v>
      </c>
    </row>
    <row r="944" spans="1:8" x14ac:dyDescent="0.2">
      <c r="A944" t="s">
        <v>49</v>
      </c>
      <c r="B944">
        <f>-0.087</f>
        <v>-8.6999999999999994E-2</v>
      </c>
      <c r="C944" t="s">
        <v>45</v>
      </c>
      <c r="E944" t="s">
        <v>17</v>
      </c>
      <c r="F944" t="s">
        <v>15</v>
      </c>
      <c r="G944" t="s">
        <v>50</v>
      </c>
      <c r="H944" t="s">
        <v>394</v>
      </c>
    </row>
    <row r="945" spans="1:8" x14ac:dyDescent="0.2">
      <c r="A945" t="s">
        <v>257</v>
      </c>
      <c r="B945">
        <v>-0.4</v>
      </c>
      <c r="C945" t="s">
        <v>7</v>
      </c>
      <c r="E945" t="s">
        <v>17</v>
      </c>
      <c r="F945" t="s">
        <v>15</v>
      </c>
      <c r="G945" t="s">
        <v>258</v>
      </c>
    </row>
    <row r="946" spans="1:8" x14ac:dyDescent="0.2">
      <c r="A946" t="s">
        <v>287</v>
      </c>
      <c r="B946">
        <v>0.2</v>
      </c>
      <c r="C946" t="s">
        <v>7</v>
      </c>
      <c r="D946" t="s">
        <v>43</v>
      </c>
      <c r="F946" t="s">
        <v>44</v>
      </c>
    </row>
    <row r="949" spans="1:8" ht="16" x14ac:dyDescent="0.2">
      <c r="A949" s="1"/>
    </row>
    <row r="950" spans="1:8" ht="16" x14ac:dyDescent="0.2">
      <c r="A950" s="1" t="s">
        <v>0</v>
      </c>
      <c r="B950" s="1" t="s">
        <v>426</v>
      </c>
    </row>
    <row r="951" spans="1:8" ht="16" x14ac:dyDescent="0.2">
      <c r="A951" s="16" t="s">
        <v>1</v>
      </c>
      <c r="B951" s="16" t="s">
        <v>408</v>
      </c>
    </row>
    <row r="952" spans="1:8" x14ac:dyDescent="0.2">
      <c r="A952" t="s">
        <v>2</v>
      </c>
      <c r="B952" t="s">
        <v>3</v>
      </c>
    </row>
    <row r="953" spans="1:8" x14ac:dyDescent="0.2">
      <c r="A953" t="s">
        <v>4</v>
      </c>
      <c r="B953">
        <v>1</v>
      </c>
    </row>
    <row r="954" spans="1:8" x14ac:dyDescent="0.2">
      <c r="A954" t="s">
        <v>5</v>
      </c>
      <c r="B954" t="s">
        <v>428</v>
      </c>
    </row>
    <row r="955" spans="1:8" x14ac:dyDescent="0.2">
      <c r="A955" t="s">
        <v>6</v>
      </c>
      <c r="B955" t="s">
        <v>7</v>
      </c>
    </row>
    <row r="956" spans="1:8" x14ac:dyDescent="0.2">
      <c r="A956" t="s">
        <v>8</v>
      </c>
      <c r="B956" t="s">
        <v>319</v>
      </c>
    </row>
    <row r="957" spans="1:8" ht="16" x14ac:dyDescent="0.2">
      <c r="A957" s="1" t="s">
        <v>9</v>
      </c>
      <c r="B957" s="15"/>
      <c r="C957" s="15"/>
      <c r="D957" s="15"/>
      <c r="E957" s="15"/>
      <c r="F957" s="15"/>
      <c r="G957" s="15"/>
      <c r="H957" s="15"/>
    </row>
    <row r="958" spans="1:8" x14ac:dyDescent="0.2">
      <c r="A958" s="15" t="s">
        <v>10</v>
      </c>
      <c r="B958" s="15" t="s">
        <v>11</v>
      </c>
      <c r="C958" s="15" t="s">
        <v>6</v>
      </c>
      <c r="D958" s="15" t="s">
        <v>42</v>
      </c>
      <c r="E958" s="15" t="s">
        <v>2</v>
      </c>
      <c r="F958" s="15" t="s">
        <v>12</v>
      </c>
      <c r="G958" s="15" t="s">
        <v>5</v>
      </c>
      <c r="H958" s="15" t="s">
        <v>1</v>
      </c>
    </row>
    <row r="959" spans="1:8" x14ac:dyDescent="0.2">
      <c r="A959" t="s">
        <v>426</v>
      </c>
      <c r="B959">
        <v>-1</v>
      </c>
      <c r="C959" t="s">
        <v>7</v>
      </c>
      <c r="E959" t="s">
        <v>3</v>
      </c>
      <c r="F959" t="s">
        <v>13</v>
      </c>
      <c r="G959" t="s">
        <v>428</v>
      </c>
      <c r="H959" t="s">
        <v>421</v>
      </c>
    </row>
    <row r="960" spans="1:8" x14ac:dyDescent="0.2">
      <c r="A960" t="s">
        <v>22</v>
      </c>
      <c r="B960">
        <v>5.3999999999999999E-2</v>
      </c>
      <c r="C960" t="s">
        <v>23</v>
      </c>
      <c r="E960" t="s">
        <v>54</v>
      </c>
      <c r="F960" t="s">
        <v>15</v>
      </c>
      <c r="G960" t="s">
        <v>24</v>
      </c>
    </row>
    <row r="961" spans="1:8" x14ac:dyDescent="0.2">
      <c r="A961" t="s">
        <v>33</v>
      </c>
      <c r="B961">
        <v>3.2000000000000001E-2</v>
      </c>
      <c r="C961" t="s">
        <v>34</v>
      </c>
      <c r="E961" t="s">
        <v>17</v>
      </c>
      <c r="F961" t="s">
        <v>15</v>
      </c>
      <c r="G961" t="s">
        <v>35</v>
      </c>
    </row>
    <row r="962" spans="1:8" x14ac:dyDescent="0.2">
      <c r="A962" t="s">
        <v>259</v>
      </c>
      <c r="B962" s="5">
        <f>-0.9246</f>
        <v>-0.92459999999999998</v>
      </c>
      <c r="C962" t="s">
        <v>7</v>
      </c>
      <c r="E962" t="s">
        <v>3</v>
      </c>
      <c r="F962" t="s">
        <v>15</v>
      </c>
      <c r="G962" t="s">
        <v>260</v>
      </c>
    </row>
    <row r="963" spans="1:8" x14ac:dyDescent="0.2">
      <c r="A963" t="s">
        <v>261</v>
      </c>
      <c r="B963" s="4">
        <v>-7.4999999999999997E-2</v>
      </c>
      <c r="C963" t="s">
        <v>7</v>
      </c>
      <c r="E963" t="s">
        <v>17</v>
      </c>
      <c r="F963" t="s">
        <v>15</v>
      </c>
      <c r="G963" t="s">
        <v>262</v>
      </c>
    </row>
    <row r="964" spans="1:8" ht="16" x14ac:dyDescent="0.2">
      <c r="B964" s="1"/>
    </row>
    <row r="965" spans="1:8" ht="16" x14ac:dyDescent="0.2">
      <c r="A965" s="1"/>
    </row>
    <row r="966" spans="1:8" ht="16" x14ac:dyDescent="0.2">
      <c r="A966" s="1" t="s">
        <v>0</v>
      </c>
      <c r="B966" s="1" t="s">
        <v>431</v>
      </c>
    </row>
    <row r="967" spans="1:8" ht="16" x14ac:dyDescent="0.2">
      <c r="A967" s="16" t="s">
        <v>1</v>
      </c>
      <c r="B967" s="16" t="s">
        <v>408</v>
      </c>
    </row>
    <row r="968" spans="1:8" x14ac:dyDescent="0.2">
      <c r="A968" t="s">
        <v>2</v>
      </c>
      <c r="B968" t="s">
        <v>3</v>
      </c>
    </row>
    <row r="969" spans="1:8" x14ac:dyDescent="0.2">
      <c r="A969" t="s">
        <v>4</v>
      </c>
      <c r="B969">
        <v>1</v>
      </c>
    </row>
    <row r="970" spans="1:8" x14ac:dyDescent="0.2">
      <c r="A970" t="s">
        <v>5</v>
      </c>
      <c r="B970" t="s">
        <v>429</v>
      </c>
    </row>
    <row r="971" spans="1:8" x14ac:dyDescent="0.2">
      <c r="A971" t="s">
        <v>6</v>
      </c>
      <c r="B971" t="s">
        <v>7</v>
      </c>
    </row>
    <row r="972" spans="1:8" x14ac:dyDescent="0.2">
      <c r="A972" t="s">
        <v>8</v>
      </c>
      <c r="B972" t="s">
        <v>319</v>
      </c>
    </row>
    <row r="973" spans="1:8" ht="16" x14ac:dyDescent="0.2">
      <c r="A973" s="1" t="s">
        <v>9</v>
      </c>
      <c r="B973" s="15"/>
      <c r="C973" s="15"/>
      <c r="D973" s="15"/>
      <c r="E973" s="15"/>
      <c r="F973" s="15"/>
      <c r="G973" s="15"/>
      <c r="H973" s="15"/>
    </row>
    <row r="974" spans="1:8" x14ac:dyDescent="0.2">
      <c r="A974" s="15" t="s">
        <v>10</v>
      </c>
      <c r="B974" s="15" t="s">
        <v>11</v>
      </c>
      <c r="C974" s="15" t="s">
        <v>6</v>
      </c>
      <c r="D974" s="15" t="s">
        <v>42</v>
      </c>
      <c r="E974" s="15" t="s">
        <v>2</v>
      </c>
      <c r="F974" s="15" t="s">
        <v>12</v>
      </c>
      <c r="G974" s="15" t="s">
        <v>5</v>
      </c>
      <c r="H974" s="15" t="s">
        <v>1</v>
      </c>
    </row>
    <row r="975" spans="1:8" x14ac:dyDescent="0.2">
      <c r="A975" t="s">
        <v>431</v>
      </c>
      <c r="B975">
        <v>-1</v>
      </c>
      <c r="C975" t="s">
        <v>7</v>
      </c>
      <c r="E975" t="s">
        <v>3</v>
      </c>
      <c r="F975" t="s">
        <v>13</v>
      </c>
      <c r="G975" t="s">
        <v>429</v>
      </c>
      <c r="H975" t="s">
        <v>421</v>
      </c>
    </row>
    <row r="976" spans="1:8" x14ac:dyDescent="0.2">
      <c r="A976" t="s">
        <v>22</v>
      </c>
      <c r="B976">
        <v>5.3999999999999999E-2</v>
      </c>
      <c r="C976" t="s">
        <v>23</v>
      </c>
      <c r="E976" t="s">
        <v>54</v>
      </c>
      <c r="F976" t="s">
        <v>15</v>
      </c>
      <c r="G976" t="s">
        <v>24</v>
      </c>
    </row>
    <row r="977" spans="1:10" x14ac:dyDescent="0.2">
      <c r="A977" t="s">
        <v>33</v>
      </c>
      <c r="B977">
        <v>3.2000000000000001E-2</v>
      </c>
      <c r="C977" t="s">
        <v>34</v>
      </c>
      <c r="E977" t="s">
        <v>17</v>
      </c>
      <c r="F977" t="s">
        <v>15</v>
      </c>
      <c r="G977" t="s">
        <v>35</v>
      </c>
    </row>
    <row r="978" spans="1:10" x14ac:dyDescent="0.2">
      <c r="A978" t="s">
        <v>259</v>
      </c>
      <c r="B978" s="5">
        <f>-0.0635</f>
        <v>-6.3500000000000001E-2</v>
      </c>
      <c r="C978" t="s">
        <v>7</v>
      </c>
      <c r="E978" t="s">
        <v>3</v>
      </c>
      <c r="F978" t="s">
        <v>15</v>
      </c>
      <c r="G978" t="s">
        <v>260</v>
      </c>
    </row>
    <row r="979" spans="1:10" x14ac:dyDescent="0.2">
      <c r="A979" t="s">
        <v>261</v>
      </c>
      <c r="B979" s="4">
        <f>-0.0676</f>
        <v>-6.7599999999999993E-2</v>
      </c>
      <c r="C979" t="s">
        <v>7</v>
      </c>
      <c r="E979" t="s">
        <v>17</v>
      </c>
      <c r="F979" t="s">
        <v>15</v>
      </c>
      <c r="G979" t="s">
        <v>262</v>
      </c>
    </row>
    <row r="980" spans="1:10" x14ac:dyDescent="0.2">
      <c r="A980" t="s">
        <v>263</v>
      </c>
      <c r="B980" s="5">
        <v>-0.4</v>
      </c>
      <c r="C980" t="s">
        <v>7</v>
      </c>
      <c r="E980" t="s">
        <v>17</v>
      </c>
      <c r="F980" t="s">
        <v>15</v>
      </c>
      <c r="G980" t="s">
        <v>264</v>
      </c>
    </row>
    <row r="981" spans="1:10" x14ac:dyDescent="0.2">
      <c r="A981" t="s">
        <v>265</v>
      </c>
      <c r="B981" s="4">
        <f>-0.011</f>
        <v>-1.0999999999999999E-2</v>
      </c>
      <c r="C981" t="s">
        <v>7</v>
      </c>
      <c r="E981" t="s">
        <v>3</v>
      </c>
      <c r="F981" t="s">
        <v>15</v>
      </c>
      <c r="G981" t="s">
        <v>266</v>
      </c>
    </row>
    <row r="982" spans="1:10" x14ac:dyDescent="0.2">
      <c r="A982" t="s">
        <v>424</v>
      </c>
      <c r="B982">
        <v>-0.46</v>
      </c>
      <c r="C982" t="s">
        <v>7</v>
      </c>
      <c r="E982" t="s">
        <v>17</v>
      </c>
      <c r="F982" t="s">
        <v>15</v>
      </c>
      <c r="G982" t="s">
        <v>425</v>
      </c>
    </row>
    <row r="984" spans="1:10" ht="16" x14ac:dyDescent="0.2">
      <c r="C984" s="11"/>
      <c r="D984" s="15"/>
      <c r="E984" s="15"/>
      <c r="F984" s="15"/>
      <c r="G984" s="15"/>
      <c r="H984" s="15"/>
      <c r="I984" s="15"/>
      <c r="J984" s="15"/>
    </row>
    <row r="985" spans="1:10" ht="16" x14ac:dyDescent="0.2">
      <c r="A985" s="11" t="s">
        <v>0</v>
      </c>
      <c r="B985" s="11" t="s">
        <v>432</v>
      </c>
      <c r="C985" s="22"/>
      <c r="D985" s="22"/>
      <c r="E985" s="22"/>
      <c r="F985" s="22"/>
      <c r="G985" s="22"/>
      <c r="H985" s="22"/>
      <c r="I985" s="22"/>
      <c r="J985" s="22"/>
    </row>
    <row r="986" spans="1:10" ht="16" x14ac:dyDescent="0.2">
      <c r="A986" s="22" t="s">
        <v>1</v>
      </c>
      <c r="B986" s="22" t="s">
        <v>408</v>
      </c>
      <c r="C986" s="15"/>
      <c r="D986" s="15"/>
      <c r="E986" s="15"/>
      <c r="F986" s="15"/>
      <c r="G986" s="15"/>
      <c r="H986" s="15"/>
      <c r="I986" s="15"/>
      <c r="J986" s="15"/>
    </row>
    <row r="987" spans="1:10" x14ac:dyDescent="0.2">
      <c r="A987" s="15" t="s">
        <v>2</v>
      </c>
      <c r="B987" s="15" t="s">
        <v>3</v>
      </c>
      <c r="C987" s="15"/>
      <c r="D987" s="15"/>
      <c r="E987" s="15"/>
      <c r="F987" s="15"/>
      <c r="G987" s="15"/>
      <c r="H987" s="15"/>
      <c r="I987" s="15"/>
      <c r="J987" s="15"/>
    </row>
    <row r="988" spans="1:10" x14ac:dyDescent="0.2">
      <c r="A988" s="15" t="s">
        <v>4</v>
      </c>
      <c r="B988" s="15">
        <v>1</v>
      </c>
      <c r="C988" s="15"/>
      <c r="D988" s="15"/>
      <c r="E988" s="15"/>
      <c r="F988" s="15"/>
      <c r="G988" s="15"/>
      <c r="H988" s="15"/>
      <c r="I988" s="15"/>
      <c r="J988" s="15"/>
    </row>
    <row r="989" spans="1:10" x14ac:dyDescent="0.2">
      <c r="A989" s="15" t="s">
        <v>5</v>
      </c>
      <c r="B989" s="15" t="s">
        <v>433</v>
      </c>
      <c r="C989" s="15"/>
      <c r="D989" s="15"/>
      <c r="E989" s="15"/>
      <c r="F989" s="15"/>
      <c r="G989" s="15"/>
      <c r="H989" s="15"/>
      <c r="I989" s="15"/>
      <c r="J989" s="15"/>
    </row>
    <row r="990" spans="1:10" x14ac:dyDescent="0.2">
      <c r="A990" s="15" t="s">
        <v>6</v>
      </c>
      <c r="B990" s="15" t="s">
        <v>7</v>
      </c>
      <c r="C990" s="15"/>
      <c r="D990" s="15"/>
      <c r="E990" s="15"/>
      <c r="F990" s="15"/>
      <c r="G990" s="15"/>
      <c r="H990" s="15"/>
      <c r="I990" s="15"/>
      <c r="J990" s="15"/>
    </row>
    <row r="991" spans="1:10" x14ac:dyDescent="0.2">
      <c r="A991" s="15" t="s">
        <v>8</v>
      </c>
      <c r="B991" s="15" t="s">
        <v>319</v>
      </c>
      <c r="C991" s="15"/>
      <c r="D991" s="15"/>
      <c r="E991" s="15"/>
      <c r="F991" s="15"/>
      <c r="G991" s="15"/>
      <c r="H991" s="15"/>
      <c r="I991" s="15"/>
      <c r="J991" s="15"/>
    </row>
    <row r="992" spans="1:10" ht="16" x14ac:dyDescent="0.2">
      <c r="A992" s="11" t="s">
        <v>9</v>
      </c>
      <c r="B992" s="15"/>
      <c r="C992" s="15"/>
      <c r="D992" s="15"/>
      <c r="E992" s="15"/>
      <c r="F992" s="15"/>
      <c r="G992" s="15"/>
      <c r="H992" s="15"/>
      <c r="I992" s="15"/>
      <c r="J992" s="15"/>
    </row>
    <row r="993" spans="1:10" x14ac:dyDescent="0.2">
      <c r="A993" s="15" t="s">
        <v>10</v>
      </c>
      <c r="B993" s="15" t="s">
        <v>11</v>
      </c>
      <c r="C993" s="15" t="s">
        <v>6</v>
      </c>
      <c r="D993" s="15" t="s">
        <v>42</v>
      </c>
      <c r="E993" s="15" t="s">
        <v>2</v>
      </c>
      <c r="F993" s="15" t="s">
        <v>12</v>
      </c>
      <c r="G993" s="15" t="s">
        <v>5</v>
      </c>
      <c r="H993" s="15" t="s">
        <v>1</v>
      </c>
      <c r="I993" s="15"/>
      <c r="J993" s="15"/>
    </row>
    <row r="994" spans="1:10" x14ac:dyDescent="0.2">
      <c r="A994" s="15" t="s">
        <v>432</v>
      </c>
      <c r="B994" s="15">
        <v>-1</v>
      </c>
      <c r="C994" s="15" t="s">
        <v>7</v>
      </c>
      <c r="D994" s="15"/>
      <c r="E994" s="15" t="s">
        <v>3</v>
      </c>
      <c r="F994" s="15" t="s">
        <v>13</v>
      </c>
      <c r="G994" s="15" t="s">
        <v>433</v>
      </c>
      <c r="H994" s="15" t="s">
        <v>421</v>
      </c>
      <c r="I994" s="15"/>
      <c r="J994" s="15"/>
    </row>
    <row r="995" spans="1:10" x14ac:dyDescent="0.2">
      <c r="A995" s="15" t="s">
        <v>22</v>
      </c>
      <c r="B995" s="15">
        <v>5.3999999999999999E-2</v>
      </c>
      <c r="C995" s="15" t="s">
        <v>23</v>
      </c>
      <c r="D995" s="15"/>
      <c r="E995" s="15" t="s">
        <v>54</v>
      </c>
      <c r="F995" s="15" t="s">
        <v>15</v>
      </c>
      <c r="G995" s="15" t="s">
        <v>24</v>
      </c>
      <c r="H995" s="15"/>
      <c r="I995" s="15"/>
      <c r="J995" s="15"/>
    </row>
    <row r="996" spans="1:10" x14ac:dyDescent="0.2">
      <c r="A996" s="15" t="s">
        <v>33</v>
      </c>
      <c r="B996" s="15">
        <v>3.2000000000000001E-2</v>
      </c>
      <c r="C996" s="15" t="s">
        <v>34</v>
      </c>
      <c r="D996" s="15"/>
      <c r="E996" s="15" t="s">
        <v>17</v>
      </c>
      <c r="F996" s="15" t="s">
        <v>15</v>
      </c>
      <c r="G996" s="15" t="s">
        <v>35</v>
      </c>
      <c r="H996" s="15"/>
      <c r="I996" s="15"/>
      <c r="J996" s="15"/>
    </row>
    <row r="997" spans="1:10" x14ac:dyDescent="0.2">
      <c r="A997" s="15" t="s">
        <v>263</v>
      </c>
      <c r="B997" s="20">
        <v>-0.68</v>
      </c>
      <c r="C997" s="15" t="s">
        <v>7</v>
      </c>
      <c r="D997" s="15"/>
      <c r="E997" s="15" t="s">
        <v>17</v>
      </c>
      <c r="F997" s="15" t="s">
        <v>15</v>
      </c>
      <c r="G997" t="s">
        <v>264</v>
      </c>
      <c r="H997" s="15" t="s">
        <v>434</v>
      </c>
      <c r="I997" s="15"/>
      <c r="J997" s="15"/>
    </row>
    <row r="998" spans="1:10" x14ac:dyDescent="0.2">
      <c r="A998" s="15" t="s">
        <v>265</v>
      </c>
      <c r="B998" s="24">
        <v>-0.32</v>
      </c>
      <c r="C998" s="15" t="s">
        <v>7</v>
      </c>
      <c r="D998" s="15"/>
      <c r="E998" s="15" t="s">
        <v>3</v>
      </c>
      <c r="F998" s="15" t="s">
        <v>15</v>
      </c>
      <c r="G998" s="15" t="s">
        <v>266</v>
      </c>
      <c r="H998" s="15"/>
    </row>
    <row r="1000" spans="1:10" ht="16" x14ac:dyDescent="0.2">
      <c r="A1000" s="6"/>
      <c r="B1000" s="4"/>
    </row>
    <row r="1001" spans="1:10" x14ac:dyDescent="0.2">
      <c r="B1001" s="4"/>
    </row>
    <row r="1002" spans="1:10" ht="16" x14ac:dyDescent="0.2">
      <c r="B1002" s="1"/>
    </row>
    <row r="1003" spans="1:10" ht="16" x14ac:dyDescent="0.2">
      <c r="A1003" s="1"/>
    </row>
    <row r="1010" spans="1:7" ht="16" x14ac:dyDescent="0.2">
      <c r="A1010" s="1"/>
      <c r="B1010" s="15"/>
      <c r="C1010" s="15"/>
      <c r="D1010" s="15"/>
      <c r="E1010" s="15"/>
      <c r="F1010" s="15"/>
      <c r="G1010" s="15"/>
    </row>
    <row r="1011" spans="1:7" x14ac:dyDescent="0.2">
      <c r="A1011" s="15"/>
      <c r="B1011" s="15"/>
      <c r="C1011" s="15"/>
      <c r="D1011" s="15"/>
      <c r="E1011" s="15"/>
      <c r="F1011" s="15"/>
      <c r="G1011" s="15"/>
    </row>
    <row r="1012" spans="1:7" x14ac:dyDescent="0.2">
      <c r="A1012" s="15"/>
    </row>
    <row r="1020" spans="1:7" ht="16" x14ac:dyDescent="0.2">
      <c r="A1020" s="1"/>
    </row>
    <row r="1025" spans="1:2" ht="16" x14ac:dyDescent="0.2">
      <c r="B1025" s="1"/>
    </row>
    <row r="1026" spans="1:2" ht="16" x14ac:dyDescent="0.2">
      <c r="A1026" s="1"/>
    </row>
    <row r="1033" spans="1:2" ht="16" x14ac:dyDescent="0.2">
      <c r="A1033" s="1"/>
    </row>
    <row r="1042" spans="1:2" ht="16" x14ac:dyDescent="0.2">
      <c r="B1042" s="1"/>
    </row>
    <row r="1043" spans="1:2" ht="16" x14ac:dyDescent="0.2">
      <c r="A1043" s="1"/>
    </row>
    <row r="1050" spans="1:2" ht="16" x14ac:dyDescent="0.2">
      <c r="A1050" s="1"/>
    </row>
    <row r="1055" spans="1:2" ht="16" x14ac:dyDescent="0.2">
      <c r="B1055" s="1"/>
    </row>
    <row r="1056" spans="1:2" ht="16" x14ac:dyDescent="0.2">
      <c r="A1056" s="1"/>
    </row>
    <row r="1063" spans="1:2" ht="16" x14ac:dyDescent="0.2">
      <c r="A1063" s="1"/>
    </row>
    <row r="1068" spans="1:2" ht="16" x14ac:dyDescent="0.2">
      <c r="B1068" s="1"/>
    </row>
    <row r="1069" spans="1:2" ht="16" x14ac:dyDescent="0.2">
      <c r="A1069" s="1"/>
    </row>
    <row r="1075" spans="1:8" ht="16" x14ac:dyDescent="0.2">
      <c r="A1075" s="1"/>
      <c r="B1075" s="1"/>
      <c r="C1075" s="1"/>
      <c r="D1075" s="1"/>
      <c r="E1075" s="1"/>
      <c r="F1075" s="1"/>
      <c r="G1075" s="1"/>
      <c r="H1075" s="1"/>
    </row>
    <row r="1076" spans="1:8" ht="16" x14ac:dyDescent="0.2">
      <c r="A1076" s="1"/>
    </row>
    <row r="1079">
      <c r="A1079" t="inlineStr">
        <is>
          <t>Activity</t>
        </is>
      </c>
      <c r="B1079" t="inlineStr">
        <is>
          <t>battery central controls and protection, engineering reference</t>
        </is>
      </c>
    </row>
    <row r="1080">
      <c r="A1080" t="inlineStr">
        <is>
          <t>location</t>
        </is>
      </c>
      <c r="B1080" t="inlineStr">
        <is>
          <t>GLO</t>
        </is>
      </c>
    </row>
    <row r="1081">
      <c r="A1081" t="inlineStr">
        <is>
          <t>production amount</t>
        </is>
      </c>
      <c r="B1081">
        <v>1</v>
      </c>
    </row>
    <row r="1082">
      <c r="A1082" t="inlineStr">
        <is>
          <t>reference product</t>
        </is>
      </c>
      <c r="B1082" t="inlineStr">
        <is>
          <t>battery central controls and protection, engineering reference</t>
        </is>
      </c>
    </row>
    <row r="1083">
      <c r="A1083" t="inlineStr">
        <is>
          <t>unit</t>
        </is>
      </c>
      <c r="B1083" t="inlineStr">
        <is>
          <t>unit</t>
        </is>
      </c>
    </row>
    <row r="1084">
      <c r="A1084" t="inlineStr">
        <is>
          <t>source</t>
        </is>
      </c>
      <c r="B1084" t="inlineStr">
        <is>
          <t>Wickerts corrected SI DOI10.1021/acssuschemeng.4c01782.s001 S26/S27; original Ellingsen2014 SI S39/S40, DOI10.1111/jiec.12072.</t>
        </is>
      </c>
    </row>
    <row r="1085">
      <c r="A1085" t="inlineStr">
        <is>
          <t>comment</t>
        </is>
      </c>
      <c r="B1085" t="inlineStr">
        <is>
          <t>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086">
      <c r="A1086" t="inlineStr">
        <is>
          <t>Exchanges</t>
        </is>
      </c>
    </row>
    <row r="1087">
      <c r="A1087" t="inlineStr">
        <is>
          <t>name</t>
        </is>
      </c>
      <c r="B1087" t="inlineStr">
        <is>
          <t>amount</t>
        </is>
      </c>
      <c r="C1087" t="inlineStr">
        <is>
          <t>location</t>
        </is>
      </c>
      <c r="D1087" t="inlineStr">
        <is>
          <t>unit</t>
        </is>
      </c>
      <c r="E1087" t="inlineStr">
        <is>
          <t>categories</t>
        </is>
      </c>
      <c r="F1087" t="inlineStr">
        <is>
          <t>type</t>
        </is>
      </c>
      <c r="G1087" t="inlineStr">
        <is>
          <t>reference product</t>
        </is>
      </c>
      <c r="H1087" t="inlineStr">
        <is>
          <t>comment</t>
        </is>
      </c>
    </row>
    <row r="1088">
      <c r="A1088" t="inlineStr">
        <is>
          <t>battery central controls and protection, engineering reference</t>
        </is>
      </c>
      <c r="B1088">
        <v>1</v>
      </c>
      <c r="C1088" t="inlineStr">
        <is>
          <t>GLO</t>
        </is>
      </c>
      <c r="D1088" t="inlineStr">
        <is>
          <t>unit</t>
        </is>
      </c>
      <c r="F1088" t="inlineStr">
        <is>
          <t>production</t>
        </is>
      </c>
      <c r="G1088" t="inlineStr">
        <is>
          <t>battery central controls and protection, engineering reference</t>
        </is>
      </c>
    </row>
    <row r="1089">
      <c r="A1089" t="inlineStr">
        <is>
          <t>battery central control board, engineering material reference</t>
        </is>
      </c>
      <c r="B1089">
        <v>0.49</v>
      </c>
      <c r="C1089" t="inlineStr">
        <is>
          <t>GLO</t>
        </is>
      </c>
      <c r="D1089" t="inlineStr">
        <is>
          <t>kilogram</t>
        </is>
      </c>
      <c r="F1089" t="inlineStr">
        <is>
          <t>technosphere</t>
        </is>
      </c>
      <c r="G1089" t="inlineStr">
        <is>
          <t>battery central control board, engineering material reference</t>
        </is>
      </c>
    </row>
    <row r="1090">
      <c r="A1090" t="inlineStr">
        <is>
          <t>high voltage system production, for LiS battery</t>
        </is>
      </c>
      <c r="B1090">
        <v>2.8</v>
      </c>
      <c r="C1090" t="inlineStr">
        <is>
          <t>GLO</t>
        </is>
      </c>
      <c r="D1090" t="inlineStr">
        <is>
          <t>kilogram</t>
        </is>
      </c>
      <c r="F1090" t="inlineStr">
        <is>
          <t>technosphere</t>
        </is>
      </c>
      <c r="G1090" t="inlineStr">
        <is>
          <t>high voltage system</t>
        </is>
      </c>
    </row>
    <row r="1091">
      <c r="A1091" t="inlineStr">
        <is>
          <t>low voltage system production, for LiS battery</t>
        </is>
      </c>
      <c r="B1091">
        <v>1.2</v>
      </c>
      <c r="C1091" t="inlineStr">
        <is>
          <t>GLO</t>
        </is>
      </c>
      <c r="D1091" t="inlineStr">
        <is>
          <t>kilogram</t>
        </is>
      </c>
      <c r="F1091" t="inlineStr">
        <is>
          <t>technosphere</t>
        </is>
      </c>
      <c r="G1091" t="inlineStr">
        <is>
          <t>low voltage system</t>
        </is>
      </c>
    </row>
    <row r="1092">
      <c r="A1092" t="inlineStr">
        <is>
          <t>IBIS fasteners production, for LiS battery</t>
        </is>
      </c>
      <c r="B1092">
        <v>0.028</v>
      </c>
      <c r="C1092" t="inlineStr">
        <is>
          <t>GLO</t>
        </is>
      </c>
      <c r="D1092" t="inlineStr">
        <is>
          <t>kilogram</t>
        </is>
      </c>
      <c r="F1092" t="inlineStr">
        <is>
          <t>technosphere</t>
        </is>
      </c>
      <c r="G1092" t="inlineStr">
        <is>
          <t>IBIS fasteners</t>
        </is>
      </c>
    </row>
    <row r="1095">
      <c r="A1095" t="inlineStr">
        <is>
          <t>Activity</t>
        </is>
      </c>
      <c r="B1095" t="inlineStr">
        <is>
          <t>battery liquid cooling, 10 kg engineering reference</t>
        </is>
      </c>
    </row>
    <row r="1096">
      <c r="A1096" t="inlineStr">
        <is>
          <t>location</t>
        </is>
      </c>
      <c r="B1096" t="inlineStr">
        <is>
          <t>GLO</t>
        </is>
      </c>
    </row>
    <row r="1097">
      <c r="A1097" t="inlineStr">
        <is>
          <t>production amount</t>
        </is>
      </c>
      <c r="B1097">
        <v>1</v>
      </c>
    </row>
    <row r="1098">
      <c r="A1098" t="inlineStr">
        <is>
          <t>reference product</t>
        </is>
      </c>
      <c r="B1098" t="inlineStr">
        <is>
          <t>battery liquid cooling, 10 kg engineering reference</t>
        </is>
      </c>
    </row>
    <row r="1099">
      <c r="A1099" t="inlineStr">
        <is>
          <t>unit</t>
        </is>
      </c>
      <c r="B1099" t="inlineStr">
        <is>
          <t>unit</t>
        </is>
      </c>
    </row>
    <row r="1100">
      <c r="A1100" t="inlineStr">
        <is>
          <t>source</t>
        </is>
      </c>
      <c r="B1100" t="inlineStr">
        <is>
          <t>Wickerts corrected SI DOI10.1021/acssuschemeng.4c01782.s001 S26/S27; original Ellingsen2014 SI S39/S40, DOI10.1111/jiec.12072.</t>
        </is>
      </c>
    </row>
    <row r="1101">
      <c r="A1101" t="inlineStr">
        <is>
          <t>comment</t>
        </is>
      </c>
      <c r="B1101"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102">
      <c r="A1102" t="inlineStr">
        <is>
          <t>Exchanges</t>
        </is>
      </c>
    </row>
    <row r="1103">
      <c r="A1103" t="inlineStr">
        <is>
          <t>name</t>
        </is>
      </c>
      <c r="B1103" t="inlineStr">
        <is>
          <t>amount</t>
        </is>
      </c>
      <c r="C1103" t="inlineStr">
        <is>
          <t>location</t>
        </is>
      </c>
      <c r="D1103" t="inlineStr">
        <is>
          <t>unit</t>
        </is>
      </c>
      <c r="E1103" t="inlineStr">
        <is>
          <t>categories</t>
        </is>
      </c>
      <c r="F1103" t="inlineStr">
        <is>
          <t>type</t>
        </is>
      </c>
      <c r="G1103" t="inlineStr">
        <is>
          <t>reference product</t>
        </is>
      </c>
      <c r="H1103" t="inlineStr">
        <is>
          <t>comment</t>
        </is>
      </c>
    </row>
    <row r="1104">
      <c r="A1104" t="inlineStr">
        <is>
          <t>battery liquid cooling, 10 kg engineering reference</t>
        </is>
      </c>
      <c r="B1104">
        <v>1</v>
      </c>
      <c r="C1104" t="inlineStr">
        <is>
          <t>GLO</t>
        </is>
      </c>
      <c r="D1104" t="inlineStr">
        <is>
          <t>unit</t>
        </is>
      </c>
      <c r="F1104" t="inlineStr">
        <is>
          <t>production</t>
        </is>
      </c>
      <c r="G1104" t="inlineStr">
        <is>
          <t>battery liquid cooling, 10 kg engineering reference</t>
        </is>
      </c>
    </row>
    <row r="1105">
      <c r="A1105" t="inlineStr">
        <is>
          <t>market for aluminium, wrought alloy</t>
        </is>
      </c>
      <c r="B1105">
        <v>9.08</v>
      </c>
      <c r="C1105" t="inlineStr">
        <is>
          <t>GLO</t>
        </is>
      </c>
      <c r="D1105" t="inlineStr">
        <is>
          <t>kilogram</t>
        </is>
      </c>
      <c r="F1105" t="inlineStr">
        <is>
          <t>technosphere</t>
        </is>
      </c>
      <c r="G1105" t="inlineStr">
        <is>
          <t>aluminium, wrought alloy</t>
        </is>
      </c>
    </row>
    <row r="1106">
      <c r="A1106" t="inlineStr">
        <is>
          <t>market for steel, low-alloyed</t>
        </is>
      </c>
      <c r="B1106">
        <v>0.23</v>
      </c>
      <c r="C1106" t="inlineStr">
        <is>
          <t>GLO</t>
        </is>
      </c>
      <c r="D1106" t="inlineStr">
        <is>
          <t>kilogram</t>
        </is>
      </c>
      <c r="F1106" t="inlineStr">
        <is>
          <t>technosphere</t>
        </is>
      </c>
      <c r="G1106" t="inlineStr">
        <is>
          <t>steel, low-alloyed</t>
        </is>
      </c>
    </row>
    <row r="1107">
      <c r="A1107" t="inlineStr">
        <is>
          <t>market for polyvinylchloride, bulk polymerised</t>
        </is>
      </c>
      <c r="B1107">
        <v>0.0072</v>
      </c>
      <c r="C1107" t="inlineStr">
        <is>
          <t>GLO</t>
        </is>
      </c>
      <c r="D1107" t="inlineStr">
        <is>
          <t>kilogram</t>
        </is>
      </c>
      <c r="F1107" t="inlineStr">
        <is>
          <t>technosphere</t>
        </is>
      </c>
      <c r="G1107" t="inlineStr">
        <is>
          <t>polyvinylchloride, bulk polymerised</t>
        </is>
      </c>
    </row>
    <row r="1108">
      <c r="A1108" t="inlineStr">
        <is>
          <t>synthetic rubber production</t>
        </is>
      </c>
      <c r="B1108">
        <v>0.0024</v>
      </c>
      <c r="C1108" t="inlineStr">
        <is>
          <t>RER</t>
        </is>
      </c>
      <c r="D1108" t="inlineStr">
        <is>
          <t>kilogram</t>
        </is>
      </c>
      <c r="F1108" t="inlineStr">
        <is>
          <t>technosphere</t>
        </is>
      </c>
      <c r="G1108" t="inlineStr">
        <is>
          <t>synthetic rubber</t>
        </is>
      </c>
    </row>
    <row r="1109">
      <c r="A1109" t="inlineStr">
        <is>
          <t>silicon production, electronics grade</t>
        </is>
      </c>
      <c r="B1109">
        <v>0.06</v>
      </c>
      <c r="C1109" t="inlineStr">
        <is>
          <t>DE</t>
        </is>
      </c>
      <c r="D1109" t="inlineStr">
        <is>
          <t>kilogram</t>
        </is>
      </c>
      <c r="F1109" t="inlineStr">
        <is>
          <t>technosphere</t>
        </is>
      </c>
      <c r="G1109" t="inlineStr">
        <is>
          <t>silicon, electronics grade</t>
        </is>
      </c>
    </row>
    <row r="1110">
      <c r="A1110" t="inlineStr">
        <is>
          <t>market for glass fibre</t>
        </is>
      </c>
      <c r="B1110">
        <v>0.02</v>
      </c>
      <c r="C1110" t="inlineStr">
        <is>
          <t>GLO</t>
        </is>
      </c>
      <c r="D1110" t="inlineStr">
        <is>
          <t>kilogram</t>
        </is>
      </c>
      <c r="F1110" t="inlineStr">
        <is>
          <t>technosphere</t>
        </is>
      </c>
      <c r="G1110" t="inlineStr">
        <is>
          <t>glass fibre</t>
        </is>
      </c>
    </row>
    <row r="1111">
      <c r="A1111" t="inlineStr">
        <is>
          <t>market for acrylonitrile-butadiene-styrene copolymer</t>
        </is>
      </c>
      <c r="B1111">
        <v>0.12</v>
      </c>
      <c r="C1111" t="inlineStr">
        <is>
          <t>GLO</t>
        </is>
      </c>
      <c r="D1111" t="inlineStr">
        <is>
          <t>kilogram</t>
        </is>
      </c>
      <c r="F1111" t="inlineStr">
        <is>
          <t>technosphere</t>
        </is>
      </c>
      <c r="G1111" t="inlineStr">
        <is>
          <t>acrylonitrile-butadiene-styrene copolymer</t>
        </is>
      </c>
    </row>
    <row r="1112">
      <c r="A1112" t="inlineStr">
        <is>
          <t>ethylene glycol production</t>
        </is>
      </c>
      <c r="B1112">
        <v>0.48</v>
      </c>
      <c r="C1112" t="inlineStr">
        <is>
          <t>RER</t>
        </is>
      </c>
      <c r="D1112" t="inlineStr">
        <is>
          <t>kilogram</t>
        </is>
      </c>
      <c r="F1112" t="inlineStr">
        <is>
          <t>technosphere</t>
        </is>
      </c>
      <c r="G1112" t="inlineStr">
        <is>
          <t>ethylene glycol</t>
        </is>
      </c>
    </row>
    <row r="1113">
      <c r="A1113" t="inlineStr">
        <is>
          <t>metal working, average for aluminium product manufacturing</t>
        </is>
      </c>
      <c r="B1113">
        <v>9.08</v>
      </c>
      <c r="C1113" t="inlineStr">
        <is>
          <t>RER</t>
        </is>
      </c>
      <c r="D1113" t="inlineStr">
        <is>
          <t>kilogram</t>
        </is>
      </c>
      <c r="F1113" t="inlineStr">
        <is>
          <t>technosphere</t>
        </is>
      </c>
      <c r="G1113" t="inlineStr">
        <is>
          <t>metal working, average for aluminium product manufacturing</t>
        </is>
      </c>
    </row>
    <row r="1114">
      <c r="A1114" t="inlineStr">
        <is>
          <t>metal working, average for steel product manufacturing</t>
        </is>
      </c>
      <c r="B1114">
        <v>0.23</v>
      </c>
      <c r="C1114" t="inlineStr">
        <is>
          <t>RER</t>
        </is>
      </c>
      <c r="D1114" t="inlineStr">
        <is>
          <t>kilogram</t>
        </is>
      </c>
      <c r="F1114" t="inlineStr">
        <is>
          <t>technosphere</t>
        </is>
      </c>
      <c r="G1114" t="inlineStr">
        <is>
          <t>metal working, average for steel product manufacturing</t>
        </is>
      </c>
    </row>
    <row r="1115">
      <c r="A1115" t="inlineStr">
        <is>
          <t>injection moulding</t>
        </is>
      </c>
      <c r="B1115">
        <v>0.1296</v>
      </c>
      <c r="C1115" t="inlineStr">
        <is>
          <t>RER</t>
        </is>
      </c>
      <c r="D1115" t="inlineStr">
        <is>
          <t>kilogram</t>
        </is>
      </c>
      <c r="F1115" t="inlineStr">
        <is>
          <t>technosphere</t>
        </is>
      </c>
      <c r="G1115" t="inlineStr">
        <is>
          <t>injection moulding</t>
        </is>
      </c>
    </row>
    <row r="1118">
      <c r="A1118" t="inlineStr">
        <is>
          <t>Activity</t>
        </is>
      </c>
      <c r="B1118" t="inlineStr">
        <is>
          <t>battery controls and cooling, 16-module engineering reference</t>
        </is>
      </c>
    </row>
    <row r="1119">
      <c r="A1119" t="inlineStr">
        <is>
          <t>location</t>
        </is>
      </c>
      <c r="B1119" t="inlineStr">
        <is>
          <t>GLO</t>
        </is>
      </c>
    </row>
    <row r="1120">
      <c r="A1120" t="inlineStr">
        <is>
          <t>production amount</t>
        </is>
      </c>
      <c r="B1120">
        <v>1</v>
      </c>
    </row>
    <row r="1121">
      <c r="A1121" t="inlineStr">
        <is>
          <t>reference product</t>
        </is>
      </c>
      <c r="B1121" t="inlineStr">
        <is>
          <t>battery controls and cooling, 16-module engineering reference</t>
        </is>
      </c>
    </row>
    <row r="1122">
      <c r="A1122" t="inlineStr">
        <is>
          <t>unit</t>
        </is>
      </c>
      <c r="B1122" t="inlineStr">
        <is>
          <t>unit</t>
        </is>
      </c>
    </row>
    <row r="1123">
      <c r="A1123" t="inlineStr">
        <is>
          <t>source</t>
        </is>
      </c>
      <c r="B1123" t="inlineStr">
        <is>
          <t>Wickerts corrected SI DOI10.1021/acssuschemeng.4c01782.s001 S26/S27; original Ellingsen2014 SI S39/S40, DOI10.1111/jiec.12072.</t>
        </is>
      </c>
    </row>
    <row r="1124">
      <c r="A1124" t="inlineStr">
        <is>
          <t>comment</t>
        </is>
      </c>
      <c r="B1124" t="inlineStr">
        <is>
          <t>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125">
      <c r="A1125" t="inlineStr">
        <is>
          <t>Exchanges</t>
        </is>
      </c>
    </row>
    <row r="1126">
      <c r="A1126" t="inlineStr">
        <is>
          <t>name</t>
        </is>
      </c>
      <c r="B1126" t="inlineStr">
        <is>
          <t>amount</t>
        </is>
      </c>
      <c r="C1126" t="inlineStr">
        <is>
          <t>location</t>
        </is>
      </c>
      <c r="D1126" t="inlineStr">
        <is>
          <t>unit</t>
        </is>
      </c>
      <c r="E1126" t="inlineStr">
        <is>
          <t>categories</t>
        </is>
      </c>
      <c r="F1126" t="inlineStr">
        <is>
          <t>type</t>
        </is>
      </c>
      <c r="G1126" t="inlineStr">
        <is>
          <t>reference product</t>
        </is>
      </c>
      <c r="H1126" t="inlineStr">
        <is>
          <t>comment</t>
        </is>
      </c>
    </row>
    <row r="1127">
      <c r="A1127" t="inlineStr">
        <is>
          <t>battery controls and cooling, 16-module engineering reference</t>
        </is>
      </c>
      <c r="B1127">
        <v>1</v>
      </c>
      <c r="C1127" t="inlineStr">
        <is>
          <t>GLO</t>
        </is>
      </c>
      <c r="D1127" t="inlineStr">
        <is>
          <t>unit</t>
        </is>
      </c>
      <c r="F1127" t="inlineStr">
        <is>
          <t>production</t>
        </is>
      </c>
      <c r="G1127" t="inlineStr">
        <is>
          <t>battery controls and cooling, 16-module engineering reference</t>
        </is>
      </c>
    </row>
    <row r="1128">
      <c r="A1128" t="inlineStr">
        <is>
          <t>battery central controls and protection, engineering reference</t>
        </is>
      </c>
      <c r="B1128">
        <v>1</v>
      </c>
      <c r="C1128" t="inlineStr">
        <is>
          <t>GLO</t>
        </is>
      </c>
      <c r="D1128" t="inlineStr">
        <is>
          <t>unit</t>
        </is>
      </c>
      <c r="F1128" t="inlineStr">
        <is>
          <t>technosphere</t>
        </is>
      </c>
      <c r="G1128" t="inlineStr">
        <is>
          <t>battery central controls and protection, engineering reference</t>
        </is>
      </c>
    </row>
    <row r="1129">
      <c r="A1129" t="inlineStr">
        <is>
          <t>battery module control board, engineering material reference</t>
        </is>
      </c>
      <c r="B1129">
        <v>1.1</v>
      </c>
      <c r="C1129" t="inlineStr">
        <is>
          <t>GLO</t>
        </is>
      </c>
      <c r="D1129" t="inlineStr">
        <is>
          <t>kilogram</t>
        </is>
      </c>
      <c r="F1129" t="inlineStr">
        <is>
          <t>technosphere</t>
        </is>
      </c>
      <c r="G1129" t="inlineStr">
        <is>
          <t>battery module control board, engineering material reference</t>
        </is>
      </c>
    </row>
    <row r="1130">
      <c r="A1130" t="inlineStr">
        <is>
          <t>battery liquid cooling, 10 kg engineering reference</t>
        </is>
      </c>
      <c r="B1130">
        <v>1</v>
      </c>
      <c r="C1130" t="inlineStr">
        <is>
          <t>GLO</t>
        </is>
      </c>
      <c r="D1130" t="inlineStr">
        <is>
          <t>unit</t>
        </is>
      </c>
      <c r="F1130" t="inlineStr">
        <is>
          <t>technosphere</t>
        </is>
      </c>
      <c r="G1130" t="inlineStr">
        <is>
          <t>battery liquid cooling, 10 kg engineering reference</t>
        </is>
      </c>
    </row>
    <row r="1131">
      <c r="A1131" t="inlineStr">
        <is>
          <t>market for used Li-ion battery</t>
        </is>
      </c>
      <c r="B1131">
        <v>-15.6176</v>
      </c>
      <c r="C1131" t="inlineStr">
        <is>
          <t>GLO</t>
        </is>
      </c>
      <c r="D1131" t="inlineStr">
        <is>
          <t>kilogram</t>
        </is>
      </c>
      <c r="F1131" t="inlineStr">
        <is>
          <t>technosphere</t>
        </is>
      </c>
      <c r="G1131" t="inlineStr">
        <is>
          <t>used Li-ion battery</t>
        </is>
      </c>
    </row>
    <row r="1134">
      <c r="A1134" t="inlineStr">
        <is>
          <t>Activity</t>
        </is>
      </c>
      <c r="B1134" t="inlineStr">
        <is>
          <t>lithium foil rolling service, engineering reference</t>
        </is>
      </c>
    </row>
    <row r="1135">
      <c r="A1135" t="inlineStr">
        <is>
          <t>location</t>
        </is>
      </c>
      <c r="B1135" t="inlineStr">
        <is>
          <t>GLO</t>
        </is>
      </c>
    </row>
    <row r="1136">
      <c r="A1136" t="inlineStr">
        <is>
          <t>production amount</t>
        </is>
      </c>
      <c r="B1136">
        <v>1</v>
      </c>
    </row>
    <row r="1137">
      <c r="A1137" t="inlineStr">
        <is>
          <t>reference product</t>
        </is>
      </c>
      <c r="B1137" t="inlineStr">
        <is>
          <t>lithium foil rolling service, engineering reference</t>
        </is>
      </c>
    </row>
    <row r="1138">
      <c r="A1138" t="inlineStr">
        <is>
          <t>unit</t>
        </is>
      </c>
      <c r="B1138" t="inlineStr">
        <is>
          <t>kilogram</t>
        </is>
      </c>
    </row>
    <row r="1139">
      <c r="A1139" t="inlineStr">
        <is>
          <t>source</t>
        </is>
      </c>
      <c r="B1139" t="inlineStr">
        <is>
          <t>Wickerts corrected SI DOI10.1021/acssuschemeng.4c01782.s001 TableS17 requires lithium-adapted rolling; processing assumptions below are an engineering completion, not reported measurements.</t>
        </is>
      </c>
    </row>
    <row r="1140">
      <c r="A1140" t="inlineStr">
        <is>
          <t>comment</t>
        </is>
      </c>
      <c r="B1140" t="inlineStr">
        <is>
          <t>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t>
        </is>
      </c>
    </row>
    <row r="1141">
      <c r="A1141" t="inlineStr">
        <is>
          <t>Exchanges</t>
        </is>
      </c>
    </row>
    <row r="1142">
      <c r="A1142" t="inlineStr">
        <is>
          <t>name</t>
        </is>
      </c>
      <c r="B1142" t="inlineStr">
        <is>
          <t>amount</t>
        </is>
      </c>
      <c r="C1142" t="inlineStr">
        <is>
          <t>location</t>
        </is>
      </c>
      <c r="D1142" t="inlineStr">
        <is>
          <t>unit</t>
        </is>
      </c>
      <c r="E1142" t="inlineStr">
        <is>
          <t>categories</t>
        </is>
      </c>
      <c r="F1142" t="inlineStr">
        <is>
          <t>type</t>
        </is>
      </c>
      <c r="G1142" t="inlineStr">
        <is>
          <t>reference product</t>
        </is>
      </c>
      <c r="H1142" t="inlineStr">
        <is>
          <t>comment</t>
        </is>
      </c>
    </row>
    <row r="1143">
      <c r="A1143" t="inlineStr">
        <is>
          <t>lithium foil rolling service, engineering reference</t>
        </is>
      </c>
      <c r="B1143">
        <v>1</v>
      </c>
      <c r="C1143" t="inlineStr">
        <is>
          <t>GLO</t>
        </is>
      </c>
      <c r="D1143" t="inlineStr">
        <is>
          <t>kilogram</t>
        </is>
      </c>
      <c r="F1143" t="inlineStr">
        <is>
          <t>production</t>
        </is>
      </c>
      <c r="G1143" t="inlineStr">
        <is>
          <t>lithium foil rolling service, engineering reference</t>
        </is>
      </c>
    </row>
    <row r="1144">
      <c r="A1144" t="inlineStr">
        <is>
          <t>market group for electricity, medium voltage</t>
        </is>
      </c>
      <c r="B1144">
        <v>0.5</v>
      </c>
      <c r="C1144" t="inlineStr">
        <is>
          <t>GLO</t>
        </is>
      </c>
      <c r="D1144" t="inlineStr">
        <is>
          <t>kilowatt hour</t>
        </is>
      </c>
      <c r="F1144" t="inlineStr">
        <is>
          <t>technosphere</t>
        </is>
      </c>
      <c r="G1144" t="inlineStr">
        <is>
          <t>electricity, medium voltage</t>
        </is>
      </c>
    </row>
    <row r="1147">
      <c r="A1147" t="inlineStr">
        <is>
          <t>Activity</t>
        </is>
      </c>
      <c r="B1147" t="inlineStr">
        <is>
          <t>battery monitor semiconductor, declared copper-wire package reference</t>
        </is>
      </c>
    </row>
    <row r="1148">
      <c r="A1148" t="inlineStr">
        <is>
          <t>location</t>
        </is>
      </c>
      <c r="B1148" t="inlineStr">
        <is>
          <t>GLO</t>
        </is>
      </c>
    </row>
    <row r="1149">
      <c r="A1149" t="inlineStr">
        <is>
          <t>production amount</t>
        </is>
      </c>
      <c r="B1149">
        <v>1</v>
      </c>
    </row>
    <row r="1150">
      <c r="A1150" t="inlineStr">
        <is>
          <t>reference product</t>
        </is>
      </c>
      <c r="B1150" t="inlineStr">
        <is>
          <t>battery monitor semiconductor, declared copper-wire package reference</t>
        </is>
      </c>
    </row>
    <row r="1151">
      <c r="A1151" t="inlineStr">
        <is>
          <t>unit</t>
        </is>
      </c>
      <c r="B1151" t="inlineStr">
        <is>
          <t>unit</t>
        </is>
      </c>
    </row>
    <row r="1152">
      <c r="A1152" t="inlineStr">
        <is>
          <t>source</t>
        </is>
      </c>
      <c r="B1152" t="inlineStr">
        <is>
          <t>TI TIDA020076 public BOM https://www.ti.com/lit/pdf/SLURB87; TI BQ79616PAPRQ1 material declaration https://www.ti.com/quality-reliability-packaging-download/report?opn=BQ79616PAPRQ1; TI CC2662 BCU guide https://www.ti.com/lit/pdf/SWRU641.</t>
        </is>
      </c>
    </row>
    <row r="1153">
      <c r="A1153" t="inlineStr">
        <is>
          <t>comment</t>
        </is>
      </c>
      <c r="B1153" t="inlineStr">
        <is>
          <t>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t>
        </is>
      </c>
    </row>
    <row r="1154">
      <c r="A1154" t="inlineStr">
        <is>
          <t>Exchanges</t>
        </is>
      </c>
    </row>
    <row r="1155">
      <c r="A1155" t="inlineStr">
        <is>
          <t>name</t>
        </is>
      </c>
      <c r="B1155" t="inlineStr">
        <is>
          <t>amount</t>
        </is>
      </c>
      <c r="C1155" t="inlineStr">
        <is>
          <t>location</t>
        </is>
      </c>
      <c r="D1155" t="inlineStr">
        <is>
          <t>unit</t>
        </is>
      </c>
      <c r="E1155" t="inlineStr">
        <is>
          <t>categories</t>
        </is>
      </c>
      <c r="F1155" t="inlineStr">
        <is>
          <t>type</t>
        </is>
      </c>
      <c r="G1155" t="inlineStr">
        <is>
          <t>reference product</t>
        </is>
      </c>
      <c r="H1155" t="inlineStr">
        <is>
          <t>comment</t>
        </is>
      </c>
    </row>
    <row r="1156">
      <c r="A1156" t="inlineStr">
        <is>
          <t>battery monitor semiconductor, declared copper-wire package reference</t>
        </is>
      </c>
      <c r="B1156">
        <v>1</v>
      </c>
      <c r="C1156" t="inlineStr">
        <is>
          <t>GLO</t>
        </is>
      </c>
      <c r="D1156" t="inlineStr">
        <is>
          <t>unit</t>
        </is>
      </c>
      <c r="F1156" t="inlineStr">
        <is>
          <t>production</t>
        </is>
      </c>
      <c r="G1156" t="inlineStr">
        <is>
          <t>battery monitor semiconductor, declared copper-wire package reference</t>
        </is>
      </c>
    </row>
    <row r="1157">
      <c r="A1157" t="inlineStr">
        <is>
          <t>market for copper, cathode</t>
        </is>
      </c>
      <c r="B1157">
        <v>0.00017748693999999999</v>
      </c>
      <c r="C1157" t="inlineStr">
        <is>
          <t>GLO</t>
        </is>
      </c>
      <c r="D1157" t="inlineStr">
        <is>
          <t>kilogram</t>
        </is>
      </c>
      <c r="F1157" t="inlineStr">
        <is>
          <t>technosphere</t>
        </is>
      </c>
      <c r="G1157" t="inlineStr">
        <is>
          <t>copper, cathode</t>
        </is>
      </c>
    </row>
    <row r="1158">
      <c r="A1158" t="inlineStr">
        <is>
          <t>market for steel, low-alloyed</t>
        </is>
      </c>
      <c r="B1158">
        <v>4.0023129999999995e-06</v>
      </c>
      <c r="C1158" t="inlineStr">
        <is>
          <t>GLO</t>
        </is>
      </c>
      <c r="D1158" t="inlineStr">
        <is>
          <t>kilogram</t>
        </is>
      </c>
      <c r="F1158" t="inlineStr">
        <is>
          <t>technosphere</t>
        </is>
      </c>
      <c r="G1158" t="inlineStr">
        <is>
          <t>steel, low-alloyed</t>
        </is>
      </c>
    </row>
    <row r="1159">
      <c r="A1159" t="inlineStr">
        <is>
          <t>market for nickel, class 1</t>
        </is>
      </c>
      <c r="B1159">
        <v>4.174818e-06</v>
      </c>
      <c r="C1159" t="inlineStr">
        <is>
          <t>GLO</t>
        </is>
      </c>
      <c r="D1159" t="inlineStr">
        <is>
          <t>kilogram</t>
        </is>
      </c>
      <c r="F1159" t="inlineStr">
        <is>
          <t>technosphere</t>
        </is>
      </c>
      <c r="G1159" t="inlineStr">
        <is>
          <t>nickel, class 1</t>
        </is>
      </c>
    </row>
    <row r="1160">
      <c r="A1160" t="inlineStr">
        <is>
          <t>market for sulfur</t>
        </is>
      </c>
      <c r="B1160">
        <v>1e-12</v>
      </c>
      <c r="C1160" t="inlineStr">
        <is>
          <t>GLO</t>
        </is>
      </c>
      <c r="D1160" t="inlineStr">
        <is>
          <t>kilogram</t>
        </is>
      </c>
      <c r="F1160" t="inlineStr">
        <is>
          <t>technosphere</t>
        </is>
      </c>
      <c r="G1160" t="inlineStr">
        <is>
          <t>sulfur</t>
        </is>
      </c>
    </row>
    <row r="1161">
      <c r="A1161" t="inlineStr">
        <is>
          <t>market for manganese</t>
        </is>
      </c>
      <c r="B1161">
        <v>2e-12</v>
      </c>
      <c r="C1161" t="inlineStr">
        <is>
          <t>GLO</t>
        </is>
      </c>
      <c r="D1161" t="inlineStr">
        <is>
          <t>kilogram</t>
        </is>
      </c>
      <c r="F1161" t="inlineStr">
        <is>
          <t>technosphere</t>
        </is>
      </c>
      <c r="G1161" t="inlineStr">
        <is>
          <t>manganese</t>
        </is>
      </c>
    </row>
    <row r="1162">
      <c r="A1162" t="inlineStr">
        <is>
          <t>market for silver</t>
        </is>
      </c>
      <c r="B1162">
        <v>4.372259e-06</v>
      </c>
      <c r="C1162" t="inlineStr">
        <is>
          <t>GLO</t>
        </is>
      </c>
      <c r="D1162" t="inlineStr">
        <is>
          <t>kilogram</t>
        </is>
      </c>
      <c r="F1162" t="inlineStr">
        <is>
          <t>technosphere</t>
        </is>
      </c>
      <c r="G1162" t="inlineStr">
        <is>
          <t>silver</t>
        </is>
      </c>
    </row>
    <row r="1163">
      <c r="A1163" t="inlineStr">
        <is>
          <t>market for epoxy resin, liquid</t>
        </is>
      </c>
      <c r="B1163">
        <v>1.2388582e-05</v>
      </c>
      <c r="C1163" t="inlineStr">
        <is>
          <t>RER</t>
        </is>
      </c>
      <c r="D1163" t="inlineStr">
        <is>
          <t>kilogram</t>
        </is>
      </c>
      <c r="F1163" t="inlineStr">
        <is>
          <t>technosphere</t>
        </is>
      </c>
      <c r="G1163" t="inlineStr">
        <is>
          <t>epoxy resin, liquid</t>
        </is>
      </c>
    </row>
    <row r="1164">
      <c r="A1164" t="inlineStr">
        <is>
          <t>market for lead</t>
        </is>
      </c>
      <c r="B1164">
        <v>1.81e-10</v>
      </c>
      <c r="C1164" t="inlineStr">
        <is>
          <t>GLO</t>
        </is>
      </c>
      <c r="D1164" t="inlineStr">
        <is>
          <t>kilogram</t>
        </is>
      </c>
      <c r="F1164" t="inlineStr">
        <is>
          <t>technosphere</t>
        </is>
      </c>
      <c r="G1164" t="inlineStr">
        <is>
          <t>lead</t>
        </is>
      </c>
    </row>
    <row r="1165">
      <c r="A1165" t="inlineStr">
        <is>
          <t>market for zinc</t>
        </is>
      </c>
      <c r="B1165">
        <v>2.33619e-07</v>
      </c>
      <c r="C1165" t="inlineStr">
        <is>
          <t>GLO</t>
        </is>
      </c>
      <c r="D1165" t="inlineStr">
        <is>
          <t>kilogram</t>
        </is>
      </c>
      <c r="F1165" t="inlineStr">
        <is>
          <t>technosphere</t>
        </is>
      </c>
      <c r="G1165" t="inlineStr">
        <is>
          <t>zinc</t>
        </is>
      </c>
    </row>
    <row r="1166">
      <c r="A1166" t="inlineStr">
        <is>
          <t>market for gold</t>
        </is>
      </c>
      <c r="B1166">
        <v>3.4234e-08</v>
      </c>
      <c r="C1166" t="inlineStr">
        <is>
          <t>GLO</t>
        </is>
      </c>
      <c r="D1166" t="inlineStr">
        <is>
          <t>kilogram</t>
        </is>
      </c>
      <c r="F1166" t="inlineStr">
        <is>
          <t>technosphere</t>
        </is>
      </c>
      <c r="G1166" t="inlineStr">
        <is>
          <t>gold</t>
        </is>
      </c>
    </row>
    <row r="1167">
      <c r="A1167" t="inlineStr">
        <is>
          <t>market for palladium</t>
        </is>
      </c>
      <c r="B1167">
        <v>1.79949e-07</v>
      </c>
      <c r="C1167" t="inlineStr">
        <is>
          <t>GLO</t>
        </is>
      </c>
      <c r="D1167" t="inlineStr">
        <is>
          <t>kilogram</t>
        </is>
      </c>
      <c r="F1167" t="inlineStr">
        <is>
          <t>technosphere</t>
        </is>
      </c>
      <c r="G1167" t="inlineStr">
        <is>
          <t>palladium</t>
        </is>
      </c>
    </row>
    <row r="1168">
      <c r="A1168" t="inlineStr">
        <is>
          <t>market for phenolic resin</t>
        </is>
      </c>
      <c r="B1168">
        <v>4.646803e-06</v>
      </c>
      <c r="C1168" t="inlineStr">
        <is>
          <t>RER</t>
        </is>
      </c>
      <c r="D1168" t="inlineStr">
        <is>
          <t>kilogram</t>
        </is>
      </c>
      <c r="F1168" t="inlineStr">
        <is>
          <t>technosphere</t>
        </is>
      </c>
      <c r="G1168" t="inlineStr">
        <is>
          <t>phenolic resin</t>
        </is>
      </c>
    </row>
    <row r="1169">
      <c r="A1169" t="inlineStr">
        <is>
          <t>market for silica sand</t>
        </is>
      </c>
      <c r="B1169">
        <v>0.00013785516</v>
      </c>
      <c r="C1169" t="inlineStr">
        <is>
          <t>GLO</t>
        </is>
      </c>
      <c r="D1169" t="inlineStr">
        <is>
          <t>kilogram</t>
        </is>
      </c>
      <c r="F1169" t="inlineStr">
        <is>
          <t>technosphere</t>
        </is>
      </c>
      <c r="G1169" t="inlineStr">
        <is>
          <t>silica sand</t>
        </is>
      </c>
    </row>
    <row r="1170">
      <c r="A1170" t="inlineStr">
        <is>
          <t>market for carbon black</t>
        </is>
      </c>
      <c r="B1170">
        <v>7.74467e-07</v>
      </c>
      <c r="C1170" t="inlineStr">
        <is>
          <t>GLO</t>
        </is>
      </c>
      <c r="D1170" t="inlineStr">
        <is>
          <t>kilogram</t>
        </is>
      </c>
      <c r="F1170" t="inlineStr">
        <is>
          <t>technosphere</t>
        </is>
      </c>
      <c r="G1170" t="inlineStr">
        <is>
          <t>carbon black</t>
        </is>
      </c>
    </row>
    <row r="1171">
      <c r="A1171" t="inlineStr">
        <is>
          <t>market for wafer, fabricated, for integrated circuit</t>
        </is>
      </c>
      <c r="B1171">
        <v>2.9021567954220318e-05</v>
      </c>
      <c r="C1171" t="inlineStr">
        <is>
          <t>GLO</t>
        </is>
      </c>
      <c r="D1171" t="inlineStr">
        <is>
          <t>square meter</t>
        </is>
      </c>
      <c r="F1171" t="inlineStr">
        <is>
          <t>technosphere</t>
        </is>
      </c>
      <c r="G1171" t="inlineStr">
        <is>
          <t>wafer, fabricated, for integrated circuit</t>
        </is>
      </c>
    </row>
    <row r="1174">
      <c r="A1174" t="inlineStr">
        <is>
          <t>Activity</t>
        </is>
      </c>
      <c r="B1174" t="inlineStr">
        <is>
          <t>battery central control board, engineering material reference</t>
        </is>
      </c>
    </row>
    <row r="1175">
      <c r="A1175" t="inlineStr">
        <is>
          <t>location</t>
        </is>
      </c>
      <c r="B1175" t="inlineStr">
        <is>
          <t>GLO</t>
        </is>
      </c>
    </row>
    <row r="1176">
      <c r="A1176" t="inlineStr">
        <is>
          <t>production amount</t>
        </is>
      </c>
      <c r="B1176">
        <v>1</v>
      </c>
    </row>
    <row r="1177">
      <c r="A1177" t="inlineStr">
        <is>
          <t>reference product</t>
        </is>
      </c>
      <c r="B1177" t="inlineStr">
        <is>
          <t>battery central control board, engineering material reference</t>
        </is>
      </c>
    </row>
    <row r="1178">
      <c r="A1178" t="inlineStr">
        <is>
          <t>unit</t>
        </is>
      </c>
      <c r="B1178" t="inlineStr">
        <is>
          <t>kilogram</t>
        </is>
      </c>
    </row>
    <row r="1179">
      <c r="A1179" t="inlineStr">
        <is>
          <t>source</t>
        </is>
      </c>
      <c r="B1179" t="inlineStr">
        <is>
          <t>TI TIDA020076 public BOM https://www.ti.com/lit/pdf/SLURB87; TI BQ79616PAPRQ1 material declaration https://www.ti.com/quality-reliability-packaging-download/report?opn=BQ79616PAPRQ1; TI CC2662 BCU guide https://www.ti.com/lit/pdf/SWRU641.</t>
        </is>
      </c>
    </row>
    <row r="1180">
      <c r="A1180" t="inlineStr">
        <is>
          <t>comment</t>
        </is>
      </c>
      <c r="B1180" t="inlineStr">
        <is>
          <t>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
PREVIOUS NOTES (retained as history; the correction above takes precedence):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
PREVIOUS NOTES (retained as history; the correction above takes precedence):
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t>
        </is>
      </c>
    </row>
    <row r="1181">
      <c r="A1181" t="inlineStr">
        <is>
          <t>Exchanges</t>
        </is>
      </c>
    </row>
    <row r="1182">
      <c r="A1182" t="inlineStr">
        <is>
          <t>name</t>
        </is>
      </c>
      <c r="B1182" t="inlineStr">
        <is>
          <t>amount</t>
        </is>
      </c>
      <c r="C1182" t="inlineStr">
        <is>
          <t>location</t>
        </is>
      </c>
      <c r="D1182" t="inlineStr">
        <is>
          <t>unit</t>
        </is>
      </c>
      <c r="E1182" t="inlineStr">
        <is>
          <t>categories</t>
        </is>
      </c>
      <c r="F1182" t="inlineStr">
        <is>
          <t>type</t>
        </is>
      </c>
      <c r="G1182" t="inlineStr">
        <is>
          <t>reference product</t>
        </is>
      </c>
      <c r="H1182" t="inlineStr">
        <is>
          <t>comment</t>
        </is>
      </c>
      <c r="I1182" t="inlineStr">
        <is>
          <t>product</t>
        </is>
      </c>
    </row>
    <row r="1183">
      <c r="A1183" t="inlineStr">
        <is>
          <t>battery central control board, engineering material reference</t>
        </is>
      </c>
      <c r="B1183">
        <v>1</v>
      </c>
      <c r="C1183" t="inlineStr">
        <is>
          <t>GLO</t>
        </is>
      </c>
      <c r="D1183" t="inlineStr">
        <is>
          <t>kilogram</t>
        </is>
      </c>
      <c r="F1183" t="inlineStr">
        <is>
          <t>production</t>
        </is>
      </c>
      <c r="G1183" t="inlineStr">
        <is>
          <t>battery central control board, engineering material reference</t>
        </is>
      </c>
      <c r="I1183" t="inlineStr">
        <is>
          <t>battery central control board, engineering material reference</t>
        </is>
      </c>
    </row>
    <row r="1184">
      <c r="A1184" t="inlineStr">
        <is>
          <t>market for glass fibre</t>
        </is>
      </c>
      <c r="B1184">
        <v>0.38152524167561763</v>
      </c>
      <c r="C1184" t="inlineStr">
        <is>
          <t>GLO</t>
        </is>
      </c>
      <c r="D1184" t="inlineStr">
        <is>
          <t>kilogram</t>
        </is>
      </c>
      <c r="F1184" t="inlineStr">
        <is>
          <t>technosphere</t>
        </is>
      </c>
      <c r="G1184" t="inlineStr">
        <is>
          <t>glass fibre</t>
        </is>
      </c>
      <c r="I1184" t="inlineStr">
        <is>
          <t>glass fibre</t>
        </is>
      </c>
    </row>
    <row r="1185">
      <c r="A1185" t="inlineStr">
        <is>
          <t>market for epoxy resin, liquid</t>
        </is>
      </c>
      <c r="B1185">
        <v>0.2547583243823846</v>
      </c>
      <c r="C1185" t="inlineStr">
        <is>
          <t>RER</t>
        </is>
      </c>
      <c r="D1185" t="inlineStr">
        <is>
          <t>kilogram</t>
        </is>
      </c>
      <c r="F1185" t="inlineStr">
        <is>
          <t>technosphere</t>
        </is>
      </c>
      <c r="G1185" t="inlineStr">
        <is>
          <t>epoxy resin, liquid</t>
        </is>
      </c>
      <c r="I1185" t="inlineStr">
        <is>
          <t>epoxy resin, liquid</t>
        </is>
      </c>
    </row>
    <row r="1186">
      <c r="A1186" t="inlineStr">
        <is>
          <t>market for copper, cathode</t>
        </is>
      </c>
      <c r="B1186">
        <v>0.13473684210526318</v>
      </c>
      <c r="C1186" t="inlineStr">
        <is>
          <t>GLO</t>
        </is>
      </c>
      <c r="D1186" t="inlineStr">
        <is>
          <t>kilogram</t>
        </is>
      </c>
      <c r="F1186" t="inlineStr">
        <is>
          <t>technosphere</t>
        </is>
      </c>
      <c r="G1186" t="inlineStr">
        <is>
          <t>copper, cathode</t>
        </is>
      </c>
      <c r="I1186" t="inlineStr">
        <is>
          <t>copper, cathode</t>
        </is>
      </c>
    </row>
    <row r="1187">
      <c r="A1187" t="inlineStr">
        <is>
          <t>market for nickel, class 1</t>
        </is>
      </c>
      <c r="B1187">
        <v>9.081632653061226e-05</v>
      </c>
      <c r="C1187" t="inlineStr">
        <is>
          <t>GLO</t>
        </is>
      </c>
      <c r="D1187" t="inlineStr">
        <is>
          <t>kilogram</t>
        </is>
      </c>
      <c r="F1187" t="inlineStr">
        <is>
          <t>technosphere</t>
        </is>
      </c>
      <c r="G1187" t="inlineStr">
        <is>
          <t>nickel, class 1</t>
        </is>
      </c>
      <c r="I1187" t="inlineStr">
        <is>
          <t>nickel, class 1</t>
        </is>
      </c>
    </row>
    <row r="1188">
      <c r="A1188" t="inlineStr">
        <is>
          <t>market for gold</t>
        </is>
      </c>
      <c r="B1188">
        <v>1.969387755102041e-06</v>
      </c>
      <c r="C1188" t="inlineStr">
        <is>
          <t>GLO</t>
        </is>
      </c>
      <c r="D1188" t="inlineStr">
        <is>
          <t>kilogram</t>
        </is>
      </c>
      <c r="F1188" t="inlineStr">
        <is>
          <t>technosphere</t>
        </is>
      </c>
      <c r="G1188" t="inlineStr">
        <is>
          <t>gold</t>
        </is>
      </c>
      <c r="I1188" t="inlineStr">
        <is>
          <t>gold</t>
        </is>
      </c>
    </row>
    <row r="1189">
      <c r="A1189" t="inlineStr">
        <is>
          <t>market for waste plastic, mixture</t>
        </is>
      </c>
      <c r="B1189">
        <v>-0.03179377013963477</v>
      </c>
      <c r="C1189" t="inlineStr">
        <is>
          <t>CH</t>
        </is>
      </c>
      <c r="D1189" t="inlineStr">
        <is>
          <t>kilogram</t>
        </is>
      </c>
      <c r="F1189" t="inlineStr">
        <is>
          <t>technosphere</t>
        </is>
      </c>
      <c r="G1189" t="inlineStr">
        <is>
          <t>waste plastic, mixture</t>
        </is>
      </c>
      <c r="I1189" t="inlineStr">
        <is>
          <t>waste plastic, mixture</t>
        </is>
      </c>
    </row>
    <row r="1190">
      <c r="A1190" t="inlineStr">
        <is>
          <t>copper scrap, sorted, pressed, Recycled Content cut-off</t>
        </is>
      </c>
      <c r="B1190">
        <v>-0.0067368421052631505</v>
      </c>
      <c r="C1190" t="inlineStr">
        <is>
          <t>GLO</t>
        </is>
      </c>
      <c r="D1190" t="inlineStr">
        <is>
          <t>kilogram</t>
        </is>
      </c>
      <c r="F1190" t="inlineStr">
        <is>
          <t>technosphere</t>
        </is>
      </c>
      <c r="G1190" t="inlineStr">
        <is>
          <t>copper scrap, sorted, pressed</t>
        </is>
      </c>
      <c r="I1190" t="inlineStr">
        <is>
          <t>copper scrap, sorted, pressed</t>
        </is>
      </c>
    </row>
    <row r="1191">
      <c r="A1191" t="inlineStr">
        <is>
          <t>market for electric connector, peripheral type buss</t>
        </is>
      </c>
      <c r="B1191">
        <v>0.20408163265306123</v>
      </c>
      <c r="C1191" t="inlineStr">
        <is>
          <t>GLO</t>
        </is>
      </c>
      <c r="D1191" t="inlineStr">
        <is>
          <t>kilogram</t>
        </is>
      </c>
      <c r="F1191" t="inlineStr">
        <is>
          <t>technosphere</t>
        </is>
      </c>
      <c r="G1191" t="inlineStr">
        <is>
          <t>electric connector, peripheral type buss</t>
        </is>
      </c>
      <c r="I1191" t="inlineStr">
        <is>
          <t>electric connector, peripheral type buss</t>
        </is>
      </c>
    </row>
    <row r="1192">
      <c r="A1192" t="inlineStr">
        <is>
          <t>market for integrated circuit, logic type</t>
        </is>
      </c>
      <c r="B1192">
        <v>0.010204081632653062</v>
      </c>
      <c r="C1192" t="inlineStr">
        <is>
          <t>GLO</t>
        </is>
      </c>
      <c r="D1192" t="inlineStr">
        <is>
          <t>kilogram</t>
        </is>
      </c>
      <c r="F1192" t="inlineStr">
        <is>
          <t>technosphere</t>
        </is>
      </c>
      <c r="G1192" t="inlineStr">
        <is>
          <t>integrated circuit, logic type</t>
        </is>
      </c>
      <c r="I1192" t="inlineStr">
        <is>
          <t>integrated circuit, logic type</t>
        </is>
      </c>
    </row>
    <row r="1193">
      <c r="A1193" t="inlineStr">
        <is>
          <t>capacitor, Class2, 0603, declared material engineering reference</t>
        </is>
      </c>
      <c r="B1193">
        <v>0.004081632653061225</v>
      </c>
      <c r="C1193" t="inlineStr">
        <is>
          <t>GLO</t>
        </is>
      </c>
      <c r="D1193" t="inlineStr">
        <is>
          <t>kilogram</t>
        </is>
      </c>
      <c r="F1193" t="inlineStr">
        <is>
          <t>technosphere</t>
        </is>
      </c>
      <c r="G1193" t="inlineStr">
        <is>
          <t>capacitor, Class2, 0603, declared material engineering reference</t>
        </is>
      </c>
      <c r="I1193" t="inlineStr">
        <is>
          <t>capacitor, for surface-mounting</t>
        </is>
      </c>
    </row>
    <row r="1194">
      <c r="A1194" t="inlineStr">
        <is>
          <t>thick-film resistor, declared-material engineering reference</t>
        </is>
      </c>
      <c r="B1194">
        <v>0.006122448979591837</v>
      </c>
      <c r="C1194" t="inlineStr">
        <is>
          <t>GLO</t>
        </is>
      </c>
      <c r="D1194" t="inlineStr">
        <is>
          <t>kilogram</t>
        </is>
      </c>
      <c r="F1194" t="inlineStr">
        <is>
          <t>technosphere</t>
        </is>
      </c>
      <c r="G1194" t="inlineStr">
        <is>
          <t>thick-film resistor, declared-material engineering reference</t>
        </is>
      </c>
      <c r="I1194" t="inlineStr">
        <is>
          <t>resistor, surface-mounted</t>
        </is>
      </c>
    </row>
    <row r="1195">
      <c r="A1195" t="inlineStr">
        <is>
          <t>market for solder, bar, Sn95.5Ag3.9Cu0.6, for electronics industry</t>
        </is>
      </c>
      <c r="B1195">
        <v>0.010204081632653062</v>
      </c>
      <c r="C1195" t="inlineStr">
        <is>
          <t>GLO</t>
        </is>
      </c>
      <c r="D1195" t="inlineStr">
        <is>
          <t>kilogram</t>
        </is>
      </c>
      <c r="F1195" t="inlineStr">
        <is>
          <t>technosphere</t>
        </is>
      </c>
      <c r="G1195" t="inlineStr">
        <is>
          <t>solder, bar, Sn95.5Ag3.9Cu0.6, for electronics industry</t>
        </is>
      </c>
      <c r="I1195" t="inlineStr">
        <is>
          <t>solder, bar, Sn95.5Ag3.9Cu0.6, for electronics industry</t>
        </is>
      </c>
    </row>
    <row r="1196">
      <c r="A1196" t="inlineStr">
        <is>
          <t>market for printed wiring board, surface mounted, unspecified, Pb free</t>
        </is>
      </c>
      <c r="B1196">
        <v>0.03272354081632645</v>
      </c>
      <c r="C1196" t="inlineStr">
        <is>
          <t>GLO</t>
        </is>
      </c>
      <c r="D1196" t="inlineStr">
        <is>
          <t>kilogram</t>
        </is>
      </c>
      <c r="F1196" t="inlineStr">
        <is>
          <t>technosphere</t>
        </is>
      </c>
      <c r="G1196" t="inlineStr">
        <is>
          <t>printed wiring board, surface mounted, unspecified, Pb free</t>
        </is>
      </c>
      <c r="I1196" t="inlineStr">
        <is>
          <t>printed wiring board, surface mounted, unspecified, Pb free</t>
        </is>
      </c>
    </row>
    <row r="1197">
      <c r="A1197" t="inlineStr">
        <is>
          <t>market group for electricity, medium voltage</t>
        </is>
      </c>
      <c r="B1197">
        <v>4.081632653061225</v>
      </c>
      <c r="C1197" t="inlineStr">
        <is>
          <t>GLO</t>
        </is>
      </c>
      <c r="D1197" t="inlineStr">
        <is>
          <t>kilowatt hour</t>
        </is>
      </c>
      <c r="F1197" t="inlineStr">
        <is>
          <t>technosphere</t>
        </is>
      </c>
      <c r="G1197" t="inlineStr">
        <is>
          <t>electricity, medium voltage</t>
        </is>
      </c>
      <c r="I1197" t="inlineStr">
        <is>
          <t>electricity, medium voltage</t>
        </is>
      </c>
    </row>
    <row r="1200">
      <c r="A1200" t="inlineStr">
        <is>
          <t>Activity</t>
        </is>
      </c>
      <c r="B1200" t="inlineStr">
        <is>
          <t>battery module control board, engineering material reference</t>
        </is>
      </c>
    </row>
    <row r="1201">
      <c r="A1201" t="inlineStr">
        <is>
          <t>location</t>
        </is>
      </c>
      <c r="B1201" t="inlineStr">
        <is>
          <t>GLO</t>
        </is>
      </c>
    </row>
    <row r="1202">
      <c r="A1202" t="inlineStr">
        <is>
          <t>production amount</t>
        </is>
      </c>
      <c r="B1202">
        <v>1</v>
      </c>
    </row>
    <row r="1203">
      <c r="A1203" t="inlineStr">
        <is>
          <t>reference product</t>
        </is>
      </c>
      <c r="B1203" t="inlineStr">
        <is>
          <t>battery module control board, engineering material reference</t>
        </is>
      </c>
    </row>
    <row r="1204">
      <c r="A1204" t="inlineStr">
        <is>
          <t>unit</t>
        </is>
      </c>
      <c r="B1204" t="inlineStr">
        <is>
          <t>kilogram</t>
        </is>
      </c>
    </row>
    <row r="1205">
      <c r="A1205" t="inlineStr">
        <is>
          <t>source</t>
        </is>
      </c>
      <c r="B1205" t="inlineStr">
        <is>
          <t>TI TIDA020076 public BOM https://www.ti.com/lit/pdf/SLURB87; TI BQ79616PAPRQ1 material declaration https://www.ti.com/quality-reliability-packaging-download/report?opn=BQ79616PAPRQ1; TI CC2662 BCU guide https://www.ti.com/lit/pdf/SWRU641.</t>
        </is>
      </c>
    </row>
    <row r="1206">
      <c r="A1206" t="inlineStr">
        <is>
          <t>comment</t>
        </is>
      </c>
      <c r="B1206" t="inlineStr">
        <is>
          <t>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
PREVIOUS NOTES (retained as history; the correction above takes precedence):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
PREVIOUS NOTES (retained as history; the correction above takes precedence):
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t>
        </is>
      </c>
    </row>
    <row r="1207">
      <c r="A1207" t="inlineStr">
        <is>
          <t>Exchanges</t>
        </is>
      </c>
    </row>
    <row r="1208">
      <c r="A1208" t="inlineStr">
        <is>
          <t>name</t>
        </is>
      </c>
      <c r="B1208" t="inlineStr">
        <is>
          <t>amount</t>
        </is>
      </c>
      <c r="C1208" t="inlineStr">
        <is>
          <t>location</t>
        </is>
      </c>
      <c r="D1208" t="inlineStr">
        <is>
          <t>unit</t>
        </is>
      </c>
      <c r="E1208" t="inlineStr">
        <is>
          <t>categories</t>
        </is>
      </c>
      <c r="F1208" t="inlineStr">
        <is>
          <t>type</t>
        </is>
      </c>
      <c r="G1208" t="inlineStr">
        <is>
          <t>reference product</t>
        </is>
      </c>
      <c r="H1208" t="inlineStr">
        <is>
          <t>comment</t>
        </is>
      </c>
      <c r="I1208" t="inlineStr">
        <is>
          <t>product</t>
        </is>
      </c>
    </row>
    <row r="1209">
      <c r="A1209" t="inlineStr">
        <is>
          <t>battery module control board, engineering material reference</t>
        </is>
      </c>
      <c r="B1209">
        <v>1</v>
      </c>
      <c r="C1209" t="inlineStr">
        <is>
          <t>GLO</t>
        </is>
      </c>
      <c r="D1209" t="inlineStr">
        <is>
          <t>kilogram</t>
        </is>
      </c>
      <c r="F1209" t="inlineStr">
        <is>
          <t>production</t>
        </is>
      </c>
      <c r="G1209" t="inlineStr">
        <is>
          <t>battery module control board, engineering material reference</t>
        </is>
      </c>
      <c r="I1209" t="inlineStr">
        <is>
          <t>battery module control board, engineering material reference</t>
        </is>
      </c>
    </row>
    <row r="1210">
      <c r="A1210" t="inlineStr">
        <is>
          <t>market for glass fibre</t>
        </is>
      </c>
      <c r="B1210">
        <v>0.26706766917293234</v>
      </c>
      <c r="C1210" t="inlineStr">
        <is>
          <t>GLO</t>
        </is>
      </c>
      <c r="D1210" t="inlineStr">
        <is>
          <t>kilogram</t>
        </is>
      </c>
      <c r="F1210" t="inlineStr">
        <is>
          <t>technosphere</t>
        </is>
      </c>
      <c r="G1210" t="inlineStr">
        <is>
          <t>glass fibre</t>
        </is>
      </c>
      <c r="I1210" t="inlineStr">
        <is>
          <t>glass fibre</t>
        </is>
      </c>
    </row>
    <row r="1211">
      <c r="A1211" t="inlineStr">
        <is>
          <t>market for epoxy resin, liquid</t>
        </is>
      </c>
      <c r="B1211">
        <v>0.1783308270676692</v>
      </c>
      <c r="C1211" t="inlineStr">
        <is>
          <t>RER</t>
        </is>
      </c>
      <c r="D1211" t="inlineStr">
        <is>
          <t>kilogram</t>
        </is>
      </c>
      <c r="F1211" t="inlineStr">
        <is>
          <t>technosphere</t>
        </is>
      </c>
      <c r="G1211" t="inlineStr">
        <is>
          <t>epoxy resin, liquid</t>
        </is>
      </c>
      <c r="I1211" t="inlineStr">
        <is>
          <t>epoxy resin, liquid</t>
        </is>
      </c>
    </row>
    <row r="1212">
      <c r="A1212" t="inlineStr">
        <is>
          <t>market for copper, cathode</t>
        </is>
      </c>
      <c r="B1212">
        <v>0.1414736842105263</v>
      </c>
      <c r="C1212" t="inlineStr">
        <is>
          <t>GLO</t>
        </is>
      </c>
      <c r="D1212" t="inlineStr">
        <is>
          <t>kilogram</t>
        </is>
      </c>
      <c r="F1212" t="inlineStr">
        <is>
          <t>technosphere</t>
        </is>
      </c>
      <c r="G1212" t="inlineStr">
        <is>
          <t>copper, cathode</t>
        </is>
      </c>
      <c r="I1212" t="inlineStr">
        <is>
          <t>copper, cathode</t>
        </is>
      </c>
    </row>
    <row r="1213">
      <c r="A1213" t="inlineStr">
        <is>
          <t>market for nickel, class 1</t>
        </is>
      </c>
      <c r="B1213">
        <v>6.357142857142857e-05</v>
      </c>
      <c r="C1213" t="inlineStr">
        <is>
          <t>GLO</t>
        </is>
      </c>
      <c r="D1213" t="inlineStr">
        <is>
          <t>kilogram</t>
        </is>
      </c>
      <c r="F1213" t="inlineStr">
        <is>
          <t>technosphere</t>
        </is>
      </c>
      <c r="G1213" t="inlineStr">
        <is>
          <t>nickel, class 1</t>
        </is>
      </c>
      <c r="I1213" t="inlineStr">
        <is>
          <t>nickel, class 1</t>
        </is>
      </c>
    </row>
    <row r="1214">
      <c r="A1214" t="inlineStr">
        <is>
          <t>market for gold</t>
        </is>
      </c>
      <c r="B1214">
        <v>1.3785714285714285e-06</v>
      </c>
      <c r="C1214" t="inlineStr">
        <is>
          <t>GLO</t>
        </is>
      </c>
      <c r="D1214" t="inlineStr">
        <is>
          <t>kilogram</t>
        </is>
      </c>
      <c r="F1214" t="inlineStr">
        <is>
          <t>technosphere</t>
        </is>
      </c>
      <c r="G1214" t="inlineStr">
        <is>
          <t>gold</t>
        </is>
      </c>
      <c r="I1214" t="inlineStr">
        <is>
          <t>gold</t>
        </is>
      </c>
    </row>
    <row r="1215">
      <c r="A1215" t="inlineStr">
        <is>
          <t>market for waste plastic, mixture</t>
        </is>
      </c>
      <c r="B1215">
        <v>-0.022255639097744338</v>
      </c>
      <c r="C1215" t="inlineStr">
        <is>
          <t>CH</t>
        </is>
      </c>
      <c r="D1215" t="inlineStr">
        <is>
          <t>kilogram</t>
        </is>
      </c>
      <c r="F1215" t="inlineStr">
        <is>
          <t>technosphere</t>
        </is>
      </c>
      <c r="G1215" t="inlineStr">
        <is>
          <t>waste plastic, mixture</t>
        </is>
      </c>
      <c r="I1215" t="inlineStr">
        <is>
          <t>waste plastic, mixture</t>
        </is>
      </c>
    </row>
    <row r="1216">
      <c r="A1216" t="inlineStr">
        <is>
          <t>copper scrap, sorted, pressed, Recycled Content cut-off</t>
        </is>
      </c>
      <c r="B1216">
        <v>-0.0070736842105263075</v>
      </c>
      <c r="C1216" t="inlineStr">
        <is>
          <t>GLO</t>
        </is>
      </c>
      <c r="D1216" t="inlineStr">
        <is>
          <t>kilogram</t>
        </is>
      </c>
      <c r="F1216" t="inlineStr">
        <is>
          <t>technosphere</t>
        </is>
      </c>
      <c r="G1216" t="inlineStr">
        <is>
          <t>copper scrap, sorted, pressed</t>
        </is>
      </c>
      <c r="I1216" t="inlineStr">
        <is>
          <t>copper scrap, sorted, pressed</t>
        </is>
      </c>
    </row>
    <row r="1217">
      <c r="A1217" t="inlineStr">
        <is>
          <t>battery monitor semiconductor, declared copper-wire package reference</t>
        </is>
      </c>
      <c r="B1217">
        <v>14.285714285714285</v>
      </c>
      <c r="C1217" t="inlineStr">
        <is>
          <t>GLO</t>
        </is>
      </c>
      <c r="D1217" t="inlineStr">
        <is>
          <t>unit</t>
        </is>
      </c>
      <c r="F1217" t="inlineStr">
        <is>
          <t>technosphere</t>
        </is>
      </c>
      <c r="G1217" t="inlineStr">
        <is>
          <t>battery monitor semiconductor, declared copper-wire package reference</t>
        </is>
      </c>
      <c r="I1217" t="inlineStr">
        <is>
          <t>battery monitor semiconductor, declared copper-wire package reference</t>
        </is>
      </c>
    </row>
    <row r="1218">
      <c r="A1218" t="inlineStr">
        <is>
          <t>market for electric connector, peripheral type buss</t>
        </is>
      </c>
      <c r="B1218">
        <v>0.2857142857142857</v>
      </c>
      <c r="C1218" t="inlineStr">
        <is>
          <t>GLO</t>
        </is>
      </c>
      <c r="D1218" t="inlineStr">
        <is>
          <t>kilogram</t>
        </is>
      </c>
      <c r="F1218" t="inlineStr">
        <is>
          <t>technosphere</t>
        </is>
      </c>
      <c r="G1218" t="inlineStr">
        <is>
          <t>electric connector, peripheral type buss</t>
        </is>
      </c>
      <c r="I1218" t="inlineStr">
        <is>
          <t>electric connector, peripheral type buss</t>
        </is>
      </c>
    </row>
    <row r="1219">
      <c r="A1219" t="inlineStr">
        <is>
          <t>market for integrated circuit, logic type</t>
        </is>
      </c>
      <c r="B1219">
        <v>0.021428571428571425</v>
      </c>
      <c r="C1219" t="inlineStr">
        <is>
          <t>GLO</t>
        </is>
      </c>
      <c r="D1219" t="inlineStr">
        <is>
          <t>kilogram</t>
        </is>
      </c>
      <c r="F1219" t="inlineStr">
        <is>
          <t>technosphere</t>
        </is>
      </c>
      <c r="G1219" t="inlineStr">
        <is>
          <t>integrated circuit, logic type</t>
        </is>
      </c>
      <c r="I1219" t="inlineStr">
        <is>
          <t>integrated circuit, logic type</t>
        </is>
      </c>
    </row>
    <row r="1220">
      <c r="A1220" t="inlineStr">
        <is>
          <t>market for inductor, miniature radio frequency chip</t>
        </is>
      </c>
      <c r="B1220">
        <v>0.014285714285714285</v>
      </c>
      <c r="C1220" t="inlineStr">
        <is>
          <t>GLO</t>
        </is>
      </c>
      <c r="D1220" t="inlineStr">
        <is>
          <t>kilogram</t>
        </is>
      </c>
      <c r="F1220" t="inlineStr">
        <is>
          <t>technosphere</t>
        </is>
      </c>
      <c r="G1220" t="inlineStr">
        <is>
          <t>inductor, miniature radio frequency chip</t>
        </is>
      </c>
      <c r="I1220" t="inlineStr">
        <is>
          <t>inductor, miniature radio frequency chip</t>
        </is>
      </c>
    </row>
    <row r="1221">
      <c r="A1221" t="inlineStr">
        <is>
          <t>market for diode, glass-, for surface-mounting</t>
        </is>
      </c>
      <c r="B1221">
        <v>0.014285714285714285</v>
      </c>
      <c r="C1221" t="inlineStr">
        <is>
          <t>GLO</t>
        </is>
      </c>
      <c r="D1221" t="inlineStr">
        <is>
          <t>kilogram</t>
        </is>
      </c>
      <c r="F1221" t="inlineStr">
        <is>
          <t>technosphere</t>
        </is>
      </c>
      <c r="G1221" t="inlineStr">
        <is>
          <t>diode, glass-, for surface-mounting</t>
        </is>
      </c>
      <c r="I1221" t="inlineStr">
        <is>
          <t>diode, glass-, for surface-mounting</t>
        </is>
      </c>
    </row>
    <row r="1222">
      <c r="A1222" t="inlineStr">
        <is>
          <t>market for integrated circuit, logic type</t>
        </is>
      </c>
      <c r="B1222">
        <v>0.005714285714285714</v>
      </c>
      <c r="C1222" t="inlineStr">
        <is>
          <t>GLO</t>
        </is>
      </c>
      <c r="D1222" t="inlineStr">
        <is>
          <t>kilogram</t>
        </is>
      </c>
      <c r="F1222" t="inlineStr">
        <is>
          <t>technosphere</t>
        </is>
      </c>
      <c r="G1222" t="inlineStr">
        <is>
          <t>integrated circuit, logic type</t>
        </is>
      </c>
      <c r="I1222" t="inlineStr">
        <is>
          <t>integrated circuit, logic type</t>
        </is>
      </c>
    </row>
    <row r="1223">
      <c r="A1223" t="inlineStr">
        <is>
          <t>capacitor set, 134 fitted battery monitor parts, engineering reference</t>
        </is>
      </c>
      <c r="B1223">
        <v>14.285714285714285</v>
      </c>
      <c r="C1223" t="inlineStr">
        <is>
          <t>GLO</t>
        </is>
      </c>
      <c r="D1223" t="inlineStr">
        <is>
          <t>unit</t>
        </is>
      </c>
      <c r="F1223" t="inlineStr">
        <is>
          <t>technosphere</t>
        </is>
      </c>
      <c r="G1223" t="inlineStr">
        <is>
          <t>capacitor set, 134 fitted battery monitor parts, engineering reference</t>
        </is>
      </c>
      <c r="I1223" t="inlineStr">
        <is>
          <t>capacitor, for surface-mounting</t>
        </is>
      </c>
    </row>
    <row r="1224">
      <c r="A1224" t="inlineStr">
        <is>
          <t>resistor set, 128 fitted battery monitor parts, engineering reference</t>
        </is>
      </c>
      <c r="B1224">
        <v>14.285714285714285</v>
      </c>
      <c r="C1224" t="inlineStr">
        <is>
          <t>GLO</t>
        </is>
      </c>
      <c r="D1224" t="inlineStr">
        <is>
          <t>unit</t>
        </is>
      </c>
      <c r="F1224" t="inlineStr">
        <is>
          <t>technosphere</t>
        </is>
      </c>
      <c r="G1224" t="inlineStr">
        <is>
          <t>resistor set, 128 fitted battery monitor parts, engineering reference</t>
        </is>
      </c>
      <c r="I1224" t="inlineStr">
        <is>
          <t>resistor, surface-mounted</t>
        </is>
      </c>
    </row>
    <row r="1225">
      <c r="A1225" t="inlineStr">
        <is>
          <t>market for solder, bar, Sn95.5Ag3.9Cu0.6, for electronics industry</t>
        </is>
      </c>
      <c r="B1225">
        <v>0.014285714285714285</v>
      </c>
      <c r="C1225" t="inlineStr">
        <is>
          <t>GLO</t>
        </is>
      </c>
      <c r="D1225" t="inlineStr">
        <is>
          <t>kilogram</t>
        </is>
      </c>
      <c r="F1225" t="inlineStr">
        <is>
          <t>technosphere</t>
        </is>
      </c>
      <c r="G1225" t="inlineStr">
        <is>
          <t>solder, bar, Sn95.5Ag3.9Cu0.6, for electronics industry</t>
        </is>
      </c>
      <c r="I1225" t="inlineStr">
        <is>
          <t>solder, bar, Sn95.5Ag3.9Cu0.6, for electronics industry</t>
        </is>
      </c>
    </row>
    <row r="1226">
      <c r="A1226" t="inlineStr">
        <is>
          <t>market for printed wiring board, surface mounted, unspecified, Pb free</t>
        </is>
      </c>
      <c r="B1226">
        <v>0.055591559985714196</v>
      </c>
      <c r="C1226" t="inlineStr">
        <is>
          <t>GLO</t>
        </is>
      </c>
      <c r="D1226" t="inlineStr">
        <is>
          <t>kilogram</t>
        </is>
      </c>
      <c r="F1226" t="inlineStr">
        <is>
          <t>technosphere</t>
        </is>
      </c>
      <c r="G1226" t="inlineStr">
        <is>
          <t>printed wiring board, surface mounted, unspecified, Pb free</t>
        </is>
      </c>
      <c r="I1226" t="inlineStr">
        <is>
          <t>printed wiring board, surface mounted, unspecified, Pb free</t>
        </is>
      </c>
    </row>
    <row r="1227">
      <c r="A1227" t="inlineStr">
        <is>
          <t>market group for electricity, medium voltage</t>
        </is>
      </c>
      <c r="B1227">
        <v>15.714285714285714</v>
      </c>
      <c r="C1227" t="inlineStr">
        <is>
          <t>GLO</t>
        </is>
      </c>
      <c r="D1227" t="inlineStr">
        <is>
          <t>kilowatt hour</t>
        </is>
      </c>
      <c r="F1227" t="inlineStr">
        <is>
          <t>technosphere</t>
        </is>
      </c>
      <c r="G1227" t="inlineStr">
        <is>
          <t>electricity, medium voltage</t>
        </is>
      </c>
      <c r="I1227" t="inlineStr">
        <is>
          <t>electricity, medium voltage</t>
        </is>
      </c>
    </row>
    <row r="1230">
      <c r="A1230" t="inlineStr">
        <is>
          <t>Activity</t>
        </is>
      </c>
      <c r="B1230" t="inlineStr">
        <is>
          <t>barium titanate, capacitor ceramic engineering reference</t>
        </is>
      </c>
    </row>
    <row r="1231">
      <c r="A1231" t="inlineStr">
        <is>
          <t>location</t>
        </is>
      </c>
      <c r="B1231" t="inlineStr">
        <is>
          <t>GLO</t>
        </is>
      </c>
    </row>
    <row r="1232">
      <c r="A1232" t="inlineStr">
        <is>
          <t>production amount</t>
        </is>
      </c>
      <c r="B1232">
        <v>1</v>
      </c>
    </row>
    <row r="1233">
      <c r="A1233" t="inlineStr">
        <is>
          <t>reference product</t>
        </is>
      </c>
      <c r="B1233" t="inlineStr">
        <is>
          <t>barium titanate, capacitor ceramic engineering reference</t>
        </is>
      </c>
    </row>
    <row r="1234">
      <c r="A1234" t="inlineStr">
        <is>
          <t>unit</t>
        </is>
      </c>
      <c r="B1234" t="inlineStr">
        <is>
          <t>kilogram</t>
        </is>
      </c>
    </row>
    <row r="1235">
      <c r="A1235" t="inlineStr">
        <is>
          <t>source</t>
        </is>
      </c>
      <c r="B1235"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36">
      <c r="A1236" t="inlineStr">
        <is>
          <t>comment</t>
        </is>
      </c>
      <c r="B1236"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37">
      <c r="A1237" t="inlineStr">
        <is>
          <t>Exchanges</t>
        </is>
      </c>
    </row>
    <row r="1238">
      <c r="A1238" t="inlineStr">
        <is>
          <t>name</t>
        </is>
      </c>
      <c r="B1238" t="inlineStr">
        <is>
          <t>amount</t>
        </is>
      </c>
      <c r="C1238" t="inlineStr">
        <is>
          <t>location</t>
        </is>
      </c>
      <c r="D1238" t="inlineStr">
        <is>
          <t>unit</t>
        </is>
      </c>
      <c r="E1238" t="inlineStr">
        <is>
          <t>categories</t>
        </is>
      </c>
      <c r="F1238" t="inlineStr">
        <is>
          <t>type</t>
        </is>
      </c>
      <c r="G1238" t="inlineStr">
        <is>
          <t>reference product</t>
        </is>
      </c>
      <c r="H1238" t="inlineStr">
        <is>
          <t>comment</t>
        </is>
      </c>
      <c r="I1238" t="inlineStr">
        <is>
          <t>product</t>
        </is>
      </c>
    </row>
    <row r="1239">
      <c r="A1239" t="inlineStr">
        <is>
          <t>barium titanate, capacitor ceramic engineering reference</t>
        </is>
      </c>
      <c r="B1239">
        <v>1</v>
      </c>
      <c r="C1239" t="inlineStr">
        <is>
          <t>GLO</t>
        </is>
      </c>
      <c r="D1239" t="inlineStr">
        <is>
          <t>kilogram</t>
        </is>
      </c>
      <c r="F1239" t="inlineStr">
        <is>
          <t>production</t>
        </is>
      </c>
      <c r="G1239" t="inlineStr">
        <is>
          <t>barium titanate, capacitor ceramic engineering reference</t>
        </is>
      </c>
      <c r="I1239" t="inlineStr">
        <is>
          <t>barium titanate, capacitor ceramic engineering reference</t>
        </is>
      </c>
    </row>
    <row r="1240">
      <c r="A1240" t="inlineStr">
        <is>
          <t>market for barium carbonate</t>
        </is>
      </c>
      <c r="B1240">
        <v>0.8462376335278806</v>
      </c>
      <c r="C1240" t="inlineStr">
        <is>
          <t>GLO</t>
        </is>
      </c>
      <c r="D1240" t="inlineStr">
        <is>
          <t>kilogram</t>
        </is>
      </c>
      <c r="F1240" t="inlineStr">
        <is>
          <t>technosphere</t>
        </is>
      </c>
      <c r="G1240" t="inlineStr">
        <is>
          <t>barium carbonate</t>
        </is>
      </c>
      <c r="I1240" t="inlineStr">
        <is>
          <t>barium carbonate</t>
        </is>
      </c>
    </row>
    <row r="1241">
      <c r="A1241" t="inlineStr">
        <is>
          <t>market for titanium dioxide</t>
        </is>
      </c>
      <c r="B1241">
        <v>0.3424874887967374</v>
      </c>
      <c r="C1241" t="inlineStr">
        <is>
          <t>RER</t>
        </is>
      </c>
      <c r="D1241" t="inlineStr">
        <is>
          <t>kilogram</t>
        </is>
      </c>
      <c r="F1241" t="inlineStr">
        <is>
          <t>technosphere</t>
        </is>
      </c>
      <c r="G1241" t="inlineStr">
        <is>
          <t>titanium dioxide</t>
        </is>
      </c>
      <c r="I1241" t="inlineStr">
        <is>
          <t>titanium dioxide</t>
        </is>
      </c>
    </row>
    <row r="1242">
      <c r="A1242" t="inlineStr">
        <is>
          <t>market for heat, district or industrial, natural gas</t>
        </is>
      </c>
      <c r="B1242">
        <v>3</v>
      </c>
      <c r="C1242" t="inlineStr">
        <is>
          <t>RoW</t>
        </is>
      </c>
      <c r="D1242" t="inlineStr">
        <is>
          <t>megajoule</t>
        </is>
      </c>
      <c r="F1242" t="inlineStr">
        <is>
          <t>technosphere</t>
        </is>
      </c>
      <c r="G1242" t="inlineStr">
        <is>
          <t>heat, district or industrial, natural gas</t>
        </is>
      </c>
      <c r="I1242" t="inlineStr">
        <is>
          <t>heat, district or industrial, natural gas</t>
        </is>
      </c>
    </row>
    <row r="1243">
      <c r="A1243" t="inlineStr">
        <is>
          <t>market group for electricity, medium voltage</t>
        </is>
      </c>
      <c r="B1243">
        <v>0.5</v>
      </c>
      <c r="C1243" t="inlineStr">
        <is>
          <t>GLO</t>
        </is>
      </c>
      <c r="D1243" t="inlineStr">
        <is>
          <t>kilowatt hour</t>
        </is>
      </c>
      <c r="F1243" t="inlineStr">
        <is>
          <t>technosphere</t>
        </is>
      </c>
      <c r="G1243" t="inlineStr">
        <is>
          <t>electricity, medium voltage</t>
        </is>
      </c>
      <c r="I1243" t="inlineStr">
        <is>
          <t>electricity, medium voltage</t>
        </is>
      </c>
    </row>
    <row r="1244">
      <c r="A1244" t="inlineStr">
        <is>
          <t>Carbon dioxide, fossil</t>
        </is>
      </c>
      <c r="B1244">
        <v>0.18872512232461802</v>
      </c>
      <c r="D1244" t="inlineStr">
        <is>
          <t>kilogram</t>
        </is>
      </c>
      <c r="E1244" t="inlineStr">
        <is>
          <t>air::non-urban air or from high stacks</t>
        </is>
      </c>
      <c r="F1244" t="inlineStr">
        <is>
          <t>biosphere</t>
        </is>
      </c>
      <c r="H1244" t="inlineStr">
        <is>
          <t/>
        </is>
      </c>
    </row>
    <row r="1247">
      <c r="A1247" t="inlineStr">
        <is>
          <t>Activity</t>
        </is>
      </c>
      <c r="B1247" t="inlineStr">
        <is>
          <t>calcium zirconate, capacitor ceramic engineering reference</t>
        </is>
      </c>
    </row>
    <row r="1248">
      <c r="A1248" t="inlineStr">
        <is>
          <t>location</t>
        </is>
      </c>
      <c r="B1248" t="inlineStr">
        <is>
          <t>GLO</t>
        </is>
      </c>
    </row>
    <row r="1249">
      <c r="A1249" t="inlineStr">
        <is>
          <t>production amount</t>
        </is>
      </c>
      <c r="B1249">
        <v>1</v>
      </c>
    </row>
    <row r="1250">
      <c r="A1250" t="inlineStr">
        <is>
          <t>reference product</t>
        </is>
      </c>
      <c r="B1250" t="inlineStr">
        <is>
          <t>calcium zirconate, capacitor ceramic engineering reference</t>
        </is>
      </c>
    </row>
    <row r="1251">
      <c r="A1251" t="inlineStr">
        <is>
          <t>unit</t>
        </is>
      </c>
      <c r="B1251" t="inlineStr">
        <is>
          <t>kilogram</t>
        </is>
      </c>
    </row>
    <row r="1252">
      <c r="A1252" t="inlineStr">
        <is>
          <t>source</t>
        </is>
      </c>
      <c r="B1252"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53">
      <c r="A1253" t="inlineStr">
        <is>
          <t>comment</t>
        </is>
      </c>
      <c r="B1253"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54">
      <c r="A1254" t="inlineStr">
        <is>
          <t>Exchanges</t>
        </is>
      </c>
    </row>
    <row r="1255">
      <c r="A1255" t="inlineStr">
        <is>
          <t>name</t>
        </is>
      </c>
      <c r="B1255" t="inlineStr">
        <is>
          <t>amount</t>
        </is>
      </c>
      <c r="C1255" t="inlineStr">
        <is>
          <t>location</t>
        </is>
      </c>
      <c r="D1255" t="inlineStr">
        <is>
          <t>unit</t>
        </is>
      </c>
      <c r="E1255" t="inlineStr">
        <is>
          <t>categories</t>
        </is>
      </c>
      <c r="F1255" t="inlineStr">
        <is>
          <t>type</t>
        </is>
      </c>
      <c r="G1255" t="inlineStr">
        <is>
          <t>reference product</t>
        </is>
      </c>
      <c r="H1255" t="inlineStr">
        <is>
          <t>comment</t>
        </is>
      </c>
      <c r="I1255" t="inlineStr">
        <is>
          <t>product</t>
        </is>
      </c>
    </row>
    <row r="1256">
      <c r="A1256" t="inlineStr">
        <is>
          <t>calcium zirconate, capacitor ceramic engineering reference</t>
        </is>
      </c>
      <c r="B1256">
        <v>1</v>
      </c>
      <c r="C1256" t="inlineStr">
        <is>
          <t>GLO</t>
        </is>
      </c>
      <c r="D1256" t="inlineStr">
        <is>
          <t>kilogram</t>
        </is>
      </c>
      <c r="F1256" t="inlineStr">
        <is>
          <t>production</t>
        </is>
      </c>
      <c r="G1256" t="inlineStr">
        <is>
          <t>calcium zirconate, capacitor ceramic engineering reference</t>
        </is>
      </c>
      <c r="I1256" t="inlineStr">
        <is>
          <t>calcium zirconate, capacitor ceramic engineering reference</t>
        </is>
      </c>
    </row>
    <row r="1257">
      <c r="A1257" t="inlineStr">
        <is>
          <t>market for calcium carbonate, precipitated</t>
        </is>
      </c>
      <c r="B1257">
        <v>0.5582072404196342</v>
      </c>
      <c r="C1257" t="inlineStr">
        <is>
          <t>RER</t>
        </is>
      </c>
      <c r="D1257" t="inlineStr">
        <is>
          <t>kilogram</t>
        </is>
      </c>
      <c r="F1257" t="inlineStr">
        <is>
          <t>technosphere</t>
        </is>
      </c>
      <c r="G1257" t="inlineStr">
        <is>
          <t>calcium carbonate, precipitated</t>
        </is>
      </c>
      <c r="I1257" t="inlineStr">
        <is>
          <t>calcium carbonate, precipitated</t>
        </is>
      </c>
    </row>
    <row r="1258">
      <c r="A1258" t="inlineStr">
        <is>
          <t>market for zirconium oxide</t>
        </is>
      </c>
      <c r="B1258">
        <v>0.6872430967266967</v>
      </c>
      <c r="C1258" t="inlineStr">
        <is>
          <t>GLO</t>
        </is>
      </c>
      <c r="D1258" t="inlineStr">
        <is>
          <t>kilogram</t>
        </is>
      </c>
      <c r="F1258" t="inlineStr">
        <is>
          <t>technosphere</t>
        </is>
      </c>
      <c r="G1258" t="inlineStr">
        <is>
          <t>zirconium oxide</t>
        </is>
      </c>
      <c r="I1258" t="inlineStr">
        <is>
          <t>zirconium oxide</t>
        </is>
      </c>
    </row>
    <row r="1259">
      <c r="A1259" t="inlineStr">
        <is>
          <t>market for heat, district or industrial, natural gas</t>
        </is>
      </c>
      <c r="B1259">
        <v>3</v>
      </c>
      <c r="C1259" t="inlineStr">
        <is>
          <t>RoW</t>
        </is>
      </c>
      <c r="D1259" t="inlineStr">
        <is>
          <t>megajoule</t>
        </is>
      </c>
      <c r="F1259" t="inlineStr">
        <is>
          <t>technosphere</t>
        </is>
      </c>
      <c r="G1259" t="inlineStr">
        <is>
          <t>heat, district or industrial, natural gas</t>
        </is>
      </c>
      <c r="I1259" t="inlineStr">
        <is>
          <t>heat, district or industrial, natural gas</t>
        </is>
      </c>
    </row>
    <row r="1260">
      <c r="A1260" t="inlineStr">
        <is>
          <t>market group for electricity, medium voltage</t>
        </is>
      </c>
      <c r="B1260">
        <v>0.5</v>
      </c>
      <c r="C1260" t="inlineStr">
        <is>
          <t>GLO</t>
        </is>
      </c>
      <c r="D1260" t="inlineStr">
        <is>
          <t>kilowatt hour</t>
        </is>
      </c>
      <c r="F1260" t="inlineStr">
        <is>
          <t>technosphere</t>
        </is>
      </c>
      <c r="G1260" t="inlineStr">
        <is>
          <t>electricity, medium voltage</t>
        </is>
      </c>
      <c r="I1260" t="inlineStr">
        <is>
          <t>electricity, medium voltage</t>
        </is>
      </c>
    </row>
    <row r="1261">
      <c r="A1261" t="inlineStr">
        <is>
          <t>Carbon dioxide, fossil</t>
        </is>
      </c>
      <c r="B1261">
        <v>0.245450337146331</v>
      </c>
      <c r="D1261" t="inlineStr">
        <is>
          <t>kilogram</t>
        </is>
      </c>
      <c r="E1261" t="inlineStr">
        <is>
          <t>air::non-urban air or from high stacks</t>
        </is>
      </c>
      <c r="F1261" t="inlineStr">
        <is>
          <t>biosphere</t>
        </is>
      </c>
      <c r="H1261" t="inlineStr">
        <is>
          <t/>
        </is>
      </c>
    </row>
    <row r="1264">
      <c r="A1264" t="inlineStr">
        <is>
          <t>Activity</t>
        </is>
      </c>
      <c r="B1264" t="inlineStr">
        <is>
          <t>capacitor, Class2, 0402, declared material engineering reference</t>
        </is>
      </c>
    </row>
    <row r="1265">
      <c r="A1265" t="inlineStr">
        <is>
          <t>location</t>
        </is>
      </c>
      <c r="B1265" t="inlineStr">
        <is>
          <t>GLO</t>
        </is>
      </c>
    </row>
    <row r="1266">
      <c r="A1266" t="inlineStr">
        <is>
          <t>production amount</t>
        </is>
      </c>
      <c r="B1266">
        <v>1</v>
      </c>
    </row>
    <row r="1267">
      <c r="A1267" t="inlineStr">
        <is>
          <t>reference product</t>
        </is>
      </c>
      <c r="B1267" t="inlineStr">
        <is>
          <t>capacitor, Class2, 0402, declared material engineering reference</t>
        </is>
      </c>
    </row>
    <row r="1268">
      <c r="A1268" t="inlineStr">
        <is>
          <t>unit</t>
        </is>
      </c>
      <c r="B1268" t="inlineStr">
        <is>
          <t>kilogram</t>
        </is>
      </c>
    </row>
    <row r="1269">
      <c r="A1269" t="inlineStr">
        <is>
          <t>source</t>
        </is>
      </c>
      <c r="B1269"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70">
      <c r="A1270" t="inlineStr">
        <is>
          <t>comment</t>
        </is>
      </c>
      <c r="B1270"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71">
      <c r="A1271" t="inlineStr">
        <is>
          <t>Exchanges</t>
        </is>
      </c>
    </row>
    <row r="1272">
      <c r="A1272" t="inlineStr">
        <is>
          <t>name</t>
        </is>
      </c>
      <c r="B1272" t="inlineStr">
        <is>
          <t>amount</t>
        </is>
      </c>
      <c r="C1272" t="inlineStr">
        <is>
          <t>location</t>
        </is>
      </c>
      <c r="D1272" t="inlineStr">
        <is>
          <t>unit</t>
        </is>
      </c>
      <c r="E1272" t="inlineStr">
        <is>
          <t>categories</t>
        </is>
      </c>
      <c r="F1272" t="inlineStr">
        <is>
          <t>type</t>
        </is>
      </c>
      <c r="G1272" t="inlineStr">
        <is>
          <t>reference product</t>
        </is>
      </c>
      <c r="H1272" t="inlineStr">
        <is>
          <t>comment</t>
        </is>
      </c>
      <c r="I1272" t="inlineStr">
        <is>
          <t>product</t>
        </is>
      </c>
    </row>
    <row r="1273">
      <c r="A1273" t="inlineStr">
        <is>
          <t>capacitor, Class2, 0402, declared material engineering reference</t>
        </is>
      </c>
      <c r="B1273">
        <v>1</v>
      </c>
      <c r="C1273" t="inlineStr">
        <is>
          <t>GLO</t>
        </is>
      </c>
      <c r="D1273" t="inlineStr">
        <is>
          <t>kilogram</t>
        </is>
      </c>
      <c r="F1273" t="inlineStr">
        <is>
          <t>production</t>
        </is>
      </c>
      <c r="G1273" t="inlineStr">
        <is>
          <t>capacitor, Class2, 0402, declared material engineering reference</t>
        </is>
      </c>
      <c r="I1273" t="inlineStr">
        <is>
          <t>capacitor, Class2, 0402, declared material engineering reference</t>
        </is>
      </c>
    </row>
    <row r="1274">
      <c r="A1274" t="inlineStr">
        <is>
          <t>barium titanate, capacitor ceramic engineering reference</t>
        </is>
      </c>
      <c r="B1274">
        <v>0.8673091178650854</v>
      </c>
      <c r="C1274" t="inlineStr">
        <is>
          <t>GLO</t>
        </is>
      </c>
      <c r="D1274" t="inlineStr">
        <is>
          <t>kilogram</t>
        </is>
      </c>
      <c r="F1274" t="inlineStr">
        <is>
          <t>technosphere</t>
        </is>
      </c>
      <c r="G1274" t="inlineStr">
        <is>
          <t>barium titanate, capacitor ceramic engineering reference</t>
        </is>
      </c>
      <c r="I1274" t="inlineStr">
        <is>
          <t>barium titanate, capacitor ceramic engineering reference</t>
        </is>
      </c>
    </row>
    <row r="1275">
      <c r="A1275" t="inlineStr">
        <is>
          <t>market for nickel, class 1</t>
        </is>
      </c>
      <c r="B1275">
        <v>0.07412898443291327</v>
      </c>
      <c r="C1275" t="inlineStr">
        <is>
          <t>GLO</t>
        </is>
      </c>
      <c r="D1275" t="inlineStr">
        <is>
          <t>kilogram</t>
        </is>
      </c>
      <c r="F1275" t="inlineStr">
        <is>
          <t>technosphere</t>
        </is>
      </c>
      <c r="G1275" t="inlineStr">
        <is>
          <t>nickel, class 1</t>
        </is>
      </c>
      <c r="I1275" t="inlineStr">
        <is>
          <t>nickel, class 1</t>
        </is>
      </c>
    </row>
    <row r="1276">
      <c r="A1276" t="inlineStr">
        <is>
          <t>market for copper, cathode</t>
        </is>
      </c>
      <c r="B1276">
        <v>0.04447739065974796</v>
      </c>
      <c r="C1276" t="inlineStr">
        <is>
          <t>GLO</t>
        </is>
      </c>
      <c r="D1276" t="inlineStr">
        <is>
          <t>kilogram</t>
        </is>
      </c>
      <c r="F1276" t="inlineStr">
        <is>
          <t>technosphere</t>
        </is>
      </c>
      <c r="G1276" t="inlineStr">
        <is>
          <t>copper, cathode</t>
        </is>
      </c>
      <c r="I1276" t="inlineStr">
        <is>
          <t>copper, cathode</t>
        </is>
      </c>
    </row>
    <row r="1277">
      <c r="A1277" t="inlineStr">
        <is>
          <t>market for tin</t>
        </is>
      </c>
      <c r="B1277">
        <v>0.05189028910303929</v>
      </c>
      <c r="C1277" t="inlineStr">
        <is>
          <t>GLO</t>
        </is>
      </c>
      <c r="D1277" t="inlineStr">
        <is>
          <t>kilogram</t>
        </is>
      </c>
      <c r="F1277" t="inlineStr">
        <is>
          <t>technosphere</t>
        </is>
      </c>
      <c r="G1277" t="inlineStr">
        <is>
          <t>tin</t>
        </is>
      </c>
      <c r="I1277" t="inlineStr">
        <is>
          <t>tin</t>
        </is>
      </c>
    </row>
    <row r="1278">
      <c r="A1278" t="inlineStr">
        <is>
          <t>market for hazardous waste, for incineration</t>
        </is>
      </c>
      <c r="B1278">
        <v>-0.051890289103039236</v>
      </c>
      <c r="C1278" t="inlineStr">
        <is>
          <t>RoW</t>
        </is>
      </c>
      <c r="D1278" t="inlineStr">
        <is>
          <t>kilogram</t>
        </is>
      </c>
      <c r="F1278" t="inlineStr">
        <is>
          <t>technosphere</t>
        </is>
      </c>
      <c r="G1278" t="inlineStr">
        <is>
          <t>hazardous waste, for incineration</t>
        </is>
      </c>
      <c r="I1278" t="inlineStr">
        <is>
          <t>hazardous waste, for incineration</t>
        </is>
      </c>
    </row>
    <row r="1279">
      <c r="A1279" t="inlineStr">
        <is>
          <t>market group for electricity, medium voltage</t>
        </is>
      </c>
      <c r="B1279">
        <v>1</v>
      </c>
      <c r="C1279" t="inlineStr">
        <is>
          <t>GLO</t>
        </is>
      </c>
      <c r="D1279" t="inlineStr">
        <is>
          <t>kilowatt hour</t>
        </is>
      </c>
      <c r="F1279" t="inlineStr">
        <is>
          <t>technosphere</t>
        </is>
      </c>
      <c r="G1279" t="inlineStr">
        <is>
          <t>electricity, medium voltage</t>
        </is>
      </c>
      <c r="I1279" t="inlineStr">
        <is>
          <t>electricity, medium voltage</t>
        </is>
      </c>
    </row>
    <row r="1280">
      <c r="A1280" t="inlineStr">
        <is>
          <t>market for heat, district or industrial, natural gas</t>
        </is>
      </c>
      <c r="B1280">
        <v>5</v>
      </c>
      <c r="C1280" t="inlineStr">
        <is>
          <t>RoW</t>
        </is>
      </c>
      <c r="D1280" t="inlineStr">
        <is>
          <t>megajoule</t>
        </is>
      </c>
      <c r="F1280" t="inlineStr">
        <is>
          <t>technosphere</t>
        </is>
      </c>
      <c r="G1280" t="inlineStr">
        <is>
          <t>heat, district or industrial, natural gas</t>
        </is>
      </c>
      <c r="I1280" t="inlineStr">
        <is>
          <t>heat, district or industrial, natural gas</t>
        </is>
      </c>
    </row>
    <row r="1283">
      <c r="A1283" t="inlineStr">
        <is>
          <t>Activity</t>
        </is>
      </c>
      <c r="B1283" t="inlineStr">
        <is>
          <t>capacitor, Class2, 0603, declared material engineering reference</t>
        </is>
      </c>
    </row>
    <row r="1284">
      <c r="A1284" t="inlineStr">
        <is>
          <t>location</t>
        </is>
      </c>
      <c r="B1284" t="inlineStr">
        <is>
          <t>GLO</t>
        </is>
      </c>
    </row>
    <row r="1285">
      <c r="A1285" t="inlineStr">
        <is>
          <t>production amount</t>
        </is>
      </c>
      <c r="B1285">
        <v>1</v>
      </c>
    </row>
    <row r="1286">
      <c r="A1286" t="inlineStr">
        <is>
          <t>reference product</t>
        </is>
      </c>
      <c r="B1286" t="inlineStr">
        <is>
          <t>capacitor, Class2, 0603, declared material engineering reference</t>
        </is>
      </c>
    </row>
    <row r="1287">
      <c r="A1287" t="inlineStr">
        <is>
          <t>unit</t>
        </is>
      </c>
      <c r="B1287" t="inlineStr">
        <is>
          <t>kilogram</t>
        </is>
      </c>
    </row>
    <row r="1288">
      <c r="A1288" t="inlineStr">
        <is>
          <t>source</t>
        </is>
      </c>
      <c r="B1288"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89">
      <c r="A1289" t="inlineStr">
        <is>
          <t>comment</t>
        </is>
      </c>
      <c r="B1289"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90">
      <c r="A1290" t="inlineStr">
        <is>
          <t>Exchanges</t>
        </is>
      </c>
    </row>
    <row r="1291">
      <c r="A1291" t="inlineStr">
        <is>
          <t>name</t>
        </is>
      </c>
      <c r="B1291" t="inlineStr">
        <is>
          <t>amount</t>
        </is>
      </c>
      <c r="C1291" t="inlineStr">
        <is>
          <t>location</t>
        </is>
      </c>
      <c r="D1291" t="inlineStr">
        <is>
          <t>unit</t>
        </is>
      </c>
      <c r="E1291" t="inlineStr">
        <is>
          <t>categories</t>
        </is>
      </c>
      <c r="F1291" t="inlineStr">
        <is>
          <t>type</t>
        </is>
      </c>
      <c r="G1291" t="inlineStr">
        <is>
          <t>reference product</t>
        </is>
      </c>
      <c r="H1291" t="inlineStr">
        <is>
          <t>comment</t>
        </is>
      </c>
      <c r="I1291" t="inlineStr">
        <is>
          <t>product</t>
        </is>
      </c>
    </row>
    <row r="1292">
      <c r="A1292" t="inlineStr">
        <is>
          <t>capacitor, Class2, 0603, declared material engineering reference</t>
        </is>
      </c>
      <c r="B1292">
        <v>1</v>
      </c>
      <c r="C1292" t="inlineStr">
        <is>
          <t>GLO</t>
        </is>
      </c>
      <c r="D1292" t="inlineStr">
        <is>
          <t>kilogram</t>
        </is>
      </c>
      <c r="F1292" t="inlineStr">
        <is>
          <t>production</t>
        </is>
      </c>
      <c r="G1292" t="inlineStr">
        <is>
          <t>capacitor, Class2, 0603, declared material engineering reference</t>
        </is>
      </c>
      <c r="I1292" t="inlineStr">
        <is>
          <t>capacitor, Class2, 0603, declared material engineering reference</t>
        </is>
      </c>
    </row>
    <row r="1293">
      <c r="A1293" t="inlineStr">
        <is>
          <t>barium titanate, capacitor ceramic engineering reference</t>
        </is>
      </c>
      <c r="B1293">
        <v>0.7982456140350878</v>
      </c>
      <c r="C1293" t="inlineStr">
        <is>
          <t>GLO</t>
        </is>
      </c>
      <c r="D1293" t="inlineStr">
        <is>
          <t>kilogram</t>
        </is>
      </c>
      <c r="F1293" t="inlineStr">
        <is>
          <t>technosphere</t>
        </is>
      </c>
      <c r="G1293" t="inlineStr">
        <is>
          <t>barium titanate, capacitor ceramic engineering reference</t>
        </is>
      </c>
      <c r="I1293" t="inlineStr">
        <is>
          <t>barium titanate, capacitor ceramic engineering reference</t>
        </is>
      </c>
    </row>
    <row r="1294">
      <c r="A1294" t="inlineStr">
        <is>
          <t>market for nickel, class 1</t>
        </is>
      </c>
      <c r="B1294">
        <v>0.14210526315789473</v>
      </c>
      <c r="C1294" t="inlineStr">
        <is>
          <t>GLO</t>
        </is>
      </c>
      <c r="D1294" t="inlineStr">
        <is>
          <t>kilogram</t>
        </is>
      </c>
      <c r="F1294" t="inlineStr">
        <is>
          <t>technosphere</t>
        </is>
      </c>
      <c r="G1294" t="inlineStr">
        <is>
          <t>nickel, class 1</t>
        </is>
      </c>
      <c r="I1294" t="inlineStr">
        <is>
          <t>nickel, class 1</t>
        </is>
      </c>
    </row>
    <row r="1295">
      <c r="A1295" t="inlineStr">
        <is>
          <t>market for copper, cathode</t>
        </is>
      </c>
      <c r="B1295">
        <v>0.05614035087719299</v>
      </c>
      <c r="C1295" t="inlineStr">
        <is>
          <t>GLO</t>
        </is>
      </c>
      <c r="D1295" t="inlineStr">
        <is>
          <t>kilogram</t>
        </is>
      </c>
      <c r="F1295" t="inlineStr">
        <is>
          <t>technosphere</t>
        </is>
      </c>
      <c r="G1295" t="inlineStr">
        <is>
          <t>copper, cathode</t>
        </is>
      </c>
      <c r="I1295" t="inlineStr">
        <is>
          <t>copper, cathode</t>
        </is>
      </c>
    </row>
    <row r="1296">
      <c r="A1296" t="inlineStr">
        <is>
          <t>market for tin</t>
        </is>
      </c>
      <c r="B1296">
        <v>0.0456140350877193</v>
      </c>
      <c r="C1296" t="inlineStr">
        <is>
          <t>GLO</t>
        </is>
      </c>
      <c r="D1296" t="inlineStr">
        <is>
          <t>kilogram</t>
        </is>
      </c>
      <c r="F1296" t="inlineStr">
        <is>
          <t>technosphere</t>
        </is>
      </c>
      <c r="G1296" t="inlineStr">
        <is>
          <t>tin</t>
        </is>
      </c>
      <c r="I1296" t="inlineStr">
        <is>
          <t>tin</t>
        </is>
      </c>
    </row>
    <row r="1297">
      <c r="A1297" t="inlineStr">
        <is>
          <t>market for hazardous waste, for incineration</t>
        </is>
      </c>
      <c r="B1297">
        <v>-0.052105263157894675</v>
      </c>
      <c r="C1297" t="inlineStr">
        <is>
          <t>RoW</t>
        </is>
      </c>
      <c r="D1297" t="inlineStr">
        <is>
          <t>kilogram</t>
        </is>
      </c>
      <c r="F1297" t="inlineStr">
        <is>
          <t>technosphere</t>
        </is>
      </c>
      <c r="G1297" t="inlineStr">
        <is>
          <t>hazardous waste, for incineration</t>
        </is>
      </c>
      <c r="I1297" t="inlineStr">
        <is>
          <t>hazardous waste, for incineration</t>
        </is>
      </c>
    </row>
    <row r="1298">
      <c r="A1298" t="inlineStr">
        <is>
          <t>market group for electricity, medium voltage</t>
        </is>
      </c>
      <c r="B1298">
        <v>1</v>
      </c>
      <c r="C1298" t="inlineStr">
        <is>
          <t>GLO</t>
        </is>
      </c>
      <c r="D1298" t="inlineStr">
        <is>
          <t>kilowatt hour</t>
        </is>
      </c>
      <c r="F1298" t="inlineStr">
        <is>
          <t>technosphere</t>
        </is>
      </c>
      <c r="G1298" t="inlineStr">
        <is>
          <t>electricity, medium voltage</t>
        </is>
      </c>
      <c r="I1298" t="inlineStr">
        <is>
          <t>electricity, medium voltage</t>
        </is>
      </c>
    </row>
    <row r="1299">
      <c r="A1299" t="inlineStr">
        <is>
          <t>market for heat, district or industrial, natural gas</t>
        </is>
      </c>
      <c r="B1299">
        <v>5</v>
      </c>
      <c r="C1299" t="inlineStr">
        <is>
          <t>RoW</t>
        </is>
      </c>
      <c r="D1299" t="inlineStr">
        <is>
          <t>megajoule</t>
        </is>
      </c>
      <c r="F1299" t="inlineStr">
        <is>
          <t>technosphere</t>
        </is>
      </c>
      <c r="G1299" t="inlineStr">
        <is>
          <t>heat, district or industrial, natural gas</t>
        </is>
      </c>
      <c r="I1299" t="inlineStr">
        <is>
          <t>heat, district or industrial, natural gas</t>
        </is>
      </c>
    </row>
    <row r="1302">
      <c r="A1302" t="inlineStr">
        <is>
          <t>Activity</t>
        </is>
      </c>
      <c r="B1302" t="inlineStr">
        <is>
          <t>capacitor, Class2, 0805, declared material engineering reference</t>
        </is>
      </c>
    </row>
    <row r="1303">
      <c r="A1303" t="inlineStr">
        <is>
          <t>location</t>
        </is>
      </c>
      <c r="B1303" t="inlineStr">
        <is>
          <t>GLO</t>
        </is>
      </c>
    </row>
    <row r="1304">
      <c r="A1304" t="inlineStr">
        <is>
          <t>production amount</t>
        </is>
      </c>
      <c r="B1304">
        <v>1</v>
      </c>
    </row>
    <row r="1305">
      <c r="A1305" t="inlineStr">
        <is>
          <t>reference product</t>
        </is>
      </c>
      <c r="B1305" t="inlineStr">
        <is>
          <t>capacitor, Class2, 0805, declared material engineering reference</t>
        </is>
      </c>
    </row>
    <row r="1306">
      <c r="A1306" t="inlineStr">
        <is>
          <t>unit</t>
        </is>
      </c>
      <c r="B1306" t="inlineStr">
        <is>
          <t>kilogram</t>
        </is>
      </c>
    </row>
    <row r="1307">
      <c r="A1307" t="inlineStr">
        <is>
          <t>source</t>
        </is>
      </c>
      <c r="B1307"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08">
      <c r="A1308" t="inlineStr">
        <is>
          <t>comment</t>
        </is>
      </c>
      <c r="B1308"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09">
      <c r="A1309" t="inlineStr">
        <is>
          <t>Exchanges</t>
        </is>
      </c>
    </row>
    <row r="1310">
      <c r="A1310" t="inlineStr">
        <is>
          <t>name</t>
        </is>
      </c>
      <c r="B1310" t="inlineStr">
        <is>
          <t>amount</t>
        </is>
      </c>
      <c r="C1310" t="inlineStr">
        <is>
          <t>location</t>
        </is>
      </c>
      <c r="D1310" t="inlineStr">
        <is>
          <t>unit</t>
        </is>
      </c>
      <c r="E1310" t="inlineStr">
        <is>
          <t>categories</t>
        </is>
      </c>
      <c r="F1310" t="inlineStr">
        <is>
          <t>type</t>
        </is>
      </c>
      <c r="G1310" t="inlineStr">
        <is>
          <t>reference product</t>
        </is>
      </c>
      <c r="H1310" t="inlineStr">
        <is>
          <t>comment</t>
        </is>
      </c>
      <c r="I1310" t="inlineStr">
        <is>
          <t>product</t>
        </is>
      </c>
    </row>
    <row r="1311">
      <c r="A1311" t="inlineStr">
        <is>
          <t>capacitor, Class2, 0805, declared material engineering reference</t>
        </is>
      </c>
      <c r="B1311">
        <v>1</v>
      </c>
      <c r="C1311" t="inlineStr">
        <is>
          <t>GLO</t>
        </is>
      </c>
      <c r="D1311" t="inlineStr">
        <is>
          <t>kilogram</t>
        </is>
      </c>
      <c r="F1311" t="inlineStr">
        <is>
          <t>production</t>
        </is>
      </c>
      <c r="G1311" t="inlineStr">
        <is>
          <t>capacitor, Class2, 0805, declared material engineering reference</t>
        </is>
      </c>
      <c r="I1311" t="inlineStr">
        <is>
          <t>capacitor, Class2, 0805, declared material engineering reference</t>
        </is>
      </c>
    </row>
    <row r="1312">
      <c r="A1312" t="inlineStr">
        <is>
          <t>barium titanate, capacitor ceramic engineering reference</t>
        </is>
      </c>
      <c r="B1312">
        <v>0.8008429926238145</v>
      </c>
      <c r="C1312" t="inlineStr">
        <is>
          <t>GLO</t>
        </is>
      </c>
      <c r="D1312" t="inlineStr">
        <is>
          <t>kilogram</t>
        </is>
      </c>
      <c r="F1312" t="inlineStr">
        <is>
          <t>technosphere</t>
        </is>
      </c>
      <c r="G1312" t="inlineStr">
        <is>
          <t>barium titanate, capacitor ceramic engineering reference</t>
        </is>
      </c>
      <c r="I1312" t="inlineStr">
        <is>
          <t>barium titanate, capacitor ceramic engineering reference</t>
        </is>
      </c>
    </row>
    <row r="1313">
      <c r="A1313" t="inlineStr">
        <is>
          <t>market for nickel, class 1</t>
        </is>
      </c>
      <c r="B1313">
        <v>0.0898452664854972</v>
      </c>
      <c r="C1313" t="inlineStr">
        <is>
          <t>GLO</t>
        </is>
      </c>
      <c r="D1313" t="inlineStr">
        <is>
          <t>kilogram</t>
        </is>
      </c>
      <c r="F1313" t="inlineStr">
        <is>
          <t>technosphere</t>
        </is>
      </c>
      <c r="G1313" t="inlineStr">
        <is>
          <t>nickel, class 1</t>
        </is>
      </c>
      <c r="I1313" t="inlineStr">
        <is>
          <t>nickel, class 1</t>
        </is>
      </c>
    </row>
    <row r="1314">
      <c r="A1314" t="inlineStr">
        <is>
          <t>market for copper, cathode</t>
        </is>
      </c>
      <c r="B1314">
        <v>0.11812988741611669</v>
      </c>
      <c r="C1314" t="inlineStr">
        <is>
          <t>GLO</t>
        </is>
      </c>
      <c r="D1314" t="inlineStr">
        <is>
          <t>kilogram</t>
        </is>
      </c>
      <c r="F1314" t="inlineStr">
        <is>
          <t>technosphere</t>
        </is>
      </c>
      <c r="G1314" t="inlineStr">
        <is>
          <t>copper, cathode</t>
        </is>
      </c>
      <c r="I1314" t="inlineStr">
        <is>
          <t>copper, cathode</t>
        </is>
      </c>
    </row>
    <row r="1315">
      <c r="A1315" t="inlineStr">
        <is>
          <t>market for tin</t>
        </is>
      </c>
      <c r="B1315">
        <v>0.02384781764738506</v>
      </c>
      <c r="C1315" t="inlineStr">
        <is>
          <t>GLO</t>
        </is>
      </c>
      <c r="D1315" t="inlineStr">
        <is>
          <t>kilogram</t>
        </is>
      </c>
      <c r="F1315" t="inlineStr">
        <is>
          <t>technosphere</t>
        </is>
      </c>
      <c r="G1315" t="inlineStr">
        <is>
          <t>tin</t>
        </is>
      </c>
      <c r="I1315" t="inlineStr">
        <is>
          <t>tin</t>
        </is>
      </c>
    </row>
    <row r="1316">
      <c r="A1316" t="inlineStr">
        <is>
          <t>market for hazardous waste, for incineration</t>
        </is>
      </c>
      <c r="B1316">
        <v>-0.051633298208640606</v>
      </c>
      <c r="C1316" t="inlineStr">
        <is>
          <t>RoW</t>
        </is>
      </c>
      <c r="D1316" t="inlineStr">
        <is>
          <t>kilogram</t>
        </is>
      </c>
      <c r="F1316" t="inlineStr">
        <is>
          <t>technosphere</t>
        </is>
      </c>
      <c r="G1316" t="inlineStr">
        <is>
          <t>hazardous waste, for incineration</t>
        </is>
      </c>
      <c r="I1316" t="inlineStr">
        <is>
          <t>hazardous waste, for incineration</t>
        </is>
      </c>
    </row>
    <row r="1317">
      <c r="A1317" t="inlineStr">
        <is>
          <t>market group for electricity, medium voltage</t>
        </is>
      </c>
      <c r="B1317">
        <v>1</v>
      </c>
      <c r="C1317" t="inlineStr">
        <is>
          <t>GLO</t>
        </is>
      </c>
      <c r="D1317" t="inlineStr">
        <is>
          <t>kilowatt hour</t>
        </is>
      </c>
      <c r="F1317" t="inlineStr">
        <is>
          <t>technosphere</t>
        </is>
      </c>
      <c r="G1317" t="inlineStr">
        <is>
          <t>electricity, medium voltage</t>
        </is>
      </c>
      <c r="I1317" t="inlineStr">
        <is>
          <t>electricity, medium voltage</t>
        </is>
      </c>
    </row>
    <row r="1318">
      <c r="A1318" t="inlineStr">
        <is>
          <t>market for heat, district or industrial, natural gas</t>
        </is>
      </c>
      <c r="B1318">
        <v>5</v>
      </c>
      <c r="C1318" t="inlineStr">
        <is>
          <t>RoW</t>
        </is>
      </c>
      <c r="D1318" t="inlineStr">
        <is>
          <t>megajoule</t>
        </is>
      </c>
      <c r="F1318" t="inlineStr">
        <is>
          <t>technosphere</t>
        </is>
      </c>
      <c r="G1318" t="inlineStr">
        <is>
          <t>heat, district or industrial, natural gas</t>
        </is>
      </c>
      <c r="I1318" t="inlineStr">
        <is>
          <t>heat, district or industrial, natural gas</t>
        </is>
      </c>
    </row>
    <row r="1321">
      <c r="A1321" t="inlineStr">
        <is>
          <t>Activity</t>
        </is>
      </c>
      <c r="B1321" t="inlineStr">
        <is>
          <t>capacitor, Class2, 1206, declared material engineering reference</t>
        </is>
      </c>
    </row>
    <row r="1322">
      <c r="A1322" t="inlineStr">
        <is>
          <t>location</t>
        </is>
      </c>
      <c r="B1322" t="inlineStr">
        <is>
          <t>GLO</t>
        </is>
      </c>
    </row>
    <row r="1323">
      <c r="A1323" t="inlineStr">
        <is>
          <t>production amount</t>
        </is>
      </c>
      <c r="B1323">
        <v>1</v>
      </c>
    </row>
    <row r="1324">
      <c r="A1324" t="inlineStr">
        <is>
          <t>reference product</t>
        </is>
      </c>
      <c r="B1324" t="inlineStr">
        <is>
          <t>capacitor, Class2, 1206, declared material engineering reference</t>
        </is>
      </c>
    </row>
    <row r="1325">
      <c r="A1325" t="inlineStr">
        <is>
          <t>unit</t>
        </is>
      </c>
      <c r="B1325" t="inlineStr">
        <is>
          <t>kilogram</t>
        </is>
      </c>
    </row>
    <row r="1326">
      <c r="A1326" t="inlineStr">
        <is>
          <t>source</t>
        </is>
      </c>
      <c r="B1326"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27">
      <c r="A1327" t="inlineStr">
        <is>
          <t>comment</t>
        </is>
      </c>
      <c r="B1327"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28">
      <c r="A1328" t="inlineStr">
        <is>
          <t>Exchanges</t>
        </is>
      </c>
    </row>
    <row r="1329">
      <c r="A1329" t="inlineStr">
        <is>
          <t>name</t>
        </is>
      </c>
      <c r="B1329" t="inlineStr">
        <is>
          <t>amount</t>
        </is>
      </c>
      <c r="C1329" t="inlineStr">
        <is>
          <t>location</t>
        </is>
      </c>
      <c r="D1329" t="inlineStr">
        <is>
          <t>unit</t>
        </is>
      </c>
      <c r="E1329" t="inlineStr">
        <is>
          <t>categories</t>
        </is>
      </c>
      <c r="F1329" t="inlineStr">
        <is>
          <t>type</t>
        </is>
      </c>
      <c r="G1329" t="inlineStr">
        <is>
          <t>reference product</t>
        </is>
      </c>
      <c r="H1329" t="inlineStr">
        <is>
          <t>comment</t>
        </is>
      </c>
      <c r="I1329" t="inlineStr">
        <is>
          <t>product</t>
        </is>
      </c>
    </row>
    <row r="1330">
      <c r="A1330" t="inlineStr">
        <is>
          <t>capacitor, Class2, 1206, declared material engineering reference</t>
        </is>
      </c>
      <c r="B1330">
        <v>1</v>
      </c>
      <c r="C1330" t="inlineStr">
        <is>
          <t>GLO</t>
        </is>
      </c>
      <c r="D1330" t="inlineStr">
        <is>
          <t>kilogram</t>
        </is>
      </c>
      <c r="F1330" t="inlineStr">
        <is>
          <t>production</t>
        </is>
      </c>
      <c r="G1330" t="inlineStr">
        <is>
          <t>capacitor, Class2, 1206, declared material engineering reference</t>
        </is>
      </c>
      <c r="I1330" t="inlineStr">
        <is>
          <t>capacitor, Class2, 1206, declared material engineering reference</t>
        </is>
      </c>
    </row>
    <row r="1331">
      <c r="A1331" t="inlineStr">
        <is>
          <t>barium titanate, capacitor ceramic engineering reference</t>
        </is>
      </c>
      <c r="B1331">
        <v>0.8785586942318979</v>
      </c>
      <c r="C1331" t="inlineStr">
        <is>
          <t>GLO</t>
        </is>
      </c>
      <c r="D1331" t="inlineStr">
        <is>
          <t>kilogram</t>
        </is>
      </c>
      <c r="F1331" t="inlineStr">
        <is>
          <t>technosphere</t>
        </is>
      </c>
      <c r="G1331" t="inlineStr">
        <is>
          <t>barium titanate, capacitor ceramic engineering reference</t>
        </is>
      </c>
      <c r="I1331" t="inlineStr">
        <is>
          <t>barium titanate, capacitor ceramic engineering reference</t>
        </is>
      </c>
    </row>
    <row r="1332">
      <c r="A1332" t="inlineStr">
        <is>
          <t>market for nickel, class 1</t>
        </is>
      </c>
      <c r="B1332">
        <v>0.10342498366682538</v>
      </c>
      <c r="C1332" t="inlineStr">
        <is>
          <t>GLO</t>
        </is>
      </c>
      <c r="D1332" t="inlineStr">
        <is>
          <t>kilogram</t>
        </is>
      </c>
      <c r="F1332" t="inlineStr">
        <is>
          <t>technosphere</t>
        </is>
      </c>
      <c r="G1332" t="inlineStr">
        <is>
          <t>nickel, class 1</t>
        </is>
      </c>
      <c r="I1332" t="inlineStr">
        <is>
          <t>nickel, class 1</t>
        </is>
      </c>
    </row>
    <row r="1333">
      <c r="A1333" t="inlineStr">
        <is>
          <t>market for copper, cathode</t>
        </is>
      </c>
      <c r="B1333">
        <v>0.04274308746830256</v>
      </c>
      <c r="C1333" t="inlineStr">
        <is>
          <t>GLO</t>
        </is>
      </c>
      <c r="D1333" t="inlineStr">
        <is>
          <t>kilogram</t>
        </is>
      </c>
      <c r="F1333" t="inlineStr">
        <is>
          <t>technosphere</t>
        </is>
      </c>
      <c r="G1333" t="inlineStr">
        <is>
          <t>copper, cathode</t>
        </is>
      </c>
      <c r="I1333" t="inlineStr">
        <is>
          <t>copper, cathode</t>
        </is>
      </c>
    </row>
    <row r="1334">
      <c r="A1334" t="inlineStr">
        <is>
          <t>market for tin</t>
        </is>
      </c>
      <c r="B1334">
        <v>0.013952406790171306</v>
      </c>
      <c r="C1334" t="inlineStr">
        <is>
          <t>GLO</t>
        </is>
      </c>
      <c r="D1334" t="inlineStr">
        <is>
          <t>kilogram</t>
        </is>
      </c>
      <c r="F1334" t="inlineStr">
        <is>
          <t>technosphere</t>
        </is>
      </c>
      <c r="G1334" t="inlineStr">
        <is>
          <t>tin</t>
        </is>
      </c>
      <c r="I1334" t="inlineStr">
        <is>
          <t>tin</t>
        </is>
      </c>
    </row>
    <row r="1335">
      <c r="A1335" t="inlineStr">
        <is>
          <t>market for hazardous waste, for incineration</t>
        </is>
      </c>
      <c r="B1335">
        <v>-0.05193395860785979</v>
      </c>
      <c r="C1335" t="inlineStr">
        <is>
          <t>RoW</t>
        </is>
      </c>
      <c r="D1335" t="inlineStr">
        <is>
          <t>kilogram</t>
        </is>
      </c>
      <c r="F1335" t="inlineStr">
        <is>
          <t>technosphere</t>
        </is>
      </c>
      <c r="G1335" t="inlineStr">
        <is>
          <t>hazardous waste, for incineration</t>
        </is>
      </c>
      <c r="I1335" t="inlineStr">
        <is>
          <t>hazardous waste, for incineration</t>
        </is>
      </c>
    </row>
    <row r="1336">
      <c r="A1336" t="inlineStr">
        <is>
          <t>market group for electricity, medium voltage</t>
        </is>
      </c>
      <c r="B1336">
        <v>1</v>
      </c>
      <c r="C1336" t="inlineStr">
        <is>
          <t>GLO</t>
        </is>
      </c>
      <c r="D1336" t="inlineStr">
        <is>
          <t>kilowatt hour</t>
        </is>
      </c>
      <c r="F1336" t="inlineStr">
        <is>
          <t>technosphere</t>
        </is>
      </c>
      <c r="G1336" t="inlineStr">
        <is>
          <t>electricity, medium voltage</t>
        </is>
      </c>
      <c r="I1336" t="inlineStr">
        <is>
          <t>electricity, medium voltage</t>
        </is>
      </c>
    </row>
    <row r="1337">
      <c r="A1337" t="inlineStr">
        <is>
          <t>market for heat, district or industrial, natural gas</t>
        </is>
      </c>
      <c r="B1337">
        <v>5</v>
      </c>
      <c r="C1337" t="inlineStr">
        <is>
          <t>RoW</t>
        </is>
      </c>
      <c r="D1337" t="inlineStr">
        <is>
          <t>megajoule</t>
        </is>
      </c>
      <c r="F1337" t="inlineStr">
        <is>
          <t>technosphere</t>
        </is>
      </c>
      <c r="G1337" t="inlineStr">
        <is>
          <t>heat, district or industrial, natural gas</t>
        </is>
      </c>
      <c r="I1337" t="inlineStr">
        <is>
          <t>heat, district or industrial, natural gas</t>
        </is>
      </c>
    </row>
    <row r="1340">
      <c r="A1340" t="inlineStr">
        <is>
          <t>Activity</t>
        </is>
      </c>
      <c r="B1340" t="inlineStr">
        <is>
          <t>capacitor, flex Class2, 0805, declared material engineering reference</t>
        </is>
      </c>
    </row>
    <row r="1341">
      <c r="A1341" t="inlineStr">
        <is>
          <t>location</t>
        </is>
      </c>
      <c r="B1341" t="inlineStr">
        <is>
          <t>GLO</t>
        </is>
      </c>
    </row>
    <row r="1342">
      <c r="A1342" t="inlineStr">
        <is>
          <t>production amount</t>
        </is>
      </c>
      <c r="B1342">
        <v>1</v>
      </c>
    </row>
    <row r="1343">
      <c r="A1343" t="inlineStr">
        <is>
          <t>reference product</t>
        </is>
      </c>
      <c r="B1343" t="inlineStr">
        <is>
          <t>capacitor, flex Class2, 0805, declared material engineering reference</t>
        </is>
      </c>
    </row>
    <row r="1344">
      <c r="A1344" t="inlineStr">
        <is>
          <t>unit</t>
        </is>
      </c>
      <c r="B1344" t="inlineStr">
        <is>
          <t>kilogram</t>
        </is>
      </c>
    </row>
    <row r="1345">
      <c r="A1345" t="inlineStr">
        <is>
          <t>source</t>
        </is>
      </c>
      <c r="B1345"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46">
      <c r="A1346" t="inlineStr">
        <is>
          <t>comment</t>
        </is>
      </c>
      <c r="B1346"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47">
      <c r="A1347" t="inlineStr">
        <is>
          <t>Exchanges</t>
        </is>
      </c>
    </row>
    <row r="1348">
      <c r="A1348" t="inlineStr">
        <is>
          <t>name</t>
        </is>
      </c>
      <c r="B1348" t="inlineStr">
        <is>
          <t>amount</t>
        </is>
      </c>
      <c r="C1348" t="inlineStr">
        <is>
          <t>location</t>
        </is>
      </c>
      <c r="D1348" t="inlineStr">
        <is>
          <t>unit</t>
        </is>
      </c>
      <c r="E1348" t="inlineStr">
        <is>
          <t>categories</t>
        </is>
      </c>
      <c r="F1348" t="inlineStr">
        <is>
          <t>type</t>
        </is>
      </c>
      <c r="G1348" t="inlineStr">
        <is>
          <t>reference product</t>
        </is>
      </c>
      <c r="H1348" t="inlineStr">
        <is>
          <t>comment</t>
        </is>
      </c>
      <c r="I1348" t="inlineStr">
        <is>
          <t>product</t>
        </is>
      </c>
    </row>
    <row r="1349">
      <c r="A1349" t="inlineStr">
        <is>
          <t>capacitor, flex Class2, 0805, declared material engineering reference</t>
        </is>
      </c>
      <c r="B1349">
        <v>1</v>
      </c>
      <c r="C1349" t="inlineStr">
        <is>
          <t>GLO</t>
        </is>
      </c>
      <c r="D1349" t="inlineStr">
        <is>
          <t>kilogram</t>
        </is>
      </c>
      <c r="F1349" t="inlineStr">
        <is>
          <t>production</t>
        </is>
      </c>
      <c r="G1349" t="inlineStr">
        <is>
          <t>capacitor, flex Class2, 0805, declared material engineering reference</t>
        </is>
      </c>
      <c r="I1349" t="inlineStr">
        <is>
          <t>capacitor, flex Class2, 0805, declared material engineering reference</t>
        </is>
      </c>
    </row>
    <row r="1350">
      <c r="A1350" t="inlineStr">
        <is>
          <t>barium titanate, capacitor ceramic engineering reference</t>
        </is>
      </c>
      <c r="B1350">
        <v>0.8811697139527788</v>
      </c>
      <c r="C1350" t="inlineStr">
        <is>
          <t>GLO</t>
        </is>
      </c>
      <c r="D1350" t="inlineStr">
        <is>
          <t>kilogram</t>
        </is>
      </c>
      <c r="F1350" t="inlineStr">
        <is>
          <t>technosphere</t>
        </is>
      </c>
      <c r="G1350" t="inlineStr">
        <is>
          <t>barium titanate, capacitor ceramic engineering reference</t>
        </is>
      </c>
      <c r="I1350" t="inlineStr">
        <is>
          <t>barium titanate, capacitor ceramic engineering reference</t>
        </is>
      </c>
    </row>
    <row r="1351">
      <c r="A1351" t="inlineStr">
        <is>
          <t>market for nickel, class 1</t>
        </is>
      </c>
      <c r="B1351">
        <v>0.0632577754348972</v>
      </c>
      <c r="C1351" t="inlineStr">
        <is>
          <t>GLO</t>
        </is>
      </c>
      <c r="D1351" t="inlineStr">
        <is>
          <t>kilogram</t>
        </is>
      </c>
      <c r="F1351" t="inlineStr">
        <is>
          <t>technosphere</t>
        </is>
      </c>
      <c r="G1351" t="inlineStr">
        <is>
          <t>nickel, class 1</t>
        </is>
      </c>
      <c r="I1351" t="inlineStr">
        <is>
          <t>nickel, class 1</t>
        </is>
      </c>
    </row>
    <row r="1352">
      <c r="A1352" t="inlineStr">
        <is>
          <t>market for copper, cathode</t>
        </is>
      </c>
      <c r="B1352">
        <v>0.03717781538717643</v>
      </c>
      <c r="C1352" t="inlineStr">
        <is>
          <t>GLO</t>
        </is>
      </c>
      <c r="D1352" t="inlineStr">
        <is>
          <t>kilogram</t>
        </is>
      </c>
      <c r="F1352" t="inlineStr">
        <is>
          <t>technosphere</t>
        </is>
      </c>
      <c r="G1352" t="inlineStr">
        <is>
          <t>copper, cathode</t>
        </is>
      </c>
      <c r="I1352" t="inlineStr">
        <is>
          <t>copper, cathode</t>
        </is>
      </c>
    </row>
    <row r="1353">
      <c r="A1353" t="inlineStr">
        <is>
          <t>market for silver</t>
        </is>
      </c>
      <c r="B1353">
        <v>0.024970174513775215</v>
      </c>
      <c r="C1353" t="inlineStr">
        <is>
          <t>GLO</t>
        </is>
      </c>
      <c r="D1353" t="inlineStr">
        <is>
          <t>kilogram</t>
        </is>
      </c>
      <c r="F1353" t="inlineStr">
        <is>
          <t>technosphere</t>
        </is>
      </c>
      <c r="G1353" t="inlineStr">
        <is>
          <t>silver</t>
        </is>
      </c>
      <c r="I1353" t="inlineStr">
        <is>
          <t>silver</t>
        </is>
      </c>
    </row>
    <row r="1354">
      <c r="A1354" t="inlineStr">
        <is>
          <t>market for tin</t>
        </is>
      </c>
      <c r="B1354">
        <v>0.027744638348639127</v>
      </c>
      <c r="C1354" t="inlineStr">
        <is>
          <t>GLO</t>
        </is>
      </c>
      <c r="D1354" t="inlineStr">
        <is>
          <t>kilogram</t>
        </is>
      </c>
      <c r="F1354" t="inlineStr">
        <is>
          <t>technosphere</t>
        </is>
      </c>
      <c r="G1354" t="inlineStr">
        <is>
          <t>tin</t>
        </is>
      </c>
      <c r="I1354" t="inlineStr">
        <is>
          <t>tin</t>
        </is>
      </c>
    </row>
    <row r="1355">
      <c r="A1355" t="inlineStr">
        <is>
          <t>market for hazardous waste, for incineration</t>
        </is>
      </c>
      <c r="B1355">
        <v>-0.05171600588186328</v>
      </c>
      <c r="C1355" t="inlineStr">
        <is>
          <t>RoW</t>
        </is>
      </c>
      <c r="D1355" t="inlineStr">
        <is>
          <t>kilogram</t>
        </is>
      </c>
      <c r="F1355" t="inlineStr">
        <is>
          <t>technosphere</t>
        </is>
      </c>
      <c r="G1355" t="inlineStr">
        <is>
          <t>hazardous waste, for incineration</t>
        </is>
      </c>
      <c r="I1355" t="inlineStr">
        <is>
          <t>hazardous waste, for incineration</t>
        </is>
      </c>
    </row>
    <row r="1356">
      <c r="A1356" t="inlineStr">
        <is>
          <t>market group for electricity, medium voltage</t>
        </is>
      </c>
      <c r="B1356">
        <v>1</v>
      </c>
      <c r="C1356" t="inlineStr">
        <is>
          <t>GLO</t>
        </is>
      </c>
      <c r="D1356" t="inlineStr">
        <is>
          <t>kilowatt hour</t>
        </is>
      </c>
      <c r="F1356" t="inlineStr">
        <is>
          <t>technosphere</t>
        </is>
      </c>
      <c r="G1356" t="inlineStr">
        <is>
          <t>electricity, medium voltage</t>
        </is>
      </c>
      <c r="I1356" t="inlineStr">
        <is>
          <t>electricity, medium voltage</t>
        </is>
      </c>
    </row>
    <row r="1357">
      <c r="A1357" t="inlineStr">
        <is>
          <t>market for heat, district or industrial, natural gas</t>
        </is>
      </c>
      <c r="B1357">
        <v>5</v>
      </c>
      <c r="C1357" t="inlineStr">
        <is>
          <t>RoW</t>
        </is>
      </c>
      <c r="D1357" t="inlineStr">
        <is>
          <t>megajoule</t>
        </is>
      </c>
      <c r="F1357" t="inlineStr">
        <is>
          <t>technosphere</t>
        </is>
      </c>
      <c r="G1357" t="inlineStr">
        <is>
          <t>heat, district or industrial, natural gas</t>
        </is>
      </c>
      <c r="I1357" t="inlineStr">
        <is>
          <t>heat, district or industrial, natural gas</t>
        </is>
      </c>
    </row>
    <row r="1360">
      <c r="A1360" t="inlineStr">
        <is>
          <t>Activity</t>
        </is>
      </c>
      <c r="B1360" t="inlineStr">
        <is>
          <t>capacitor, C0G, 0402, declared material engineering reference</t>
        </is>
      </c>
    </row>
    <row r="1361">
      <c r="A1361" t="inlineStr">
        <is>
          <t>location</t>
        </is>
      </c>
      <c r="B1361" t="inlineStr">
        <is>
          <t>GLO</t>
        </is>
      </c>
    </row>
    <row r="1362">
      <c r="A1362" t="inlineStr">
        <is>
          <t>production amount</t>
        </is>
      </c>
      <c r="B1362">
        <v>1</v>
      </c>
    </row>
    <row r="1363">
      <c r="A1363" t="inlineStr">
        <is>
          <t>reference product</t>
        </is>
      </c>
      <c r="B1363" t="inlineStr">
        <is>
          <t>capacitor, C0G, 0402, declared material engineering reference</t>
        </is>
      </c>
    </row>
    <row r="1364">
      <c r="A1364" t="inlineStr">
        <is>
          <t>unit</t>
        </is>
      </c>
      <c r="B1364" t="inlineStr">
        <is>
          <t>kilogram</t>
        </is>
      </c>
    </row>
    <row r="1365">
      <c r="A1365" t="inlineStr">
        <is>
          <t>source</t>
        </is>
      </c>
      <c r="B1365"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66">
      <c r="A1366" t="inlineStr">
        <is>
          <t>comment</t>
        </is>
      </c>
      <c r="B1366"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67">
      <c r="A1367" t="inlineStr">
        <is>
          <t>Exchanges</t>
        </is>
      </c>
    </row>
    <row r="1368">
      <c r="A1368" t="inlineStr">
        <is>
          <t>name</t>
        </is>
      </c>
      <c r="B1368" t="inlineStr">
        <is>
          <t>amount</t>
        </is>
      </c>
      <c r="C1368" t="inlineStr">
        <is>
          <t>location</t>
        </is>
      </c>
      <c r="D1368" t="inlineStr">
        <is>
          <t>unit</t>
        </is>
      </c>
      <c r="E1368" t="inlineStr">
        <is>
          <t>categories</t>
        </is>
      </c>
      <c r="F1368" t="inlineStr">
        <is>
          <t>type</t>
        </is>
      </c>
      <c r="G1368" t="inlineStr">
        <is>
          <t>reference product</t>
        </is>
      </c>
      <c r="H1368" t="inlineStr">
        <is>
          <t>comment</t>
        </is>
      </c>
      <c r="I1368" t="inlineStr">
        <is>
          <t>product</t>
        </is>
      </c>
    </row>
    <row r="1369">
      <c r="A1369" t="inlineStr">
        <is>
          <t>capacitor, C0G, 0402, declared material engineering reference</t>
        </is>
      </c>
      <c r="B1369">
        <v>1</v>
      </c>
      <c r="C1369" t="inlineStr">
        <is>
          <t>GLO</t>
        </is>
      </c>
      <c r="D1369" t="inlineStr">
        <is>
          <t>kilogram</t>
        </is>
      </c>
      <c r="F1369" t="inlineStr">
        <is>
          <t>production</t>
        </is>
      </c>
      <c r="G1369" t="inlineStr">
        <is>
          <t>capacitor, C0G, 0402, declared material engineering reference</t>
        </is>
      </c>
      <c r="I1369" t="inlineStr">
        <is>
          <t>capacitor, C0G, 0402, declared material engineering reference</t>
        </is>
      </c>
    </row>
    <row r="1370">
      <c r="A1370" t="inlineStr">
        <is>
          <t>calcium zirconate, capacitor ceramic engineering reference</t>
        </is>
      </c>
      <c r="B1370">
        <v>0.780701754385965</v>
      </c>
      <c r="C1370" t="inlineStr">
        <is>
          <t>GLO</t>
        </is>
      </c>
      <c r="D1370" t="inlineStr">
        <is>
          <t>kilogram</t>
        </is>
      </c>
      <c r="F1370" t="inlineStr">
        <is>
          <t>technosphere</t>
        </is>
      </c>
      <c r="G1370" t="inlineStr">
        <is>
          <t>calcium zirconate, capacitor ceramic engineering reference</t>
        </is>
      </c>
      <c r="I1370" t="inlineStr">
        <is>
          <t>calcium zirconate, capacitor ceramic engineering reference</t>
        </is>
      </c>
    </row>
    <row r="1371">
      <c r="A1371" t="inlineStr">
        <is>
          <t>market for nickel, class 1</t>
        </is>
      </c>
      <c r="B1371">
        <v>0.07894736842105263</v>
      </c>
      <c r="C1371" t="inlineStr">
        <is>
          <t>GLO</t>
        </is>
      </c>
      <c r="D1371" t="inlineStr">
        <is>
          <t>kilogram</t>
        </is>
      </c>
      <c r="F1371" t="inlineStr">
        <is>
          <t>technosphere</t>
        </is>
      </c>
      <c r="G1371" t="inlineStr">
        <is>
          <t>nickel, class 1</t>
        </is>
      </c>
      <c r="I1371" t="inlineStr">
        <is>
          <t>nickel, class 1</t>
        </is>
      </c>
    </row>
    <row r="1372">
      <c r="A1372" t="inlineStr">
        <is>
          <t>market for copper, cathode</t>
        </is>
      </c>
      <c r="B1372">
        <v>0.008771929824561403</v>
      </c>
      <c r="C1372" t="inlineStr">
        <is>
          <t>GLO</t>
        </is>
      </c>
      <c r="D1372" t="inlineStr">
        <is>
          <t>kilogram</t>
        </is>
      </c>
      <c r="F1372" t="inlineStr">
        <is>
          <t>technosphere</t>
        </is>
      </c>
      <c r="G1372" t="inlineStr">
        <is>
          <t>copper, cathode</t>
        </is>
      </c>
      <c r="I1372" t="inlineStr">
        <is>
          <t>copper, cathode</t>
        </is>
      </c>
    </row>
    <row r="1373">
      <c r="A1373" t="inlineStr">
        <is>
          <t>market for tin</t>
        </is>
      </c>
      <c r="B1373">
        <v>0.04385964912280702</v>
      </c>
      <c r="C1373" t="inlineStr">
        <is>
          <t>GLO</t>
        </is>
      </c>
      <c r="D1373" t="inlineStr">
        <is>
          <t>kilogram</t>
        </is>
      </c>
      <c r="F1373" t="inlineStr">
        <is>
          <t>technosphere</t>
        </is>
      </c>
      <c r="G1373" t="inlineStr">
        <is>
          <t>tin</t>
        </is>
      </c>
      <c r="I1373" t="inlineStr">
        <is>
          <t>tin</t>
        </is>
      </c>
    </row>
    <row r="1374">
      <c r="A1374" t="inlineStr">
        <is>
          <t>market for hazardous waste, for incineration</t>
        </is>
      </c>
      <c r="B1374">
        <v>-0.045614035087719246</v>
      </c>
      <c r="C1374" t="inlineStr">
        <is>
          <t>RoW</t>
        </is>
      </c>
      <c r="D1374" t="inlineStr">
        <is>
          <t>kilogram</t>
        </is>
      </c>
      <c r="F1374" t="inlineStr">
        <is>
          <t>technosphere</t>
        </is>
      </c>
      <c r="G1374" t="inlineStr">
        <is>
          <t>hazardous waste, for incineration</t>
        </is>
      </c>
      <c r="I1374" t="inlineStr">
        <is>
          <t>hazardous waste, for incineration</t>
        </is>
      </c>
    </row>
    <row r="1375">
      <c r="A1375" t="inlineStr">
        <is>
          <t>market group for electricity, medium voltage</t>
        </is>
      </c>
      <c r="B1375">
        <v>1</v>
      </c>
      <c r="C1375" t="inlineStr">
        <is>
          <t>GLO</t>
        </is>
      </c>
      <c r="D1375" t="inlineStr">
        <is>
          <t>kilowatt hour</t>
        </is>
      </c>
      <c r="F1375" t="inlineStr">
        <is>
          <t>technosphere</t>
        </is>
      </c>
      <c r="G1375" t="inlineStr">
        <is>
          <t>electricity, medium voltage</t>
        </is>
      </c>
      <c r="I1375" t="inlineStr">
        <is>
          <t>electricity, medium voltage</t>
        </is>
      </c>
    </row>
    <row r="1376">
      <c r="A1376" t="inlineStr">
        <is>
          <t>market for heat, district or industrial, natural gas</t>
        </is>
      </c>
      <c r="B1376">
        <v>5</v>
      </c>
      <c r="C1376" t="inlineStr">
        <is>
          <t>RoW</t>
        </is>
      </c>
      <c r="D1376" t="inlineStr">
        <is>
          <t>megajoule</t>
        </is>
      </c>
      <c r="F1376" t="inlineStr">
        <is>
          <t>technosphere</t>
        </is>
      </c>
      <c r="G1376" t="inlineStr">
        <is>
          <t>heat, district or industrial, natural gas</t>
        </is>
      </c>
      <c r="I1376" t="inlineStr">
        <is>
          <t>heat, district or industrial, natural gas</t>
        </is>
      </c>
    </row>
    <row r="1379">
      <c r="A1379" t="inlineStr">
        <is>
          <t>Activity</t>
        </is>
      </c>
      <c r="B1379" t="inlineStr">
        <is>
          <t>capacitor set, 134 fitted battery monitor parts, engineering reference</t>
        </is>
      </c>
    </row>
    <row r="1380">
      <c r="A1380" t="inlineStr">
        <is>
          <t>location</t>
        </is>
      </c>
      <c r="B1380" t="inlineStr">
        <is>
          <t>GLO</t>
        </is>
      </c>
    </row>
    <row r="1381">
      <c r="A1381" t="inlineStr">
        <is>
          <t>production amount</t>
        </is>
      </c>
      <c r="B1381">
        <v>1</v>
      </c>
    </row>
    <row r="1382">
      <c r="A1382" t="inlineStr">
        <is>
          <t>reference product</t>
        </is>
      </c>
      <c r="B1382" t="inlineStr">
        <is>
          <t>capacitor set, 134 fitted battery monitor parts, engineering reference</t>
        </is>
      </c>
    </row>
    <row r="1383">
      <c r="A1383" t="inlineStr">
        <is>
          <t>unit</t>
        </is>
      </c>
      <c r="B1383" t="inlineStr">
        <is>
          <t>unit</t>
        </is>
      </c>
    </row>
    <row r="1384">
      <c r="A1384" t="inlineStr">
        <is>
          <t>source</t>
        </is>
      </c>
      <c r="B1384"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85">
      <c r="A1385" t="inlineStr">
        <is>
          <t>comment</t>
        </is>
      </c>
      <c r="B1385"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86">
      <c r="A1386" t="inlineStr">
        <is>
          <t>Exchanges</t>
        </is>
      </c>
    </row>
    <row r="1387">
      <c r="A1387" t="inlineStr">
        <is>
          <t>name</t>
        </is>
      </c>
      <c r="B1387" t="inlineStr">
        <is>
          <t>amount</t>
        </is>
      </c>
      <c r="C1387" t="inlineStr">
        <is>
          <t>location</t>
        </is>
      </c>
      <c r="D1387" t="inlineStr">
        <is>
          <t>unit</t>
        </is>
      </c>
      <c r="E1387" t="inlineStr">
        <is>
          <t>categories</t>
        </is>
      </c>
      <c r="F1387" t="inlineStr">
        <is>
          <t>type</t>
        </is>
      </c>
      <c r="G1387" t="inlineStr">
        <is>
          <t>reference product</t>
        </is>
      </c>
      <c r="H1387" t="inlineStr">
        <is>
          <t>comment</t>
        </is>
      </c>
      <c r="I1387" t="inlineStr">
        <is>
          <t>product</t>
        </is>
      </c>
    </row>
    <row r="1388">
      <c r="A1388" t="inlineStr">
        <is>
          <t>capacitor set, 134 fitted battery monitor parts, engineering reference</t>
        </is>
      </c>
      <c r="B1388">
        <v>1</v>
      </c>
      <c r="C1388" t="inlineStr">
        <is>
          <t>GLO</t>
        </is>
      </c>
      <c r="D1388" t="inlineStr">
        <is>
          <t>unit</t>
        </is>
      </c>
      <c r="F1388" t="inlineStr">
        <is>
          <t>production</t>
        </is>
      </c>
      <c r="G1388" t="inlineStr">
        <is>
          <t>capacitor set, 134 fitted battery monitor parts, engineering reference</t>
        </is>
      </c>
      <c r="I1388" t="inlineStr">
        <is>
          <t>capacitor set, 134 fitted battery monitor parts, engineering reference</t>
        </is>
      </c>
    </row>
    <row r="1389">
      <c r="A1389" t="inlineStr">
        <is>
          <t>capacitor, Class2, 0402, declared material engineering reference</t>
        </is>
      </c>
      <c r="B1389">
        <v>7.809999999999999e-05</v>
      </c>
      <c r="C1389" t="inlineStr">
        <is>
          <t>GLO</t>
        </is>
      </c>
      <c r="D1389" t="inlineStr">
        <is>
          <t>kilogram</t>
        </is>
      </c>
      <c r="F1389" t="inlineStr">
        <is>
          <t>technosphere</t>
        </is>
      </c>
      <c r="G1389" t="inlineStr">
        <is>
          <t>capacitor, Class2, 0402, declared material engineering reference</t>
        </is>
      </c>
      <c r="I1389" t="inlineStr">
        <is>
          <t>capacitor, Class2, 0402, declared material engineering reference</t>
        </is>
      </c>
    </row>
    <row r="1390">
      <c r="A1390" t="inlineStr">
        <is>
          <t>capacitor, Class2, 0603, declared material engineering reference</t>
        </is>
      </c>
      <c r="B1390">
        <v>0.00016199999999999998</v>
      </c>
      <c r="C1390" t="inlineStr">
        <is>
          <t>GLO</t>
        </is>
      </c>
      <c r="D1390" t="inlineStr">
        <is>
          <t>kilogram</t>
        </is>
      </c>
      <c r="F1390" t="inlineStr">
        <is>
          <t>technosphere</t>
        </is>
      </c>
      <c r="G1390" t="inlineStr">
        <is>
          <t>capacitor, Class2, 0603, declared material engineering reference</t>
        </is>
      </c>
      <c r="I1390" t="inlineStr">
        <is>
          <t>capacitor, Class2, 0603, declared material engineering reference</t>
        </is>
      </c>
    </row>
    <row r="1391">
      <c r="A1391" t="inlineStr">
        <is>
          <t>capacitor, Class2, 0805, declared material engineering reference</t>
        </is>
      </c>
      <c r="B1391">
        <v>0.0007212399999999999</v>
      </c>
      <c r="C1391" t="inlineStr">
        <is>
          <t>GLO</t>
        </is>
      </c>
      <c r="D1391" t="inlineStr">
        <is>
          <t>kilogram</t>
        </is>
      </c>
      <c r="F1391" t="inlineStr">
        <is>
          <t>technosphere</t>
        </is>
      </c>
      <c r="G1391" t="inlineStr">
        <is>
          <t>capacitor, Class2, 0805, declared material engineering reference</t>
        </is>
      </c>
      <c r="I1391" t="inlineStr">
        <is>
          <t>capacitor, Class2, 0805, declared material engineering reference</t>
        </is>
      </c>
    </row>
    <row r="1392">
      <c r="A1392" t="inlineStr">
        <is>
          <t>capacitor, Class2, 1206, declared material engineering reference</t>
        </is>
      </c>
      <c r="B1392">
        <v>0.00028518</v>
      </c>
      <c r="C1392" t="inlineStr">
        <is>
          <t>GLO</t>
        </is>
      </c>
      <c r="D1392" t="inlineStr">
        <is>
          <t>kilogram</t>
        </is>
      </c>
      <c r="F1392" t="inlineStr">
        <is>
          <t>technosphere</t>
        </is>
      </c>
      <c r="G1392" t="inlineStr">
        <is>
          <t>capacitor, Class2, 1206, declared material engineering reference</t>
        </is>
      </c>
      <c r="I1392" t="inlineStr">
        <is>
          <t>capacitor, Class2, 1206, declared material engineering reference</t>
        </is>
      </c>
    </row>
    <row r="1393">
      <c r="A1393" t="inlineStr">
        <is>
          <t>capacitor, flex Class2, 0805, declared material engineering reference</t>
        </is>
      </c>
      <c r="B1393">
        <v>1.897e-05</v>
      </c>
      <c r="C1393" t="inlineStr">
        <is>
          <t>GLO</t>
        </is>
      </c>
      <c r="D1393" t="inlineStr">
        <is>
          <t>kilogram</t>
        </is>
      </c>
      <c r="F1393" t="inlineStr">
        <is>
          <t>technosphere</t>
        </is>
      </c>
      <c r="G1393" t="inlineStr">
        <is>
          <t>capacitor, flex Class2, 0805, declared material engineering reference</t>
        </is>
      </c>
      <c r="I1393" t="inlineStr">
        <is>
          <t>capacitor, flex Class2, 0805, declared material engineering reference</t>
        </is>
      </c>
    </row>
    <row r="1394">
      <c r="A1394" t="inlineStr">
        <is>
          <t>capacitor, C0G, 0402, declared material engineering reference</t>
        </is>
      </c>
      <c r="B1394">
        <v>8.12e-06</v>
      </c>
      <c r="C1394" t="inlineStr">
        <is>
          <t>GLO</t>
        </is>
      </c>
      <c r="D1394" t="inlineStr">
        <is>
          <t>kilogram</t>
        </is>
      </c>
      <c r="F1394" t="inlineStr">
        <is>
          <t>technosphere</t>
        </is>
      </c>
      <c r="G1394" t="inlineStr">
        <is>
          <t>capacitor, C0G, 0402, declared material engineering reference</t>
        </is>
      </c>
      <c r="I1394" t="inlineStr">
        <is>
          <t>capacitor, C0G, 0402, declared material engineering reference</t>
        </is>
      </c>
    </row>
    <row r="1397">
      <c r="A1397" t="inlineStr">
        <is>
          <t>Activity</t>
        </is>
      </c>
      <c r="B1397" t="inlineStr">
        <is>
          <t>ruthenium dioxide, resistor film engineering reference</t>
        </is>
      </c>
    </row>
    <row r="1398">
      <c r="A1398" t="inlineStr">
        <is>
          <t>location</t>
        </is>
      </c>
      <c r="B1398" t="inlineStr">
        <is>
          <t>GLO</t>
        </is>
      </c>
    </row>
    <row r="1399">
      <c r="A1399" t="inlineStr">
        <is>
          <t>production amount</t>
        </is>
      </c>
      <c r="B1399">
        <v>1</v>
      </c>
    </row>
    <row r="1400">
      <c r="A1400" t="inlineStr">
        <is>
          <t>reference product</t>
        </is>
      </c>
      <c r="B1400" t="inlineStr">
        <is>
          <t>ruthenium dioxide, resistor film engineering reference</t>
        </is>
      </c>
    </row>
    <row r="1401">
      <c r="A1401" t="inlineStr">
        <is>
          <t>unit</t>
        </is>
      </c>
      <c r="B1401" t="inlineStr">
        <is>
          <t>kilogram</t>
        </is>
      </c>
    </row>
    <row r="1402">
      <c r="A1402" t="inlineStr">
        <is>
          <t>source</t>
        </is>
      </c>
      <c r="B1402"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03">
      <c r="A1403" t="inlineStr">
        <is>
          <t>comment</t>
        </is>
      </c>
      <c r="B1403" t="inlineStr">
        <is>
          <t>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product</t>
        </is>
      </c>
    </row>
    <row r="1406">
      <c r="A1406" t="inlineStr">
        <is>
          <t>ruthenium dioxide, resistor film engineering reference</t>
        </is>
      </c>
      <c r="B1406">
        <v>1</v>
      </c>
      <c r="C1406" t="inlineStr">
        <is>
          <t>GLO</t>
        </is>
      </c>
      <c r="D1406" t="inlineStr">
        <is>
          <t>kilogram</t>
        </is>
      </c>
      <c r="F1406" t="inlineStr">
        <is>
          <t>production</t>
        </is>
      </c>
      <c r="G1406" t="inlineStr">
        <is>
          <t>ruthenium dioxide, resistor film engineering reference</t>
        </is>
      </c>
      <c r="I1406" t="inlineStr">
        <is>
          <t>ruthenium dioxide, resistor film engineering reference</t>
        </is>
      </c>
    </row>
    <row r="1407">
      <c r="A1407" t="inlineStr">
        <is>
          <t>platinum group metal, extraction and refinery operations</t>
        </is>
      </c>
      <c r="B1407">
        <v>0.759536477590405</v>
      </c>
      <c r="C1407" t="inlineStr">
        <is>
          <t>ZA</t>
        </is>
      </c>
      <c r="D1407" t="inlineStr">
        <is>
          <t>kilogram</t>
        </is>
      </c>
      <c r="F1407" t="inlineStr">
        <is>
          <t>technosphere</t>
        </is>
      </c>
      <c r="G1407" t="inlineStr">
        <is>
          <t>ruthenium</t>
        </is>
      </c>
      <c r="I1407" t="inlineStr">
        <is>
          <t>ruthenium</t>
        </is>
      </c>
    </row>
    <row r="1408">
      <c r="A1408" t="inlineStr">
        <is>
          <t>market for oxygen, liquid</t>
        </is>
      </c>
      <c r="B1408">
        <v>0.240463522409595</v>
      </c>
      <c r="C1408" t="inlineStr">
        <is>
          <t>RER</t>
        </is>
      </c>
      <c r="D1408" t="inlineStr">
        <is>
          <t>kilogram</t>
        </is>
      </c>
      <c r="F1408" t="inlineStr">
        <is>
          <t>technosphere</t>
        </is>
      </c>
      <c r="G1408" t="inlineStr">
        <is>
          <t>oxygen, liquid</t>
        </is>
      </c>
      <c r="I1408" t="inlineStr">
        <is>
          <t>oxygen, liquid</t>
        </is>
      </c>
    </row>
    <row r="1409">
      <c r="A1409" t="inlineStr">
        <is>
          <t>market for heat, district or industrial, natural gas</t>
        </is>
      </c>
      <c r="B1409">
        <v>3</v>
      </c>
      <c r="C1409" t="inlineStr">
        <is>
          <t>RoW</t>
        </is>
      </c>
      <c r="D1409" t="inlineStr">
        <is>
          <t>megajoule</t>
        </is>
      </c>
      <c r="F1409" t="inlineStr">
        <is>
          <t>technosphere</t>
        </is>
      </c>
      <c r="G1409" t="inlineStr">
        <is>
          <t>heat, district or industrial, natural gas</t>
        </is>
      </c>
      <c r="I1409" t="inlineStr">
        <is>
          <t>heat, district or industrial, natural gas</t>
        </is>
      </c>
    </row>
    <row r="1410">
      <c r="A1410" t="inlineStr">
        <is>
          <t>market group for electricity, medium voltage</t>
        </is>
      </c>
      <c r="B1410">
        <v>0.5</v>
      </c>
      <c r="C1410" t="inlineStr">
        <is>
          <t>GLO</t>
        </is>
      </c>
      <c r="D1410" t="inlineStr">
        <is>
          <t>kilowatt hour</t>
        </is>
      </c>
      <c r="F1410" t="inlineStr">
        <is>
          <t>technosphere</t>
        </is>
      </c>
      <c r="G1410" t="inlineStr">
        <is>
          <t>electricity, medium voltage</t>
        </is>
      </c>
      <c r="I1410" t="inlineStr">
        <is>
          <t>electricity, medium voltage</t>
        </is>
      </c>
    </row>
    <row r="1413">
      <c r="A1413" t="inlineStr">
        <is>
          <t>Activity</t>
        </is>
      </c>
      <c r="B1413" t="inlineStr">
        <is>
          <t>lead oxide, resistor glass engineering reference</t>
        </is>
      </c>
    </row>
    <row r="1414">
      <c r="A1414" t="inlineStr">
        <is>
          <t>location</t>
        </is>
      </c>
      <c r="B1414" t="inlineStr">
        <is>
          <t>GLO</t>
        </is>
      </c>
    </row>
    <row r="1415">
      <c r="A1415" t="inlineStr">
        <is>
          <t>production amount</t>
        </is>
      </c>
      <c r="B1415">
        <v>1</v>
      </c>
    </row>
    <row r="1416">
      <c r="A1416" t="inlineStr">
        <is>
          <t>reference product</t>
        </is>
      </c>
      <c r="B1416" t="inlineStr">
        <is>
          <t>lead oxide, resistor glass engineering reference</t>
        </is>
      </c>
    </row>
    <row r="1417">
      <c r="A1417" t="inlineStr">
        <is>
          <t>unit</t>
        </is>
      </c>
      <c r="B1417" t="inlineStr">
        <is>
          <t>kilogram</t>
        </is>
      </c>
    </row>
    <row r="1418">
      <c r="A1418" t="inlineStr">
        <is>
          <t>source</t>
        </is>
      </c>
      <c r="B1418" t="inlineStr">
        <is>
          <t>Engineering PbO oxidation reference</t>
        </is>
      </c>
    </row>
    <row r="1419">
      <c r="A1419" t="inlineStr">
        <is>
          <t>comment</t>
        </is>
      </c>
      <c r="B1419" t="inlineStr">
        <is>
          <t>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 PbO made from Pb and oxygen at stoichiometry; heat proxy, not measured lead-glass processing.</t>
        </is>
      </c>
    </row>
    <row r="1420">
      <c r="A1420" t="inlineStr">
        <is>
          <t>Exchanges</t>
        </is>
      </c>
    </row>
    <row r="1421">
      <c r="A1421" t="inlineStr">
        <is>
          <t>name</t>
        </is>
      </c>
      <c r="B1421" t="inlineStr">
        <is>
          <t>amount</t>
        </is>
      </c>
      <c r="C1421" t="inlineStr">
        <is>
          <t>location</t>
        </is>
      </c>
      <c r="D1421" t="inlineStr">
        <is>
          <t>unit</t>
        </is>
      </c>
      <c r="E1421" t="inlineStr">
        <is>
          <t>categories</t>
        </is>
      </c>
      <c r="F1421" t="inlineStr">
        <is>
          <t>type</t>
        </is>
      </c>
      <c r="G1421" t="inlineStr">
        <is>
          <t>reference product</t>
        </is>
      </c>
      <c r="H1421" t="inlineStr">
        <is>
          <t>comment</t>
        </is>
      </c>
      <c r="I1421" t="inlineStr">
        <is>
          <t>product</t>
        </is>
      </c>
    </row>
    <row r="1422">
      <c r="A1422" t="inlineStr">
        <is>
          <t>lead oxide, resistor glass engineering reference</t>
        </is>
      </c>
      <c r="B1422">
        <v>1</v>
      </c>
      <c r="C1422" t="inlineStr">
        <is>
          <t>GLO</t>
        </is>
      </c>
      <c r="D1422" t="inlineStr">
        <is>
          <t>kilogram</t>
        </is>
      </c>
      <c r="F1422" t="inlineStr">
        <is>
          <t>production</t>
        </is>
      </c>
      <c r="G1422" t="inlineStr">
        <is>
          <t>lead oxide, resistor glass engineering reference</t>
        </is>
      </c>
      <c r="I1422" t="inlineStr">
        <is>
          <t>lead oxide, resistor glass engineering reference</t>
        </is>
      </c>
    </row>
    <row r="1423">
      <c r="A1423" t="inlineStr">
        <is>
          <t>market for lead</t>
        </is>
      </c>
      <c r="B1423">
        <v>0.9283195713242441</v>
      </c>
      <c r="C1423" t="inlineStr">
        <is>
          <t>GLO</t>
        </is>
      </c>
      <c r="D1423" t="inlineStr">
        <is>
          <t>kilogram</t>
        </is>
      </c>
      <c r="F1423" t="inlineStr">
        <is>
          <t>technosphere</t>
        </is>
      </c>
      <c r="G1423" t="inlineStr">
        <is>
          <t>lead</t>
        </is>
      </c>
      <c r="I1423" t="inlineStr">
        <is>
          <t>lead</t>
        </is>
      </c>
    </row>
    <row r="1424">
      <c r="A1424" t="inlineStr">
        <is>
          <t>market for oxygen, liquid</t>
        </is>
      </c>
      <c r="B1424">
        <v>0.07168042867575572</v>
      </c>
      <c r="C1424" t="inlineStr">
        <is>
          <t>RER</t>
        </is>
      </c>
      <c r="D1424" t="inlineStr">
        <is>
          <t>kilogram</t>
        </is>
      </c>
      <c r="F1424" t="inlineStr">
        <is>
          <t>technosphere</t>
        </is>
      </c>
      <c r="G1424" t="inlineStr">
        <is>
          <t>oxygen, liquid</t>
        </is>
      </c>
      <c r="I1424" t="inlineStr">
        <is>
          <t>oxygen, liquid</t>
        </is>
      </c>
    </row>
    <row r="1425">
      <c r="A1425" t="inlineStr">
        <is>
          <t>market for heat, district or industrial, natural gas</t>
        </is>
      </c>
      <c r="B1425">
        <v>3</v>
      </c>
      <c r="C1425" t="inlineStr">
        <is>
          <t>RoW</t>
        </is>
      </c>
      <c r="D1425" t="inlineStr">
        <is>
          <t>megajoule</t>
        </is>
      </c>
      <c r="F1425" t="inlineStr">
        <is>
          <t>technosphere</t>
        </is>
      </c>
      <c r="G1425" t="inlineStr">
        <is>
          <t>heat, district or industrial, natural gas</t>
        </is>
      </c>
      <c r="I1425" t="inlineStr">
        <is>
          <t>heat, district or industrial, natural gas</t>
        </is>
      </c>
    </row>
    <row r="1428">
      <c r="A1428" t="inlineStr">
        <is>
          <t>Activity</t>
        </is>
      </c>
      <c r="B1428" t="inlineStr">
        <is>
          <t>thick-film resistor, declared-material engineering reference</t>
        </is>
      </c>
    </row>
    <row r="1429">
      <c r="A1429" t="inlineStr">
        <is>
          <t>location</t>
        </is>
      </c>
      <c r="B1429" t="inlineStr">
        <is>
          <t>GLO</t>
        </is>
      </c>
    </row>
    <row r="1430">
      <c r="A1430" t="inlineStr">
        <is>
          <t>production amount</t>
        </is>
      </c>
      <c r="B1430">
        <v>1</v>
      </c>
    </row>
    <row r="1431">
      <c r="A1431" t="inlineStr">
        <is>
          <t>reference product</t>
        </is>
      </c>
      <c r="B1431" t="inlineStr">
        <is>
          <t>thick-film resistor, declared-material engineering reference</t>
        </is>
      </c>
    </row>
    <row r="1432">
      <c r="A1432" t="inlineStr">
        <is>
          <t>unit</t>
        </is>
      </c>
      <c r="B1432" t="inlineStr">
        <is>
          <t>kilogram</t>
        </is>
      </c>
    </row>
    <row r="1433">
      <c r="A1433" t="inlineStr">
        <is>
          <t>source</t>
        </is>
      </c>
      <c r="B1433"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34">
      <c r="A1434" t="inlineStr">
        <is>
          <t>comment</t>
        </is>
      </c>
      <c r="B1434" t="inlineStr">
        <is>
          <t>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35">
      <c r="A1435" t="inlineStr">
        <is>
          <t>Exchanges</t>
        </is>
      </c>
    </row>
    <row r="1436">
      <c r="A1436" t="inlineStr">
        <is>
          <t>name</t>
        </is>
      </c>
      <c r="B1436" t="inlineStr">
        <is>
          <t>amount</t>
        </is>
      </c>
      <c r="C1436" t="inlineStr">
        <is>
          <t>location</t>
        </is>
      </c>
      <c r="D1436" t="inlineStr">
        <is>
          <t>unit</t>
        </is>
      </c>
      <c r="E1436" t="inlineStr">
        <is>
          <t>categories</t>
        </is>
      </c>
      <c r="F1436" t="inlineStr">
        <is>
          <t>type</t>
        </is>
      </c>
      <c r="G1436" t="inlineStr">
        <is>
          <t>reference product</t>
        </is>
      </c>
      <c r="H1436" t="inlineStr">
        <is>
          <t>comment</t>
        </is>
      </c>
      <c r="I1436" t="inlineStr">
        <is>
          <t>product</t>
        </is>
      </c>
    </row>
    <row r="1437">
      <c r="A1437" t="inlineStr">
        <is>
          <t>thick-film resistor, declared-material engineering reference</t>
        </is>
      </c>
      <c r="B1437">
        <v>1</v>
      </c>
      <c r="C1437" t="inlineStr">
        <is>
          <t>GLO</t>
        </is>
      </c>
      <c r="D1437" t="inlineStr">
        <is>
          <t>kilogram</t>
        </is>
      </c>
      <c r="F1437" t="inlineStr">
        <is>
          <t>production</t>
        </is>
      </c>
      <c r="G1437" t="inlineStr">
        <is>
          <t>thick-film resistor, declared-material engineering reference</t>
        </is>
      </c>
      <c r="I1437" t="inlineStr">
        <is>
          <t>thick-film resistor, declared-material engineering reference</t>
        </is>
      </c>
    </row>
    <row r="1438">
      <c r="A1438" t="inlineStr">
        <is>
          <t>market for aluminium oxide, non-metallurgical</t>
        </is>
      </c>
      <c r="B1438">
        <v>0.86834512207402</v>
      </c>
      <c r="C1438" t="inlineStr">
        <is>
          <t>IAI Area, EU27 &amp; EFTA</t>
        </is>
      </c>
      <c r="D1438" t="inlineStr">
        <is>
          <t>kilogram</t>
        </is>
      </c>
      <c r="F1438" t="inlineStr">
        <is>
          <t>technosphere</t>
        </is>
      </c>
      <c r="G1438" t="inlineStr">
        <is>
          <t>aluminium oxide, non-metallurgical</t>
        </is>
      </c>
      <c r="I1438" t="inlineStr">
        <is>
          <t>aluminium oxide, non-metallurgical</t>
        </is>
      </c>
    </row>
    <row r="1439">
      <c r="A1439" t="inlineStr">
        <is>
          <t>market for silica sand</t>
        </is>
      </c>
      <c r="B1439">
        <v>0.0381242158605055</v>
      </c>
      <c r="C1439" t="inlineStr">
        <is>
          <t>GLO</t>
        </is>
      </c>
      <c r="D1439" t="inlineStr">
        <is>
          <t>kilogram</t>
        </is>
      </c>
      <c r="F1439" t="inlineStr">
        <is>
          <t>technosphere</t>
        </is>
      </c>
      <c r="G1439" t="inlineStr">
        <is>
          <t>silica sand</t>
        </is>
      </c>
      <c r="I1439" t="inlineStr">
        <is>
          <t>silica sand</t>
        </is>
      </c>
    </row>
    <row r="1440">
      <c r="A1440" t="inlineStr">
        <is>
          <t>market for silver</t>
        </is>
      </c>
      <c r="B1440">
        <v>0.028665826622505382</v>
      </c>
      <c r="C1440" t="inlineStr">
        <is>
          <t>GLO</t>
        </is>
      </c>
      <c r="D1440" t="inlineStr">
        <is>
          <t>kilogram</t>
        </is>
      </c>
      <c r="F1440" t="inlineStr">
        <is>
          <t>technosphere</t>
        </is>
      </c>
      <c r="G1440" t="inlineStr">
        <is>
          <t>silver</t>
        </is>
      </c>
      <c r="I1440" t="inlineStr">
        <is>
          <t>silver</t>
        </is>
      </c>
    </row>
    <row r="1441">
      <c r="A1441" t="inlineStr">
        <is>
          <t>market for flat glass, uncoated</t>
        </is>
      </c>
      <c r="B1441">
        <v>0.0012165218361587303</v>
      </c>
      <c r="C1441" t="inlineStr">
        <is>
          <t>RER</t>
        </is>
      </c>
      <c r="D1441" t="inlineStr">
        <is>
          <t>kilogram</t>
        </is>
      </c>
      <c r="F1441" t="inlineStr">
        <is>
          <t>technosphere</t>
        </is>
      </c>
      <c r="G1441" t="inlineStr">
        <is>
          <t>flat glass, uncoated</t>
        </is>
      </c>
      <c r="I1441" t="inlineStr">
        <is>
          <t>flat glass, uncoated</t>
        </is>
      </c>
    </row>
    <row r="1442">
      <c r="A1442" t="inlineStr">
        <is>
          <t>market for epoxy resin, liquid</t>
        </is>
      </c>
      <c r="B1442">
        <v>0.018234219915578283</v>
      </c>
      <c r="C1442" t="inlineStr">
        <is>
          <t>RER</t>
        </is>
      </c>
      <c r="D1442" t="inlineStr">
        <is>
          <t>kilogram</t>
        </is>
      </c>
      <c r="F1442" t="inlineStr">
        <is>
          <t>technosphere</t>
        </is>
      </c>
      <c r="G1442" t="inlineStr">
        <is>
          <t>epoxy resin, liquid</t>
        </is>
      </c>
      <c r="I1442" t="inlineStr">
        <is>
          <t>epoxy resin, liquid</t>
        </is>
      </c>
    </row>
    <row r="1443">
      <c r="A1443" t="inlineStr">
        <is>
          <t>market for nickel, class 1</t>
        </is>
      </c>
      <c r="B1443">
        <v>0.048878595475191945</v>
      </c>
      <c r="C1443" t="inlineStr">
        <is>
          <t>GLO</t>
        </is>
      </c>
      <c r="D1443" t="inlineStr">
        <is>
          <t>kilogram</t>
        </is>
      </c>
      <c r="F1443" t="inlineStr">
        <is>
          <t>technosphere</t>
        </is>
      </c>
      <c r="G1443" t="inlineStr">
        <is>
          <t>nickel, class 1</t>
        </is>
      </c>
      <c r="I1443" t="inlineStr">
        <is>
          <t>nickel, class 1</t>
        </is>
      </c>
    </row>
    <row r="1444">
      <c r="A1444" t="inlineStr">
        <is>
          <t>market for chromium</t>
        </is>
      </c>
      <c r="B1444">
        <v>0.00027215253605340724</v>
      </c>
      <c r="C1444" t="inlineStr">
        <is>
          <t>GLO</t>
        </is>
      </c>
      <c r="D1444" t="inlineStr">
        <is>
          <t>kilogram</t>
        </is>
      </c>
      <c r="F1444" t="inlineStr">
        <is>
          <t>technosphere</t>
        </is>
      </c>
      <c r="G1444" t="inlineStr">
        <is>
          <t>chromium</t>
        </is>
      </c>
      <c r="I1444" t="inlineStr">
        <is>
          <t>chromium</t>
        </is>
      </c>
    </row>
    <row r="1445">
      <c r="A1445" t="inlineStr">
        <is>
          <t>market for tin</t>
        </is>
      </c>
      <c r="B1445">
        <v>0.04251022613154221</v>
      </c>
      <c r="C1445" t="inlineStr">
        <is>
          <t>GLO</t>
        </is>
      </c>
      <c r="D1445" t="inlineStr">
        <is>
          <t>kilogram</t>
        </is>
      </c>
      <c r="F1445" t="inlineStr">
        <is>
          <t>technosphere</t>
        </is>
      </c>
      <c r="G1445" t="inlineStr">
        <is>
          <t>tin</t>
        </is>
      </c>
      <c r="I1445" t="inlineStr">
        <is>
          <t>tin</t>
        </is>
      </c>
    </row>
    <row r="1446">
      <c r="A1446" t="inlineStr">
        <is>
          <t>lead oxide, resistor glass engineering reference</t>
        </is>
      </c>
      <c r="B1446">
        <v>0.0008327867603234263</v>
      </c>
      <c r="C1446" t="inlineStr">
        <is>
          <t>GLO</t>
        </is>
      </c>
      <c r="D1446" t="inlineStr">
        <is>
          <t>kilogram</t>
        </is>
      </c>
      <c r="F1446" t="inlineStr">
        <is>
          <t>technosphere</t>
        </is>
      </c>
      <c r="G1446" t="inlineStr">
        <is>
          <t>lead oxide, resistor glass engineering reference</t>
        </is>
      </c>
      <c r="I1446" t="inlineStr">
        <is>
          <t>lead oxide, resistor glass engineering reference</t>
        </is>
      </c>
    </row>
    <row r="1447">
      <c r="A1447" t="inlineStr">
        <is>
          <t>ruthenium dioxide, resistor film engineering reference</t>
        </is>
      </c>
      <c r="B1447">
        <v>0.003469944834680942</v>
      </c>
      <c r="C1447" t="inlineStr">
        <is>
          <t>GLO</t>
        </is>
      </c>
      <c r="D1447" t="inlineStr">
        <is>
          <t>kilogram</t>
        </is>
      </c>
      <c r="F1447" t="inlineStr">
        <is>
          <t>technosphere</t>
        </is>
      </c>
      <c r="G1447" t="inlineStr">
        <is>
          <t>ruthenium dioxide, resistor film engineering reference</t>
        </is>
      </c>
      <c r="I1447" t="inlineStr">
        <is>
          <t>ruthenium dioxide, resistor film engineering reference</t>
        </is>
      </c>
    </row>
    <row r="1448">
      <c r="A1448" t="inlineStr">
        <is>
          <t>market for palladium</t>
        </is>
      </c>
      <c r="B1448">
        <v>0.002081966900808565</v>
      </c>
      <c r="C1448" t="inlineStr">
        <is>
          <t>GLO</t>
        </is>
      </c>
      <c r="D1448" t="inlineStr">
        <is>
          <t>kilogram</t>
        </is>
      </c>
      <c r="F1448" t="inlineStr">
        <is>
          <t>technosphere</t>
        </is>
      </c>
      <c r="G1448" t="inlineStr">
        <is>
          <t>palladium</t>
        </is>
      </c>
      <c r="I1448" t="inlineStr">
        <is>
          <t>palladium</t>
        </is>
      </c>
    </row>
    <row r="1449">
      <c r="A1449" t="inlineStr">
        <is>
          <t>market for hazardous waste, for incineration</t>
        </is>
      </c>
      <c r="B1449">
        <v>-0.05263157894736836</v>
      </c>
      <c r="C1449" t="inlineStr">
        <is>
          <t>RoW</t>
        </is>
      </c>
      <c r="D1449" t="inlineStr">
        <is>
          <t>kilogram</t>
        </is>
      </c>
      <c r="F1449" t="inlineStr">
        <is>
          <t>technosphere</t>
        </is>
      </c>
      <c r="G1449" t="inlineStr">
        <is>
          <t>hazardous waste, for incineration</t>
        </is>
      </c>
      <c r="I1449" t="inlineStr">
        <is>
          <t>hazardous waste, for incineration</t>
        </is>
      </c>
    </row>
    <row r="1450">
      <c r="A1450" t="inlineStr">
        <is>
          <t>market group for electricity, medium voltage</t>
        </is>
      </c>
      <c r="B1450">
        <v>1</v>
      </c>
      <c r="C1450" t="inlineStr">
        <is>
          <t>GLO</t>
        </is>
      </c>
      <c r="D1450" t="inlineStr">
        <is>
          <t>kilowatt hour</t>
        </is>
      </c>
      <c r="F1450" t="inlineStr">
        <is>
          <t>technosphere</t>
        </is>
      </c>
      <c r="G1450" t="inlineStr">
        <is>
          <t>electricity, medium voltage</t>
        </is>
      </c>
      <c r="I1450" t="inlineStr">
        <is>
          <t>electricity, medium voltage</t>
        </is>
      </c>
    </row>
    <row r="1451">
      <c r="A1451" t="inlineStr">
        <is>
          <t>market for heat, district or industrial, natural gas</t>
        </is>
      </c>
      <c r="B1451">
        <v>5</v>
      </c>
      <c r="C1451" t="inlineStr">
        <is>
          <t>RoW</t>
        </is>
      </c>
      <c r="D1451" t="inlineStr">
        <is>
          <t>megajoule</t>
        </is>
      </c>
      <c r="F1451" t="inlineStr">
        <is>
          <t>technosphere</t>
        </is>
      </c>
      <c r="G1451" t="inlineStr">
        <is>
          <t>heat, district or industrial, natural gas</t>
        </is>
      </c>
      <c r="I1451" t="inlineStr">
        <is>
          <t>heat, district or industrial, natural gas</t>
        </is>
      </c>
    </row>
    <row r="1454">
      <c r="A1454" t="inlineStr">
        <is>
          <t>Activity</t>
        </is>
      </c>
      <c r="B1454" t="inlineStr">
        <is>
          <t>zero-ohm jumper, declared-material engineering reference</t>
        </is>
      </c>
    </row>
    <row r="1455">
      <c r="A1455" t="inlineStr">
        <is>
          <t>location</t>
        </is>
      </c>
      <c r="B1455" t="inlineStr">
        <is>
          <t>GLO</t>
        </is>
      </c>
    </row>
    <row r="1456">
      <c r="A1456" t="inlineStr">
        <is>
          <t>production amount</t>
        </is>
      </c>
      <c r="B1456">
        <v>1</v>
      </c>
    </row>
    <row r="1457">
      <c r="A1457" t="inlineStr">
        <is>
          <t>reference product</t>
        </is>
      </c>
      <c r="B1457" t="inlineStr">
        <is>
          <t>zero-ohm jumper, declared-material engineering reference</t>
        </is>
      </c>
    </row>
    <row r="1458">
      <c r="A1458" t="inlineStr">
        <is>
          <t>unit</t>
        </is>
      </c>
      <c r="B1458" t="inlineStr">
        <is>
          <t>kilogram</t>
        </is>
      </c>
    </row>
    <row r="1459">
      <c r="A1459" t="inlineStr">
        <is>
          <t>source</t>
        </is>
      </c>
      <c r="B1459"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60">
      <c r="A1460" t="inlineStr">
        <is>
          <t>comment</t>
        </is>
      </c>
      <c r="B1460" t="inlineStr">
        <is>
          <t>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61">
      <c r="A1461" t="inlineStr">
        <is>
          <t>Exchanges</t>
        </is>
      </c>
    </row>
    <row r="1462">
      <c r="A1462" t="inlineStr">
        <is>
          <t>name</t>
        </is>
      </c>
      <c r="B1462" t="inlineStr">
        <is>
          <t>amount</t>
        </is>
      </c>
      <c r="C1462" t="inlineStr">
        <is>
          <t>location</t>
        </is>
      </c>
      <c r="D1462" t="inlineStr">
        <is>
          <t>unit</t>
        </is>
      </c>
      <c r="E1462" t="inlineStr">
        <is>
          <t>categories</t>
        </is>
      </c>
      <c r="F1462" t="inlineStr">
        <is>
          <t>type</t>
        </is>
      </c>
      <c r="G1462" t="inlineStr">
        <is>
          <t>reference product</t>
        </is>
      </c>
      <c r="H1462" t="inlineStr">
        <is>
          <t>comment</t>
        </is>
      </c>
      <c r="I1462" t="inlineStr">
        <is>
          <t>product</t>
        </is>
      </c>
    </row>
    <row r="1463">
      <c r="A1463" t="inlineStr">
        <is>
          <t>zero-ohm jumper, declared-material engineering reference</t>
        </is>
      </c>
      <c r="B1463">
        <v>1</v>
      </c>
      <c r="C1463" t="inlineStr">
        <is>
          <t>GLO</t>
        </is>
      </c>
      <c r="D1463" t="inlineStr">
        <is>
          <t>kilogram</t>
        </is>
      </c>
      <c r="F1463" t="inlineStr">
        <is>
          <t>production</t>
        </is>
      </c>
      <c r="G1463" t="inlineStr">
        <is>
          <t>zero-ohm jumper, declared-material engineering reference</t>
        </is>
      </c>
      <c r="I1463" t="inlineStr">
        <is>
          <t>zero-ohm jumper, declared-material engineering reference</t>
        </is>
      </c>
    </row>
    <row r="1464">
      <c r="A1464" t="inlineStr">
        <is>
          <t>market for aluminium oxide, non-metallurgical</t>
        </is>
      </c>
      <c r="B1464">
        <v>0.86834512207402</v>
      </c>
      <c r="C1464" t="inlineStr">
        <is>
          <t>IAI Area, EU27 &amp; EFTA</t>
        </is>
      </c>
      <c r="D1464" t="inlineStr">
        <is>
          <t>kilogram</t>
        </is>
      </c>
      <c r="F1464" t="inlineStr">
        <is>
          <t>technosphere</t>
        </is>
      </c>
      <c r="G1464" t="inlineStr">
        <is>
          <t>aluminium oxide, non-metallurgical</t>
        </is>
      </c>
      <c r="I1464" t="inlineStr">
        <is>
          <t>aluminium oxide, non-metallurgical</t>
        </is>
      </c>
    </row>
    <row r="1465">
      <c r="A1465" t="inlineStr">
        <is>
          <t>market for silica sand</t>
        </is>
      </c>
      <c r="B1465">
        <v>0.03618104675308417</v>
      </c>
      <c r="C1465" t="inlineStr">
        <is>
          <t>GLO</t>
        </is>
      </c>
      <c r="D1465" t="inlineStr">
        <is>
          <t>kilogram</t>
        </is>
      </c>
      <c r="F1465" t="inlineStr">
        <is>
          <t>technosphere</t>
        </is>
      </c>
      <c r="G1465" t="inlineStr">
        <is>
          <t>silica sand</t>
        </is>
      </c>
      <c r="I1465" t="inlineStr">
        <is>
          <t>silica sand</t>
        </is>
      </c>
    </row>
    <row r="1466">
      <c r="A1466" t="inlineStr">
        <is>
          <t>market for silver</t>
        </is>
      </c>
      <c r="B1466">
        <v>0.03699369422573964</v>
      </c>
      <c r="C1466" t="inlineStr">
        <is>
          <t>GLO</t>
        </is>
      </c>
      <c r="D1466" t="inlineStr">
        <is>
          <t>kilogram</t>
        </is>
      </c>
      <c r="F1466" t="inlineStr">
        <is>
          <t>technosphere</t>
        </is>
      </c>
      <c r="G1466" t="inlineStr">
        <is>
          <t>silver</t>
        </is>
      </c>
      <c r="I1466" t="inlineStr">
        <is>
          <t>silver</t>
        </is>
      </c>
    </row>
    <row r="1467">
      <c r="A1467" t="inlineStr">
        <is>
          <t>market for flat glass, uncoated</t>
        </is>
      </c>
      <c r="B1467">
        <v>0.0012165218361587303</v>
      </c>
      <c r="C1467" t="inlineStr">
        <is>
          <t>RER</t>
        </is>
      </c>
      <c r="D1467" t="inlineStr">
        <is>
          <t>kilogram</t>
        </is>
      </c>
      <c r="F1467" t="inlineStr">
        <is>
          <t>technosphere</t>
        </is>
      </c>
      <c r="G1467" t="inlineStr">
        <is>
          <t>flat glass, uncoated</t>
        </is>
      </c>
      <c r="I1467" t="inlineStr">
        <is>
          <t>flat glass, uncoated</t>
        </is>
      </c>
    </row>
    <row r="1468">
      <c r="A1468" t="inlineStr">
        <is>
          <t>market for epoxy resin, liquid</t>
        </is>
      </c>
      <c r="B1468">
        <v>0.018234219915578283</v>
      </c>
      <c r="C1468" t="inlineStr">
        <is>
          <t>RER</t>
        </is>
      </c>
      <c r="D1468" t="inlineStr">
        <is>
          <t>kilogram</t>
        </is>
      </c>
      <c r="F1468" t="inlineStr">
        <is>
          <t>technosphere</t>
        </is>
      </c>
      <c r="G1468" t="inlineStr">
        <is>
          <t>epoxy resin, liquid</t>
        </is>
      </c>
      <c r="I1468" t="inlineStr">
        <is>
          <t>epoxy resin, liquid</t>
        </is>
      </c>
    </row>
    <row r="1469">
      <c r="A1469" t="inlineStr">
        <is>
          <t>market for nickel, class 1</t>
        </is>
      </c>
      <c r="B1469">
        <v>0.048878595475191945</v>
      </c>
      <c r="C1469" t="inlineStr">
        <is>
          <t>GLO</t>
        </is>
      </c>
      <c r="D1469" t="inlineStr">
        <is>
          <t>kilogram</t>
        </is>
      </c>
      <c r="F1469" t="inlineStr">
        <is>
          <t>technosphere</t>
        </is>
      </c>
      <c r="G1469" t="inlineStr">
        <is>
          <t>nickel, class 1</t>
        </is>
      </c>
      <c r="I1469" t="inlineStr">
        <is>
          <t>nickel, class 1</t>
        </is>
      </c>
    </row>
    <row r="1470">
      <c r="A1470" t="inlineStr">
        <is>
          <t>market for chromium</t>
        </is>
      </c>
      <c r="B1470">
        <v>0.00027215253605340724</v>
      </c>
      <c r="C1470" t="inlineStr">
        <is>
          <t>GLO</t>
        </is>
      </c>
      <c r="D1470" t="inlineStr">
        <is>
          <t>kilogram</t>
        </is>
      </c>
      <c r="F1470" t="inlineStr">
        <is>
          <t>technosphere</t>
        </is>
      </c>
      <c r="G1470" t="inlineStr">
        <is>
          <t>chromium</t>
        </is>
      </c>
      <c r="I1470" t="inlineStr">
        <is>
          <t>chromium</t>
        </is>
      </c>
    </row>
    <row r="1471">
      <c r="A1471" t="inlineStr">
        <is>
          <t>market for tin</t>
        </is>
      </c>
      <c r="B1471">
        <v>0.04251022613154221</v>
      </c>
      <c r="C1471" t="inlineStr">
        <is>
          <t>GLO</t>
        </is>
      </c>
      <c r="D1471" t="inlineStr">
        <is>
          <t>kilogram</t>
        </is>
      </c>
      <c r="F1471" t="inlineStr">
        <is>
          <t>technosphere</t>
        </is>
      </c>
      <c r="G1471" t="inlineStr">
        <is>
          <t>tin</t>
        </is>
      </c>
      <c r="I1471" t="inlineStr">
        <is>
          <t>tin</t>
        </is>
      </c>
    </row>
    <row r="1472">
      <c r="A1472" t="inlineStr">
        <is>
          <t>market for hazardous waste, for incineration</t>
        </is>
      </c>
      <c r="B1472">
        <v>-0.05263157894736836</v>
      </c>
      <c r="C1472" t="inlineStr">
        <is>
          <t>RoW</t>
        </is>
      </c>
      <c r="D1472" t="inlineStr">
        <is>
          <t>kilogram</t>
        </is>
      </c>
      <c r="F1472" t="inlineStr">
        <is>
          <t>technosphere</t>
        </is>
      </c>
      <c r="G1472" t="inlineStr">
        <is>
          <t>hazardous waste, for incineration</t>
        </is>
      </c>
      <c r="I1472" t="inlineStr">
        <is>
          <t>hazardous waste, for incineration</t>
        </is>
      </c>
    </row>
    <row r="1473">
      <c r="A1473" t="inlineStr">
        <is>
          <t>market group for electricity, medium voltage</t>
        </is>
      </c>
      <c r="B1473">
        <v>1</v>
      </c>
      <c r="C1473" t="inlineStr">
        <is>
          <t>GLO</t>
        </is>
      </c>
      <c r="D1473" t="inlineStr">
        <is>
          <t>kilowatt hour</t>
        </is>
      </c>
      <c r="F1473" t="inlineStr">
        <is>
          <t>technosphere</t>
        </is>
      </c>
      <c r="G1473" t="inlineStr">
        <is>
          <t>electricity, medium voltage</t>
        </is>
      </c>
      <c r="I1473" t="inlineStr">
        <is>
          <t>electricity, medium voltage</t>
        </is>
      </c>
    </row>
    <row r="1474">
      <c r="A1474" t="inlineStr">
        <is>
          <t>market for heat, district or industrial, natural gas</t>
        </is>
      </c>
      <c r="B1474">
        <v>5</v>
      </c>
      <c r="C1474" t="inlineStr">
        <is>
          <t>RoW</t>
        </is>
      </c>
      <c r="D1474" t="inlineStr">
        <is>
          <t>megajoule</t>
        </is>
      </c>
      <c r="F1474" t="inlineStr">
        <is>
          <t>technosphere</t>
        </is>
      </c>
      <c r="G1474" t="inlineStr">
        <is>
          <t>heat, district or industrial, natural gas</t>
        </is>
      </c>
      <c r="I1474" t="inlineStr">
        <is>
          <t>heat, district or industrial, natural gas</t>
        </is>
      </c>
    </row>
    <row r="1477">
      <c r="A1477" t="inlineStr">
        <is>
          <t>Activity</t>
        </is>
      </c>
      <c r="B1477" t="inlineStr">
        <is>
          <t>resistor set, 128 fitted battery monitor parts, engineering reference</t>
        </is>
      </c>
    </row>
    <row r="1478">
      <c r="A1478" t="inlineStr">
        <is>
          <t>location</t>
        </is>
      </c>
      <c r="B1478" t="inlineStr">
        <is>
          <t>GLO</t>
        </is>
      </c>
    </row>
    <row r="1479">
      <c r="A1479" t="inlineStr">
        <is>
          <t>production amount</t>
        </is>
      </c>
      <c r="B1479">
        <v>1</v>
      </c>
    </row>
    <row r="1480">
      <c r="A1480" t="inlineStr">
        <is>
          <t>reference product</t>
        </is>
      </c>
      <c r="B1480" t="inlineStr">
        <is>
          <t>resistor set, 128 fitted battery monitor parts, engineering reference</t>
        </is>
      </c>
    </row>
    <row r="1481">
      <c r="A1481" t="inlineStr">
        <is>
          <t>unit</t>
        </is>
      </c>
      <c r="B1481" t="inlineStr">
        <is>
          <t>unit</t>
        </is>
      </c>
    </row>
    <row r="1482">
      <c r="A1482" t="inlineStr">
        <is>
          <t>source</t>
        </is>
      </c>
      <c r="B1482"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83">
      <c r="A1483" t="inlineStr">
        <is>
          <t>comment</t>
        </is>
      </c>
      <c r="B1483" t="inlineStr">
        <is>
          <t>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84">
      <c r="A1484" t="inlineStr">
        <is>
          <t>Exchanges</t>
        </is>
      </c>
    </row>
    <row r="1485">
      <c r="A1485" t="inlineStr">
        <is>
          <t>name</t>
        </is>
      </c>
      <c r="B1485" t="inlineStr">
        <is>
          <t>amount</t>
        </is>
      </c>
      <c r="C1485" t="inlineStr">
        <is>
          <t>location</t>
        </is>
      </c>
      <c r="D1485" t="inlineStr">
        <is>
          <t>unit</t>
        </is>
      </c>
      <c r="E1485" t="inlineStr">
        <is>
          <t>categories</t>
        </is>
      </c>
      <c r="F1485" t="inlineStr">
        <is>
          <t>type</t>
        </is>
      </c>
      <c r="G1485" t="inlineStr">
        <is>
          <t>reference product</t>
        </is>
      </c>
      <c r="H1485" t="inlineStr">
        <is>
          <t>comment</t>
        </is>
      </c>
      <c r="I1485" t="inlineStr">
        <is>
          <t>product</t>
        </is>
      </c>
    </row>
    <row r="1486">
      <c r="A1486" t="inlineStr">
        <is>
          <t>resistor set, 128 fitted battery monitor parts, engineering reference</t>
        </is>
      </c>
      <c r="B1486">
        <v>1</v>
      </c>
      <c r="C1486" t="inlineStr">
        <is>
          <t>GLO</t>
        </is>
      </c>
      <c r="D1486" t="inlineStr">
        <is>
          <t>unit</t>
        </is>
      </c>
      <c r="F1486" t="inlineStr">
        <is>
          <t>production</t>
        </is>
      </c>
      <c r="G1486" t="inlineStr">
        <is>
          <t>resistor set, 128 fitted battery monitor parts, engineering reference</t>
        </is>
      </c>
      <c r="I1486" t="inlineStr">
        <is>
          <t>resistor set, 128 fitted battery monitor parts, engineering reference</t>
        </is>
      </c>
    </row>
    <row r="1487">
      <c r="A1487" t="inlineStr">
        <is>
          <t>thick-film resistor, declared-material engineering reference</t>
        </is>
      </c>
      <c r="B1487">
        <v>0.0004893</v>
      </c>
      <c r="C1487" t="inlineStr">
        <is>
          <t>GLO</t>
        </is>
      </c>
      <c r="D1487" t="inlineStr">
        <is>
          <t>kilogram</t>
        </is>
      </c>
      <c r="F1487" t="inlineStr">
        <is>
          <t>technosphere</t>
        </is>
      </c>
      <c r="G1487" t="inlineStr">
        <is>
          <t>thick-film resistor, declared-material engineering reference</t>
        </is>
      </c>
      <c r="I1487" t="inlineStr">
        <is>
          <t>thick-film resistor, declared-material engineering reference</t>
        </is>
      </c>
    </row>
    <row r="1488">
      <c r="A1488" t="inlineStr">
        <is>
          <t>zero-ohm jumper, declared-material engineering reference</t>
        </is>
      </c>
      <c r="B1488">
        <v>4.6649999999999996e-05</v>
      </c>
      <c r="C1488" t="inlineStr">
        <is>
          <t>GLO</t>
        </is>
      </c>
      <c r="D1488" t="inlineStr">
        <is>
          <t>kilogram</t>
        </is>
      </c>
      <c r="F1488" t="inlineStr">
        <is>
          <t>technosphere</t>
        </is>
      </c>
      <c r="G1488" t="inlineStr">
        <is>
          <t>zero-ohm jumper, declared-material engineering reference</t>
        </is>
      </c>
      <c r="I1488" t="inlineStr">
        <is>
          <t>zero-ohm jumper, declared-material engineering reference</t>
        </is>
      </c>
    </row>
  </sheetData>
  <autoFilter ref="A1:O1081" xr:uid="{00000000-0009-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Sacchi, Romain</cp:lastModifiedBy>
  <dcterms:created xsi:type="dcterms:W3CDTF">2021-12-06T10:43:53Z</dcterms:created>
  <dcterms:modified xsi:type="dcterms:W3CDTF">2025-09-25T11:27:53Z</dcterms:modified>
</cp:coreProperties>
</file>