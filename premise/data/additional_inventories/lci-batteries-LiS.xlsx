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500" windowWidth="44800" windowHeight="23000" tabRatio="600" firstSheet="0" activeTab="0" autoFilterDateGrouping="1"/>
  </bookViews>
  <sheets>
    <sheet xmlns:r="http://schemas.openxmlformats.org/officeDocument/2006/relationships" name="Battery - Li-S" sheetId="1" state="visible" r:id="rId1"/>
  </sheets>
  <definedNames>
    <definedName name="_xlnm._FilterDatabase" localSheetId="0" hidden="1">'Battery - Li-S'!$A$1:$O$1081</definedName>
  </definedNames>
  <calcPr calcId="191029" fullCalcOnLoad="1"/>
</workbook>
</file>

<file path=xl/styles.xml><?xml version="1.0" encoding="utf-8"?>
<styleSheet xmlns="http://schemas.openxmlformats.org/spreadsheetml/2006/main">
  <numFmts count="7">
    <numFmt numFmtId="164" formatCode="0.000"/>
    <numFmt numFmtId="165" formatCode="0.0"/>
    <numFmt numFmtId="166" formatCode="0.0000"/>
    <numFmt numFmtId="167" formatCode="0E+00"/>
    <numFmt numFmtId="168" formatCode="0.0E+00"/>
    <numFmt numFmtId="169" formatCode="0.00000"/>
    <numFmt numFmtId="170" formatCode="0.000000"/>
  </numFmts>
  <fonts count="18">
    <font>
      <name val="Calibri"/>
      <family val="2"/>
      <color theme="1"/>
      <sz val="11"/>
      <scheme val="minor"/>
    </font>
    <font>
      <name val="Calibri"/>
      <family val="2"/>
      <color theme="1"/>
      <sz val="12"/>
      <scheme val="minor"/>
    </font>
    <font>
      <name val="Calibri"/>
      <family val="2"/>
      <color theme="1"/>
      <sz val="12"/>
      <scheme val="minor"/>
    </font>
    <font>
      <name val="Calibri"/>
      <family val="2"/>
      <color theme="1"/>
      <sz val="12"/>
      <scheme val="minor"/>
    </font>
    <font>
      <name val="Calibri"/>
      <family val="2"/>
      <color theme="1"/>
      <sz val="12"/>
      <scheme val="minor"/>
    </font>
    <font>
      <name val="Calibri"/>
      <family val="2"/>
      <color theme="1"/>
      <sz val="12"/>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theme="1"/>
      <sz val="12"/>
      <scheme val="minor"/>
    </font>
    <font>
      <name val="Times New Roman"/>
      <family val="1"/>
      <color theme="1"/>
      <sz val="12"/>
    </font>
    <font>
      <name val="Calibri"/>
      <family val="2"/>
      <b val="1"/>
      <color theme="1"/>
      <sz val="12"/>
      <vertAlign val="subscript"/>
      <scheme val="minor"/>
    </font>
    <font>
      <name val="Calibri"/>
      <family val="2"/>
      <b val="1"/>
      <color rgb="FF000000"/>
      <sz val="12"/>
      <scheme val="minor"/>
    </font>
    <font>
      <name val="Calibri"/>
      <family val="2"/>
      <b val="1"/>
      <color rgb="FF000000"/>
      <sz val="12"/>
      <vertAlign val="subscript"/>
      <scheme val="minor"/>
    </font>
    <font>
      <name val="Calibri (Body)"/>
      <color theme="1"/>
      <sz val="11"/>
    </font>
    <font>
      <name val="Calibri"/>
      <family val="2"/>
      <color rgb="FF000000"/>
      <sz val="11"/>
      <scheme val="minor"/>
    </font>
    <font>
      <name val="Calibri"/>
      <family val="2"/>
      <b val="1"/>
      <color rgb="FF000000"/>
      <sz val="11"/>
      <scheme val="minor"/>
    </font>
    <font>
      <name val="Calibri"/>
      <family val="2"/>
      <color rgb="FF000000"/>
      <sz val="12"/>
      <scheme val="minor"/>
    </font>
  </fonts>
  <fills count="3">
    <fill>
      <patternFill/>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9" fillId="0" borderId="0"/>
    <xf numFmtId="9" fontId="9" fillId="0" borderId="0"/>
  </cellStyleXfs>
  <cellXfs count="33">
    <xf numFmtId="0" fontId="0" fillId="0" borderId="0" pivotButton="0" quotePrefix="0" xfId="0"/>
    <xf numFmtId="0" fontId="8" fillId="0" borderId="0" pivotButton="0" quotePrefix="0" xfId="0"/>
    <xf numFmtId="0" fontId="7" fillId="0" borderId="0" pivotButton="0" quotePrefix="0" xfId="0"/>
    <xf numFmtId="11" fontId="0" fillId="0" borderId="0" pivotButton="0" quotePrefix="0" xfId="0"/>
    <xf numFmtId="164" fontId="0" fillId="0" borderId="0" pivotButton="0" quotePrefix="0" xfId="0"/>
    <xf numFmtId="2" fontId="0" fillId="0" borderId="0" pivotButton="0" quotePrefix="0" xfId="0"/>
    <xf numFmtId="0" fontId="9" fillId="0" borderId="0" pivotButton="0" quotePrefix="0" xfId="0"/>
    <xf numFmtId="165" fontId="0" fillId="0" borderId="0" pivotButton="0" quotePrefix="0" xfId="0"/>
    <xf numFmtId="166" fontId="0" fillId="0" borderId="0" pivotButton="0" quotePrefix="0" xfId="0"/>
    <xf numFmtId="0" fontId="10" fillId="0" borderId="0" pivotButton="0" quotePrefix="0" xfId="0"/>
    <xf numFmtId="0" fontId="0" fillId="2" borderId="0" pivotButton="0" quotePrefix="0" xfId="0"/>
    <xf numFmtId="0" fontId="12" fillId="0" borderId="0" pivotButton="0" quotePrefix="0" xfId="0"/>
    <xf numFmtId="167" fontId="0" fillId="0" borderId="0" pivotButton="0" quotePrefix="0" xfId="0"/>
    <xf numFmtId="168" fontId="0" fillId="0" borderId="0" pivotButton="0" quotePrefix="0" xfId="0"/>
    <xf numFmtId="0" fontId="14" fillId="0" borderId="0" pivotButton="0" quotePrefix="0" xfId="0"/>
    <xf numFmtId="0" fontId="15" fillId="0" borderId="0" pivotButton="0" quotePrefix="0" xfId="0"/>
    <xf numFmtId="0" fontId="5" fillId="0" borderId="0" pivotButton="0" quotePrefix="0" xfId="0"/>
    <xf numFmtId="169" fontId="0" fillId="0" borderId="0" pivotButton="0" quotePrefix="0" xfId="0"/>
    <xf numFmtId="1" fontId="0" fillId="0" borderId="0" pivotButton="0" quotePrefix="0" xfId="0"/>
    <xf numFmtId="0" fontId="16" fillId="0" borderId="0" pivotButton="0" quotePrefix="0" xfId="0"/>
    <xf numFmtId="2" fontId="15" fillId="0" borderId="0" pivotButton="0" quotePrefix="0" xfId="0"/>
    <xf numFmtId="11" fontId="15" fillId="0" borderId="0" pivotButton="0" quotePrefix="0" xfId="0"/>
    <xf numFmtId="0" fontId="17" fillId="0" borderId="0" pivotButton="0" quotePrefix="0" xfId="0"/>
    <xf numFmtId="170" fontId="0" fillId="0" borderId="0" pivotButton="0" quotePrefix="0" xfId="0"/>
    <xf numFmtId="164" fontId="15" fillId="0" borderId="0" pivotButton="0" quotePrefix="0" xfId="0"/>
    <xf numFmtId="0" fontId="4" fillId="0" borderId="0" pivotButton="0" quotePrefix="0" xfId="0"/>
    <xf numFmtId="0" fontId="3" fillId="0" borderId="0" pivotButton="0" quotePrefix="0" xfId="0"/>
    <xf numFmtId="0" fontId="2" fillId="0" borderId="0" pivotButton="0" quotePrefix="0" xfId="0"/>
    <xf numFmtId="0" fontId="1" fillId="0" borderId="0" pivotButton="0" quotePrefix="0" xfId="0"/>
    <xf numFmtId="166" fontId="0" fillId="0" borderId="0" pivotButton="0" quotePrefix="0" xfId="0"/>
    <xf numFmtId="165" fontId="0" fillId="0" borderId="0" pivotButton="0" quotePrefix="0" xfId="0"/>
    <xf numFmtId="164" fontId="0" fillId="0" borderId="0" pivotButton="0" quotePrefix="0" xfId="0"/>
    <xf numFmtId="164" fontId="15" fillId="0" borderId="0" pivotButton="0" quotePrefix="0" xfId="0"/>
  </cellXfs>
  <cellStyles count="3">
    <cellStyle name="Normal" xfId="0" builtinId="0"/>
    <cellStyle name="Normal 2" xfId="1"/>
    <cellStyle name="Per cent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1076"/>
  <sheetViews>
    <sheetView tabSelected="1" topLeftCell="A58" zoomScale="91" zoomScaleNormal="100" workbookViewId="0">
      <selection activeCell="B68" sqref="B68"/>
    </sheetView>
  </sheetViews>
  <sheetFormatPr baseColWidth="10" defaultColWidth="8.83203125" defaultRowHeight="15"/>
  <cols>
    <col width="67.1640625" bestFit="1" customWidth="1" min="1" max="1"/>
    <col width="13.6640625" bestFit="1" customWidth="1" min="2" max="2"/>
    <col width="14.1640625" customWidth="1" min="3" max="3"/>
    <col width="26.1640625" bestFit="1" customWidth="1" min="4" max="5"/>
    <col width="36.5" customWidth="1" min="6" max="6"/>
    <col width="37.6640625" customWidth="1" min="7" max="7"/>
    <col width="9.5" bestFit="1" customWidth="1" min="9" max="9"/>
  </cols>
  <sheetData>
    <row r="1">
      <c r="A1" s="2" t="inlineStr">
        <is>
          <t>database</t>
        </is>
      </c>
      <c r="B1" t="inlineStr">
        <is>
          <t>batteries</t>
        </is>
      </c>
    </row>
    <row r="2">
      <c r="A2" s="2" t="n"/>
    </row>
    <row r="3">
      <c r="A3" s="2" t="n"/>
    </row>
    <row r="4" ht="16" customHeight="1">
      <c r="A4" s="1" t="inlineStr">
        <is>
          <t>Activity</t>
        </is>
      </c>
      <c r="B4" s="1" t="inlineStr">
        <is>
          <t>trifluoromethanesulphonyl fluoride (CF3SO2F) production, for LiS battery</t>
        </is>
      </c>
    </row>
    <row r="5" ht="16" customHeight="1">
      <c r="A5" s="16" t="inlineStr">
        <is>
          <t>comment</t>
        </is>
      </c>
      <c r="B5" s="16" t="inlineStr">
        <is>
          <t>Source: Wickerts et al. (2023). Prospective Life Cycle Assessment of Lithium-Sulfur Batteries for Stationary Energy Storage. ACS Sustainable Chemistry &amp; Engineering. https://doi.org/10.1021/acssuschemeng.3c00141</t>
        </is>
      </c>
    </row>
    <row r="6">
      <c r="A6" t="inlineStr">
        <is>
          <t>location</t>
        </is>
      </c>
      <c r="B6" t="inlineStr">
        <is>
          <t>GLO</t>
        </is>
      </c>
    </row>
    <row r="7">
      <c r="A7" t="inlineStr">
        <is>
          <t>production amount</t>
        </is>
      </c>
      <c r="B7" t="n">
        <v>1</v>
      </c>
    </row>
    <row r="8">
      <c r="A8" t="inlineStr">
        <is>
          <t>reference product</t>
        </is>
      </c>
      <c r="B8" t="inlineStr">
        <is>
          <t>trifluoromethanesulphonyl fluoride (CF3SO2F)</t>
        </is>
      </c>
    </row>
    <row r="9">
      <c r="A9" t="inlineStr">
        <is>
          <t>unit</t>
        </is>
      </c>
      <c r="B9" t="inlineStr">
        <is>
          <t>kilogram</t>
        </is>
      </c>
    </row>
    <row r="10">
      <c r="A10" t="inlineStr">
        <is>
          <t>source</t>
        </is>
      </c>
      <c r="B10" t="inlineStr">
        <is>
          <t>Originally from  Wickerts et al. (2023). Prospective Life Cycle Assessment of Lithium-Sulfur Batteries for Stationary Energy Storage. ACS Sustainable Chemistry &amp; Engineering. Synthesis from Desmarteau, D. D., &amp; Witz, M. (1991). N-fluoro-bis (trifluoromethanesulfonyl) imide. An improved synthesis. Journal of fluorine chemistry, 52(1), 7-12. Scaled-up production based on Piccinno, F., Hischier, R., Seeger, S., &amp; Som, C. (2016). From laboratory to industrial scale: a scale-up framework for chemical processes in life cycle assessment studies. Journal of Cleaner Production, 135, 1085-1097.</t>
        </is>
      </c>
    </row>
    <row r="11">
      <c r="A11" s="2" t="inlineStr">
        <is>
          <t>Exchanges</t>
        </is>
      </c>
    </row>
    <row r="12">
      <c r="A12" t="inlineStr">
        <is>
          <t>name</t>
        </is>
      </c>
      <c r="B12" t="inlineStr">
        <is>
          <t>amount</t>
        </is>
      </c>
      <c r="C12" t="inlineStr">
        <is>
          <t>unit</t>
        </is>
      </c>
      <c r="D12" t="inlineStr">
        <is>
          <t>categories</t>
        </is>
      </c>
      <c r="E12" t="inlineStr">
        <is>
          <t>location</t>
        </is>
      </c>
      <c r="F12" t="inlineStr">
        <is>
          <t>type</t>
        </is>
      </c>
      <c r="G12" t="inlineStr">
        <is>
          <t>reference product</t>
        </is>
      </c>
      <c r="H12" t="inlineStr">
        <is>
          <t>comment</t>
        </is>
      </c>
    </row>
    <row r="13">
      <c r="A13" t="inlineStr">
        <is>
          <t>trifluoromethanesulphonyl fluoride (CF3SO2F) production, for LiS battery</t>
        </is>
      </c>
      <c r="B13" t="n">
        <v>1</v>
      </c>
      <c r="C13" t="inlineStr">
        <is>
          <t>kilogram</t>
        </is>
      </c>
      <c r="E13" t="inlineStr">
        <is>
          <t>GLO</t>
        </is>
      </c>
      <c r="F13" t="inlineStr">
        <is>
          <t>production</t>
        </is>
      </c>
      <c r="G13" t="inlineStr">
        <is>
          <t>trifluoromethanesulphonyl fluoride (CF3SO2F)</t>
        </is>
      </c>
    </row>
    <row r="14" ht="16" customHeight="1">
      <c r="A14" s="9" t="inlineStr">
        <is>
          <t xml:space="preserve">market for methane sulfonic acid </t>
        </is>
      </c>
      <c r="B14" s="5" t="n">
        <v>0.66</v>
      </c>
      <c r="C14" t="inlineStr">
        <is>
          <t>kilogram</t>
        </is>
      </c>
      <c r="E14" t="inlineStr">
        <is>
          <t>GLO</t>
        </is>
      </c>
      <c r="F14" t="inlineStr">
        <is>
          <t>technosphere</t>
        </is>
      </c>
      <c r="G14" t="inlineStr">
        <is>
          <t>methane sulfonic acid</t>
        </is>
      </c>
    </row>
    <row r="15">
      <c r="A15" t="inlineStr">
        <is>
          <t>market for hydrogen fluoride</t>
        </is>
      </c>
      <c r="B15" s="5" t="n">
        <v>0.55</v>
      </c>
      <c r="C15" t="inlineStr">
        <is>
          <t>kilogram</t>
        </is>
      </c>
      <c r="E15" t="inlineStr">
        <is>
          <t>RoW</t>
        </is>
      </c>
      <c r="F15" t="inlineStr">
        <is>
          <t>technosphere</t>
        </is>
      </c>
      <c r="G15" t="inlineStr">
        <is>
          <t>hydrogen fluoride</t>
        </is>
      </c>
    </row>
    <row r="16">
      <c r="A16" t="inlineStr">
        <is>
          <t>market for chemical factory, organics</t>
        </is>
      </c>
      <c r="B16">
        <f>4*10^-10</f>
        <v>4.0000000000000001E-10</v>
      </c>
      <c r="C16" t="inlineStr">
        <is>
          <t>unit</t>
        </is>
      </c>
      <c r="E16" t="inlineStr">
        <is>
          <t>GLO</t>
        </is>
      </c>
      <c r="F16" t="inlineStr">
        <is>
          <t>technosphere</t>
        </is>
      </c>
      <c r="G16" t="inlineStr">
        <is>
          <t>chemical factory, organics</t>
        </is>
      </c>
    </row>
    <row r="17">
      <c r="A17" t="inlineStr">
        <is>
          <t>market group for electricity, medium voltage</t>
        </is>
      </c>
      <c r="B17" s="18" t="n">
        <v>30</v>
      </c>
      <c r="C17" t="inlineStr">
        <is>
          <t>kilowatt hour</t>
        </is>
      </c>
      <c r="E17" t="inlineStr">
        <is>
          <t>Europe without Switzerland</t>
        </is>
      </c>
      <c r="F17" t="inlineStr">
        <is>
          <t>technosphere</t>
        </is>
      </c>
      <c r="G17" t="inlineStr">
        <is>
          <t>electricity, medium voltage</t>
        </is>
      </c>
    </row>
    <row r="18">
      <c r="A18" t="inlineStr">
        <is>
          <t>market for spent solvent mixture</t>
        </is>
      </c>
      <c r="B18" s="5" t="n">
        <v>-0.22</v>
      </c>
      <c r="C18" t="inlineStr">
        <is>
          <t>kilogram</t>
        </is>
      </c>
      <c r="E18" t="inlineStr">
        <is>
          <t>RoW</t>
        </is>
      </c>
      <c r="F18" t="inlineStr">
        <is>
          <t>technosphere</t>
        </is>
      </c>
      <c r="G18" t="inlineStr">
        <is>
          <t>spent solvent mixture</t>
        </is>
      </c>
    </row>
    <row r="19">
      <c r="B19" s="29" t="n"/>
    </row>
    <row r="20">
      <c r="B20" s="29" t="n"/>
    </row>
    <row r="21"/>
    <row r="22" ht="16" customHeight="1">
      <c r="A22" s="1" t="inlineStr">
        <is>
          <t>Activity</t>
        </is>
      </c>
      <c r="B22" s="1" t="inlineStr">
        <is>
          <t>CF3SO2NHNa production, for LiS battery</t>
        </is>
      </c>
    </row>
    <row r="23" ht="16" customHeight="1">
      <c r="A23" s="16" t="inlineStr">
        <is>
          <t>comment</t>
        </is>
      </c>
      <c r="B23" s="16" t="inlineStr">
        <is>
          <t>Source: Wickerts et al. (2023). Prospective Life Cycle Assessment of Lithium-Sulfur Batteries for Stationary Energy Storage. ACS Sustainable Chemistry &amp; Engineering. https://doi.org/10.1021/acssuschemeng.3c00141</t>
        </is>
      </c>
    </row>
    <row r="24">
      <c r="A24" t="inlineStr">
        <is>
          <t>location</t>
        </is>
      </c>
      <c r="B24" t="inlineStr">
        <is>
          <t>GLO</t>
        </is>
      </c>
    </row>
    <row r="25">
      <c r="A25" t="inlineStr">
        <is>
          <t>production amount</t>
        </is>
      </c>
      <c r="B25" t="n">
        <v>1</v>
      </c>
    </row>
    <row r="26">
      <c r="A26" t="inlineStr">
        <is>
          <t>reference product</t>
        </is>
      </c>
      <c r="B26" t="inlineStr">
        <is>
          <t>CF3SO2NHNa</t>
        </is>
      </c>
    </row>
    <row r="27">
      <c r="A27" t="inlineStr">
        <is>
          <t>unit</t>
        </is>
      </c>
      <c r="B27" t="inlineStr">
        <is>
          <t>kilogram</t>
        </is>
      </c>
    </row>
    <row r="28">
      <c r="A28" t="inlineStr">
        <is>
          <t>source</t>
        </is>
      </c>
      <c r="B28" t="inlineStr">
        <is>
          <t>Originally from  Wickerts et al. (2023). Prospective Life Cycle Assessment of Lithium-Sulfur Batteries for Stationary Energy Storage. ACS Sustainable Chemistry &amp; Engineering. Synthesis from Desmarteau, D. D., &amp; Witz, M. (1991). N-fluoro-bis (trifluoromethanesulfonyl) imide. An improved synthesis. Journal of fluorine chemistry, 52(1), 7-12. Scaled-up production based on Piccinno, F., Hischier, R., Seeger, S., &amp; Som, C. (2016). From laboratory to industrial scale: a scale-up framework for chemical processes in life cycle assessment studies. Journal of Cleaner Production, 135, 1085-1097.</t>
        </is>
      </c>
    </row>
    <row r="29">
      <c r="A29" s="2" t="inlineStr">
        <is>
          <t>Exchanges</t>
        </is>
      </c>
    </row>
    <row r="30">
      <c r="A30" t="inlineStr">
        <is>
          <t>name</t>
        </is>
      </c>
      <c r="B30" t="inlineStr">
        <is>
          <t>amount</t>
        </is>
      </c>
      <c r="C30" t="inlineStr">
        <is>
          <t>unit</t>
        </is>
      </c>
      <c r="D30" t="inlineStr">
        <is>
          <t>categories</t>
        </is>
      </c>
      <c r="E30" t="inlineStr">
        <is>
          <t>location</t>
        </is>
      </c>
      <c r="F30" t="inlineStr">
        <is>
          <t>type</t>
        </is>
      </c>
      <c r="G30" t="inlineStr">
        <is>
          <t>reference product</t>
        </is>
      </c>
    </row>
    <row r="31">
      <c r="A31" t="inlineStr">
        <is>
          <t>CF3SO2NHNa production, for LiS battery</t>
        </is>
      </c>
      <c r="B31" t="n">
        <v>1</v>
      </c>
      <c r="C31" t="inlineStr">
        <is>
          <t>kilogram</t>
        </is>
      </c>
      <c r="E31" t="inlineStr">
        <is>
          <t>GLO</t>
        </is>
      </c>
      <c r="F31" t="inlineStr">
        <is>
          <t>production</t>
        </is>
      </c>
      <c r="G31" t="inlineStr">
        <is>
          <t>CF3SO2NHNa</t>
        </is>
      </c>
    </row>
    <row r="32">
      <c r="A32" t="inlineStr">
        <is>
          <t>market for ammonia, anhydrous, liquid</t>
        </is>
      </c>
      <c r="B32" s="30" t="n">
        <v>5</v>
      </c>
      <c r="C32" t="inlineStr">
        <is>
          <t>kilogram</t>
        </is>
      </c>
      <c r="E32" t="inlineStr">
        <is>
          <t>RoW</t>
        </is>
      </c>
      <c r="F32" t="inlineStr">
        <is>
          <t>technosphere</t>
        </is>
      </c>
      <c r="G32" t="inlineStr">
        <is>
          <t>ammonia, anhydrous, liquid</t>
        </is>
      </c>
    </row>
    <row r="33">
      <c r="A33" t="inlineStr">
        <is>
          <t>market for methanol</t>
        </is>
      </c>
      <c r="B33" s="30" t="n">
        <v>1.6</v>
      </c>
      <c r="C33" t="inlineStr">
        <is>
          <t>kilogram</t>
        </is>
      </c>
      <c r="E33" t="inlineStr">
        <is>
          <t>GLO</t>
        </is>
      </c>
      <c r="F33" t="inlineStr">
        <is>
          <t>technosphere</t>
        </is>
      </c>
      <c r="G33" t="inlineStr">
        <is>
          <t>methanol</t>
        </is>
      </c>
    </row>
    <row r="34">
      <c r="A34" t="inlineStr">
        <is>
          <t>market for sodium methoxide</t>
        </is>
      </c>
      <c r="B34" s="5" t="n">
        <v>0.66</v>
      </c>
      <c r="C34" t="inlineStr">
        <is>
          <t>kilogram</t>
        </is>
      </c>
      <c r="E34" t="inlineStr">
        <is>
          <t>GLO</t>
        </is>
      </c>
      <c r="F34" t="inlineStr">
        <is>
          <t>technosphere</t>
        </is>
      </c>
      <c r="G34" t="inlineStr">
        <is>
          <t>sodium methoxide</t>
        </is>
      </c>
    </row>
    <row r="35">
      <c r="A35" t="inlineStr">
        <is>
          <t>trifluoromethanesulphonyl fluoride (CF3SO2F) production, for LiS battery</t>
        </is>
      </c>
      <c r="B35" s="5" t="n">
        <v>0.9399999999999999</v>
      </c>
      <c r="C35" t="inlineStr">
        <is>
          <t>kilogram</t>
        </is>
      </c>
      <c r="E35" t="inlineStr">
        <is>
          <t>GLO</t>
        </is>
      </c>
      <c r="F35" t="inlineStr">
        <is>
          <t>technosphere</t>
        </is>
      </c>
      <c r="G35" t="inlineStr">
        <is>
          <t>trifluoromethanesulphonyl fluoride (CF3SO2F)</t>
        </is>
      </c>
    </row>
    <row r="36">
      <c r="A36" t="inlineStr">
        <is>
          <t>market for chemical factory, organics</t>
        </is>
      </c>
      <c r="B36" s="12">
        <f>4*10^-10</f>
        <v>4.0000000000000001E-10</v>
      </c>
      <c r="C36" t="inlineStr">
        <is>
          <t>unit</t>
        </is>
      </c>
      <c r="E36" t="inlineStr">
        <is>
          <t>GLO</t>
        </is>
      </c>
      <c r="F36" t="inlineStr">
        <is>
          <t>technosphere</t>
        </is>
      </c>
      <c r="G36" t="inlineStr">
        <is>
          <t>chemical factory, organics</t>
        </is>
      </c>
    </row>
    <row r="37">
      <c r="A37" t="inlineStr">
        <is>
          <t>market for cooling energy</t>
        </is>
      </c>
      <c r="B37" s="30" t="n">
        <v>5.9</v>
      </c>
      <c r="C37" t="inlineStr">
        <is>
          <t>megajoule</t>
        </is>
      </c>
      <c r="E37" t="inlineStr">
        <is>
          <t>GLO</t>
        </is>
      </c>
      <c r="F37" t="inlineStr">
        <is>
          <t>technosphere</t>
        </is>
      </c>
      <c r="G37" t="inlineStr">
        <is>
          <t>cooling energy</t>
        </is>
      </c>
    </row>
    <row r="38">
      <c r="A38" t="inlineStr">
        <is>
          <t>market group for electricity, medium voltage</t>
        </is>
      </c>
      <c r="B38" s="29" t="n">
        <v>0.0013</v>
      </c>
      <c r="C38" t="inlineStr">
        <is>
          <t>kilowatt hour</t>
        </is>
      </c>
      <c r="E38" t="inlineStr">
        <is>
          <t>Europe without Switzerland</t>
        </is>
      </c>
      <c r="F38" t="inlineStr">
        <is>
          <t>technosphere</t>
        </is>
      </c>
      <c r="G38" t="inlineStr">
        <is>
          <t>electricity, medium voltage</t>
        </is>
      </c>
    </row>
    <row r="39">
      <c r="A39" t="inlineStr">
        <is>
          <t>market for steam, in chemical industry</t>
        </is>
      </c>
      <c r="B39" s="30" t="n">
        <v>7.8</v>
      </c>
      <c r="C39" t="inlineStr">
        <is>
          <t>kilogram</t>
        </is>
      </c>
      <c r="E39" t="inlineStr">
        <is>
          <t>RoW</t>
        </is>
      </c>
      <c r="F39" t="inlineStr">
        <is>
          <t>technosphere</t>
        </is>
      </c>
      <c r="G39" t="inlineStr">
        <is>
          <t>steam, in chemical industry</t>
        </is>
      </c>
    </row>
    <row r="40">
      <c r="A40" t="inlineStr">
        <is>
          <t>market for spent solvent mixture</t>
        </is>
      </c>
      <c r="B40" s="30" t="n">
        <v>-2.3</v>
      </c>
      <c r="C40" t="inlineStr">
        <is>
          <t>kilogram</t>
        </is>
      </c>
      <c r="E40" t="inlineStr">
        <is>
          <t>RoW</t>
        </is>
      </c>
      <c r="F40" t="inlineStr">
        <is>
          <t>technosphere</t>
        </is>
      </c>
      <c r="G40" t="inlineStr">
        <is>
          <t>spent solvent mixture</t>
        </is>
      </c>
    </row>
    <row r="41">
      <c r="A41" t="inlineStr">
        <is>
          <t>market for wastewater, average</t>
        </is>
      </c>
      <c r="B41" s="5" t="n">
        <v>-0.13</v>
      </c>
      <c r="C41" t="inlineStr">
        <is>
          <t>cubic meter</t>
        </is>
      </c>
      <c r="E41" t="inlineStr">
        <is>
          <t>RoW</t>
        </is>
      </c>
      <c r="F41" t="inlineStr">
        <is>
          <t>technosphere</t>
        </is>
      </c>
      <c r="G41" t="inlineStr">
        <is>
          <t>wastewater, average</t>
        </is>
      </c>
    </row>
    <row r="42">
      <c r="A42" t="inlineStr">
        <is>
          <t>Water, cooling, unspecified natural origin</t>
        </is>
      </c>
      <c r="B42" s="5" t="n">
        <v>0.13</v>
      </c>
      <c r="C42" t="inlineStr">
        <is>
          <t>cubic meter</t>
        </is>
      </c>
      <c r="D42" t="inlineStr">
        <is>
          <t>natural resource::in water</t>
        </is>
      </c>
      <c r="F42" t="inlineStr">
        <is>
          <t>biosphere</t>
        </is>
      </c>
    </row>
    <row r="43">
      <c r="B43" s="29" t="n"/>
    </row>
    <row r="44">
      <c r="B44" s="29" t="n"/>
    </row>
    <row r="45"/>
    <row r="46" ht="18" customHeight="1">
      <c r="A46" s="1" t="inlineStr">
        <is>
          <t>Activity</t>
        </is>
      </c>
      <c r="B46" s="1" t="inlineStr">
        <is>
          <t>(Me3Si)2NH production, for LiS battery</t>
        </is>
      </c>
    </row>
    <row r="47" ht="16" customHeight="1">
      <c r="A47" s="16" t="inlineStr">
        <is>
          <t>comment</t>
        </is>
      </c>
      <c r="B47" s="16" t="inlineStr">
        <is>
          <t>Source: Wickerts et al. (2023). Prospective Life Cycle Assessment of Lithium-Sulfur Batteries for Stationary Energy Storage. ACS Sustainable Chemistry &amp; Engineering. https://doi.org/10.1021/acssuschemeng.3c00141</t>
        </is>
      </c>
    </row>
    <row r="48">
      <c r="A48" t="inlineStr">
        <is>
          <t>location</t>
        </is>
      </c>
      <c r="B48" t="inlineStr">
        <is>
          <t>GLO</t>
        </is>
      </c>
    </row>
    <row r="49">
      <c r="A49" t="inlineStr">
        <is>
          <t>production amount</t>
        </is>
      </c>
      <c r="B49" t="n">
        <v>1</v>
      </c>
    </row>
    <row r="50">
      <c r="A50" t="inlineStr">
        <is>
          <t>reference product</t>
        </is>
      </c>
      <c r="B50" t="inlineStr">
        <is>
          <t>(Me3Si)2NH</t>
        </is>
      </c>
    </row>
    <row r="51">
      <c r="A51" t="inlineStr">
        <is>
          <t>unit</t>
        </is>
      </c>
      <c r="B51" t="inlineStr">
        <is>
          <t>kilogram</t>
        </is>
      </c>
    </row>
    <row r="52">
      <c r="A52" t="inlineStr">
        <is>
          <t>source</t>
        </is>
      </c>
      <c r="B52" t="inlineStr">
        <is>
          <t>Originally from  Wickerts et al. (2023). Prospective Life Cycle Assessment of Lithium-Sulfur Batteries for Stationary Energy Storage. ACS Sustainable Chemistry &amp; Engineering. Synthesis from Desmarteau, D. D., &amp; Witz, M. (1991). N-fluoro-bis (trifluoromethanesulfonyl) imide. An improved synthesis. Journal of fluorine chemistry, 52(1), 7-12. Scaled-up production based on Piccinno, F., Hischier, R., Seeger, S., &amp; Som, C. (2016). From laboratory to industrial scale: a scale-up framework for chemical processes in life cycle assessment studies. Journal of Cleaner Production, 135, 1085-1097.</t>
        </is>
      </c>
    </row>
    <row r="53">
      <c r="A53" s="2" t="inlineStr">
        <is>
          <t>Exchanges</t>
        </is>
      </c>
    </row>
    <row r="54">
      <c r="A54" t="inlineStr">
        <is>
          <t>name</t>
        </is>
      </c>
      <c r="B54" t="inlineStr">
        <is>
          <t>amount</t>
        </is>
      </c>
      <c r="C54" t="inlineStr">
        <is>
          <t>unit</t>
        </is>
      </c>
      <c r="D54" t="inlineStr">
        <is>
          <t>categories</t>
        </is>
      </c>
      <c r="E54" t="inlineStr">
        <is>
          <t>location</t>
        </is>
      </c>
      <c r="F54" t="inlineStr">
        <is>
          <t>type</t>
        </is>
      </c>
      <c r="G54" t="inlineStr">
        <is>
          <t>reference product</t>
        </is>
      </c>
      <c r="H54" t="inlineStr">
        <is>
          <t>Comment</t>
        </is>
      </c>
    </row>
    <row r="55">
      <c r="A55" t="inlineStr">
        <is>
          <t>(Me3Si)2NH production, for LiS battery</t>
        </is>
      </c>
      <c r="B55" t="n">
        <v>1</v>
      </c>
      <c r="C55" t="inlineStr">
        <is>
          <t>kilogram</t>
        </is>
      </c>
      <c r="E55" t="inlineStr">
        <is>
          <t>GLO</t>
        </is>
      </c>
      <c r="F55" t="inlineStr">
        <is>
          <t>production</t>
        </is>
      </c>
      <c r="G55" t="inlineStr">
        <is>
          <t>(Me3Si)2NH</t>
        </is>
      </c>
    </row>
    <row r="56">
      <c r="A56" t="inlineStr">
        <is>
          <t>trimethylchlorosilane production, for LiS battery</t>
        </is>
      </c>
      <c r="B56" s="30" t="n">
        <v>2.6</v>
      </c>
      <c r="C56" t="inlineStr">
        <is>
          <t>kilogram</t>
        </is>
      </c>
      <c r="E56" t="inlineStr">
        <is>
          <t>GLO</t>
        </is>
      </c>
      <c r="F56" t="inlineStr">
        <is>
          <t>technosphere</t>
        </is>
      </c>
      <c r="G56" t="inlineStr">
        <is>
          <t>trimethylchlorosilane</t>
        </is>
      </c>
    </row>
    <row r="57">
      <c r="A57" t="inlineStr">
        <is>
          <t>market for ammonia, anhydrous, liquid</t>
        </is>
      </c>
      <c r="B57" s="5" t="n">
        <v>0.64</v>
      </c>
      <c r="C57" t="inlineStr">
        <is>
          <t>kilogram</t>
        </is>
      </c>
      <c r="E57" t="inlineStr">
        <is>
          <t>RoW</t>
        </is>
      </c>
      <c r="F57" t="inlineStr">
        <is>
          <t>technosphere</t>
        </is>
      </c>
      <c r="G57" t="inlineStr">
        <is>
          <t>ammonia, anhydrous, liquid</t>
        </is>
      </c>
      <c r="H57" t="inlineStr">
        <is>
          <t>Location changed from "GLO" to "RoW". There is no GLO market for this activity</t>
        </is>
      </c>
    </row>
    <row r="58">
      <c r="A58" t="inlineStr">
        <is>
          <t>market group for electricity, medium voltage</t>
        </is>
      </c>
      <c r="B58" s="29" t="n">
        <v>0.0036</v>
      </c>
      <c r="C58" t="inlineStr">
        <is>
          <t>kilowatt hour</t>
        </is>
      </c>
      <c r="E58" t="inlineStr">
        <is>
          <t>Europe without Switzerland</t>
        </is>
      </c>
      <c r="F58" t="inlineStr">
        <is>
          <t>technosphere</t>
        </is>
      </c>
      <c r="G58" t="inlineStr">
        <is>
          <t>electricity, medium voltage</t>
        </is>
      </c>
    </row>
    <row r="59">
      <c r="A59" t="inlineStr">
        <is>
          <t>market for steam, in chemical industry</t>
        </is>
      </c>
      <c r="B59" s="30" t="n">
        <v>5.4</v>
      </c>
      <c r="C59" t="inlineStr">
        <is>
          <t>kilogram</t>
        </is>
      </c>
      <c r="E59" t="inlineStr">
        <is>
          <t>RoW</t>
        </is>
      </c>
      <c r="F59" t="inlineStr">
        <is>
          <t>technosphere</t>
        </is>
      </c>
      <c r="G59" t="inlineStr">
        <is>
          <t>steam, in chemical industry</t>
        </is>
      </c>
    </row>
    <row r="60">
      <c r="A60" t="inlineStr">
        <is>
          <t>market for chemical factory, organics</t>
        </is>
      </c>
      <c r="B60" s="3">
        <f>0.0000000004</f>
        <v>4.0000000000000001E-10</v>
      </c>
      <c r="C60" t="inlineStr">
        <is>
          <t>unit</t>
        </is>
      </c>
      <c r="E60" t="inlineStr">
        <is>
          <t>GLO</t>
        </is>
      </c>
      <c r="F60" t="inlineStr">
        <is>
          <t>technosphere</t>
        </is>
      </c>
      <c r="G60" t="inlineStr">
        <is>
          <t>chemical factory, organics</t>
        </is>
      </c>
    </row>
    <row r="61">
      <c r="A61" t="inlineStr">
        <is>
          <t>market for spent solvent mixture</t>
        </is>
      </c>
      <c r="B61" s="30" t="n">
        <v>-2.2</v>
      </c>
      <c r="C61" t="inlineStr">
        <is>
          <t>kilogram</t>
        </is>
      </c>
      <c r="E61" t="inlineStr">
        <is>
          <t>RoW</t>
        </is>
      </c>
      <c r="F61" t="inlineStr">
        <is>
          <t>technosphere</t>
        </is>
      </c>
      <c r="G61" t="inlineStr">
        <is>
          <t>spent solvent mixture</t>
        </is>
      </c>
    </row>
    <row r="62">
      <c r="A62" t="inlineStr">
        <is>
          <t>market for wastewater, average</t>
        </is>
      </c>
      <c r="B62" s="31" t="n">
        <v>-0.095</v>
      </c>
      <c r="C62" t="inlineStr">
        <is>
          <t>cubic meter</t>
        </is>
      </c>
      <c r="E62" t="inlineStr">
        <is>
          <t>RoW</t>
        </is>
      </c>
      <c r="F62" t="inlineStr">
        <is>
          <t>technosphere</t>
        </is>
      </c>
      <c r="G62" t="inlineStr">
        <is>
          <t>wastewater, average</t>
        </is>
      </c>
    </row>
    <row r="63">
      <c r="A63" t="inlineStr">
        <is>
          <t>Water, cooling, unspecified natural origin</t>
        </is>
      </c>
      <c r="B63" s="31" t="n">
        <v>0.095</v>
      </c>
      <c r="C63" t="inlineStr">
        <is>
          <t>cubic meter</t>
        </is>
      </c>
      <c r="D63" t="inlineStr">
        <is>
          <t>natural resource::in water</t>
        </is>
      </c>
      <c r="F63" t="inlineStr">
        <is>
          <t>biosphere</t>
        </is>
      </c>
    </row>
    <row r="64">
      <c r="B64" s="29" t="n"/>
    </row>
    <row r="65">
      <c r="B65" s="29" t="n"/>
    </row>
    <row r="66">
      <c r="B66" s="29" t="n"/>
    </row>
    <row r="67" ht="16" customHeight="1">
      <c r="A67" s="1" t="inlineStr">
        <is>
          <t>Activity</t>
        </is>
      </c>
      <c r="B67" s="1" t="inlineStr">
        <is>
          <t>trimethylchlorosilane production, for LiS battery</t>
        </is>
      </c>
    </row>
    <row r="68">
      <c r="A68" t="inlineStr">
        <is>
          <t>comment</t>
        </is>
      </c>
      <c r="B68" t="inlineStr">
        <is>
          <t>This is a multi-output process, which produces dimethylchlorosilane (97%) but also trimethylchlorosilane (3%). The ecoinvent dataset for trimethylchlorosilane has been re-allocated to produce a proxy for dimethylchlorosilane production, based on a mass allocation. Note that, compared to the original values in ecoinvent and also Wickerts et al., 2023, we have reduced the emission of methyl chloride, a potent ozone-depleting gas, to 0.5%, instead of 4.5%, with a min-max of 0.06%-4.1%, as it seems to ignore current efforts in limiting venting of such gases and promoting recovery instead. According to this report (https://www.chlorinated-solvents.eu/wp-content/uploads/2021/05/Dichloromethane-paper.pdf), the current leak rate in the EU is about 0.06%. Source for Li-S battery: Wickerts et al. (2023). Prospective Life Cycle Assessment of Lithium-Sulfur Batteries for Stationary Energy Storage. ACS Sustainable Chemistry &amp; Engineering. https://doi.org/10.1021/acssuschemeng.3c00141. Source for trimethylchlorosilane: https://pubs.acs.org/doi/10.1021/acssuschemeng.1c00376</t>
        </is>
      </c>
    </row>
    <row r="69">
      <c r="A69" t="inlineStr">
        <is>
          <t>location</t>
        </is>
      </c>
      <c r="B69" t="inlineStr">
        <is>
          <t>GLO</t>
        </is>
      </c>
    </row>
    <row r="70">
      <c r="A70" t="inlineStr">
        <is>
          <t>production amount</t>
        </is>
      </c>
      <c r="B70" t="n">
        <v>1</v>
      </c>
    </row>
    <row r="71">
      <c r="A71" t="inlineStr">
        <is>
          <t>reference product</t>
        </is>
      </c>
      <c r="B71" t="inlineStr">
        <is>
          <t>trimethylchlorosilane</t>
        </is>
      </c>
    </row>
    <row r="72">
      <c r="A72" t="inlineStr">
        <is>
          <t>unit</t>
        </is>
      </c>
      <c r="B72" t="inlineStr">
        <is>
          <t>kilogram</t>
        </is>
      </c>
    </row>
    <row r="73">
      <c r="A73" t="inlineStr">
        <is>
          <t>source</t>
        </is>
      </c>
      <c r="B73" t="inlineStr">
        <is>
          <t>Originally from  Wickerts et al. (2023). Prospective Life Cycle Assessment of Lithium-Sulfur Batteries for Stationary Energy Storage. ACS Sustainable Chemistry &amp; Engineering. Ecoinvent process, modified based on Wickerts et al. (2021). Prospective Life-Cycle Modeling of Quantum Dot Nanoparticles for Use in Photon Upconversion Devices. ACS Sustainable Chemistry &amp; Engineering, 9(14), 5187-5195.</t>
        </is>
      </c>
    </row>
    <row r="74">
      <c r="A74" s="2" t="inlineStr">
        <is>
          <t>Exchanges</t>
        </is>
      </c>
    </row>
    <row r="75">
      <c r="A75" t="inlineStr">
        <is>
          <t>name</t>
        </is>
      </c>
      <c r="B75" t="inlineStr">
        <is>
          <t>amount</t>
        </is>
      </c>
      <c r="C75" t="inlineStr">
        <is>
          <t>unit</t>
        </is>
      </c>
      <c r="D75" t="inlineStr">
        <is>
          <t>categories</t>
        </is>
      </c>
      <c r="E75" t="inlineStr">
        <is>
          <t>location</t>
        </is>
      </c>
      <c r="F75" t="inlineStr">
        <is>
          <t>type</t>
        </is>
      </c>
      <c r="G75" t="inlineStr">
        <is>
          <t>reference product</t>
        </is>
      </c>
      <c r="H75" t="inlineStr">
        <is>
          <t>comment</t>
        </is>
      </c>
      <c r="I75" t="inlineStr">
        <is>
          <t>uncertainty type</t>
        </is>
      </c>
      <c r="J75" t="inlineStr">
        <is>
          <t>loc</t>
        </is>
      </c>
      <c r="K75" t="inlineStr">
        <is>
          <t>minimum</t>
        </is>
      </c>
      <c r="L75" t="inlineStr">
        <is>
          <t>maximum</t>
        </is>
      </c>
    </row>
    <row r="76">
      <c r="A76" t="inlineStr">
        <is>
          <t>trimethylchlorosilane production, for LiS battery</t>
        </is>
      </c>
      <c r="B76" t="n">
        <v>1</v>
      </c>
      <c r="C76" t="inlineStr">
        <is>
          <t>kilogram</t>
        </is>
      </c>
      <c r="E76" t="inlineStr">
        <is>
          <t>GLO</t>
        </is>
      </c>
      <c r="F76" t="inlineStr">
        <is>
          <t>production</t>
        </is>
      </c>
      <c r="G76" t="inlineStr">
        <is>
          <t>trimethylchlorosilane</t>
        </is>
      </c>
    </row>
    <row r="77">
      <c r="A77" t="inlineStr">
        <is>
          <t>market for chemical factory, organics</t>
        </is>
      </c>
      <c r="B77">
        <f>0.0000000004</f>
        <v>4.0000000000000001E-10</v>
      </c>
      <c r="C77" t="inlineStr">
        <is>
          <t>unit</t>
        </is>
      </c>
      <c r="E77" t="inlineStr">
        <is>
          <t>GLO</t>
        </is>
      </c>
      <c r="F77" t="inlineStr">
        <is>
          <t>technosphere</t>
        </is>
      </c>
      <c r="G77" t="inlineStr">
        <is>
          <t>chemical factory, organics</t>
        </is>
      </c>
      <c r="H77" t="inlineStr">
        <is>
          <t>Original value multiplied by 0.03 to solve mass-allocation - and then divided by 0.03 to scale it to the production of 1 kg</t>
        </is>
      </c>
    </row>
    <row r="78">
      <c r="A78" t="inlineStr">
        <is>
          <t>market group for electricity, medium voltage</t>
        </is>
      </c>
      <c r="B78" s="5">
        <f>0.416</f>
        <v>0.41599999999999998</v>
      </c>
      <c r="C78" t="inlineStr">
        <is>
          <t>kilowatt hour</t>
        </is>
      </c>
      <c r="E78" t="inlineStr">
        <is>
          <t>GLO</t>
        </is>
      </c>
      <c r="F78" t="inlineStr">
        <is>
          <t>technosphere</t>
        </is>
      </c>
      <c r="G78" t="inlineStr">
        <is>
          <t>electricity, medium voltage</t>
        </is>
      </c>
    </row>
    <row r="79">
      <c r="A79" t="inlineStr">
        <is>
          <t>market group for heat, district or industrial, natural gas</t>
        </is>
      </c>
      <c r="B79" s="30">
        <f>2.15</f>
        <v>2.15</v>
      </c>
      <c r="C79" t="inlineStr">
        <is>
          <t>megajoule</t>
        </is>
      </c>
      <c r="E79" t="inlineStr">
        <is>
          <t>GLO</t>
        </is>
      </c>
      <c r="F79" t="inlineStr">
        <is>
          <t>technosphere</t>
        </is>
      </c>
      <c r="G79" t="inlineStr">
        <is>
          <t>heat, district or industrial, natural gas</t>
        </is>
      </c>
    </row>
    <row r="80">
      <c r="A80" t="inlineStr">
        <is>
          <t>market for heat, from steam, in chemical industry</t>
        </is>
      </c>
      <c r="B80" s="31">
        <f>0.02998</f>
        <v>2.998E-2</v>
      </c>
      <c r="C80" t="inlineStr">
        <is>
          <t>megajoule</t>
        </is>
      </c>
      <c r="E80" t="inlineStr">
        <is>
          <t>RER</t>
        </is>
      </c>
      <c r="F80" t="inlineStr">
        <is>
          <t>technosphere</t>
        </is>
      </c>
      <c r="G80" t="inlineStr">
        <is>
          <t>heat, from steam, in chemical industry</t>
        </is>
      </c>
    </row>
    <row r="81">
      <c r="A81" t="inlineStr">
        <is>
          <t>market for heat, from steam, in chemical industry</t>
        </is>
      </c>
      <c r="B81" s="5">
        <f>0.17002</f>
        <v>0.17002</v>
      </c>
      <c r="C81" t="inlineStr">
        <is>
          <t>megajoule</t>
        </is>
      </c>
      <c r="E81" t="inlineStr">
        <is>
          <t>RoW</t>
        </is>
      </c>
      <c r="F81" t="inlineStr">
        <is>
          <t>technosphere</t>
        </is>
      </c>
      <c r="G81" t="inlineStr">
        <is>
          <t>heat, from steam, in chemical industry</t>
        </is>
      </c>
    </row>
    <row r="82">
      <c r="A82" t="inlineStr">
        <is>
          <t>market for methylchloride</t>
        </is>
      </c>
      <c r="B82" s="5">
        <f>0.70572</f>
        <v>0.70572000000000001</v>
      </c>
      <c r="C82" t="inlineStr">
        <is>
          <t>kilogram</t>
        </is>
      </c>
      <c r="E82" t="inlineStr">
        <is>
          <t>RoW</t>
        </is>
      </c>
      <c r="F82" t="inlineStr">
        <is>
          <t>technosphere</t>
        </is>
      </c>
      <c r="G82" t="inlineStr">
        <is>
          <t>methylchloride</t>
        </is>
      </c>
    </row>
    <row r="83">
      <c r="A83" t="inlineStr">
        <is>
          <t>market for methylchloride</t>
        </is>
      </c>
      <c r="B83" s="5">
        <f>0.12023</f>
        <v>0.12023</v>
      </c>
      <c r="C83" t="inlineStr">
        <is>
          <t>kilogram</t>
        </is>
      </c>
      <c r="E83" t="inlineStr">
        <is>
          <t>RER</t>
        </is>
      </c>
      <c r="F83" t="inlineStr">
        <is>
          <t>technosphere</t>
        </is>
      </c>
      <c r="G83" t="inlineStr">
        <is>
          <t>methylchloride</t>
        </is>
      </c>
    </row>
    <row r="84">
      <c r="A84" t="inlineStr">
        <is>
          <t>market for nitrogen, liquid</t>
        </is>
      </c>
      <c r="B84" s="31">
        <f>0.01491</f>
        <v>1.491E-2</v>
      </c>
      <c r="C84" t="inlineStr">
        <is>
          <t>kilogram</t>
        </is>
      </c>
      <c r="E84" t="inlineStr">
        <is>
          <t>RoW</t>
        </is>
      </c>
      <c r="F84" t="inlineStr">
        <is>
          <t>technosphere</t>
        </is>
      </c>
      <c r="G84" t="inlineStr">
        <is>
          <t>nitrogen, liquid</t>
        </is>
      </c>
    </row>
    <row r="85">
      <c r="A85" t="inlineStr">
        <is>
          <t>market for nitrogen, liquid</t>
        </is>
      </c>
      <c r="B85" s="29">
        <f>0.00409</f>
        <v>4.0899999999999999E-3</v>
      </c>
      <c r="C85" t="inlineStr">
        <is>
          <t>kilogram</t>
        </is>
      </c>
      <c r="E85" t="inlineStr">
        <is>
          <t>RER</t>
        </is>
      </c>
      <c r="F85" t="inlineStr">
        <is>
          <t>technosphere</t>
        </is>
      </c>
      <c r="G85" t="inlineStr">
        <is>
          <t>nitrogen, liquid</t>
        </is>
      </c>
    </row>
    <row r="86">
      <c r="A86" t="inlineStr">
        <is>
          <t>market for silicon, metallurgical grade</t>
        </is>
      </c>
      <c r="B86" s="5">
        <f>0.22973</f>
        <v>0.22972999999999999</v>
      </c>
      <c r="C86" t="inlineStr">
        <is>
          <t>kilogram</t>
        </is>
      </c>
      <c r="E86" t="inlineStr">
        <is>
          <t>GLO</t>
        </is>
      </c>
      <c r="F86" t="inlineStr">
        <is>
          <t>technosphere</t>
        </is>
      </c>
      <c r="G86" t="inlineStr">
        <is>
          <t>silicon, metallurgical grade</t>
        </is>
      </c>
    </row>
    <row r="87">
      <c r="A87" t="inlineStr">
        <is>
          <t>market group for tap water</t>
        </is>
      </c>
      <c r="B87">
        <f>0.026</f>
        <v>2.5999999999999999E-2</v>
      </c>
      <c r="C87" t="inlineStr">
        <is>
          <t>kilogram</t>
        </is>
      </c>
      <c r="E87" t="inlineStr">
        <is>
          <t>GLO</t>
        </is>
      </c>
      <c r="F87" t="inlineStr">
        <is>
          <t>technosphere</t>
        </is>
      </c>
      <c r="G87" t="inlineStr">
        <is>
          <t>tap water</t>
        </is>
      </c>
    </row>
    <row r="88">
      <c r="A88" t="inlineStr">
        <is>
          <t>Water, cooling, unspecified natural origin</t>
        </is>
      </c>
      <c r="B88" s="31">
        <f>0.0164</f>
        <v>1.6400000000000001E-2</v>
      </c>
      <c r="C88" t="inlineStr">
        <is>
          <t>cubic meter</t>
        </is>
      </c>
      <c r="D88" t="inlineStr">
        <is>
          <t>natural resource::in water</t>
        </is>
      </c>
      <c r="F88" t="inlineStr">
        <is>
          <t>biosphere</t>
        </is>
      </c>
    </row>
    <row r="89">
      <c r="A89" t="inlineStr">
        <is>
          <t>Water, river</t>
        </is>
      </c>
      <c r="B89">
        <f>0.00086</f>
        <v>8.5999999999999998E-4</v>
      </c>
      <c r="C89" t="inlineStr">
        <is>
          <t>cubic meter</t>
        </is>
      </c>
      <c r="D89" t="inlineStr">
        <is>
          <t>natural resource::in water</t>
        </is>
      </c>
      <c r="F89" t="inlineStr">
        <is>
          <t>biosphere</t>
        </is>
      </c>
    </row>
    <row r="90">
      <c r="A90" t="inlineStr">
        <is>
          <t>Water, well, in ground</t>
        </is>
      </c>
      <c r="B90">
        <f>0.00083</f>
        <v>8.3000000000000001E-4</v>
      </c>
      <c r="C90" t="inlineStr">
        <is>
          <t>cubic meter</t>
        </is>
      </c>
      <c r="D90" t="inlineStr">
        <is>
          <t>natural resource::in water</t>
        </is>
      </c>
      <c r="F90" t="inlineStr">
        <is>
          <t>biosphere</t>
        </is>
      </c>
    </row>
    <row r="91">
      <c r="A91" t="inlineStr">
        <is>
          <t>market for wastewater, average</t>
        </is>
      </c>
      <c r="B91" s="13">
        <f>(-0.00000176509)</f>
        <v>-1.76509E-6</v>
      </c>
      <c r="C91" t="inlineStr">
        <is>
          <t>cubic meter</t>
        </is>
      </c>
      <c r="E91" t="inlineStr">
        <is>
          <t>RoW</t>
        </is>
      </c>
      <c r="F91" t="inlineStr">
        <is>
          <t>technosphere</t>
        </is>
      </c>
      <c r="G91" t="inlineStr">
        <is>
          <t>wastewater, average</t>
        </is>
      </c>
    </row>
    <row r="92">
      <c r="A92" t="inlineStr">
        <is>
          <t>market for wastewater, average</t>
        </is>
      </c>
      <c r="B92" s="13">
        <f>-0.000000091266</f>
        <v>-9.1266000000000005E-8</v>
      </c>
      <c r="C92" t="inlineStr">
        <is>
          <t>cubic meter</t>
        </is>
      </c>
      <c r="E92" t="inlineStr">
        <is>
          <t>CH</t>
        </is>
      </c>
      <c r="F92" t="inlineStr">
        <is>
          <t>technosphere</t>
        </is>
      </c>
      <c r="G92" t="inlineStr">
        <is>
          <t>wastewater, average</t>
        </is>
      </c>
    </row>
    <row r="93">
      <c r="A93" t="inlineStr">
        <is>
          <t>market for wastewater, average</t>
        </is>
      </c>
      <c r="B93" s="13">
        <f>-0.000000843646</f>
        <v>-8.4364599999999996E-7</v>
      </c>
      <c r="C93" t="inlineStr">
        <is>
          <t>cubic meter</t>
        </is>
      </c>
      <c r="E93" t="inlineStr">
        <is>
          <t>Europe without Switzerland</t>
        </is>
      </c>
      <c r="F93" t="inlineStr">
        <is>
          <t>technosphere</t>
        </is>
      </c>
      <c r="G93" t="inlineStr">
        <is>
          <t>wastewater, average</t>
        </is>
      </c>
    </row>
    <row r="94">
      <c r="A94" t="inlineStr">
        <is>
          <t>Dimethyldichlorosilane</t>
        </is>
      </c>
      <c r="B94" s="13">
        <f>0.00289</f>
        <v>2.8900000000000002E-3</v>
      </c>
      <c r="C94" t="inlineStr">
        <is>
          <t>kilogram</t>
        </is>
      </c>
      <c r="D94" t="inlineStr">
        <is>
          <t>air</t>
        </is>
      </c>
      <c r="F94" t="inlineStr">
        <is>
          <t>biosphere</t>
        </is>
      </c>
    </row>
    <row r="95">
      <c r="A95" t="inlineStr">
        <is>
          <t>Methane, monochloro-, R-40</t>
        </is>
      </c>
      <c r="B95" s="13">
        <f>0.005*SUM(B82:B83)</f>
        <v>4.1297499999999997E-3</v>
      </c>
      <c r="C95" t="inlineStr">
        <is>
          <t>kilogram</t>
        </is>
      </c>
      <c r="D95" t="inlineStr">
        <is>
          <t>air</t>
        </is>
      </c>
      <c r="F95" t="inlineStr">
        <is>
          <t>biosphere</t>
        </is>
      </c>
      <c r="H95" t="inlineStr">
        <is>
          <t>Original value in Wickerts et al., 2023 of 0.0412, representing a 4.5% leakage rate. This was reduced to 0.5% leakage rate. According to https://www.chlorinated-solvents.eu/wp-content/uploads/2021/05/Dichloromethane-paper.pdf, current leakage rate in the EU is 0.06%.</t>
        </is>
      </c>
      <c r="I95" t="n">
        <v>5</v>
      </c>
      <c r="J95" s="13">
        <f>B95</f>
        <v>4.1297499999999997E-3</v>
      </c>
      <c r="K95">
        <f>0.0006*SUM(B82:B83)</f>
        <v>4.9556999999999997E-4</v>
      </c>
      <c r="L95" t="n">
        <v>0.0413</v>
      </c>
    </row>
    <row r="96">
      <c r="A96" t="inlineStr">
        <is>
          <t>Nitrogen</t>
        </is>
      </c>
      <c r="B96" s="13">
        <f>0.019</f>
        <v>1.9E-2</v>
      </c>
      <c r="C96" t="inlineStr">
        <is>
          <t>kilogram</t>
        </is>
      </c>
      <c r="D96" t="inlineStr">
        <is>
          <t>air</t>
        </is>
      </c>
      <c r="F96" t="inlineStr">
        <is>
          <t>biosphere</t>
        </is>
      </c>
    </row>
    <row r="97">
      <c r="A97" t="inlineStr">
        <is>
          <t>Silicon</t>
        </is>
      </c>
      <c r="B97" s="13">
        <f>0.01091</f>
        <v>1.091E-2</v>
      </c>
      <c r="C97" t="inlineStr">
        <is>
          <t>kilogram</t>
        </is>
      </c>
      <c r="D97" t="inlineStr">
        <is>
          <t>water::surface water</t>
        </is>
      </c>
      <c r="F97" t="inlineStr">
        <is>
          <t>biosphere</t>
        </is>
      </c>
    </row>
    <row r="98">
      <c r="A98" t="inlineStr">
        <is>
          <t>Silicon</t>
        </is>
      </c>
      <c r="B98" s="13">
        <f>0.00057</f>
        <v>5.6999999999999998E-4</v>
      </c>
      <c r="C98" t="inlineStr">
        <is>
          <t>kilogram</t>
        </is>
      </c>
      <c r="D98" t="inlineStr">
        <is>
          <t>water</t>
        </is>
      </c>
      <c r="F98" t="inlineStr">
        <is>
          <t>biosphere</t>
        </is>
      </c>
    </row>
    <row r="99">
      <c r="A99" t="inlineStr">
        <is>
          <t>Water</t>
        </is>
      </c>
      <c r="B99" s="13">
        <f>0.03*0.001</f>
        <v>3.0000000000000001E-5</v>
      </c>
      <c r="C99" t="inlineStr">
        <is>
          <t>cubic meter</t>
        </is>
      </c>
      <c r="D99" t="inlineStr">
        <is>
          <t>air</t>
        </is>
      </c>
      <c r="F99" t="inlineStr">
        <is>
          <t>biosphere</t>
        </is>
      </c>
    </row>
    <row r="100">
      <c r="A100" t="inlineStr">
        <is>
          <t>Water</t>
        </is>
      </c>
      <c r="B100" s="13">
        <f>0.0167</f>
        <v>1.67E-2</v>
      </c>
      <c r="C100" t="inlineStr">
        <is>
          <t>cubic meter</t>
        </is>
      </c>
      <c r="D100" t="inlineStr">
        <is>
          <t>water</t>
        </is>
      </c>
      <c r="F100" t="inlineStr">
        <is>
          <t>biosphere</t>
        </is>
      </c>
    </row>
    <row r="101">
      <c r="B101" s="3" t="n"/>
    </row>
    <row r="102">
      <c r="B102" s="3" t="n"/>
    </row>
    <row r="103"/>
    <row r="104" ht="18" customHeight="1">
      <c r="A104" s="1" t="inlineStr">
        <is>
          <t>Activity</t>
        </is>
      </c>
      <c r="B104" s="11" t="inlineStr">
        <is>
          <t>CF3SO2NNaSiMe3 production, for LiS battery</t>
        </is>
      </c>
    </row>
    <row r="105" ht="16" customHeight="1">
      <c r="A105" s="16" t="inlineStr">
        <is>
          <t>comment</t>
        </is>
      </c>
      <c r="B105" s="22" t="inlineStr">
        <is>
          <t>Source: Wickerts et al. (2023). Prospective Life Cycle Assessment of Lithium-Sulfur Batteries for Stationary Energy Storage. ACS Sustainable Chemistry &amp; Engineering. https://doi.org/10.1021/acssuschemeng.3c00141</t>
        </is>
      </c>
    </row>
    <row r="106">
      <c r="A106" t="inlineStr">
        <is>
          <t>location</t>
        </is>
      </c>
      <c r="B106" t="inlineStr">
        <is>
          <t>GLO</t>
        </is>
      </c>
    </row>
    <row r="107">
      <c r="A107" t="inlineStr">
        <is>
          <t>production amount</t>
        </is>
      </c>
      <c r="B107" t="n">
        <v>1</v>
      </c>
    </row>
    <row r="108">
      <c r="A108" t="inlineStr">
        <is>
          <t>reference product</t>
        </is>
      </c>
      <c r="B108" t="inlineStr">
        <is>
          <t>CF3SO2NNaSiMe3</t>
        </is>
      </c>
    </row>
    <row r="109">
      <c r="A109" t="inlineStr">
        <is>
          <t>unit</t>
        </is>
      </c>
      <c r="B109" t="inlineStr">
        <is>
          <t>kilogram</t>
        </is>
      </c>
    </row>
    <row r="110">
      <c r="A110" t="inlineStr">
        <is>
          <t>source</t>
        </is>
      </c>
      <c r="B110" t="inlineStr">
        <is>
          <t>Originally from  Wickerts et al. (2023). Prospective Life Cycle Assessment of Lithium-Sulfur Batteries for Stationary Energy Storage. ACS Sustainable Chemistry &amp; Engineering. Synthesis from Desmarteau, D. D., &amp; Witz, M. (1991). N-fluoro-bis (trifluoromethanesulfonyl) imide. An improved synthesis. Journal of fluorine chemistry, 52(1), 7-12. Scaled-up production based on Piccinno, F., Hischier, R., Seeger, S., &amp; Som, C. (2016). From laboratory to industrial scale: a scale-up framework for chemical processes in life cycle assessment studies. Journal of Cleaner Production, 135, 1085-1097.</t>
        </is>
      </c>
    </row>
    <row r="111">
      <c r="A111" s="2" t="inlineStr">
        <is>
          <t>Exchanges</t>
        </is>
      </c>
    </row>
    <row r="112">
      <c r="A112" t="inlineStr">
        <is>
          <t>name</t>
        </is>
      </c>
      <c r="B112" t="inlineStr">
        <is>
          <t>amount</t>
        </is>
      </c>
      <c r="C112" t="inlineStr">
        <is>
          <t>unit</t>
        </is>
      </c>
      <c r="D112" t="inlineStr">
        <is>
          <t>categories</t>
        </is>
      </c>
      <c r="E112" t="inlineStr">
        <is>
          <t>location</t>
        </is>
      </c>
      <c r="F112" t="inlineStr">
        <is>
          <t>type</t>
        </is>
      </c>
      <c r="G112" t="inlineStr">
        <is>
          <t>reference product</t>
        </is>
      </c>
    </row>
    <row r="113">
      <c r="A113" t="inlineStr">
        <is>
          <t>CF3SO2NNaSiMe3 production, for LiS battery</t>
        </is>
      </c>
      <c r="B113" t="n">
        <v>1</v>
      </c>
      <c r="C113" t="inlineStr">
        <is>
          <t>kilogram</t>
        </is>
      </c>
      <c r="E113" t="inlineStr">
        <is>
          <t>GLO</t>
        </is>
      </c>
      <c r="F113" t="inlineStr">
        <is>
          <t>production</t>
        </is>
      </c>
      <c r="G113" t="inlineStr">
        <is>
          <t>CF3SO2NNaSiMe3</t>
        </is>
      </c>
    </row>
    <row r="114">
      <c r="A114" t="inlineStr">
        <is>
          <t>(Me3Si)2NH production, for LiS battery</t>
        </is>
      </c>
      <c r="B114" t="n">
        <v>2.2</v>
      </c>
      <c r="C114" t="inlineStr">
        <is>
          <t>kilogram</t>
        </is>
      </c>
      <c r="E114" t="inlineStr">
        <is>
          <t>GLO</t>
        </is>
      </c>
      <c r="F114" t="inlineStr">
        <is>
          <t>technosphere</t>
        </is>
      </c>
      <c r="G114" t="inlineStr">
        <is>
          <t>(Me3Si)2NH</t>
        </is>
      </c>
    </row>
    <row r="115">
      <c r="A115" t="inlineStr">
        <is>
          <t>CF3SO2NHNa production, for LiS battery</t>
        </is>
      </c>
      <c r="B115" t="n">
        <v>0.76</v>
      </c>
      <c r="C115" t="inlineStr">
        <is>
          <t>kilogram</t>
        </is>
      </c>
      <c r="E115" t="inlineStr">
        <is>
          <t>GLO</t>
        </is>
      </c>
      <c r="F115" t="inlineStr">
        <is>
          <t>technosphere</t>
        </is>
      </c>
      <c r="G115" t="inlineStr">
        <is>
          <t>CF3SO2NHNa</t>
        </is>
      </c>
    </row>
    <row r="116">
      <c r="A116" t="inlineStr">
        <is>
          <t>market for chemical factory, organics</t>
        </is>
      </c>
      <c r="B116">
        <f>4*10^-10</f>
        <v>4.0000000000000001E-10</v>
      </c>
      <c r="C116" t="inlineStr">
        <is>
          <t>unit</t>
        </is>
      </c>
      <c r="E116" t="inlineStr">
        <is>
          <t>GLO</t>
        </is>
      </c>
      <c r="F116" t="inlineStr">
        <is>
          <t>technosphere</t>
        </is>
      </c>
      <c r="G116" t="inlineStr">
        <is>
          <t>chemical factory, organics</t>
        </is>
      </c>
    </row>
    <row r="117">
      <c r="A117" t="inlineStr">
        <is>
          <t>market group for electricity, medium voltage</t>
        </is>
      </c>
      <c r="B117" t="n">
        <v>0.023</v>
      </c>
      <c r="C117" t="inlineStr">
        <is>
          <t>kilowatt hour</t>
        </is>
      </c>
      <c r="E117" t="inlineStr">
        <is>
          <t>Europe without Switzerland</t>
        </is>
      </c>
      <c r="F117" t="inlineStr">
        <is>
          <t>technosphere</t>
        </is>
      </c>
      <c r="G117" t="inlineStr">
        <is>
          <t>electricity, medium voltage</t>
        </is>
      </c>
    </row>
    <row r="118">
      <c r="A118" t="inlineStr">
        <is>
          <t>market for steam, in chemical industry</t>
        </is>
      </c>
      <c r="B118" t="n">
        <v>16</v>
      </c>
      <c r="C118" t="inlineStr">
        <is>
          <t>kilogram</t>
        </is>
      </c>
      <c r="E118" t="inlineStr">
        <is>
          <t>RoW</t>
        </is>
      </c>
      <c r="F118" t="inlineStr">
        <is>
          <t>technosphere</t>
        </is>
      </c>
      <c r="G118" t="inlineStr">
        <is>
          <t>steam, in chemical industry</t>
        </is>
      </c>
    </row>
    <row r="119">
      <c r="A119" t="inlineStr">
        <is>
          <t>market for spent solvent mixture</t>
        </is>
      </c>
      <c r="B119" s="30" t="n">
        <v>-2</v>
      </c>
      <c r="C119" t="inlineStr">
        <is>
          <t>kilogram</t>
        </is>
      </c>
      <c r="E119" t="inlineStr">
        <is>
          <t>RoW</t>
        </is>
      </c>
      <c r="F119" t="inlineStr">
        <is>
          <t>technosphere</t>
        </is>
      </c>
      <c r="G119" t="inlineStr">
        <is>
          <t>spent solvent mixture</t>
        </is>
      </c>
    </row>
    <row r="120">
      <c r="A120" t="inlineStr">
        <is>
          <t>market for wastewater, average</t>
        </is>
      </c>
      <c r="B120" t="n">
        <v>-0.28</v>
      </c>
      <c r="C120" t="inlineStr">
        <is>
          <t>cubic meter</t>
        </is>
      </c>
      <c r="E120" t="inlineStr">
        <is>
          <t>RoW</t>
        </is>
      </c>
      <c r="F120" t="inlineStr">
        <is>
          <t>technosphere</t>
        </is>
      </c>
      <c r="G120" t="inlineStr">
        <is>
          <t>wastewater, average</t>
        </is>
      </c>
    </row>
    <row r="121">
      <c r="A121" t="inlineStr">
        <is>
          <t>Water, cooling, unspecified natural origin</t>
        </is>
      </c>
      <c r="B121" t="n">
        <v>0.28</v>
      </c>
      <c r="C121" t="inlineStr">
        <is>
          <t>cubic meter</t>
        </is>
      </c>
      <c r="D121" t="inlineStr">
        <is>
          <t>natural resource::in water</t>
        </is>
      </c>
      <c r="F121" t="inlineStr">
        <is>
          <t>biosphere</t>
        </is>
      </c>
    </row>
    <row r="122"/>
    <row r="123"/>
    <row r="124"/>
    <row r="125" ht="16" customHeight="1">
      <c r="A125" s="1" t="inlineStr">
        <is>
          <t>Activity</t>
        </is>
      </c>
      <c r="B125" s="1" t="inlineStr">
        <is>
          <t>(CF3SO2)2NNa production, for LiS battery</t>
        </is>
      </c>
    </row>
    <row r="126" ht="16" customHeight="1">
      <c r="A126" s="16" t="inlineStr">
        <is>
          <t>comment</t>
        </is>
      </c>
      <c r="B126" s="16" t="inlineStr">
        <is>
          <t>Source: Wickerts et al. (2023). Prospective Life Cycle Assessment of Lithium-Sulfur Batteries for Stationary Energy Storage. ACS Sustainable Chemistry &amp; Engineering. https://doi.org/10.1021/acssuschemeng.3c00141</t>
        </is>
      </c>
    </row>
    <row r="127">
      <c r="A127" t="inlineStr">
        <is>
          <t>location</t>
        </is>
      </c>
      <c r="B127" t="inlineStr">
        <is>
          <t>GLO</t>
        </is>
      </c>
    </row>
    <row r="128">
      <c r="A128" t="inlineStr">
        <is>
          <t>production amount</t>
        </is>
      </c>
      <c r="B128" t="n">
        <v>1</v>
      </c>
    </row>
    <row r="129">
      <c r="A129" t="inlineStr">
        <is>
          <t>reference product</t>
        </is>
      </c>
      <c r="B129" t="inlineStr">
        <is>
          <t>(CF3SO2)2NNa</t>
        </is>
      </c>
    </row>
    <row r="130">
      <c r="A130" t="inlineStr">
        <is>
          <t>unit</t>
        </is>
      </c>
      <c r="B130" t="inlineStr">
        <is>
          <t>kilogram</t>
        </is>
      </c>
    </row>
    <row r="131">
      <c r="A131" t="inlineStr">
        <is>
          <t>source</t>
        </is>
      </c>
      <c r="B131" t="inlineStr">
        <is>
          <t>Originally from  Wickerts et al. (2023). Prospective Life Cycle Assessment of Lithium-Sulfur Batteries for Stationary Energy Storage. ACS Sustainable Chemistry &amp; Engineering. Synthesis from Desmarteau, D. D., &amp; Witz, M. (1991). N-fluoro-bis (trifluoromethanesulfonyl) imide. An improved synthesis. Journal of fluorine chemistry, 52(1), 7-12. Scaled-up production based on Piccinno, F., Hischier, R., Seeger, S., &amp; Som, C. (2016). From laboratory to industrial scale: a scale-up framework for chemical processes in life cycle assessment studies. Journal of Cleaner Production, 135, 1085-1097.</t>
        </is>
      </c>
    </row>
    <row r="132">
      <c r="A132" s="2" t="inlineStr">
        <is>
          <t>Exchanges</t>
        </is>
      </c>
    </row>
    <row r="133">
      <c r="A133" t="inlineStr">
        <is>
          <t>name</t>
        </is>
      </c>
      <c r="B133" t="inlineStr">
        <is>
          <t>amount</t>
        </is>
      </c>
      <c r="C133" t="inlineStr">
        <is>
          <t>unit</t>
        </is>
      </c>
      <c r="D133" t="inlineStr">
        <is>
          <t>categories</t>
        </is>
      </c>
      <c r="E133" t="inlineStr">
        <is>
          <t>location</t>
        </is>
      </c>
      <c r="F133" t="inlineStr">
        <is>
          <t>type</t>
        </is>
      </c>
      <c r="G133" t="inlineStr">
        <is>
          <t>reference product</t>
        </is>
      </c>
    </row>
    <row r="134">
      <c r="A134" t="inlineStr">
        <is>
          <t>(CF3SO2)2NNa production, for LiS battery</t>
        </is>
      </c>
      <c r="B134" t="n">
        <v>1</v>
      </c>
      <c r="C134" t="inlineStr">
        <is>
          <t>kilogram</t>
        </is>
      </c>
      <c r="E134" t="inlineStr">
        <is>
          <t>GLO</t>
        </is>
      </c>
      <c r="F134" t="inlineStr">
        <is>
          <t>production</t>
        </is>
      </c>
      <c r="G134" t="inlineStr">
        <is>
          <t>(CF3SO2)2NNa</t>
        </is>
      </c>
    </row>
    <row r="135">
      <c r="A135" t="inlineStr">
        <is>
          <t>CF3SO2NNaSiMe3 production, for LiS battery</t>
        </is>
      </c>
      <c r="B135" t="n">
        <v>0.82</v>
      </c>
      <c r="C135" t="inlineStr">
        <is>
          <t>kilogram</t>
        </is>
      </c>
      <c r="E135" t="inlineStr">
        <is>
          <t>GLO</t>
        </is>
      </c>
      <c r="F135" t="inlineStr">
        <is>
          <t>technosphere</t>
        </is>
      </c>
      <c r="G135" t="inlineStr">
        <is>
          <t>CF3SO2NNaSiMe3</t>
        </is>
      </c>
    </row>
    <row r="136">
      <c r="A136" t="inlineStr">
        <is>
          <t>trifluoromethanesulphonyl fluoride (CF3SO2F) production, for LiS battery</t>
        </is>
      </c>
      <c r="B136" t="n">
        <v>0.52</v>
      </c>
      <c r="C136" t="inlineStr">
        <is>
          <t>kilogram</t>
        </is>
      </c>
      <c r="E136" t="inlineStr">
        <is>
          <t>GLO</t>
        </is>
      </c>
      <c r="F136" t="inlineStr">
        <is>
          <t>technosphere</t>
        </is>
      </c>
      <c r="G136" t="inlineStr">
        <is>
          <t>trifluoromethanesulphonyl fluoride (CF3SO2F)</t>
        </is>
      </c>
    </row>
    <row r="137">
      <c r="A137" t="inlineStr">
        <is>
          <t>market for tetrahydrofuran</t>
        </is>
      </c>
      <c r="B137" t="n">
        <v>0.65</v>
      </c>
      <c r="C137" t="inlineStr">
        <is>
          <t>kilogram</t>
        </is>
      </c>
      <c r="E137" t="inlineStr">
        <is>
          <t>GLO</t>
        </is>
      </c>
      <c r="F137" t="inlineStr">
        <is>
          <t>technosphere</t>
        </is>
      </c>
      <c r="G137" t="inlineStr">
        <is>
          <t>tetrahydrofuran</t>
        </is>
      </c>
    </row>
    <row r="138">
      <c r="A138" t="inlineStr">
        <is>
          <t>market for dichloromethane</t>
        </is>
      </c>
      <c r="B138" t="n">
        <v>1.3</v>
      </c>
      <c r="C138" t="inlineStr">
        <is>
          <t>kilogram</t>
        </is>
      </c>
      <c r="E138" t="inlineStr">
        <is>
          <t>RoW</t>
        </is>
      </c>
      <c r="F138" t="inlineStr">
        <is>
          <t>technosphere</t>
        </is>
      </c>
      <c r="G138" t="inlineStr">
        <is>
          <t>dichloromethane</t>
        </is>
      </c>
    </row>
    <row r="139">
      <c r="A139" t="inlineStr">
        <is>
          <t>market for water, deionised</t>
        </is>
      </c>
      <c r="B139" t="n">
        <v>3.1</v>
      </c>
      <c r="C139" t="inlineStr">
        <is>
          <t>kilogram</t>
        </is>
      </c>
      <c r="E139" t="inlineStr">
        <is>
          <t>RoW</t>
        </is>
      </c>
      <c r="F139" t="inlineStr">
        <is>
          <t>technosphere</t>
        </is>
      </c>
      <c r="G139" t="inlineStr">
        <is>
          <t>water, deionised</t>
        </is>
      </c>
    </row>
    <row r="140">
      <c r="A140" t="inlineStr">
        <is>
          <t>market for chemical factory, organics</t>
        </is>
      </c>
      <c r="B140">
        <f>4*10^-10</f>
        <v>4.0000000000000001E-10</v>
      </c>
      <c r="C140" t="inlineStr">
        <is>
          <t>unit</t>
        </is>
      </c>
      <c r="E140" t="inlineStr">
        <is>
          <t>GLO</t>
        </is>
      </c>
      <c r="F140" t="inlineStr">
        <is>
          <t>technosphere</t>
        </is>
      </c>
      <c r="G140" t="inlineStr">
        <is>
          <t>chemical factory, organics</t>
        </is>
      </c>
    </row>
    <row r="141">
      <c r="A141" t="inlineStr">
        <is>
          <t>market group for electricity, medium voltage</t>
        </is>
      </c>
      <c r="B141" t="n">
        <v>0.44</v>
      </c>
      <c r="C141" t="inlineStr">
        <is>
          <t>kilowatt hour</t>
        </is>
      </c>
      <c r="E141" t="inlineStr">
        <is>
          <t>Europe without Switzerland</t>
        </is>
      </c>
      <c r="F141" t="inlineStr">
        <is>
          <t>technosphere</t>
        </is>
      </c>
      <c r="G141" t="inlineStr">
        <is>
          <t>electricity, medium voltage</t>
        </is>
      </c>
    </row>
    <row r="142">
      <c r="A142" t="inlineStr">
        <is>
          <t>market for steam, in chemical industry</t>
        </is>
      </c>
      <c r="B142" t="n">
        <v>26</v>
      </c>
      <c r="C142" t="inlineStr">
        <is>
          <t>kilogram</t>
        </is>
      </c>
      <c r="E142" t="inlineStr">
        <is>
          <t>RoW</t>
        </is>
      </c>
      <c r="F142" t="inlineStr">
        <is>
          <t>technosphere</t>
        </is>
      </c>
      <c r="G142" t="inlineStr">
        <is>
          <t>steam, in chemical industry</t>
        </is>
      </c>
    </row>
    <row r="143">
      <c r="A143" t="inlineStr">
        <is>
          <t>market for spent solvent mixture</t>
        </is>
      </c>
      <c r="B143" t="n">
        <v>-5.4</v>
      </c>
      <c r="C143" t="inlineStr">
        <is>
          <t>kilogram</t>
        </is>
      </c>
      <c r="E143" t="inlineStr">
        <is>
          <t>RoW</t>
        </is>
      </c>
      <c r="F143" t="inlineStr">
        <is>
          <t>technosphere</t>
        </is>
      </c>
      <c r="G143" t="inlineStr">
        <is>
          <t>spent solvent mixture</t>
        </is>
      </c>
    </row>
    <row r="144">
      <c r="A144" t="inlineStr">
        <is>
          <t>market for wastewater, average</t>
        </is>
      </c>
      <c r="B144" t="n">
        <v>-0.38</v>
      </c>
      <c r="C144" t="inlineStr">
        <is>
          <t>cubic meter</t>
        </is>
      </c>
      <c r="E144" t="inlineStr">
        <is>
          <t>RoW</t>
        </is>
      </c>
      <c r="F144" t="inlineStr">
        <is>
          <t>technosphere</t>
        </is>
      </c>
      <c r="G144" t="inlineStr">
        <is>
          <t>wastewater, average</t>
        </is>
      </c>
    </row>
    <row r="145">
      <c r="A145" t="inlineStr">
        <is>
          <t>Water, cooling, unspecified natural origin</t>
        </is>
      </c>
      <c r="B145" t="n">
        <v>0.38</v>
      </c>
      <c r="C145" t="inlineStr">
        <is>
          <t>cubic meter</t>
        </is>
      </c>
      <c r="D145" t="inlineStr">
        <is>
          <t>natural resource::in water</t>
        </is>
      </c>
      <c r="F145" t="inlineStr">
        <is>
          <t>biosphere</t>
        </is>
      </c>
    </row>
    <row r="146"/>
    <row r="147"/>
    <row r="148"/>
    <row r="149" ht="16" customHeight="1">
      <c r="A149" s="1" t="inlineStr">
        <is>
          <t>Activity</t>
        </is>
      </c>
      <c r="B149" s="1" t="inlineStr">
        <is>
          <t>(CF3SO2)2NH production, for LiS battery</t>
        </is>
      </c>
    </row>
    <row r="150" ht="16" customHeight="1">
      <c r="A150" s="16" t="inlineStr">
        <is>
          <t>comment</t>
        </is>
      </c>
      <c r="B150" s="16" t="inlineStr">
        <is>
          <t>Source: Wickerts et al. (2023). Prospective Life Cycle Assessment of Lithium-Sulfur Batteries for Stationary Energy Storage. ACS Sustainable Chemistry &amp; Engineering. https://doi.org/10.1021/acssuschemeng.3c00141</t>
        </is>
      </c>
    </row>
    <row r="151">
      <c r="A151" t="inlineStr">
        <is>
          <t>location</t>
        </is>
      </c>
      <c r="B151" t="inlineStr">
        <is>
          <t>GLO</t>
        </is>
      </c>
    </row>
    <row r="152">
      <c r="A152" t="inlineStr">
        <is>
          <t>production amount</t>
        </is>
      </c>
      <c r="B152" t="n">
        <v>1</v>
      </c>
    </row>
    <row r="153">
      <c r="A153" t="inlineStr">
        <is>
          <t>reference product</t>
        </is>
      </c>
      <c r="B153" t="inlineStr">
        <is>
          <t>(CF3SO2)2NH</t>
        </is>
      </c>
    </row>
    <row r="154">
      <c r="A154" t="inlineStr">
        <is>
          <t>unit</t>
        </is>
      </c>
      <c r="B154" t="inlineStr">
        <is>
          <t>kilogram</t>
        </is>
      </c>
    </row>
    <row r="155">
      <c r="A155" t="inlineStr">
        <is>
          <t>source</t>
        </is>
      </c>
      <c r="B155" t="inlineStr">
        <is>
          <t>Originally from  Wickerts et al. (2023). Prospective Life Cycle Assessment of Lithium-Sulfur Batteries for Stationary Energy Storage. ACS Sustainable Chemistry &amp; Engineering. Synthesis from Desmarteau, D. D., &amp; Witz, M. (1991). N-fluoro-bis (trifluoromethanesulfonyl) imide. An improved synthesis. Journal of fluorine chemistry, 52(1), 7-12. Scaled-up production based on Piccinno, F., Hischier, R., Seeger, S., &amp; Som, C. (2016). From laboratory to industrial scale: a scale-up framework for chemical processes in life cycle assessment studies. Journal of Cleaner Production, 135, 1085-1097.</t>
        </is>
      </c>
    </row>
    <row r="156">
      <c r="A156" s="2" t="inlineStr">
        <is>
          <t>Exchanges</t>
        </is>
      </c>
    </row>
    <row r="157">
      <c r="A157" t="inlineStr">
        <is>
          <t>name</t>
        </is>
      </c>
      <c r="B157" t="inlineStr">
        <is>
          <t>amount</t>
        </is>
      </c>
      <c r="C157" t="inlineStr">
        <is>
          <t>unit</t>
        </is>
      </c>
      <c r="D157" t="inlineStr">
        <is>
          <t>location</t>
        </is>
      </c>
      <c r="E157" t="inlineStr">
        <is>
          <t>type</t>
        </is>
      </c>
      <c r="F157" t="inlineStr">
        <is>
          <t>reference product</t>
        </is>
      </c>
      <c r="G157" t="inlineStr">
        <is>
          <t>comment</t>
        </is>
      </c>
    </row>
    <row r="158">
      <c r="A158" t="inlineStr">
        <is>
          <t>(CF3SO2)2NH production, for LiS battery</t>
        </is>
      </c>
      <c r="B158" t="n">
        <v>1</v>
      </c>
      <c r="C158" t="inlineStr">
        <is>
          <t>kilogram</t>
        </is>
      </c>
      <c r="D158" t="inlineStr">
        <is>
          <t>GLO</t>
        </is>
      </c>
      <c r="E158" t="inlineStr">
        <is>
          <t>production</t>
        </is>
      </c>
      <c r="F158" t="inlineStr">
        <is>
          <t>(CF3SO2)2NH</t>
        </is>
      </c>
    </row>
    <row r="159">
      <c r="A159" t="inlineStr">
        <is>
          <t>(CF3SO2)2NNa production, for LiS battery</t>
        </is>
      </c>
      <c r="B159" s="29" t="n">
        <v>1.2</v>
      </c>
      <c r="C159" t="inlineStr">
        <is>
          <t>kilogram</t>
        </is>
      </c>
      <c r="D159" t="inlineStr">
        <is>
          <t>GLO</t>
        </is>
      </c>
      <c r="E159" t="inlineStr">
        <is>
          <t>technosphere</t>
        </is>
      </c>
      <c r="F159" t="inlineStr">
        <is>
          <t>(CF3SO2)2NNa</t>
        </is>
      </c>
    </row>
    <row r="160">
      <c r="A160" t="inlineStr">
        <is>
          <t>market for sulfuric acid</t>
        </is>
      </c>
      <c r="B160" s="29" t="n">
        <v>2.5</v>
      </c>
      <c r="C160" t="inlineStr">
        <is>
          <t>kilogram</t>
        </is>
      </c>
      <c r="D160" t="inlineStr">
        <is>
          <t>RoW</t>
        </is>
      </c>
      <c r="E160" t="inlineStr">
        <is>
          <t>technosphere</t>
        </is>
      </c>
      <c r="F160" t="inlineStr">
        <is>
          <t>sulfuric acid</t>
        </is>
      </c>
    </row>
    <row r="161">
      <c r="A161" t="inlineStr">
        <is>
          <t>market for chemical factory, organics</t>
        </is>
      </c>
      <c r="B161">
        <f>4*10^-10</f>
        <v>4.0000000000000001E-10</v>
      </c>
      <c r="C161" t="inlineStr">
        <is>
          <t>unit</t>
        </is>
      </c>
      <c r="D161" t="inlineStr">
        <is>
          <t>GLO</t>
        </is>
      </c>
      <c r="E161" t="inlineStr">
        <is>
          <t>technosphere</t>
        </is>
      </c>
      <c r="F161" t="inlineStr">
        <is>
          <t>chemical factory, organics</t>
        </is>
      </c>
    </row>
    <row r="162">
      <c r="A162" t="inlineStr">
        <is>
          <t>market for steam, in chemical industry</t>
        </is>
      </c>
      <c r="B162" s="29" t="n">
        <v>0.12</v>
      </c>
      <c r="C162" t="inlineStr">
        <is>
          <t>kilogram</t>
        </is>
      </c>
      <c r="D162" t="inlineStr">
        <is>
          <t>RoW</t>
        </is>
      </c>
      <c r="E162" t="inlineStr">
        <is>
          <t>technosphere</t>
        </is>
      </c>
      <c r="F162" t="inlineStr">
        <is>
          <t>steam, in chemical industry</t>
        </is>
      </c>
    </row>
    <row r="163">
      <c r="A163" t="inlineStr">
        <is>
          <t>market for wastewater, average</t>
        </is>
      </c>
      <c r="B163" s="29">
        <f>-2.7/1000</f>
        <v>-2.7000000000000001E-3</v>
      </c>
      <c r="C163" t="inlineStr">
        <is>
          <t>cubic meter</t>
        </is>
      </c>
      <c r="D163" t="inlineStr">
        <is>
          <t>RoW</t>
        </is>
      </c>
      <c r="E163" t="inlineStr">
        <is>
          <t>technosphere</t>
        </is>
      </c>
      <c r="F163" t="inlineStr">
        <is>
          <t>wastewater, average</t>
        </is>
      </c>
      <c r="G163" t="inlineStr">
        <is>
          <t>Multiplied by 10e-3 to convert from kg to cubic meter. This should be negative, right?</t>
        </is>
      </c>
    </row>
    <row r="164">
      <c r="B164" s="29" t="n"/>
    </row>
    <row r="165">
      <c r="B165" s="29" t="n"/>
    </row>
    <row r="166"/>
    <row r="167" ht="16" customHeight="1">
      <c r="A167" s="1" t="inlineStr">
        <is>
          <t>Activity</t>
        </is>
      </c>
      <c r="B167" s="1" t="inlineStr">
        <is>
          <t>LiTFSi, (CF3SO2)2NLi, production, for LiS battery</t>
        </is>
      </c>
    </row>
    <row r="168">
      <c r="A168" t="inlineStr">
        <is>
          <t>comment</t>
        </is>
      </c>
      <c r="B168" t="inlineStr">
        <is>
          <t>this is LiTFSI. Source: Wickerts et al. (2023). Prospective Life Cycle Assessment of Lithium-Sulfur Batteries for Stationary Energy Storage. ACS Sustainable Chemistry &amp; Engineering. https://doi.org/10.1021/acssuschemeng.3c00141</t>
        </is>
      </c>
    </row>
    <row r="169">
      <c r="A169" t="inlineStr">
        <is>
          <t>location</t>
        </is>
      </c>
      <c r="B169" t="inlineStr">
        <is>
          <t>GLO</t>
        </is>
      </c>
    </row>
    <row r="170">
      <c r="A170" t="inlineStr">
        <is>
          <t>production amount</t>
        </is>
      </c>
      <c r="B170" t="n">
        <v>1</v>
      </c>
    </row>
    <row r="171">
      <c r="A171" t="inlineStr">
        <is>
          <t>reference product</t>
        </is>
      </c>
      <c r="B171" t="inlineStr">
        <is>
          <t>LiTFSi, (CF3SO2)2NLi</t>
        </is>
      </c>
    </row>
    <row r="172">
      <c r="A172" t="inlineStr">
        <is>
          <t>unit</t>
        </is>
      </c>
      <c r="B172" t="inlineStr">
        <is>
          <t>kilogram</t>
        </is>
      </c>
    </row>
    <row r="173">
      <c r="A173" t="inlineStr">
        <is>
          <t>source</t>
        </is>
      </c>
      <c r="B173" t="inlineStr">
        <is>
          <t>Originally from  Wickerts et al. (2023). Prospective Life Cycle Assessment of Lithium-Sulfur Batteries for Stationary Energy Storage. ACS Sustainable Chemistry &amp; Engineering. Synthesis from Desmarteau, D. D., &amp; Witz, M. (1991). N-fluoro-bis (trifluoromethanesulfonyl) imide. An improved synthesis. Journal of fluorine chemistry, 52(1), 7-12. Scaled-up production based on Piccinno, F., Hischier, R., Seeger, S., &amp; Som, C. (2016). From laboratory to industrial scale: a scale-up framework for chemical processes in life cycle assessment studies. Journal of Cleaner Production, 135, 1085-1097.</t>
        </is>
      </c>
    </row>
    <row r="174">
      <c r="A174" s="2" t="inlineStr">
        <is>
          <t>Exchanges</t>
        </is>
      </c>
    </row>
    <row r="175">
      <c r="A175" t="inlineStr">
        <is>
          <t>name</t>
        </is>
      </c>
      <c r="B175" t="inlineStr">
        <is>
          <t>amount</t>
        </is>
      </c>
      <c r="C175" t="inlineStr">
        <is>
          <t>unit</t>
        </is>
      </c>
      <c r="D175" t="inlineStr">
        <is>
          <t>categories</t>
        </is>
      </c>
      <c r="E175" t="inlineStr">
        <is>
          <t>location</t>
        </is>
      </c>
      <c r="F175" t="inlineStr">
        <is>
          <t>type</t>
        </is>
      </c>
      <c r="G175" t="inlineStr">
        <is>
          <t>reference product</t>
        </is>
      </c>
      <c r="H175" t="inlineStr">
        <is>
          <t>comment</t>
        </is>
      </c>
    </row>
    <row r="176" ht="16" customHeight="1">
      <c r="A176" s="16" t="inlineStr">
        <is>
          <t>LiTFSi, (CF3SO2)2NLi, production, for LiS battery</t>
        </is>
      </c>
      <c r="B176" t="n">
        <v>1</v>
      </c>
      <c r="C176" t="inlineStr">
        <is>
          <t>kilogram</t>
        </is>
      </c>
      <c r="E176" t="inlineStr">
        <is>
          <t>GLO</t>
        </is>
      </c>
      <c r="F176" t="inlineStr">
        <is>
          <t>production</t>
        </is>
      </c>
      <c r="G176" t="inlineStr">
        <is>
          <t>LiTFSi, (CF3SO2)2NLi</t>
        </is>
      </c>
    </row>
    <row r="177">
      <c r="A177" t="inlineStr">
        <is>
          <t>(CF3SO2)2NH production, for LiS battery</t>
        </is>
      </c>
      <c r="B177" s="30" t="n">
        <v>1.5</v>
      </c>
      <c r="C177" t="inlineStr">
        <is>
          <t>kilogram</t>
        </is>
      </c>
      <c r="E177" t="inlineStr">
        <is>
          <t>GLO</t>
        </is>
      </c>
      <c r="F177" t="inlineStr">
        <is>
          <t>technosphere</t>
        </is>
      </c>
      <c r="G177" t="inlineStr">
        <is>
          <t>(CF3SO2)2NH</t>
        </is>
      </c>
    </row>
    <row r="178">
      <c r="A178" t="inlineStr">
        <is>
          <t>market for lithium carbonate, battery grade</t>
        </is>
      </c>
      <c r="B178" s="5" t="n">
        <v>0.27</v>
      </c>
      <c r="C178" t="inlineStr">
        <is>
          <t>kilogram</t>
        </is>
      </c>
      <c r="E178" t="inlineStr">
        <is>
          <t>GLO</t>
        </is>
      </c>
      <c r="F178" t="inlineStr">
        <is>
          <t>technosphere</t>
        </is>
      </c>
      <c r="G178" t="inlineStr">
        <is>
          <t>lithium carbonate, battery grade</t>
        </is>
      </c>
      <c r="H178" t="inlineStr">
        <is>
          <t>Changed to generic market to make it compatible with metals work</t>
        </is>
      </c>
    </row>
    <row r="179">
      <c r="A179" t="inlineStr">
        <is>
          <t>market for water, deionised</t>
        </is>
      </c>
      <c r="B179" s="18" t="n">
        <v>15</v>
      </c>
      <c r="C179" t="inlineStr">
        <is>
          <t>kilogram</t>
        </is>
      </c>
      <c r="E179" t="inlineStr">
        <is>
          <t>RoW</t>
        </is>
      </c>
      <c r="F179" t="inlineStr">
        <is>
          <t>technosphere</t>
        </is>
      </c>
      <c r="G179" t="inlineStr">
        <is>
          <t>water, deionised</t>
        </is>
      </c>
    </row>
    <row r="180">
      <c r="A180" t="inlineStr">
        <is>
          <t>market for chemical factory, organics</t>
        </is>
      </c>
      <c r="B180">
        <f>4*10^-10</f>
        <v>4.0000000000000001E-10</v>
      </c>
      <c r="C180" t="inlineStr">
        <is>
          <t>unit</t>
        </is>
      </c>
      <c r="E180" t="inlineStr">
        <is>
          <t>GLO</t>
        </is>
      </c>
      <c r="F180" t="inlineStr">
        <is>
          <t>technosphere</t>
        </is>
      </c>
      <c r="G180" t="inlineStr">
        <is>
          <t>chemical factory, organics</t>
        </is>
      </c>
    </row>
    <row r="181">
      <c r="A181" t="inlineStr">
        <is>
          <t>market group for electricity, medium voltage</t>
        </is>
      </c>
      <c r="B181" s="30" t="n">
        <v>5.5</v>
      </c>
      <c r="C181" t="inlineStr">
        <is>
          <t>kilowatt hour</t>
        </is>
      </c>
      <c r="E181" t="inlineStr">
        <is>
          <t>Europe without Switzerland</t>
        </is>
      </c>
      <c r="F181" t="inlineStr">
        <is>
          <t>technosphere</t>
        </is>
      </c>
      <c r="G181" t="inlineStr">
        <is>
          <t>electricity, medium voltage</t>
        </is>
      </c>
    </row>
    <row r="182">
      <c r="A182" t="inlineStr">
        <is>
          <t>market for steam, in chemical industry</t>
        </is>
      </c>
      <c r="B182" s="30" t="n">
        <v>2.4</v>
      </c>
      <c r="C182" t="inlineStr">
        <is>
          <t>kilogram</t>
        </is>
      </c>
      <c r="E182" t="inlineStr">
        <is>
          <t>RoW</t>
        </is>
      </c>
      <c r="F182" t="inlineStr">
        <is>
          <t>technosphere</t>
        </is>
      </c>
      <c r="G182" t="inlineStr">
        <is>
          <t>steam, in chemical industry</t>
        </is>
      </c>
    </row>
    <row r="183">
      <c r="A183" t="inlineStr">
        <is>
          <t>market for wastewater, average</t>
        </is>
      </c>
      <c r="B183" s="31" t="n">
        <v>-0.016</v>
      </c>
      <c r="C183" t="inlineStr">
        <is>
          <t>cubic meter</t>
        </is>
      </c>
      <c r="E183" t="inlineStr">
        <is>
          <t>RoW</t>
        </is>
      </c>
      <c r="F183" t="inlineStr">
        <is>
          <t>technosphere</t>
        </is>
      </c>
      <c r="G183" t="inlineStr">
        <is>
          <t>wastewater, average</t>
        </is>
      </c>
      <c r="H183" t="inlineStr">
        <is>
          <t>Should be negative</t>
        </is>
      </c>
    </row>
    <row r="184">
      <c r="A184" t="inlineStr">
        <is>
          <t>Carbon dioxide, fossil</t>
        </is>
      </c>
      <c r="B184" s="31" t="n">
        <v>0.077</v>
      </c>
      <c r="C184" t="inlineStr">
        <is>
          <t>kilogram</t>
        </is>
      </c>
      <c r="D184" t="inlineStr">
        <is>
          <t>air</t>
        </is>
      </c>
      <c r="F184" t="inlineStr">
        <is>
          <t>biosphere</t>
        </is>
      </c>
    </row>
    <row r="185">
      <c r="B185" s="29" t="n"/>
    </row>
    <row r="186">
      <c r="B186" s="29" t="n"/>
    </row>
    <row r="187">
      <c r="B187" s="29" t="n"/>
    </row>
    <row r="188" ht="16" customHeight="1">
      <c r="A188" s="1" t="inlineStr">
        <is>
          <t>Activity</t>
        </is>
      </c>
      <c r="B188" s="1" t="inlineStr">
        <is>
          <t>DOL production, for LiS battery</t>
        </is>
      </c>
    </row>
    <row r="189" ht="16" customHeight="1">
      <c r="A189" s="16" t="inlineStr">
        <is>
          <t>comment</t>
        </is>
      </c>
      <c r="B189" s="16" t="inlineStr">
        <is>
          <t>Source: Wickerts et al. (2023). Prospective Life Cycle Assessment of Lithium-Sulfur Batteries for Stationary Energy Storage. ACS Sustainable Chemistry &amp; Engineering. https://doi.org/10.1021/acssuschemeng.3c00141</t>
        </is>
      </c>
    </row>
    <row r="190">
      <c r="A190" t="inlineStr">
        <is>
          <t>location</t>
        </is>
      </c>
      <c r="B190" t="inlineStr">
        <is>
          <t>GLO</t>
        </is>
      </c>
    </row>
    <row r="191">
      <c r="A191" t="inlineStr">
        <is>
          <t>production amount</t>
        </is>
      </c>
      <c r="B191" t="n">
        <v>1</v>
      </c>
    </row>
    <row r="192">
      <c r="A192" t="inlineStr">
        <is>
          <t>reference product</t>
        </is>
      </c>
      <c r="B192" t="inlineStr">
        <is>
          <t>DOL</t>
        </is>
      </c>
    </row>
    <row r="193">
      <c r="A193" t="inlineStr">
        <is>
          <t>unit</t>
        </is>
      </c>
      <c r="B193" t="inlineStr">
        <is>
          <t>kilogram</t>
        </is>
      </c>
    </row>
    <row r="194">
      <c r="A194" t="inlineStr">
        <is>
          <t>source</t>
        </is>
      </c>
      <c r="B194" t="inlineStr">
        <is>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is>
      </c>
    </row>
    <row r="195">
      <c r="A195" s="2" t="inlineStr">
        <is>
          <t>Exchanges</t>
        </is>
      </c>
    </row>
    <row r="196">
      <c r="A196" t="inlineStr">
        <is>
          <t>name</t>
        </is>
      </c>
      <c r="B196" t="inlineStr">
        <is>
          <t>amount</t>
        </is>
      </c>
      <c r="C196" t="inlineStr">
        <is>
          <t>unit</t>
        </is>
      </c>
      <c r="D196" t="inlineStr">
        <is>
          <t>categories</t>
        </is>
      </c>
      <c r="E196" t="inlineStr">
        <is>
          <t>location</t>
        </is>
      </c>
      <c r="F196" t="inlineStr">
        <is>
          <t>type</t>
        </is>
      </c>
      <c r="G196" t="inlineStr">
        <is>
          <t>reference product</t>
        </is>
      </c>
    </row>
    <row r="197">
      <c r="A197" t="inlineStr">
        <is>
          <t>DOL production, for LiS battery</t>
        </is>
      </c>
      <c r="B197" t="n">
        <v>1</v>
      </c>
      <c r="C197" t="inlineStr">
        <is>
          <t>kilogram</t>
        </is>
      </c>
      <c r="E197" t="inlineStr">
        <is>
          <t>GLO</t>
        </is>
      </c>
      <c r="F197" t="inlineStr">
        <is>
          <t>production</t>
        </is>
      </c>
      <c r="G197" t="inlineStr">
        <is>
          <t>DOL</t>
        </is>
      </c>
    </row>
    <row r="198">
      <c r="A198" t="inlineStr">
        <is>
          <t>market for ethylene glycol</t>
        </is>
      </c>
      <c r="B198" s="5" t="n">
        <v>0.874</v>
      </c>
      <c r="C198" t="inlineStr">
        <is>
          <t>kilogram</t>
        </is>
      </c>
      <c r="E198" t="inlineStr">
        <is>
          <t>GLO</t>
        </is>
      </c>
      <c r="F198" t="inlineStr">
        <is>
          <t>technosphere</t>
        </is>
      </c>
      <c r="G198" t="inlineStr">
        <is>
          <t>ethylene glycol</t>
        </is>
      </c>
    </row>
    <row r="199">
      <c r="A199" t="inlineStr">
        <is>
          <t>market for formaldehyde</t>
        </is>
      </c>
      <c r="B199" s="5" t="n">
        <v>0.423</v>
      </c>
      <c r="C199" t="inlineStr">
        <is>
          <t>kilogram</t>
        </is>
      </c>
      <c r="E199" t="inlineStr">
        <is>
          <t>RoW</t>
        </is>
      </c>
      <c r="F199" t="inlineStr">
        <is>
          <t>technosphere</t>
        </is>
      </c>
      <c r="G199" t="inlineStr">
        <is>
          <t>formaldehyde</t>
        </is>
      </c>
    </row>
    <row r="200">
      <c r="A200" t="inlineStr">
        <is>
          <t>market for steam, in chemical industry</t>
        </is>
      </c>
      <c r="B200" t="n">
        <v>5.1</v>
      </c>
      <c r="C200" t="inlineStr">
        <is>
          <t>kilogram</t>
        </is>
      </c>
      <c r="E200" t="inlineStr">
        <is>
          <t>RoW</t>
        </is>
      </c>
      <c r="F200" t="inlineStr">
        <is>
          <t>technosphere</t>
        </is>
      </c>
      <c r="G200" t="inlineStr">
        <is>
          <t>steam, in chemical industry</t>
        </is>
      </c>
    </row>
    <row r="201">
      <c r="A201" t="inlineStr">
        <is>
          <t>market group for tap water</t>
        </is>
      </c>
      <c r="B201" t="n">
        <v>0.72</v>
      </c>
      <c r="C201" t="inlineStr">
        <is>
          <t>kilogram</t>
        </is>
      </c>
      <c r="E201" t="inlineStr">
        <is>
          <t>GLO</t>
        </is>
      </c>
      <c r="F201" t="inlineStr">
        <is>
          <t>technosphere</t>
        </is>
      </c>
      <c r="G201" t="inlineStr">
        <is>
          <t>tap water</t>
        </is>
      </c>
    </row>
    <row r="202">
      <c r="A202" t="inlineStr">
        <is>
          <t>market for chemical factory, organics</t>
        </is>
      </c>
      <c r="B202">
        <f>0.0000000004</f>
        <v>4.0000000000000001E-10</v>
      </c>
      <c r="C202" t="inlineStr">
        <is>
          <t>unit</t>
        </is>
      </c>
      <c r="E202" t="inlineStr">
        <is>
          <t>GLO</t>
        </is>
      </c>
      <c r="F202" t="inlineStr">
        <is>
          <t>technosphere</t>
        </is>
      </c>
      <c r="G202" t="inlineStr">
        <is>
          <t>chemical factory, organics</t>
        </is>
      </c>
    </row>
    <row r="203">
      <c r="A203" t="inlineStr">
        <is>
          <t>market group for electricity, medium voltage</t>
        </is>
      </c>
      <c r="B203" s="5" t="n">
        <v>0.242</v>
      </c>
      <c r="C203" t="inlineStr">
        <is>
          <t>kilowatt hour</t>
        </is>
      </c>
      <c r="E203" t="inlineStr">
        <is>
          <t>Europe without Switzerland</t>
        </is>
      </c>
      <c r="F203" t="inlineStr">
        <is>
          <t>technosphere</t>
        </is>
      </c>
      <c r="G203" t="inlineStr">
        <is>
          <t>electricity, medium voltage</t>
        </is>
      </c>
    </row>
    <row r="204">
      <c r="A204" t="inlineStr">
        <is>
          <t>market for spent solvent mixture</t>
        </is>
      </c>
      <c r="B204" s="30" t="n">
        <v>-1.02</v>
      </c>
      <c r="C204" t="inlineStr">
        <is>
          <t>kilogram</t>
        </is>
      </c>
      <c r="E204" t="inlineStr">
        <is>
          <t>RoW</t>
        </is>
      </c>
      <c r="F204" t="inlineStr">
        <is>
          <t>technosphere</t>
        </is>
      </c>
      <c r="G204" t="inlineStr">
        <is>
          <t>spent solvent mixture</t>
        </is>
      </c>
    </row>
    <row r="205"/>
    <row r="206"/>
    <row r="207"/>
    <row r="208" ht="16" customHeight="1">
      <c r="A208" s="1" t="inlineStr">
        <is>
          <t>Activity</t>
        </is>
      </c>
      <c r="B208" s="1" t="inlineStr">
        <is>
          <t>LiNO3 production, for LiS battery</t>
        </is>
      </c>
    </row>
    <row r="209" ht="16" customHeight="1">
      <c r="A209" s="16" t="inlineStr">
        <is>
          <t>comment</t>
        </is>
      </c>
      <c r="B209" s="16" t="inlineStr">
        <is>
          <t>Source: Wickerts et al. (2023). Prospective Life Cycle Assessment of Lithium-Sulfur Batteries for Stationary Energy Storage. ACS Sustainable Chemistry &amp; Engineering. https://doi.org/10.1021/acssuschemeng.3c00141</t>
        </is>
      </c>
    </row>
    <row r="210">
      <c r="A210" t="inlineStr">
        <is>
          <t>location</t>
        </is>
      </c>
      <c r="B210" t="inlineStr">
        <is>
          <t>GLO</t>
        </is>
      </c>
    </row>
    <row r="211">
      <c r="A211" t="inlineStr">
        <is>
          <t>production amount</t>
        </is>
      </c>
      <c r="B211" t="n">
        <v>1</v>
      </c>
    </row>
    <row r="212">
      <c r="A212" t="inlineStr">
        <is>
          <t>reference product</t>
        </is>
      </c>
      <c r="B212" t="inlineStr">
        <is>
          <t>LiNO3</t>
        </is>
      </c>
    </row>
    <row r="213">
      <c r="A213" t="inlineStr">
        <is>
          <t>unit</t>
        </is>
      </c>
      <c r="B213" t="inlineStr">
        <is>
          <t>kilogram</t>
        </is>
      </c>
    </row>
    <row r="214">
      <c r="A214" t="inlineStr">
        <is>
          <t>source</t>
        </is>
      </c>
      <c r="B214" t="inlineStr">
        <is>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is>
      </c>
    </row>
    <row r="215">
      <c r="A215" s="2" t="inlineStr">
        <is>
          <t>Exchanges</t>
        </is>
      </c>
    </row>
    <row r="216">
      <c r="A216" t="inlineStr">
        <is>
          <t>name</t>
        </is>
      </c>
      <c r="B216" t="inlineStr">
        <is>
          <t>amount</t>
        </is>
      </c>
      <c r="C216" t="inlineStr">
        <is>
          <t>unit</t>
        </is>
      </c>
      <c r="D216" t="inlineStr">
        <is>
          <t>categories</t>
        </is>
      </c>
      <c r="E216" t="inlineStr">
        <is>
          <t>location</t>
        </is>
      </c>
      <c r="F216" t="inlineStr">
        <is>
          <t>type</t>
        </is>
      </c>
      <c r="G216" t="inlineStr">
        <is>
          <t>reference product</t>
        </is>
      </c>
      <c r="H216" t="inlineStr">
        <is>
          <t>comment</t>
        </is>
      </c>
    </row>
    <row r="217">
      <c r="A217" t="inlineStr">
        <is>
          <t>LiNO3 production, for LiS battery</t>
        </is>
      </c>
      <c r="B217" s="29" t="n">
        <v>1</v>
      </c>
      <c r="C217" t="inlineStr">
        <is>
          <t>kilogram</t>
        </is>
      </c>
      <c r="E217" t="inlineStr">
        <is>
          <t>GLO</t>
        </is>
      </c>
      <c r="F217" t="inlineStr">
        <is>
          <t>production</t>
        </is>
      </c>
      <c r="G217" t="inlineStr">
        <is>
          <t>LiNO3</t>
        </is>
      </c>
    </row>
    <row r="218">
      <c r="A218" t="inlineStr">
        <is>
          <t>market for chemical factory, organics</t>
        </is>
      </c>
      <c r="B218" s="3" t="n">
        <v>4e-10</v>
      </c>
      <c r="C218" t="inlineStr">
        <is>
          <t>unit</t>
        </is>
      </c>
      <c r="E218" t="inlineStr">
        <is>
          <t>GLO</t>
        </is>
      </c>
      <c r="F218" t="inlineStr">
        <is>
          <t>technosphere</t>
        </is>
      </c>
      <c r="G218" t="inlineStr">
        <is>
          <t>chemical factory, organics</t>
        </is>
      </c>
    </row>
    <row r="219">
      <c r="A219" t="inlineStr">
        <is>
          <t>market group for electricity, medium voltage</t>
        </is>
      </c>
      <c r="B219" s="29" t="n">
        <v>0.25</v>
      </c>
      <c r="C219" t="inlineStr">
        <is>
          <t>kilowatt hour</t>
        </is>
      </c>
      <c r="E219" t="inlineStr">
        <is>
          <t>Europe without Switzerland</t>
        </is>
      </c>
      <c r="F219" t="inlineStr">
        <is>
          <t>technosphere</t>
        </is>
      </c>
      <c r="G219" t="inlineStr">
        <is>
          <t>electricity, medium voltage</t>
        </is>
      </c>
    </row>
    <row r="220">
      <c r="A220" t="inlineStr">
        <is>
          <t>market for lithium carbonate, battery grade</t>
        </is>
      </c>
      <c r="B220" s="29" t="n">
        <v>0.48</v>
      </c>
      <c r="C220" t="inlineStr">
        <is>
          <t>kilogram</t>
        </is>
      </c>
      <c r="E220" t="inlineStr">
        <is>
          <t>GLO</t>
        </is>
      </c>
      <c r="F220" t="inlineStr">
        <is>
          <t>technosphere</t>
        </is>
      </c>
      <c r="G220" t="inlineStr">
        <is>
          <t>lithium carbonate, battery grade</t>
        </is>
      </c>
      <c r="H220" t="inlineStr">
        <is>
          <t>Changed to generic market to make it compatible with metals work</t>
        </is>
      </c>
    </row>
    <row r="221">
      <c r="A221" t="inlineStr">
        <is>
          <t>market for lithium hydroxide</t>
        </is>
      </c>
      <c r="B221" s="29" t="n">
        <v>0.033</v>
      </c>
      <c r="C221" t="inlineStr">
        <is>
          <t>kilogram</t>
        </is>
      </c>
      <c r="E221" t="inlineStr">
        <is>
          <t>GLO</t>
        </is>
      </c>
      <c r="F221" t="inlineStr">
        <is>
          <t>technosphere</t>
        </is>
      </c>
      <c r="G221" t="inlineStr">
        <is>
          <t>lithium hydroxide</t>
        </is>
      </c>
    </row>
    <row r="222">
      <c r="A222" t="inlineStr">
        <is>
          <t>market for nitric acid, without water, in 50% solution state</t>
        </is>
      </c>
      <c r="B222" s="29" t="n">
        <v>0.91</v>
      </c>
      <c r="C222" t="inlineStr">
        <is>
          <t>kilogram</t>
        </is>
      </c>
      <c r="E222" t="inlineStr">
        <is>
          <t>RoW</t>
        </is>
      </c>
      <c r="F222" t="inlineStr">
        <is>
          <t>technosphere</t>
        </is>
      </c>
      <c r="G222" t="inlineStr">
        <is>
          <t>nitric acid, without water, in 50% solution state</t>
        </is>
      </c>
    </row>
    <row r="223">
      <c r="A223" t="inlineStr">
        <is>
          <t>market for steam, in chemical industry</t>
        </is>
      </c>
      <c r="B223" s="29" t="n">
        <v>0.7</v>
      </c>
      <c r="C223" t="inlineStr">
        <is>
          <t>kilogram</t>
        </is>
      </c>
      <c r="E223" t="inlineStr">
        <is>
          <t>RoW</t>
        </is>
      </c>
      <c r="F223" t="inlineStr">
        <is>
          <t>technosphere</t>
        </is>
      </c>
      <c r="G223" t="inlineStr">
        <is>
          <t>steam, in chemical industry</t>
        </is>
      </c>
    </row>
    <row r="224">
      <c r="A224" t="inlineStr">
        <is>
          <t>market group for tap water</t>
        </is>
      </c>
      <c r="B224" s="29" t="n">
        <v>0.91</v>
      </c>
      <c r="C224" t="inlineStr">
        <is>
          <t>kilogram</t>
        </is>
      </c>
      <c r="E224" t="inlineStr">
        <is>
          <t>GLO</t>
        </is>
      </c>
      <c r="F224" t="inlineStr">
        <is>
          <t>technosphere</t>
        </is>
      </c>
      <c r="G224" t="inlineStr">
        <is>
          <t>tap water</t>
        </is>
      </c>
    </row>
    <row r="225">
      <c r="A225" t="inlineStr">
        <is>
          <t>market for wastewater, average</t>
        </is>
      </c>
      <c r="B225" s="29" t="n">
        <v>-0.001</v>
      </c>
      <c r="C225" t="inlineStr">
        <is>
          <t>cubic meter</t>
        </is>
      </c>
      <c r="E225" t="inlineStr">
        <is>
          <t>RoW</t>
        </is>
      </c>
      <c r="F225" t="inlineStr">
        <is>
          <t>technosphere</t>
        </is>
      </c>
      <c r="G225" t="inlineStr">
        <is>
          <t>wastewater, average</t>
        </is>
      </c>
    </row>
    <row r="226">
      <c r="A226" t="inlineStr">
        <is>
          <t>Carbon dioxide, fossil</t>
        </is>
      </c>
      <c r="B226" s="29" t="n">
        <v>0.3</v>
      </c>
      <c r="C226" t="inlineStr">
        <is>
          <t>kilogram</t>
        </is>
      </c>
      <c r="D226" t="inlineStr">
        <is>
          <t>air</t>
        </is>
      </c>
      <c r="F226" t="inlineStr">
        <is>
          <t>biosphere</t>
        </is>
      </c>
    </row>
    <row r="227">
      <c r="B227" s="29" t="n"/>
    </row>
    <row r="228">
      <c r="B228" s="29" t="n"/>
    </row>
    <row r="229">
      <c r="B229" s="29" t="n"/>
    </row>
    <row r="230" ht="16" customHeight="1">
      <c r="A230" s="1" t="inlineStr">
        <is>
          <t>Activity</t>
        </is>
      </c>
      <c r="B230" s="1" t="inlineStr">
        <is>
          <t>Pluronic P123 production, for LiS battery</t>
        </is>
      </c>
    </row>
    <row r="231" ht="16" customHeight="1">
      <c r="A231" s="16" t="inlineStr">
        <is>
          <t>comment</t>
        </is>
      </c>
      <c r="B231" s="16" t="inlineStr">
        <is>
          <t>Source: Wickerts et al. (2023). Prospective Life Cycle Assessment of Lithium-Sulfur Batteries for Stationary Energy Storage. ACS Sustainable Chemistry &amp; Engineering. https://doi.org/10.1021/acssuschemeng.3c00141</t>
        </is>
      </c>
    </row>
    <row r="232">
      <c r="A232" t="inlineStr">
        <is>
          <t>location</t>
        </is>
      </c>
      <c r="B232" t="inlineStr">
        <is>
          <t>GLO</t>
        </is>
      </c>
    </row>
    <row r="233">
      <c r="A233" t="inlineStr">
        <is>
          <t>production amount</t>
        </is>
      </c>
      <c r="B233" t="n">
        <v>1</v>
      </c>
    </row>
    <row r="234">
      <c r="A234" t="inlineStr">
        <is>
          <t>reference product</t>
        </is>
      </c>
      <c r="B234" t="inlineStr">
        <is>
          <t>Pluronic P123</t>
        </is>
      </c>
    </row>
    <row r="235">
      <c r="A235" t="inlineStr">
        <is>
          <t>unit</t>
        </is>
      </c>
      <c r="B235" t="inlineStr">
        <is>
          <t>kilogram</t>
        </is>
      </c>
    </row>
    <row r="236">
      <c r="A236" t="inlineStr">
        <is>
          <t>source</t>
        </is>
      </c>
      <c r="B236" t="inlineStr">
        <is>
          <t>Originally from  Wickerts et al. (2023). Prospective Life Cycle Assessment of Lithium-Sulfur Batteries for Stationary Energy Storage. ACS Sustainable Chemistry &amp; Engineering. General polymerization reaction from Moulijn et al. (2013), reaction temperature from Noshay and McGrath (1977), upscaling based on Piccinno et al. (2016)</t>
        </is>
      </c>
    </row>
    <row r="237">
      <c r="A237" s="2" t="inlineStr">
        <is>
          <t>Exchanges</t>
        </is>
      </c>
    </row>
    <row r="238">
      <c r="A238" t="inlineStr">
        <is>
          <t>name</t>
        </is>
      </c>
      <c r="B238" t="inlineStr">
        <is>
          <t>amount</t>
        </is>
      </c>
      <c r="C238" t="inlineStr">
        <is>
          <t>unit</t>
        </is>
      </c>
      <c r="D238" t="inlineStr">
        <is>
          <t>location</t>
        </is>
      </c>
      <c r="E238" t="inlineStr">
        <is>
          <t>type</t>
        </is>
      </c>
      <c r="F238" t="inlineStr">
        <is>
          <t>reference product</t>
        </is>
      </c>
      <c r="G238" t="inlineStr">
        <is>
          <t>Comment</t>
        </is>
      </c>
    </row>
    <row r="239">
      <c r="A239" t="inlineStr">
        <is>
          <t>Pluronic P123 production, for LiS battery</t>
        </is>
      </c>
      <c r="B239" t="n">
        <v>1</v>
      </c>
      <c r="C239" t="inlineStr">
        <is>
          <t>kilogram</t>
        </is>
      </c>
      <c r="D239" t="inlineStr">
        <is>
          <t>GLO</t>
        </is>
      </c>
      <c r="E239" t="inlineStr">
        <is>
          <t>production</t>
        </is>
      </c>
      <c r="F239" t="inlineStr">
        <is>
          <t>Pluronic P123</t>
        </is>
      </c>
    </row>
    <row r="240">
      <c r="A240" t="inlineStr">
        <is>
          <t>market for ethylene oxide</t>
        </is>
      </c>
      <c r="B240" s="5" t="n">
        <v>0.32</v>
      </c>
      <c r="C240" t="inlineStr">
        <is>
          <t>kilogram</t>
        </is>
      </c>
      <c r="D240" t="inlineStr">
        <is>
          <t>RoW</t>
        </is>
      </c>
      <c r="E240" t="inlineStr">
        <is>
          <t>technosphere</t>
        </is>
      </c>
      <c r="F240" t="inlineStr">
        <is>
          <t>ethylene oxide</t>
        </is>
      </c>
    </row>
    <row r="241">
      <c r="A241" t="inlineStr">
        <is>
          <t>market for propylene oxide, liquid</t>
        </is>
      </c>
      <c r="B241" s="5" t="n">
        <v>0.74</v>
      </c>
      <c r="C241" t="inlineStr">
        <is>
          <t>kilogram</t>
        </is>
      </c>
      <c r="D241" t="inlineStr">
        <is>
          <t>RoW</t>
        </is>
      </c>
      <c r="E241" t="inlineStr">
        <is>
          <t>technosphere</t>
        </is>
      </c>
      <c r="F241" t="inlineStr">
        <is>
          <t>propylene oxide, liquid</t>
        </is>
      </c>
      <c r="G241" t="inlineStr">
        <is>
          <t>Reference product was corrected</t>
        </is>
      </c>
    </row>
    <row r="242">
      <c r="A242" t="inlineStr">
        <is>
          <t>market for chemical factory, organics</t>
        </is>
      </c>
      <c r="B242">
        <f>4*10^-10</f>
        <v>4.0000000000000001E-10</v>
      </c>
      <c r="C242" t="inlineStr">
        <is>
          <t>unit</t>
        </is>
      </c>
      <c r="D242" t="inlineStr">
        <is>
          <t>GLO</t>
        </is>
      </c>
      <c r="E242" t="inlineStr">
        <is>
          <t>technosphere</t>
        </is>
      </c>
      <c r="F242" t="inlineStr">
        <is>
          <t>chemical factory, organics</t>
        </is>
      </c>
    </row>
    <row r="243">
      <c r="A243" t="inlineStr">
        <is>
          <t>market group for electricity, medium voltage</t>
        </is>
      </c>
      <c r="B243" s="13">
        <f>2.1*10^-7</f>
        <v>2.1E-7</v>
      </c>
      <c r="C243" t="inlineStr">
        <is>
          <t>kilowatt hour</t>
        </is>
      </c>
      <c r="D243" t="inlineStr">
        <is>
          <t>Europe without Switzerland</t>
        </is>
      </c>
      <c r="E243" t="inlineStr">
        <is>
          <t>technosphere</t>
        </is>
      </c>
      <c r="F243" t="inlineStr">
        <is>
          <t>electricity, medium voltage</t>
        </is>
      </c>
    </row>
    <row r="244">
      <c r="A244" t="inlineStr">
        <is>
          <t>market for steam, in chemical industry</t>
        </is>
      </c>
      <c r="B244" s="5" t="n">
        <v>0.11</v>
      </c>
      <c r="C244" t="inlineStr">
        <is>
          <t>kilogram</t>
        </is>
      </c>
      <c r="D244" t="inlineStr">
        <is>
          <t>RoW</t>
        </is>
      </c>
      <c r="E244" t="inlineStr">
        <is>
          <t>technosphere</t>
        </is>
      </c>
      <c r="F244" t="inlineStr">
        <is>
          <t>steam, in chemical industry</t>
        </is>
      </c>
    </row>
    <row r="245">
      <c r="A245" t="inlineStr">
        <is>
          <t>market for spent solvent mixture</t>
        </is>
      </c>
      <c r="B245" s="31" t="n">
        <v>-0.06</v>
      </c>
      <c r="C245" t="inlineStr">
        <is>
          <t>kilogram</t>
        </is>
      </c>
      <c r="D245" t="inlineStr">
        <is>
          <t>RoW</t>
        </is>
      </c>
      <c r="E245" t="inlineStr">
        <is>
          <t>technosphere</t>
        </is>
      </c>
      <c r="F245" t="inlineStr">
        <is>
          <t>spent solvent mixture</t>
        </is>
      </c>
      <c r="G245" t="inlineStr">
        <is>
          <t>Should be negative?</t>
        </is>
      </c>
    </row>
    <row r="246">
      <c r="B246" s="29" t="n"/>
    </row>
    <row r="247">
      <c r="B247" s="29" t="n"/>
    </row>
    <row r="248"/>
    <row r="249" ht="16" customHeight="1">
      <c r="A249" s="1" t="inlineStr">
        <is>
          <t>Activity</t>
        </is>
      </c>
      <c r="B249" s="1" t="inlineStr">
        <is>
          <t>SBA-15 production, for LiS battery</t>
        </is>
      </c>
    </row>
    <row r="250" ht="16" customHeight="1">
      <c r="A250" s="16" t="inlineStr">
        <is>
          <t>comment</t>
        </is>
      </c>
      <c r="B250" s="16" t="inlineStr">
        <is>
          <t>Source: Wickerts et al. (2023). Prospective Life Cycle Assessment of Lithium-Sulfur Batteries for Stationary Energy Storage. ACS Sustainable Chemistry &amp; Engineering. https://doi.org/10.1021/acssuschemeng.3c00141</t>
        </is>
      </c>
    </row>
    <row r="251">
      <c r="A251" t="inlineStr">
        <is>
          <t>location</t>
        </is>
      </c>
      <c r="B251" t="inlineStr">
        <is>
          <t>GLO</t>
        </is>
      </c>
    </row>
    <row r="252">
      <c r="A252" t="inlineStr">
        <is>
          <t>production amount</t>
        </is>
      </c>
      <c r="B252" t="n">
        <v>1</v>
      </c>
    </row>
    <row r="253">
      <c r="A253" t="inlineStr">
        <is>
          <t>reference product</t>
        </is>
      </c>
      <c r="B253" t="inlineStr">
        <is>
          <t>SBA-15</t>
        </is>
      </c>
    </row>
    <row r="254">
      <c r="A254" t="inlineStr">
        <is>
          <t>unit</t>
        </is>
      </c>
      <c r="B254" t="inlineStr">
        <is>
          <t>kilogram</t>
        </is>
      </c>
    </row>
    <row r="255">
      <c r="A255" t="inlineStr">
        <is>
          <t>source</t>
        </is>
      </c>
      <c r="B255" t="inlineStr">
        <is>
          <t>Originally from  Wickerts et al. (2023). Prospective Life Cycle Assessment of Lithium-Sulfur Batteries for Stationary Energy Storage. ACS Sustainable Chemistry &amp; Engineering. Synthesis from Jun et al., upscaling based on Piccinno et al. (2016)</t>
        </is>
      </c>
    </row>
    <row r="256">
      <c r="A256" s="2" t="inlineStr">
        <is>
          <t>Exchanges</t>
        </is>
      </c>
    </row>
    <row r="257">
      <c r="A257" t="inlineStr">
        <is>
          <t>name</t>
        </is>
      </c>
      <c r="B257" t="inlineStr">
        <is>
          <t>amount</t>
        </is>
      </c>
      <c r="C257" t="inlineStr">
        <is>
          <t>unit</t>
        </is>
      </c>
      <c r="D257" t="inlineStr">
        <is>
          <t>categories</t>
        </is>
      </c>
      <c r="E257" t="inlineStr">
        <is>
          <t>location</t>
        </is>
      </c>
      <c r="F257" t="inlineStr">
        <is>
          <t>type</t>
        </is>
      </c>
      <c r="G257" t="inlineStr">
        <is>
          <t>reference product</t>
        </is>
      </c>
    </row>
    <row r="258">
      <c r="A258" t="inlineStr">
        <is>
          <t>SBA-15 production, for LiS battery</t>
        </is>
      </c>
      <c r="B258" t="n">
        <v>1</v>
      </c>
      <c r="C258" t="inlineStr">
        <is>
          <t>kilogram</t>
        </is>
      </c>
      <c r="E258" t="inlineStr">
        <is>
          <t>GLO</t>
        </is>
      </c>
      <c r="F258" t="inlineStr">
        <is>
          <t>production</t>
        </is>
      </c>
      <c r="G258" t="inlineStr">
        <is>
          <t>SBA-15</t>
        </is>
      </c>
    </row>
    <row r="259">
      <c r="A259" t="inlineStr">
        <is>
          <t>Pluronic P123 production, for LiS battery</t>
        </is>
      </c>
      <c r="B259" s="5" t="n">
        <v>0.52</v>
      </c>
      <c r="C259" t="inlineStr">
        <is>
          <t>kilogram</t>
        </is>
      </c>
      <c r="E259" t="inlineStr">
        <is>
          <t>GLO</t>
        </is>
      </c>
      <c r="F259" t="inlineStr">
        <is>
          <t>technosphere</t>
        </is>
      </c>
      <c r="G259" t="inlineStr">
        <is>
          <t>Pluronic P123</t>
        </is>
      </c>
    </row>
    <row r="260">
      <c r="A260" s="14" t="inlineStr">
        <is>
          <t xml:space="preserve">market for tetraethyl orthosilicate </t>
        </is>
      </c>
      <c r="B260" s="30" t="n">
        <v>1.1</v>
      </c>
      <c r="C260" t="inlineStr">
        <is>
          <t>kilogram</t>
        </is>
      </c>
      <c r="E260" t="inlineStr">
        <is>
          <t>GLO</t>
        </is>
      </c>
      <c r="F260" t="inlineStr">
        <is>
          <t>technosphere</t>
        </is>
      </c>
      <c r="G260" t="inlineStr">
        <is>
          <t xml:space="preserve">tetraethyl orthosilicate </t>
        </is>
      </c>
    </row>
    <row r="261">
      <c r="A261" t="inlineStr">
        <is>
          <t>market for water, deionised</t>
        </is>
      </c>
      <c r="B261" s="18" t="n">
        <v>18</v>
      </c>
      <c r="C261" t="inlineStr">
        <is>
          <t>kilogram</t>
        </is>
      </c>
      <c r="E261" t="inlineStr">
        <is>
          <t>RoW</t>
        </is>
      </c>
      <c r="F261" t="inlineStr">
        <is>
          <t>technosphere</t>
        </is>
      </c>
      <c r="G261" t="inlineStr">
        <is>
          <t>water, deionised</t>
        </is>
      </c>
    </row>
    <row r="262">
      <c r="A262" t="inlineStr">
        <is>
          <t>market for hydrochloric acid, without water, in 30% solution state</t>
        </is>
      </c>
      <c r="B262" s="30" t="n">
        <v>1.1</v>
      </c>
      <c r="C262" t="inlineStr">
        <is>
          <t>kilogram</t>
        </is>
      </c>
      <c r="E262" t="inlineStr">
        <is>
          <t>RoW</t>
        </is>
      </c>
      <c r="F262" t="inlineStr">
        <is>
          <t>technosphere</t>
        </is>
      </c>
      <c r="G262" t="inlineStr">
        <is>
          <t>hydrochloric acid, without water, in 30% solution state</t>
        </is>
      </c>
    </row>
    <row r="263">
      <c r="A263" t="inlineStr">
        <is>
          <t>market for chemical factory, organics</t>
        </is>
      </c>
      <c r="B263">
        <f>4*10^-10</f>
        <v>4.0000000000000001E-10</v>
      </c>
      <c r="C263" t="inlineStr">
        <is>
          <t>unit</t>
        </is>
      </c>
      <c r="E263" t="inlineStr">
        <is>
          <t>GLO</t>
        </is>
      </c>
      <c r="F263" t="inlineStr">
        <is>
          <t>technosphere</t>
        </is>
      </c>
      <c r="G263" t="inlineStr">
        <is>
          <t>chemical factory, organics</t>
        </is>
      </c>
    </row>
    <row r="264">
      <c r="A264" t="inlineStr">
        <is>
          <t>market group for electricity, medium voltage</t>
        </is>
      </c>
      <c r="B264" s="18" t="n">
        <v>17</v>
      </c>
      <c r="C264" t="inlineStr">
        <is>
          <t>kilowatt hour</t>
        </is>
      </c>
      <c r="E264" t="inlineStr">
        <is>
          <t>Europe without Switzerland</t>
        </is>
      </c>
      <c r="F264" t="inlineStr">
        <is>
          <t>technosphere</t>
        </is>
      </c>
      <c r="G264" t="inlineStr">
        <is>
          <t>electricity, medium voltage</t>
        </is>
      </c>
    </row>
    <row r="265">
      <c r="B265" s="31" t="n"/>
    </row>
    <row r="266">
      <c r="B266" s="3" t="n"/>
    </row>
    <row r="267">
      <c r="G267" s="3" t="n"/>
    </row>
    <row r="268" ht="16" customHeight="1">
      <c r="A268" s="1" t="inlineStr">
        <is>
          <t>Activity</t>
        </is>
      </c>
      <c r="B268" s="1" t="inlineStr">
        <is>
          <t>CMK-3 production, for LiS battery</t>
        </is>
      </c>
    </row>
    <row r="269" ht="16" customHeight="1">
      <c r="A269" s="16" t="inlineStr">
        <is>
          <t>comment</t>
        </is>
      </c>
      <c r="B269" s="16" t="inlineStr">
        <is>
          <t>Source: Wickerts et al. (2023). Prospective Life Cycle Assessment of Lithium-Sulfur Batteries for Stationary Energy Storage. ACS Sustainable Chemistry &amp; Engineering. https://doi.org/10.1021/acssuschemeng.3c00141</t>
        </is>
      </c>
    </row>
    <row r="270">
      <c r="A270" t="inlineStr">
        <is>
          <t>location</t>
        </is>
      </c>
      <c r="B270" t="inlineStr">
        <is>
          <t>GLO</t>
        </is>
      </c>
    </row>
    <row r="271">
      <c r="A271" t="inlineStr">
        <is>
          <t>production amount</t>
        </is>
      </c>
      <c r="B271" t="n">
        <v>1</v>
      </c>
    </row>
    <row r="272">
      <c r="A272" t="inlineStr">
        <is>
          <t>reference product</t>
        </is>
      </c>
      <c r="B272" t="inlineStr">
        <is>
          <t>CMK-3</t>
        </is>
      </c>
    </row>
    <row r="273">
      <c r="A273" t="inlineStr">
        <is>
          <t>unit</t>
        </is>
      </c>
      <c r="B273" t="inlineStr">
        <is>
          <t>kilogram</t>
        </is>
      </c>
    </row>
    <row r="274">
      <c r="A274" t="inlineStr">
        <is>
          <t>source</t>
        </is>
      </c>
      <c r="B274" t="inlineStr">
        <is>
          <t>Originally from  Wickerts et al. (2023). Prospective Life Cycle Assessment of Lithium-Sulfur Batteries for Stationary Energy Storage. ACS Sustainable Chemistry &amp; Engineering. Synthesis from Jun et al., upscaling based on Piccinno et al. (2016)</t>
        </is>
      </c>
    </row>
    <row r="275">
      <c r="A275" s="2" t="inlineStr">
        <is>
          <t>Exchanges</t>
        </is>
      </c>
    </row>
    <row r="276">
      <c r="A276" t="inlineStr">
        <is>
          <t>name</t>
        </is>
      </c>
      <c r="B276" t="inlineStr">
        <is>
          <t>amount</t>
        </is>
      </c>
      <c r="C276" t="inlineStr">
        <is>
          <t>unit</t>
        </is>
      </c>
      <c r="D276" t="inlineStr">
        <is>
          <t>categories</t>
        </is>
      </c>
      <c r="E276" t="inlineStr">
        <is>
          <t>location</t>
        </is>
      </c>
      <c r="F276" t="inlineStr">
        <is>
          <t>type</t>
        </is>
      </c>
      <c r="G276" t="inlineStr">
        <is>
          <t>reference product</t>
        </is>
      </c>
    </row>
    <row r="277">
      <c r="A277" t="inlineStr">
        <is>
          <t>CMK-3 production, for LiS battery</t>
        </is>
      </c>
      <c r="B277" t="n">
        <v>1</v>
      </c>
      <c r="C277" t="inlineStr">
        <is>
          <t>kilogram</t>
        </is>
      </c>
      <c r="E277" t="inlineStr">
        <is>
          <t>GLO</t>
        </is>
      </c>
      <c r="F277" t="inlineStr">
        <is>
          <t>production</t>
        </is>
      </c>
      <c r="G277" t="inlineStr">
        <is>
          <t>CMK-3</t>
        </is>
      </c>
    </row>
    <row r="278">
      <c r="A278" t="inlineStr">
        <is>
          <t>SBA-15 production, for LiS battery</t>
        </is>
      </c>
      <c r="B278" t="n">
        <v>1</v>
      </c>
      <c r="C278" t="inlineStr">
        <is>
          <t>kilogram</t>
        </is>
      </c>
      <c r="E278" t="inlineStr">
        <is>
          <t>GLO</t>
        </is>
      </c>
      <c r="F278" t="inlineStr">
        <is>
          <t>technosphere</t>
        </is>
      </c>
      <c r="G278" t="inlineStr">
        <is>
          <t>SBA-15</t>
        </is>
      </c>
    </row>
    <row r="279">
      <c r="A279" t="inlineStr">
        <is>
          <t>market for sugar, from sugar beet</t>
        </is>
      </c>
      <c r="B279" s="30" t="n">
        <v>2.1</v>
      </c>
      <c r="C279" t="inlineStr">
        <is>
          <t>kilogram</t>
        </is>
      </c>
      <c r="E279" t="inlineStr">
        <is>
          <t>GLO</t>
        </is>
      </c>
      <c r="F279" t="inlineStr">
        <is>
          <t>technosphere</t>
        </is>
      </c>
      <c r="G279" t="inlineStr">
        <is>
          <t>sugar, from sugar beet</t>
        </is>
      </c>
    </row>
    <row r="280">
      <c r="A280" t="inlineStr">
        <is>
          <t>market for sulfuric acid</t>
        </is>
      </c>
      <c r="B280" s="5" t="n">
        <v>0.23</v>
      </c>
      <c r="C280" t="inlineStr">
        <is>
          <t>kilogram</t>
        </is>
      </c>
      <c r="E280" t="inlineStr">
        <is>
          <t>RoW</t>
        </is>
      </c>
      <c r="F280" t="inlineStr">
        <is>
          <t>technosphere</t>
        </is>
      </c>
      <c r="G280" t="inlineStr">
        <is>
          <t>sulfuric acid</t>
        </is>
      </c>
    </row>
    <row r="281">
      <c r="A281" t="inlineStr">
        <is>
          <t>market for hydrogen fluoride</t>
        </is>
      </c>
      <c r="B281" s="30" t="n">
        <v>1</v>
      </c>
      <c r="C281" t="inlineStr">
        <is>
          <t>kilogram</t>
        </is>
      </c>
      <c r="E281" t="inlineStr">
        <is>
          <t>RoW</t>
        </is>
      </c>
      <c r="F281" t="inlineStr">
        <is>
          <t>technosphere</t>
        </is>
      </c>
      <c r="G281" t="inlineStr">
        <is>
          <t>hydrogen fluoride</t>
        </is>
      </c>
    </row>
    <row r="282">
      <c r="A282" t="inlineStr">
        <is>
          <t>market for water, deionised</t>
        </is>
      </c>
      <c r="B282" s="18" t="n">
        <v>10</v>
      </c>
      <c r="C282" t="inlineStr">
        <is>
          <t>kilogram</t>
        </is>
      </c>
      <c r="E282" t="inlineStr">
        <is>
          <t>RoW</t>
        </is>
      </c>
      <c r="F282" t="inlineStr">
        <is>
          <t>technosphere</t>
        </is>
      </c>
      <c r="G282" t="inlineStr">
        <is>
          <t>water, deionised</t>
        </is>
      </c>
    </row>
    <row r="283">
      <c r="A283" t="inlineStr">
        <is>
          <t>market for chemical factory, organics</t>
        </is>
      </c>
      <c r="B283">
        <f>4*10^-10</f>
        <v>4.0000000000000001E-10</v>
      </c>
      <c r="C283" t="inlineStr">
        <is>
          <t>unit</t>
        </is>
      </c>
      <c r="E283" t="inlineStr">
        <is>
          <t>GLO</t>
        </is>
      </c>
      <c r="F283" t="inlineStr">
        <is>
          <t>technosphere</t>
        </is>
      </c>
      <c r="G283" t="inlineStr">
        <is>
          <t>chemical factory, organics</t>
        </is>
      </c>
    </row>
    <row r="284">
      <c r="A284" t="inlineStr">
        <is>
          <t>market group for electricity, medium voltage</t>
        </is>
      </c>
      <c r="B284" s="18" t="n">
        <v>24</v>
      </c>
      <c r="C284" t="inlineStr">
        <is>
          <t>kilowatt hour</t>
        </is>
      </c>
      <c r="E284" t="inlineStr">
        <is>
          <t>Europe without Switzerland</t>
        </is>
      </c>
      <c r="F284" t="inlineStr">
        <is>
          <t>technosphere</t>
        </is>
      </c>
      <c r="G284" t="inlineStr">
        <is>
          <t>electricity, medium voltage</t>
        </is>
      </c>
    </row>
    <row r="285">
      <c r="B285" s="29" t="n"/>
    </row>
    <row r="286">
      <c r="B286" s="29" t="n"/>
    </row>
    <row r="287"/>
    <row r="288" ht="16" customHeight="1">
      <c r="A288" s="1" t="inlineStr">
        <is>
          <t>Activity</t>
        </is>
      </c>
      <c r="B288" s="1" t="inlineStr">
        <is>
          <t>lithium foil production, for LiS battery</t>
        </is>
      </c>
    </row>
    <row r="289" ht="16" customHeight="1">
      <c r="A289" s="16" t="inlineStr">
        <is>
          <t>comment</t>
        </is>
      </c>
      <c r="B289" s="16" t="inlineStr">
        <is>
          <t>Source: Wickerts et al. (2023). Prospective Life Cycle Assessment of Lithium-Sulfur Batteries for Stationary Energy Storage. ACS Sustainable Chemistry &amp; Engineering. https://doi.org/10.1021/acssuschemeng.3c00141</t>
        </is>
      </c>
    </row>
    <row r="290">
      <c r="A290" t="inlineStr">
        <is>
          <t>location</t>
        </is>
      </c>
      <c r="B290" t="inlineStr">
        <is>
          <t>GLO</t>
        </is>
      </c>
    </row>
    <row r="291">
      <c r="A291" t="inlineStr">
        <is>
          <t>production amount</t>
        </is>
      </c>
      <c r="B291" t="n">
        <v>1</v>
      </c>
    </row>
    <row r="292">
      <c r="A292" t="inlineStr">
        <is>
          <t>reference product</t>
        </is>
      </c>
      <c r="B292" t="inlineStr">
        <is>
          <t>lithium foil</t>
        </is>
      </c>
    </row>
    <row r="293">
      <c r="A293" t="inlineStr">
        <is>
          <t>unit</t>
        </is>
      </c>
      <c r="B293" t="inlineStr">
        <is>
          <t>kilogram</t>
        </is>
      </c>
    </row>
    <row r="294">
      <c r="A294" t="inlineStr">
        <is>
          <t>source</t>
        </is>
      </c>
      <c r="B294" t="inlineStr">
        <is>
          <t>Originally from  Wickerts et al. (2023). Prospective Life Cycle Assessment of Lithium-Sulfur Batteries for Stationary Energy Storage. ACS Sustainable Chemistry &amp; Engineering. Based on data and descriptions from Deng et al. (2017), Chordia et al. (2021), Heimes et al. (2018) and Schnell et al. (2018)</t>
        </is>
      </c>
    </row>
    <row r="295">
      <c r="A295" s="2" t="inlineStr">
        <is>
          <t>Exchanges</t>
        </is>
      </c>
    </row>
    <row r="296">
      <c r="A296" t="inlineStr">
        <is>
          <t>name</t>
        </is>
      </c>
      <c r="B296" t="inlineStr">
        <is>
          <t>amount</t>
        </is>
      </c>
      <c r="C296" t="inlineStr">
        <is>
          <t>unit</t>
        </is>
      </c>
      <c r="D296" t="inlineStr">
        <is>
          <t>categories</t>
        </is>
      </c>
      <c r="E296" t="inlineStr">
        <is>
          <t>location</t>
        </is>
      </c>
      <c r="F296" t="inlineStr">
        <is>
          <t>type</t>
        </is>
      </c>
      <c r="G296" t="inlineStr">
        <is>
          <t>reference product</t>
        </is>
      </c>
      <c r="H296" t="inlineStr">
        <is>
          <t>Comment</t>
        </is>
      </c>
    </row>
    <row r="297">
      <c r="A297" t="inlineStr">
        <is>
          <t>lithium foil production, for LiS battery</t>
        </is>
      </c>
      <c r="B297" s="5" t="n">
        <v>1</v>
      </c>
      <c r="C297" t="inlineStr">
        <is>
          <t>kilogram</t>
        </is>
      </c>
      <c r="E297" t="inlineStr">
        <is>
          <t>GLO</t>
        </is>
      </c>
      <c r="F297" t="inlineStr">
        <is>
          <t>production</t>
        </is>
      </c>
      <c r="G297" t="inlineStr">
        <is>
          <t>lithium foil</t>
        </is>
      </c>
    </row>
    <row r="298">
      <c r="A298" t="inlineStr">
        <is>
          <t>market for cooling energy</t>
        </is>
      </c>
      <c r="B298" s="5" t="n">
        <v>4.2</v>
      </c>
      <c r="C298" t="inlineStr">
        <is>
          <t>megajoule</t>
        </is>
      </c>
      <c r="E298" t="inlineStr">
        <is>
          <t>GLO</t>
        </is>
      </c>
      <c r="F298" t="inlineStr">
        <is>
          <t>technosphere</t>
        </is>
      </c>
      <c r="G298" t="inlineStr">
        <is>
          <t>cooling energy</t>
        </is>
      </c>
    </row>
    <row r="299">
      <c r="A299" t="inlineStr">
        <is>
          <t>sheet rolling, aluminium</t>
        </is>
      </c>
      <c r="B299" s="5" t="n">
        <v>4.95</v>
      </c>
      <c r="C299" t="inlineStr">
        <is>
          <t>kilogram</t>
        </is>
      </c>
      <c r="E299" t="inlineStr">
        <is>
          <t>RoW</t>
        </is>
      </c>
      <c r="F299" t="inlineStr">
        <is>
          <t>technosphere</t>
        </is>
      </c>
      <c r="G299" t="inlineStr">
        <is>
          <t>sheet rolling, aluminium</t>
        </is>
      </c>
      <c r="H299" s="10" t="inlineStr">
        <is>
          <t>note that this process is adjusted to have a lithium input instead of a aluminium input</t>
        </is>
      </c>
      <c r="K299" s="10" t="n"/>
      <c r="L299" s="10" t="n"/>
      <c r="M299" s="10" t="n"/>
      <c r="N299" s="10" t="n"/>
      <c r="O299" s="10" t="n"/>
      <c r="P299" s="10" t="n"/>
      <c r="Q299" s="10" t="n"/>
    </row>
    <row r="300">
      <c r="A300" t="inlineStr">
        <is>
          <t>market group for electricity, medium voltage</t>
        </is>
      </c>
      <c r="B300" s="5" t="n">
        <v>2.1</v>
      </c>
      <c r="C300" t="inlineStr">
        <is>
          <t>kilowatt hour</t>
        </is>
      </c>
      <c r="E300" t="inlineStr">
        <is>
          <t>Europe without Switzerland</t>
        </is>
      </c>
      <c r="F300" t="inlineStr">
        <is>
          <t>technosphere</t>
        </is>
      </c>
      <c r="G300" t="inlineStr">
        <is>
          <t>electricity, medium voltage</t>
        </is>
      </c>
    </row>
    <row r="301">
      <c r="A301" t="inlineStr">
        <is>
          <t>market for heat, district or industrial, natural gas</t>
        </is>
      </c>
      <c r="B301" s="5" t="n">
        <v>5</v>
      </c>
      <c r="C301" t="inlineStr">
        <is>
          <t>megajoule</t>
        </is>
      </c>
      <c r="E301" t="inlineStr">
        <is>
          <t>RoW</t>
        </is>
      </c>
      <c r="F301" t="inlineStr">
        <is>
          <t>technosphere</t>
        </is>
      </c>
      <c r="G301" t="inlineStr">
        <is>
          <t>heat, district or industrial, natural gas</t>
        </is>
      </c>
    </row>
    <row r="302">
      <c r="A302" t="inlineStr">
        <is>
          <t>electrolysis of lithium chloride</t>
        </is>
      </c>
      <c r="B302" s="5" t="n">
        <v>1</v>
      </c>
      <c r="C302" t="inlineStr">
        <is>
          <t>kilogram</t>
        </is>
      </c>
      <c r="E302" t="inlineStr">
        <is>
          <t>GLO</t>
        </is>
      </c>
      <c r="F302" t="inlineStr">
        <is>
          <t>technosphere</t>
        </is>
      </c>
      <c r="G302" t="inlineStr">
        <is>
          <t>lithium</t>
        </is>
      </c>
    </row>
    <row r="303"/>
    <row r="304">
      <c r="B304" s="31" t="n"/>
    </row>
    <row r="305">
      <c r="B305" s="31" t="n"/>
    </row>
    <row r="306" ht="16" customHeight="1">
      <c r="A306" s="1" t="inlineStr">
        <is>
          <t>Activity</t>
        </is>
      </c>
      <c r="B306" s="1" t="inlineStr">
        <is>
          <t>separator production, for LiS battery</t>
        </is>
      </c>
    </row>
    <row r="307" ht="16" customHeight="1">
      <c r="A307" s="16" t="inlineStr">
        <is>
          <t>comment</t>
        </is>
      </c>
      <c r="B307" s="16" t="inlineStr">
        <is>
          <t>Source: Wickerts et al. (2023). Prospective Life Cycle Assessment of Lithium-Sulfur Batteries for Stationary Energy Storage. ACS Sustainable Chemistry &amp; Engineering. https://doi.org/10.1021/acssuschemeng.3c00141</t>
        </is>
      </c>
    </row>
    <row r="308">
      <c r="A308" t="inlineStr">
        <is>
          <t>location</t>
        </is>
      </c>
      <c r="B308" t="inlineStr">
        <is>
          <t>GLO</t>
        </is>
      </c>
    </row>
    <row r="309">
      <c r="A309" t="inlineStr">
        <is>
          <t>production amount</t>
        </is>
      </c>
      <c r="B309" t="n">
        <v>1</v>
      </c>
    </row>
    <row r="310">
      <c r="A310" t="inlineStr">
        <is>
          <t>reference product</t>
        </is>
      </c>
      <c r="B310" t="inlineStr">
        <is>
          <t>separator</t>
        </is>
      </c>
    </row>
    <row r="311">
      <c r="A311" t="inlineStr">
        <is>
          <t>unit</t>
        </is>
      </c>
      <c r="B311" t="inlineStr">
        <is>
          <t>kilogram</t>
        </is>
      </c>
    </row>
    <row r="312">
      <c r="A312" t="inlineStr">
        <is>
          <t>source</t>
        </is>
      </c>
      <c r="B312" t="inlineStr">
        <is>
          <t>Originally from  Wickerts et al. (2023). Prospective Life Cycle Assessment of Lithium-Sulfur Batteries for Stationary Energy Storage. ACS Sustainable Chemistry &amp; Engineering. Based on Li et al. (2014)</t>
        </is>
      </c>
    </row>
    <row r="313">
      <c r="A313" s="2" t="inlineStr">
        <is>
          <t>Exchanges</t>
        </is>
      </c>
    </row>
    <row r="314">
      <c r="A314" t="inlineStr">
        <is>
          <t>name</t>
        </is>
      </c>
      <c r="B314" t="inlineStr">
        <is>
          <t>amount</t>
        </is>
      </c>
      <c r="C314" t="inlineStr">
        <is>
          <t>unit</t>
        </is>
      </c>
      <c r="D314" t="inlineStr">
        <is>
          <t>categories</t>
        </is>
      </c>
      <c r="E314" t="inlineStr">
        <is>
          <t>location</t>
        </is>
      </c>
      <c r="F314" t="inlineStr">
        <is>
          <t>type</t>
        </is>
      </c>
      <c r="G314" t="inlineStr">
        <is>
          <t>reference product</t>
        </is>
      </c>
    </row>
    <row r="315">
      <c r="A315" t="inlineStr">
        <is>
          <t>separator production, for LiS battery</t>
        </is>
      </c>
      <c r="B315" t="n">
        <v>1</v>
      </c>
      <c r="C315" t="inlineStr">
        <is>
          <t>kilogram</t>
        </is>
      </c>
      <c r="E315" t="inlineStr">
        <is>
          <t>GLO</t>
        </is>
      </c>
      <c r="F315" t="inlineStr">
        <is>
          <t>production</t>
        </is>
      </c>
      <c r="G315" t="inlineStr">
        <is>
          <t>separator</t>
        </is>
      </c>
    </row>
    <row r="316">
      <c r="A316" t="inlineStr">
        <is>
          <t>market for acetone, liquid</t>
        </is>
      </c>
      <c r="B316" s="3" t="n">
        <v>0.14</v>
      </c>
      <c r="C316" t="inlineStr">
        <is>
          <t>kilogram</t>
        </is>
      </c>
      <c r="E316" t="inlineStr">
        <is>
          <t>RoW</t>
        </is>
      </c>
      <c r="F316" t="inlineStr">
        <is>
          <t>technosphere</t>
        </is>
      </c>
      <c r="G316" t="inlineStr">
        <is>
          <t>acetone, liquid</t>
        </is>
      </c>
    </row>
    <row r="317">
      <c r="A317" t="inlineStr">
        <is>
          <t>market for fleece, polyethylene</t>
        </is>
      </c>
      <c r="B317" t="n">
        <v>0.12</v>
      </c>
      <c r="C317" t="inlineStr">
        <is>
          <t>kilogram</t>
        </is>
      </c>
      <c r="E317" t="inlineStr">
        <is>
          <t>GLO</t>
        </is>
      </c>
      <c r="F317" t="inlineStr">
        <is>
          <t>technosphere</t>
        </is>
      </c>
      <c r="G317" t="inlineStr">
        <is>
          <t>fleece, polyethylene</t>
        </is>
      </c>
    </row>
    <row r="318">
      <c r="A318" t="inlineStr">
        <is>
          <t>market for hexafluoroethane</t>
        </is>
      </c>
      <c r="B318" t="n">
        <v>0.026</v>
      </c>
      <c r="C318" t="inlineStr">
        <is>
          <t>kilogram</t>
        </is>
      </c>
      <c r="E318" t="inlineStr">
        <is>
          <t>GLO</t>
        </is>
      </c>
      <c r="F318" t="inlineStr">
        <is>
          <t>technosphere</t>
        </is>
      </c>
      <c r="G318" t="inlineStr">
        <is>
          <t>hexafluoroethane</t>
        </is>
      </c>
    </row>
    <row r="319">
      <c r="A319" t="inlineStr">
        <is>
          <t>market for phthalic anhydride</t>
        </is>
      </c>
      <c r="B319" t="n">
        <v>0.29</v>
      </c>
      <c r="C319" t="inlineStr">
        <is>
          <t>kilogram</t>
        </is>
      </c>
      <c r="E319" t="inlineStr">
        <is>
          <t>GLO</t>
        </is>
      </c>
      <c r="F319" t="inlineStr">
        <is>
          <t>technosphere</t>
        </is>
      </c>
      <c r="G319" t="inlineStr">
        <is>
          <t>phthalic anhydride</t>
        </is>
      </c>
    </row>
    <row r="320">
      <c r="A320" t="inlineStr">
        <is>
          <t>market for polypropylene, granulate</t>
        </is>
      </c>
      <c r="B320" s="30" t="n">
        <v>1</v>
      </c>
      <c r="C320" t="inlineStr">
        <is>
          <t>kilogram</t>
        </is>
      </c>
      <c r="E320" t="inlineStr">
        <is>
          <t>GLO</t>
        </is>
      </c>
      <c r="F320" t="inlineStr">
        <is>
          <t>technosphere</t>
        </is>
      </c>
      <c r="G320" t="inlineStr">
        <is>
          <t>polypropylene, granulate</t>
        </is>
      </c>
    </row>
    <row r="321">
      <c r="A321" t="inlineStr">
        <is>
          <t>market for polyvinylfluoride</t>
        </is>
      </c>
      <c r="B321" t="n">
        <v>0.19</v>
      </c>
      <c r="C321" t="inlineStr">
        <is>
          <t>kilogram</t>
        </is>
      </c>
      <c r="E321" t="inlineStr">
        <is>
          <t>GLO</t>
        </is>
      </c>
      <c r="F321" t="inlineStr">
        <is>
          <t>technosphere</t>
        </is>
      </c>
      <c r="G321" t="inlineStr">
        <is>
          <t>polyvinylfluoride</t>
        </is>
      </c>
    </row>
    <row r="322">
      <c r="A322" t="inlineStr">
        <is>
          <t>market for silica sand</t>
        </is>
      </c>
      <c r="B322" t="n">
        <v>0.22</v>
      </c>
      <c r="C322" t="inlineStr">
        <is>
          <t>kilogram</t>
        </is>
      </c>
      <c r="E322" t="inlineStr">
        <is>
          <t>GLO</t>
        </is>
      </c>
      <c r="F322" t="inlineStr">
        <is>
          <t>technosphere</t>
        </is>
      </c>
      <c r="G322" t="inlineStr">
        <is>
          <t>silica sand</t>
        </is>
      </c>
    </row>
    <row r="323">
      <c r="A323" t="inlineStr">
        <is>
          <t>market for polyethylene, low density, granulate</t>
        </is>
      </c>
      <c r="B323" t="n">
        <v>0.39</v>
      </c>
      <c r="C323" t="inlineStr">
        <is>
          <t>kilogram</t>
        </is>
      </c>
      <c r="E323" t="inlineStr">
        <is>
          <t>GLO</t>
        </is>
      </c>
      <c r="F323" t="inlineStr">
        <is>
          <t>technosphere</t>
        </is>
      </c>
      <c r="G323" t="inlineStr">
        <is>
          <t>polyethylene, low density, granulate</t>
        </is>
      </c>
    </row>
    <row r="324">
      <c r="A324" t="inlineStr">
        <is>
          <t>market for chemical factory, organics</t>
        </is>
      </c>
      <c r="B324">
        <f>4*10^-10</f>
        <v>4.0000000000000001E-10</v>
      </c>
      <c r="C324" t="inlineStr">
        <is>
          <t>unit</t>
        </is>
      </c>
      <c r="E324" t="inlineStr">
        <is>
          <t>GLO</t>
        </is>
      </c>
      <c r="F324" t="inlineStr">
        <is>
          <t>technosphere</t>
        </is>
      </c>
      <c r="G324" t="inlineStr">
        <is>
          <t>chemical factory, organics</t>
        </is>
      </c>
    </row>
    <row r="325">
      <c r="A325" t="inlineStr">
        <is>
          <t>market group for electricity, medium voltage</t>
        </is>
      </c>
      <c r="B325" t="n">
        <v>0.058</v>
      </c>
      <c r="C325" t="inlineStr">
        <is>
          <t>kilowatt hour</t>
        </is>
      </c>
      <c r="E325" t="inlineStr">
        <is>
          <t>Europe without Switzerland</t>
        </is>
      </c>
      <c r="F325" t="inlineStr">
        <is>
          <t>technosphere</t>
        </is>
      </c>
      <c r="G325" t="inlineStr">
        <is>
          <t>electricity, medium voltage</t>
        </is>
      </c>
    </row>
    <row r="326">
      <c r="A326" t="inlineStr">
        <is>
          <t>heat production, natural gas, at industrial furnace &gt;100kW</t>
        </is>
      </c>
      <c r="B326" t="n">
        <v>0.19</v>
      </c>
      <c r="C326" t="inlineStr">
        <is>
          <t>megajoule</t>
        </is>
      </c>
      <c r="E326" t="inlineStr">
        <is>
          <t>RoW</t>
        </is>
      </c>
      <c r="F326" t="inlineStr">
        <is>
          <t>technosphere</t>
        </is>
      </c>
      <c r="G326" t="inlineStr">
        <is>
          <t>heat, district or industrial, natural gas</t>
        </is>
      </c>
    </row>
    <row r="327">
      <c r="A327" t="inlineStr">
        <is>
          <t>market for spent solvent mixture</t>
        </is>
      </c>
      <c r="B327" t="n">
        <v>-1.4</v>
      </c>
      <c r="C327" t="inlineStr">
        <is>
          <t>kilogram</t>
        </is>
      </c>
      <c r="E327" t="inlineStr">
        <is>
          <t>RoW</t>
        </is>
      </c>
      <c r="F327" t="inlineStr">
        <is>
          <t>technosphere</t>
        </is>
      </c>
      <c r="G327" t="inlineStr">
        <is>
          <t>spent solvent mixture</t>
        </is>
      </c>
    </row>
    <row r="328"/>
    <row r="329"/>
    <row r="330"/>
    <row r="331" ht="16" customHeight="1">
      <c r="A331" s="1" t="inlineStr">
        <is>
          <t>Activity</t>
        </is>
      </c>
      <c r="B331" s="1" t="inlineStr">
        <is>
          <t>aluminium foil production, for LiS battery</t>
        </is>
      </c>
    </row>
    <row r="332" ht="16" customHeight="1">
      <c r="A332" s="16" t="inlineStr">
        <is>
          <t>comment</t>
        </is>
      </c>
      <c r="B332" s="16" t="inlineStr">
        <is>
          <t>Source: Wickerts et al. (2023). Prospective Life Cycle Assessment of Lithium-Sulfur Batteries for Stationary Energy Storage. ACS Sustainable Chemistry &amp; Engineering. https://doi.org/10.1021/acssuschemeng.3c00141</t>
        </is>
      </c>
    </row>
    <row r="333">
      <c r="A333" t="inlineStr">
        <is>
          <t>location</t>
        </is>
      </c>
      <c r="B333" t="inlineStr">
        <is>
          <t>GLO</t>
        </is>
      </c>
    </row>
    <row r="334">
      <c r="A334" t="inlineStr">
        <is>
          <t>production amount</t>
        </is>
      </c>
      <c r="B334" t="n">
        <v>1</v>
      </c>
    </row>
    <row r="335">
      <c r="A335" t="inlineStr">
        <is>
          <t>reference product</t>
        </is>
      </c>
      <c r="B335" t="inlineStr">
        <is>
          <t>aluminium foil</t>
        </is>
      </c>
    </row>
    <row r="336">
      <c r="A336" t="inlineStr">
        <is>
          <t>unit</t>
        </is>
      </c>
      <c r="B336" t="inlineStr">
        <is>
          <t>kilogram</t>
        </is>
      </c>
    </row>
    <row r="337">
      <c r="A337" t="inlineStr">
        <is>
          <t>source</t>
        </is>
      </c>
      <c r="B337" t="inlineStr">
        <is>
          <t>Originally from  Wickerts et al. (2023). Prospective Life Cycle Assessment of Lithium-Sulfur Batteries for Stationary Energy Storage. ACS Sustainable Chemistry &amp; Engineering.. Obtained from Chordia et al. (2021)</t>
        </is>
      </c>
    </row>
    <row r="338">
      <c r="A338" s="2" t="inlineStr">
        <is>
          <t>Exchanges</t>
        </is>
      </c>
    </row>
    <row r="339">
      <c r="A339" t="inlineStr">
        <is>
          <t>name</t>
        </is>
      </c>
      <c r="B339" t="inlineStr">
        <is>
          <t>amount</t>
        </is>
      </c>
      <c r="C339" t="inlineStr">
        <is>
          <t>unit</t>
        </is>
      </c>
      <c r="D339" t="inlineStr">
        <is>
          <t>categories</t>
        </is>
      </c>
      <c r="E339" t="inlineStr">
        <is>
          <t>location</t>
        </is>
      </c>
      <c r="F339" t="inlineStr">
        <is>
          <t>type</t>
        </is>
      </c>
      <c r="G339" t="inlineStr">
        <is>
          <t>reference product</t>
        </is>
      </c>
    </row>
    <row r="340">
      <c r="A340" t="inlineStr">
        <is>
          <t>aluminium foil production, for LiS battery</t>
        </is>
      </c>
      <c r="B340" t="n">
        <v>1</v>
      </c>
      <c r="C340" t="inlineStr">
        <is>
          <t>kilogram</t>
        </is>
      </c>
      <c r="E340" t="inlineStr">
        <is>
          <t>GLO</t>
        </is>
      </c>
      <c r="F340" t="inlineStr">
        <is>
          <t>production</t>
        </is>
      </c>
      <c r="G340" t="inlineStr">
        <is>
          <t>aluminium foil</t>
        </is>
      </c>
    </row>
    <row r="341">
      <c r="A341" t="inlineStr">
        <is>
          <t>market for aluminium, wrought alloy</t>
        </is>
      </c>
      <c r="B341" t="n">
        <v>1</v>
      </c>
      <c r="C341" t="inlineStr">
        <is>
          <t>kilogram</t>
        </is>
      </c>
      <c r="E341" t="inlineStr">
        <is>
          <t>GLO</t>
        </is>
      </c>
      <c r="F341" t="inlineStr">
        <is>
          <t>technosphere</t>
        </is>
      </c>
      <c r="G341" t="inlineStr">
        <is>
          <t>aluminium, wrought alloy</t>
        </is>
      </c>
    </row>
    <row r="342">
      <c r="A342" t="inlineStr">
        <is>
          <t>market for sheet rolling, aluminium</t>
        </is>
      </c>
      <c r="B342" t="n">
        <v>1</v>
      </c>
      <c r="C342" t="inlineStr">
        <is>
          <t>kilogram</t>
        </is>
      </c>
      <c r="E342" t="inlineStr">
        <is>
          <t>GLO</t>
        </is>
      </c>
      <c r="F342" t="inlineStr">
        <is>
          <t>technosphere</t>
        </is>
      </c>
      <c r="G342" t="inlineStr">
        <is>
          <t>sheet rolling, aluminium</t>
        </is>
      </c>
    </row>
    <row r="343"/>
    <row r="344"/>
    <row r="345"/>
    <row r="346" ht="16" customHeight="1">
      <c r="A346" s="1" t="inlineStr">
        <is>
          <t>Activity</t>
        </is>
      </c>
      <c r="B346" s="1" t="inlineStr">
        <is>
          <t>cathode production, for LiS battery</t>
        </is>
      </c>
    </row>
    <row r="347" ht="16" customHeight="1">
      <c r="A347" s="16" t="inlineStr">
        <is>
          <t>comment</t>
        </is>
      </c>
      <c r="B347" s="16" t="inlineStr">
        <is>
          <t>Source: Wickerts et al. (2023). Prospective Life Cycle Assessment of Lithium-Sulfur Batteries for Stationary Energy Storage. ACS Sustainable Chemistry &amp; Engineering. https://doi.org/10.1021/acssuschemeng.3c00141</t>
        </is>
      </c>
    </row>
    <row r="348">
      <c r="A348" t="inlineStr">
        <is>
          <t>location</t>
        </is>
      </c>
      <c r="B348" t="inlineStr">
        <is>
          <t>GLO</t>
        </is>
      </c>
    </row>
    <row r="349">
      <c r="A349" t="inlineStr">
        <is>
          <t>production amount</t>
        </is>
      </c>
      <c r="B349" t="n">
        <v>1</v>
      </c>
    </row>
    <row r="350">
      <c r="A350" t="inlineStr">
        <is>
          <t>reference product</t>
        </is>
      </c>
      <c r="B350" t="inlineStr">
        <is>
          <t>cathode</t>
        </is>
      </c>
    </row>
    <row r="351">
      <c r="A351" t="inlineStr">
        <is>
          <t>unit</t>
        </is>
      </c>
      <c r="B351" t="inlineStr">
        <is>
          <t>kilogram</t>
        </is>
      </c>
    </row>
    <row r="352">
      <c r="A352" t="inlineStr">
        <is>
          <t>source</t>
        </is>
      </c>
      <c r="B352" t="inlineStr">
        <is>
          <t>Originally from  Wickerts et al. (2023). Prospective Life Cycle Assessment of Lithium-Sulfur Batteries for Stationary Energy Storage. ACS Sustainable Chemistry &amp; Engineering. Based on Arvidsson et al. (2018) and Kolosnitsyn and Karaseva (2015)</t>
        </is>
      </c>
    </row>
    <row r="353">
      <c r="A353" s="2" t="inlineStr">
        <is>
          <t>Exchanges</t>
        </is>
      </c>
    </row>
    <row r="354">
      <c r="A354" t="inlineStr">
        <is>
          <t>name</t>
        </is>
      </c>
      <c r="B354" t="inlineStr">
        <is>
          <t>amount</t>
        </is>
      </c>
      <c r="C354" t="inlineStr">
        <is>
          <t>unit</t>
        </is>
      </c>
      <c r="D354" t="inlineStr">
        <is>
          <t>categories</t>
        </is>
      </c>
      <c r="E354" t="inlineStr">
        <is>
          <t>location</t>
        </is>
      </c>
      <c r="F354" t="inlineStr">
        <is>
          <t>type</t>
        </is>
      </c>
      <c r="G354" t="inlineStr">
        <is>
          <t>reference product</t>
        </is>
      </c>
      <c r="H354" t="inlineStr">
        <is>
          <t>comment</t>
        </is>
      </c>
    </row>
    <row r="355">
      <c r="A355" t="inlineStr">
        <is>
          <t>cathode production, for LiS battery</t>
        </is>
      </c>
      <c r="B355" t="n">
        <v>1</v>
      </c>
      <c r="C355" t="inlineStr">
        <is>
          <t>kilogram</t>
        </is>
      </c>
      <c r="E355" t="inlineStr">
        <is>
          <t>GLO</t>
        </is>
      </c>
      <c r="F355" t="inlineStr">
        <is>
          <t>production</t>
        </is>
      </c>
      <c r="G355" t="inlineStr">
        <is>
          <t>cathode</t>
        </is>
      </c>
    </row>
    <row r="356">
      <c r="A356" t="inlineStr">
        <is>
          <t>market for sulfur</t>
        </is>
      </c>
      <c r="B356" s="5" t="n">
        <v>0.68</v>
      </c>
      <c r="C356" t="inlineStr">
        <is>
          <t>kilogram</t>
        </is>
      </c>
      <c r="E356" t="inlineStr">
        <is>
          <t>GLO</t>
        </is>
      </c>
      <c r="F356" t="inlineStr">
        <is>
          <t>technosphere</t>
        </is>
      </c>
      <c r="G356" t="inlineStr">
        <is>
          <t>sulfur</t>
        </is>
      </c>
    </row>
    <row r="357">
      <c r="A357" t="inlineStr">
        <is>
          <t>market for polyvinylfluoride</t>
        </is>
      </c>
      <c r="B357" s="5" t="n">
        <v>0.102</v>
      </c>
      <c r="C357" t="inlineStr">
        <is>
          <t>kilogram</t>
        </is>
      </c>
      <c r="E357" t="inlineStr">
        <is>
          <t>GLO</t>
        </is>
      </c>
      <c r="F357" t="inlineStr">
        <is>
          <t>technosphere</t>
        </is>
      </c>
      <c r="G357" t="inlineStr">
        <is>
          <t>polyvinylfluoride</t>
        </is>
      </c>
    </row>
    <row r="358">
      <c r="A358" t="inlineStr">
        <is>
          <t>market for acetonitrile</t>
        </is>
      </c>
      <c r="B358" s="31" t="n">
        <v>0.063</v>
      </c>
      <c r="C358" t="inlineStr">
        <is>
          <t>kilogram</t>
        </is>
      </c>
      <c r="E358" t="inlineStr">
        <is>
          <t>GLO</t>
        </is>
      </c>
      <c r="F358" t="inlineStr">
        <is>
          <t>technosphere</t>
        </is>
      </c>
      <c r="G358" t="inlineStr">
        <is>
          <t>acetonitrile</t>
        </is>
      </c>
    </row>
    <row r="359">
      <c r="A359" t="inlineStr">
        <is>
          <t>aluminium foil production, for LiS battery</t>
        </is>
      </c>
      <c r="B359" s="5" t="n">
        <v>0.116</v>
      </c>
      <c r="C359" t="inlineStr">
        <is>
          <t>kilogram</t>
        </is>
      </c>
      <c r="E359" t="inlineStr">
        <is>
          <t>GLO</t>
        </is>
      </c>
      <c r="F359" t="inlineStr">
        <is>
          <t>technosphere</t>
        </is>
      </c>
      <c r="G359" t="inlineStr">
        <is>
          <t>aluminium foil</t>
        </is>
      </c>
    </row>
    <row r="360">
      <c r="A360" t="inlineStr">
        <is>
          <t>CMK-3 production, for LiS battery</t>
        </is>
      </c>
      <c r="B360" s="5" t="n">
        <v>0.102</v>
      </c>
      <c r="C360" t="inlineStr">
        <is>
          <t>kilogram</t>
        </is>
      </c>
      <c r="E360" t="inlineStr">
        <is>
          <t>GLO</t>
        </is>
      </c>
      <c r="F360" t="inlineStr">
        <is>
          <t>technosphere</t>
        </is>
      </c>
      <c r="G360" t="inlineStr">
        <is>
          <t>CMK-3</t>
        </is>
      </c>
    </row>
    <row r="361">
      <c r="A361" t="inlineStr">
        <is>
          <t>market group for electricity, medium voltage</t>
        </is>
      </c>
      <c r="B361" s="29">
        <f>0.00629*1000</f>
        <v>6.2899999999999991</v>
      </c>
      <c r="C361" t="inlineStr">
        <is>
          <t>kilowatt hour</t>
        </is>
      </c>
      <c r="E361" t="inlineStr">
        <is>
          <t>Europe without Switzerland</t>
        </is>
      </c>
      <c r="F361" t="inlineStr">
        <is>
          <t>technosphere</t>
        </is>
      </c>
      <c r="G361" t="inlineStr">
        <is>
          <t>electricity, medium voltage</t>
        </is>
      </c>
      <c r="H361" t="inlineStr">
        <is>
          <t>Multiplied by 10e3 as reference unit was changed from grams to kg</t>
        </is>
      </c>
    </row>
    <row r="362">
      <c r="A362" t="inlineStr">
        <is>
          <t>market for heat, district or industrial, natural gas</t>
        </is>
      </c>
      <c r="B362" s="3">
        <f>0.00049*1000</f>
        <v>0.49</v>
      </c>
      <c r="C362" t="inlineStr">
        <is>
          <t>megajoule</t>
        </is>
      </c>
      <c r="E362" t="inlineStr">
        <is>
          <t>RoW</t>
        </is>
      </c>
      <c r="F362" t="inlineStr">
        <is>
          <t>technosphere</t>
        </is>
      </c>
      <c r="G362" t="inlineStr">
        <is>
          <t>heat, district or industrial, natural gas</t>
        </is>
      </c>
      <c r="H362" t="inlineStr">
        <is>
          <t>Multiplied by 10e3 as reference unit was changed from grams to kg</t>
        </is>
      </c>
    </row>
    <row r="363">
      <c r="A363" t="inlineStr">
        <is>
          <t>market for cooling energy</t>
        </is>
      </c>
      <c r="B363" s="31">
        <f>0.0164*1000</f>
        <v>16.400000000000002</v>
      </c>
      <c r="C363" t="inlineStr">
        <is>
          <t>megajoule</t>
        </is>
      </c>
      <c r="E363" t="inlineStr">
        <is>
          <t>GLO</t>
        </is>
      </c>
      <c r="F363" t="inlineStr">
        <is>
          <t>technosphere</t>
        </is>
      </c>
      <c r="G363" t="inlineStr">
        <is>
          <t>cooling energy</t>
        </is>
      </c>
      <c r="H363" t="inlineStr">
        <is>
          <t>Multiplied by 10e3 as reference unit was changed from grams to kg</t>
        </is>
      </c>
    </row>
    <row r="364">
      <c r="A364" t="inlineStr">
        <is>
          <t>market for spent solvent mixture</t>
        </is>
      </c>
      <c r="B364" s="31" t="n">
        <v>-0.063</v>
      </c>
      <c r="C364" t="inlineStr">
        <is>
          <t>kilogram</t>
        </is>
      </c>
      <c r="E364" t="inlineStr">
        <is>
          <t>RoW</t>
        </is>
      </c>
      <c r="F364" t="inlineStr">
        <is>
          <t>technosphere</t>
        </is>
      </c>
      <c r="G364" t="inlineStr">
        <is>
          <t>spent solvent mixture</t>
        </is>
      </c>
    </row>
    <row r="365">
      <c r="B365" s="29" t="n"/>
    </row>
    <row r="366">
      <c r="B366" s="29" t="n"/>
    </row>
    <row r="367"/>
    <row r="368" ht="16" customHeight="1">
      <c r="A368" s="1" t="inlineStr">
        <is>
          <t>Activity</t>
        </is>
      </c>
      <c r="B368" s="1" t="inlineStr">
        <is>
          <t>electrolyte mixing and feeding, for LiS battery</t>
        </is>
      </c>
    </row>
    <row r="369" ht="16" customHeight="1">
      <c r="A369" s="16" t="inlineStr">
        <is>
          <t>comment</t>
        </is>
      </c>
      <c r="B369" s="16" t="inlineStr">
        <is>
          <t>Source: Wickerts et al. (2023). Prospective Life Cycle Assessment of Lithium-Sulfur Batteries for Stationary Energy Storage. ACS Sustainable Chemistry &amp; Engineering. https://doi.org/10.1021/acssuschemeng.3c00141</t>
        </is>
      </c>
    </row>
    <row r="370">
      <c r="A370" t="inlineStr">
        <is>
          <t>location</t>
        </is>
      </c>
      <c r="B370" t="inlineStr">
        <is>
          <t>GLO</t>
        </is>
      </c>
    </row>
    <row r="371">
      <c r="A371" t="inlineStr">
        <is>
          <t>production amount</t>
        </is>
      </c>
      <c r="B371" t="n">
        <v>1</v>
      </c>
    </row>
    <row r="372">
      <c r="A372" t="inlineStr">
        <is>
          <t>reference product</t>
        </is>
      </c>
      <c r="B372" t="inlineStr">
        <is>
          <t>electrolyte</t>
        </is>
      </c>
    </row>
    <row r="373">
      <c r="A373" t="inlineStr">
        <is>
          <t>unit</t>
        </is>
      </c>
      <c r="B373" t="inlineStr">
        <is>
          <t>kilogram</t>
        </is>
      </c>
    </row>
    <row r="374">
      <c r="A374" t="inlineStr">
        <is>
          <t>source</t>
        </is>
      </c>
      <c r="B374" t="inlineStr">
        <is>
          <t>Originally from  Wickerts et al. (2023). Prospective Life Cycle Assessment of Lithium-Sulfur Batteries for Stationary Energy Storage. ACS Sustainable Chemistry &amp; Engineering. Based on Chordia et al. (2021)</t>
        </is>
      </c>
    </row>
    <row r="375">
      <c r="A375" s="2" t="inlineStr">
        <is>
          <t>Exchanges</t>
        </is>
      </c>
    </row>
    <row r="376">
      <c r="A376" t="inlineStr">
        <is>
          <t>name</t>
        </is>
      </c>
      <c r="B376" t="inlineStr">
        <is>
          <t>amount</t>
        </is>
      </c>
      <c r="C376" t="inlineStr">
        <is>
          <t>unit</t>
        </is>
      </c>
      <c r="D376" t="inlineStr">
        <is>
          <t>categories</t>
        </is>
      </c>
      <c r="E376" t="inlineStr">
        <is>
          <t>location</t>
        </is>
      </c>
      <c r="F376" t="inlineStr">
        <is>
          <t>type</t>
        </is>
      </c>
      <c r="G376" t="inlineStr">
        <is>
          <t>reference product</t>
        </is>
      </c>
      <c r="H376" t="inlineStr">
        <is>
          <t>comment</t>
        </is>
      </c>
    </row>
    <row r="377">
      <c r="A377" t="inlineStr">
        <is>
          <t>electrolyte mixing and feeding, for LiS battery</t>
        </is>
      </c>
      <c r="B377" t="n">
        <v>1</v>
      </c>
      <c r="C377" t="inlineStr">
        <is>
          <t>kilogram</t>
        </is>
      </c>
      <c r="E377" t="inlineStr">
        <is>
          <t>GLO</t>
        </is>
      </c>
      <c r="F377" t="inlineStr">
        <is>
          <t>production</t>
        </is>
      </c>
      <c r="G377" t="inlineStr">
        <is>
          <t>electrolyte</t>
        </is>
      </c>
    </row>
    <row r="378" ht="16" customHeight="1">
      <c r="A378" s="16" t="inlineStr">
        <is>
          <t>LiTFSi, (CF3SO2)2NLi, production, for LiS battery</t>
        </is>
      </c>
      <c r="B378" s="5" t="n">
        <v>0.28</v>
      </c>
      <c r="C378" t="inlineStr">
        <is>
          <t>kilogram</t>
        </is>
      </c>
      <c r="E378" t="inlineStr">
        <is>
          <t>GLO</t>
        </is>
      </c>
      <c r="F378" t="inlineStr">
        <is>
          <t>technosphere</t>
        </is>
      </c>
      <c r="G378" t="inlineStr">
        <is>
          <t>LiTFSi, (CF3SO2)2NLi</t>
        </is>
      </c>
    </row>
    <row r="379">
      <c r="A379" t="inlineStr">
        <is>
          <t>DOL production, for LiS battery</t>
        </is>
      </c>
      <c r="B379" s="5" t="n">
        <v>0.32</v>
      </c>
      <c r="C379" t="inlineStr">
        <is>
          <t>kilogram</t>
        </is>
      </c>
      <c r="E379" t="inlineStr">
        <is>
          <t>GLO</t>
        </is>
      </c>
      <c r="F379" t="inlineStr">
        <is>
          <t>technosphere</t>
        </is>
      </c>
      <c r="G379" t="inlineStr">
        <is>
          <t>DOL</t>
        </is>
      </c>
    </row>
    <row r="380">
      <c r="A380" t="inlineStr">
        <is>
          <t>LiNO3 production, for LiS battery</t>
        </is>
      </c>
      <c r="B380" s="31" t="n">
        <v>0.018</v>
      </c>
      <c r="C380" t="inlineStr">
        <is>
          <t>kilogram</t>
        </is>
      </c>
      <c r="E380" t="inlineStr">
        <is>
          <t>GLO</t>
        </is>
      </c>
      <c r="F380" t="inlineStr">
        <is>
          <t>technosphere</t>
        </is>
      </c>
      <c r="G380" t="inlineStr">
        <is>
          <t>LiNO3</t>
        </is>
      </c>
    </row>
    <row r="381">
      <c r="A381" t="inlineStr">
        <is>
          <t>ethylene glycol dimethyl ether production</t>
        </is>
      </c>
      <c r="B381" s="5" t="n">
        <v>0.39</v>
      </c>
      <c r="C381" t="inlineStr">
        <is>
          <t>kilogram</t>
        </is>
      </c>
      <c r="E381" t="inlineStr">
        <is>
          <t>RoW</t>
        </is>
      </c>
      <c r="F381" t="inlineStr">
        <is>
          <t>technosphere</t>
        </is>
      </c>
      <c r="G381" t="inlineStr">
        <is>
          <t>ethylene glycol dimethyl ether</t>
        </is>
      </c>
    </row>
    <row r="382">
      <c r="A382" t="inlineStr">
        <is>
          <t>market for nitrogen, liquid</t>
        </is>
      </c>
      <c r="B382" s="30" t="n">
        <v>1.6</v>
      </c>
      <c r="C382" t="inlineStr">
        <is>
          <t>kilogram</t>
        </is>
      </c>
      <c r="E382" t="inlineStr">
        <is>
          <t>RoW</t>
        </is>
      </c>
      <c r="F382" t="inlineStr">
        <is>
          <t>technosphere</t>
        </is>
      </c>
      <c r="G382" t="inlineStr">
        <is>
          <t>nitrogen, liquid</t>
        </is>
      </c>
    </row>
    <row r="383">
      <c r="A383" t="inlineStr">
        <is>
          <t>market group for electricity, medium voltage</t>
        </is>
      </c>
      <c r="B383" s="13">
        <f>0.0000247*1000</f>
        <v>2.47E-2</v>
      </c>
      <c r="C383" t="inlineStr">
        <is>
          <t>kilowatt hour</t>
        </is>
      </c>
      <c r="E383" t="inlineStr">
        <is>
          <t>Europe without Switzerland</t>
        </is>
      </c>
      <c r="F383" t="inlineStr">
        <is>
          <t>technosphere</t>
        </is>
      </c>
      <c r="G383" t="inlineStr">
        <is>
          <t>electricity, medium voltage</t>
        </is>
      </c>
      <c r="H383" t="inlineStr">
        <is>
          <t>Multiplied by 10e3 as reference unit was changed from grams to kg</t>
        </is>
      </c>
    </row>
    <row r="384">
      <c r="A384" t="inlineStr">
        <is>
          <t>market for heat, district or industrial, natural gas</t>
        </is>
      </c>
      <c r="B384" s="13">
        <f>0.00042*1000</f>
        <v>0.42000000000000004</v>
      </c>
      <c r="C384" t="inlineStr">
        <is>
          <t>megajoule</t>
        </is>
      </c>
      <c r="E384" t="inlineStr">
        <is>
          <t>RoW</t>
        </is>
      </c>
      <c r="F384" t="inlineStr">
        <is>
          <t>technosphere</t>
        </is>
      </c>
      <c r="G384" t="inlineStr">
        <is>
          <t>heat, district or industrial, natural gas</t>
        </is>
      </c>
      <c r="H384" t="inlineStr">
        <is>
          <t>Multiplied by 10e3 as reference unit was changed from grams to kg</t>
        </is>
      </c>
    </row>
    <row r="385">
      <c r="A385" t="inlineStr">
        <is>
          <t>market for cooling energy</t>
        </is>
      </c>
      <c r="B385" s="13">
        <f>0.00036*1000</f>
        <v>0.36000000000000004</v>
      </c>
      <c r="C385" t="inlineStr">
        <is>
          <t>megajoule</t>
        </is>
      </c>
      <c r="E385" t="inlineStr">
        <is>
          <t>GLO</t>
        </is>
      </c>
      <c r="F385" t="inlineStr">
        <is>
          <t>technosphere</t>
        </is>
      </c>
      <c r="G385" t="inlineStr">
        <is>
          <t>cooling energy</t>
        </is>
      </c>
      <c r="H385" t="inlineStr">
        <is>
          <t>Multiplied by 10e3 as reference unit was changed from grams to kg</t>
        </is>
      </c>
    </row>
    <row r="386">
      <c r="B386" s="29" t="n"/>
    </row>
    <row r="387">
      <c r="B387" s="29" t="n"/>
    </row>
    <row r="388">
      <c r="B388" s="29" t="n"/>
    </row>
    <row r="389" ht="16" customHeight="1">
      <c r="A389" s="11" t="inlineStr">
        <is>
          <t>Activity</t>
        </is>
      </c>
      <c r="B389" s="11" t="inlineStr">
        <is>
          <t>battery pouch production, for LiS battery</t>
        </is>
      </c>
      <c r="C389" s="11" t="n"/>
      <c r="D389" s="15" t="n"/>
      <c r="E389" s="15" t="n"/>
      <c r="F389" s="15" t="n"/>
      <c r="G389" s="15" t="n"/>
    </row>
    <row r="390" ht="16" customHeight="1">
      <c r="A390" s="22" t="inlineStr">
        <is>
          <t>comment</t>
        </is>
      </c>
      <c r="B390" s="22" t="inlineStr">
        <is>
          <t>Source: Wickerts et al. (2023). Prospective Life Cycle Assessment of Lithium-Sulfur Batteries for Stationary Energy Storage. ACS Sustainable Chemistry &amp; Engineering. https://doi.org/10.1021/acssuschemeng.3c00141</t>
        </is>
      </c>
      <c r="C390" s="11" t="n"/>
      <c r="D390" s="15" t="n"/>
      <c r="E390" s="15" t="n"/>
      <c r="F390" s="15" t="n"/>
      <c r="G390" s="15" t="n"/>
    </row>
    <row r="391">
      <c r="A391" s="15" t="inlineStr">
        <is>
          <t>location</t>
        </is>
      </c>
      <c r="B391" s="15" t="inlineStr">
        <is>
          <t>GLO</t>
        </is>
      </c>
      <c r="C391" s="15" t="n"/>
      <c r="D391" s="15" t="n"/>
      <c r="E391" s="15" t="n"/>
      <c r="F391" s="15" t="n"/>
      <c r="G391" s="15" t="n"/>
    </row>
    <row r="392">
      <c r="A392" s="15" t="inlineStr">
        <is>
          <t>production amount</t>
        </is>
      </c>
      <c r="B392" s="15" t="n">
        <v>1</v>
      </c>
      <c r="C392" s="15" t="n"/>
      <c r="D392" s="15" t="n"/>
      <c r="E392" s="15" t="n"/>
      <c r="F392" s="15" t="n"/>
      <c r="G392" s="15" t="n"/>
    </row>
    <row r="393">
      <c r="A393" s="15" t="inlineStr">
        <is>
          <t>reference product</t>
        </is>
      </c>
      <c r="B393" s="15" t="inlineStr">
        <is>
          <t>battery pouch</t>
        </is>
      </c>
      <c r="C393" s="15" t="n"/>
      <c r="D393" s="15" t="n"/>
      <c r="E393" s="15" t="n"/>
      <c r="F393" s="15" t="n"/>
      <c r="G393" s="15" t="n"/>
    </row>
    <row r="394">
      <c r="A394" s="15" t="inlineStr">
        <is>
          <t>unit</t>
        </is>
      </c>
      <c r="B394" s="15" t="inlineStr">
        <is>
          <t>kilogram</t>
        </is>
      </c>
      <c r="C394" s="15" t="n"/>
      <c r="D394" s="15" t="n"/>
      <c r="E394" s="15" t="n"/>
      <c r="F394" s="15" t="n"/>
      <c r="G394" s="15" t="n"/>
    </row>
    <row r="395">
      <c r="A395" s="15" t="inlineStr">
        <is>
          <t>source</t>
        </is>
      </c>
      <c r="B395" s="15" t="inlineStr">
        <is>
          <t>Originally from  Wickerts et al. (2023). Prospective Life Cycle Assessment of Lithium-Sulfur Batteries for Stationary Energy Storage. ACS Sustainable Chemistry &amp; Engineering. Based on Ellingsen et al. (2014)</t>
        </is>
      </c>
      <c r="C395" s="15" t="n"/>
      <c r="D395" s="15" t="n"/>
      <c r="E395" s="15" t="n"/>
      <c r="F395" s="15" t="n"/>
      <c r="G395" s="15" t="n"/>
    </row>
    <row r="396">
      <c r="A396" s="19" t="inlineStr">
        <is>
          <t>Exchanges</t>
        </is>
      </c>
      <c r="B396" s="15" t="n"/>
      <c r="C396" s="15" t="n"/>
      <c r="D396" s="15" t="n"/>
      <c r="E396" s="15" t="n"/>
      <c r="F396" s="15" t="n"/>
      <c r="G396" s="15" t="n"/>
    </row>
    <row r="397">
      <c r="A397" s="15" t="inlineStr">
        <is>
          <t>name</t>
        </is>
      </c>
      <c r="B397" s="15" t="inlineStr">
        <is>
          <t>amount</t>
        </is>
      </c>
      <c r="C397" s="15" t="inlineStr">
        <is>
          <t>unit</t>
        </is>
      </c>
      <c r="D397" s="15" t="inlineStr">
        <is>
          <t>categories</t>
        </is>
      </c>
      <c r="E397" s="15" t="inlineStr">
        <is>
          <t>location</t>
        </is>
      </c>
      <c r="F397" s="15" t="inlineStr">
        <is>
          <t>type</t>
        </is>
      </c>
      <c r="G397" s="15" t="inlineStr">
        <is>
          <t>reference product</t>
        </is>
      </c>
    </row>
    <row r="398">
      <c r="A398" s="15" t="inlineStr">
        <is>
          <t>battery pouch production, for LiS battery</t>
        </is>
      </c>
      <c r="B398" s="15" t="n">
        <v>1</v>
      </c>
      <c r="C398" s="15" t="inlineStr">
        <is>
          <t>kilogram</t>
        </is>
      </c>
      <c r="D398" s="15" t="n"/>
      <c r="E398" s="15" t="inlineStr">
        <is>
          <t>GLO</t>
        </is>
      </c>
      <c r="F398" s="15" t="inlineStr">
        <is>
          <t>production</t>
        </is>
      </c>
      <c r="G398" s="15" t="inlineStr">
        <is>
          <t>battery pouch</t>
        </is>
      </c>
    </row>
    <row r="399">
      <c r="A399" s="15" t="inlineStr">
        <is>
          <t>market for aluminium scrap, new</t>
        </is>
      </c>
      <c r="B399" s="15" t="n">
        <v>0.55</v>
      </c>
      <c r="C399" s="15" t="inlineStr">
        <is>
          <t>kilogram</t>
        </is>
      </c>
      <c r="D399" s="15" t="n"/>
      <c r="E399" s="15" t="inlineStr">
        <is>
          <t>RoW</t>
        </is>
      </c>
      <c r="F399" s="15" t="inlineStr">
        <is>
          <t>technosphere</t>
        </is>
      </c>
      <c r="G399" s="15" t="inlineStr">
        <is>
          <t>aluminium scrap, new</t>
        </is>
      </c>
    </row>
    <row r="400">
      <c r="A400" s="15" t="inlineStr">
        <is>
          <t>market for aluminium, primary, ingot</t>
        </is>
      </c>
      <c r="B400" s="20" t="n">
        <v>0.129</v>
      </c>
      <c r="C400" s="15" t="inlineStr">
        <is>
          <t>kilogram</t>
        </is>
      </c>
      <c r="D400" s="15" t="n"/>
      <c r="E400" s="15" t="inlineStr">
        <is>
          <t>RoW</t>
        </is>
      </c>
      <c r="F400" s="15" t="inlineStr">
        <is>
          <t>technosphere</t>
        </is>
      </c>
      <c r="G400" s="15" t="inlineStr">
        <is>
          <t>aluminium, primary, ingot</t>
        </is>
      </c>
    </row>
    <row r="401">
      <c r="A401" s="15" t="inlineStr">
        <is>
          <t>market for polyethylene terephthalate, granulate, amorphous</t>
        </is>
      </c>
      <c r="B401" s="20" t="n">
        <v>0.137</v>
      </c>
      <c r="C401" s="15" t="inlineStr">
        <is>
          <t>kilogram</t>
        </is>
      </c>
      <c r="D401" s="15" t="n"/>
      <c r="E401" s="15" t="inlineStr">
        <is>
          <t>GLO</t>
        </is>
      </c>
      <c r="F401" s="15" t="inlineStr">
        <is>
          <t>technosphere</t>
        </is>
      </c>
      <c r="G401" s="15" t="inlineStr">
        <is>
          <t>polyethylene terephthalate, granulate, amorphous</t>
        </is>
      </c>
    </row>
    <row r="402">
      <c r="A402" s="15" t="inlineStr">
        <is>
          <t>market for polypropylene, granulate</t>
        </is>
      </c>
      <c r="B402" s="20" t="n">
        <v>0.206</v>
      </c>
      <c r="C402" s="15" t="inlineStr">
        <is>
          <t>kilogram</t>
        </is>
      </c>
      <c r="D402" s="15" t="n"/>
      <c r="E402" s="15" t="inlineStr">
        <is>
          <t>GLO</t>
        </is>
      </c>
      <c r="F402" s="15" t="inlineStr">
        <is>
          <t>technosphere</t>
        </is>
      </c>
      <c r="G402" s="15" t="inlineStr">
        <is>
          <t>polypropylene, granulate</t>
        </is>
      </c>
    </row>
    <row r="403">
      <c r="A403" s="15" t="inlineStr">
        <is>
          <t>market for sheet rolling, aluminium</t>
        </is>
      </c>
      <c r="B403" s="20" t="n">
        <v>0.667</v>
      </c>
      <c r="C403" s="15" t="inlineStr">
        <is>
          <t>kilogram</t>
        </is>
      </c>
      <c r="D403" s="15" t="n"/>
      <c r="E403" s="15" t="inlineStr">
        <is>
          <t>GLO</t>
        </is>
      </c>
      <c r="F403" s="15" t="inlineStr">
        <is>
          <t>technosphere</t>
        </is>
      </c>
      <c r="G403" s="15" t="inlineStr">
        <is>
          <t>sheet rolling, aluminium</t>
        </is>
      </c>
    </row>
    <row r="404">
      <c r="A404" s="15" t="inlineStr">
        <is>
          <t>market for extrusion, plastic film</t>
        </is>
      </c>
      <c r="B404" s="15" t="n">
        <v>0.33</v>
      </c>
      <c r="C404" s="15" t="inlineStr">
        <is>
          <t>kilogram</t>
        </is>
      </c>
      <c r="D404" s="15" t="n"/>
      <c r="E404" s="15" t="inlineStr">
        <is>
          <t>GLO</t>
        </is>
      </c>
      <c r="F404" s="15" t="inlineStr">
        <is>
          <t>technosphere</t>
        </is>
      </c>
      <c r="G404" s="15" t="inlineStr">
        <is>
          <t>extrusion, plastic film</t>
        </is>
      </c>
    </row>
    <row r="405">
      <c r="A405" s="15" t="n"/>
      <c r="B405" s="15" t="n"/>
      <c r="C405" s="15" t="n"/>
      <c r="D405" s="15" t="n"/>
      <c r="E405" s="15" t="n"/>
      <c r="F405" s="15" t="n"/>
      <c r="G405" s="15" t="n"/>
    </row>
    <row r="406">
      <c r="A406" s="15" t="n"/>
      <c r="B406" s="15" t="n"/>
      <c r="C406" s="15" t="n"/>
      <c r="D406" s="15" t="n"/>
      <c r="E406" s="15" t="n"/>
      <c r="F406" s="15" t="n"/>
      <c r="G406" s="15" t="n"/>
    </row>
    <row r="407" ht="16" customHeight="1">
      <c r="A407" s="11" t="inlineStr">
        <is>
          <t>Activity</t>
        </is>
      </c>
      <c r="B407" s="11" t="inlineStr">
        <is>
          <t>positive tab production, for LiS battery</t>
        </is>
      </c>
      <c r="C407" s="11" t="n"/>
      <c r="D407" s="15" t="n"/>
      <c r="E407" s="15" t="n"/>
      <c r="F407" s="15" t="n"/>
      <c r="G407" s="15" t="n"/>
    </row>
    <row r="408" ht="16" customHeight="1">
      <c r="A408" s="22" t="inlineStr">
        <is>
          <t>comment</t>
        </is>
      </c>
      <c r="B408" s="22" t="inlineStr">
        <is>
          <t>Source: Wickerts et al. (2023). Prospective Life Cycle Assessment of Lithium-Sulfur Batteries for Stationary Energy Storage. ACS Sustainable Chemistry &amp; Engineering. https://doi.org/10.1021/acssuschemeng.3c00141</t>
        </is>
      </c>
      <c r="C408" s="11" t="n"/>
      <c r="D408" s="15" t="n"/>
      <c r="E408" s="15" t="n"/>
      <c r="F408" s="15" t="n"/>
      <c r="G408" s="15" t="n"/>
    </row>
    <row r="409">
      <c r="A409" s="15" t="inlineStr">
        <is>
          <t>location</t>
        </is>
      </c>
      <c r="B409" s="15" t="inlineStr">
        <is>
          <t>GLO</t>
        </is>
      </c>
      <c r="C409" s="15" t="n"/>
      <c r="D409" s="15" t="n"/>
      <c r="E409" s="15" t="n"/>
      <c r="F409" s="15" t="n"/>
      <c r="G409" s="15" t="n"/>
    </row>
    <row r="410">
      <c r="A410" s="15" t="inlineStr">
        <is>
          <t>production amount</t>
        </is>
      </c>
      <c r="B410" s="15" t="n">
        <v>1</v>
      </c>
      <c r="C410" s="15" t="n"/>
      <c r="D410" s="15" t="n"/>
      <c r="E410" s="15" t="n"/>
      <c r="F410" s="15" t="n"/>
      <c r="G410" s="15" t="n"/>
    </row>
    <row r="411">
      <c r="A411" s="15" t="inlineStr">
        <is>
          <t>reference product</t>
        </is>
      </c>
      <c r="B411" s="15" t="inlineStr">
        <is>
          <t>positive tab</t>
        </is>
      </c>
      <c r="C411" s="15" t="n"/>
      <c r="D411" s="15" t="n"/>
      <c r="E411" s="15" t="n"/>
      <c r="F411" s="15" t="n"/>
      <c r="G411" s="15" t="n"/>
    </row>
    <row r="412">
      <c r="A412" s="15" t="inlineStr">
        <is>
          <t>unit</t>
        </is>
      </c>
      <c r="B412" s="15" t="inlineStr">
        <is>
          <t>kilogram</t>
        </is>
      </c>
      <c r="C412" s="15" t="n"/>
      <c r="D412" s="15" t="n"/>
      <c r="E412" s="15" t="n"/>
      <c r="F412" s="15" t="n"/>
      <c r="G412" s="15" t="n"/>
    </row>
    <row r="413">
      <c r="A413" s="15" t="inlineStr">
        <is>
          <t>source</t>
        </is>
      </c>
      <c r="B413" s="15" t="inlineStr">
        <is>
          <t>Originally from  Wickerts et al. (2023). Prospective Life Cycle Assessment of Lithium-Sulfur Batteries for Stationary Energy Storage. ACS Sustainable Chemistry &amp; Engineering. Based on Ellingsen et al. (2014)</t>
        </is>
      </c>
      <c r="C413" s="15" t="n"/>
      <c r="D413" s="15" t="n"/>
      <c r="E413" s="15" t="n"/>
      <c r="F413" s="15" t="n"/>
      <c r="G413" s="15" t="n"/>
    </row>
    <row r="414">
      <c r="A414" s="19" t="inlineStr">
        <is>
          <t>Exchanges</t>
        </is>
      </c>
      <c r="B414" s="15" t="n"/>
      <c r="C414" s="15" t="n"/>
      <c r="D414" s="15" t="n"/>
      <c r="E414" s="15" t="n"/>
      <c r="F414" s="15" t="n"/>
      <c r="G414" s="15" t="n"/>
    </row>
    <row r="415">
      <c r="A415" s="15" t="inlineStr">
        <is>
          <t>name</t>
        </is>
      </c>
      <c r="B415" s="15" t="inlineStr">
        <is>
          <t>amount</t>
        </is>
      </c>
      <c r="C415" s="15" t="inlineStr">
        <is>
          <t>unit</t>
        </is>
      </c>
      <c r="D415" s="15" t="inlineStr">
        <is>
          <t>categories</t>
        </is>
      </c>
      <c r="E415" s="15" t="inlineStr">
        <is>
          <t>location</t>
        </is>
      </c>
      <c r="F415" s="15" t="inlineStr">
        <is>
          <t>type</t>
        </is>
      </c>
      <c r="G415" s="15" t="inlineStr">
        <is>
          <t>reference product</t>
        </is>
      </c>
      <c r="H415" s="15" t="inlineStr">
        <is>
          <t>comment</t>
        </is>
      </c>
    </row>
    <row r="416">
      <c r="A416" s="15" t="inlineStr">
        <is>
          <t>positive tab production, for LiS battery</t>
        </is>
      </c>
      <c r="B416" t="n">
        <v>1</v>
      </c>
      <c r="C416" t="inlineStr">
        <is>
          <t>kilogram</t>
        </is>
      </c>
      <c r="E416" t="inlineStr">
        <is>
          <t>GLO</t>
        </is>
      </c>
      <c r="F416" t="inlineStr">
        <is>
          <t>production</t>
        </is>
      </c>
      <c r="G416" t="inlineStr">
        <is>
          <t>positive tab</t>
        </is>
      </c>
    </row>
    <row r="417">
      <c r="A417" s="15" t="inlineStr">
        <is>
          <t>market for aluminium, primary, ingot</t>
        </is>
      </c>
      <c r="B417" t="n">
        <v>0.8100000000000001</v>
      </c>
      <c r="C417" s="15" t="inlineStr">
        <is>
          <t>kilogram</t>
        </is>
      </c>
      <c r="E417" s="15" t="inlineStr">
        <is>
          <t>RoW</t>
        </is>
      </c>
      <c r="F417" s="15" t="inlineStr">
        <is>
          <t>technosphere</t>
        </is>
      </c>
      <c r="G417" t="inlineStr">
        <is>
          <t>aluminium, primary, ingot</t>
        </is>
      </c>
    </row>
    <row r="418">
      <c r="A418" s="15" t="inlineStr">
        <is>
          <t>market for aluminium scrap, new</t>
        </is>
      </c>
      <c r="B418" t="n">
        <v>0.2</v>
      </c>
      <c r="C418" s="15" t="inlineStr">
        <is>
          <t>kilogram</t>
        </is>
      </c>
      <c r="E418" s="15" t="inlineStr">
        <is>
          <t>RoW</t>
        </is>
      </c>
      <c r="F418" s="15" t="inlineStr">
        <is>
          <t>technosphere</t>
        </is>
      </c>
      <c r="G418" t="inlineStr">
        <is>
          <t>aluminium scrap, new</t>
        </is>
      </c>
    </row>
    <row r="419">
      <c r="A419" s="15" t="inlineStr">
        <is>
          <t>market for sheet rolling, aluminium</t>
        </is>
      </c>
      <c r="B419" t="n">
        <v>1</v>
      </c>
      <c r="C419" s="15" t="inlineStr">
        <is>
          <t>kilogram</t>
        </is>
      </c>
      <c r="E419" s="15" t="inlineStr">
        <is>
          <t>GLO</t>
        </is>
      </c>
      <c r="F419" s="15" t="inlineStr">
        <is>
          <t>technosphere</t>
        </is>
      </c>
      <c r="G419" t="inlineStr">
        <is>
          <t>sheet rolling, aluminium</t>
        </is>
      </c>
      <c r="H419" s="15" t="inlineStr">
        <is>
          <t>Location changed from RoW to GLO</t>
        </is>
      </c>
    </row>
    <row r="420">
      <c r="A420" s="15" t="inlineStr">
        <is>
          <t>market for aluminium casting facility</t>
        </is>
      </c>
      <c r="B420" s="3" t="n">
        <v>1.5e-10</v>
      </c>
      <c r="C420" s="15" t="inlineStr">
        <is>
          <t>unit</t>
        </is>
      </c>
      <c r="E420" s="15" t="inlineStr">
        <is>
          <t>GLO</t>
        </is>
      </c>
      <c r="F420" s="15" t="inlineStr">
        <is>
          <t>technosphere</t>
        </is>
      </c>
      <c r="G420" t="inlineStr">
        <is>
          <t>aluminium casting facility</t>
        </is>
      </c>
    </row>
    <row r="421">
      <c r="A421" s="15" t="n"/>
      <c r="C421" s="15" t="n"/>
      <c r="E421" s="15" t="n"/>
      <c r="F421" s="15" t="n"/>
    </row>
    <row r="422">
      <c r="A422" s="15" t="n"/>
      <c r="C422" s="15" t="n"/>
      <c r="E422" s="15" t="n"/>
      <c r="F422" s="15" t="n"/>
    </row>
    <row r="423" ht="16" customHeight="1">
      <c r="A423" s="11" t="inlineStr">
        <is>
          <t>Activity</t>
        </is>
      </c>
      <c r="B423" s="11" t="inlineStr">
        <is>
          <t>negative tab production, for LiS battery</t>
        </is>
      </c>
      <c r="C423" s="11" t="n"/>
      <c r="D423" s="15" t="n"/>
      <c r="E423" s="15" t="n"/>
      <c r="F423" s="15" t="n"/>
      <c r="G423" s="15" t="n"/>
    </row>
    <row r="424" ht="16" customHeight="1">
      <c r="A424" s="22" t="inlineStr">
        <is>
          <t>comment</t>
        </is>
      </c>
      <c r="B424" s="22" t="inlineStr">
        <is>
          <t>Source: Wickerts et al. (2023). Prospective Life Cycle Assessment of Lithium-Sulfur Batteries for Stationary Energy Storage. ACS Sustainable Chemistry &amp; Engineering. https://doi.org/10.1021/acssuschemeng.3c00141</t>
        </is>
      </c>
      <c r="C424" s="11" t="n"/>
      <c r="D424" s="15" t="n"/>
      <c r="E424" s="15" t="n"/>
      <c r="F424" s="15" t="n"/>
      <c r="G424" s="15" t="n"/>
    </row>
    <row r="425">
      <c r="A425" s="15" t="inlineStr">
        <is>
          <t>location</t>
        </is>
      </c>
      <c r="B425" s="15" t="inlineStr">
        <is>
          <t>GLO</t>
        </is>
      </c>
      <c r="C425" s="15" t="n"/>
      <c r="D425" s="15" t="n"/>
      <c r="E425" s="15" t="n"/>
      <c r="F425" s="15" t="n"/>
      <c r="G425" s="15" t="n"/>
    </row>
    <row r="426">
      <c r="A426" s="15" t="inlineStr">
        <is>
          <t>production amount</t>
        </is>
      </c>
      <c r="B426" s="15" t="n">
        <v>1</v>
      </c>
      <c r="C426" s="15" t="n"/>
      <c r="D426" s="15" t="n"/>
      <c r="E426" s="15" t="n"/>
      <c r="F426" s="15" t="n"/>
      <c r="G426" s="15" t="n"/>
    </row>
    <row r="427">
      <c r="A427" s="15" t="inlineStr">
        <is>
          <t>reference product</t>
        </is>
      </c>
      <c r="B427" s="15" t="inlineStr">
        <is>
          <t>negative tab</t>
        </is>
      </c>
      <c r="C427" s="15" t="n"/>
      <c r="D427" s="15" t="n"/>
      <c r="E427" s="15" t="n"/>
      <c r="F427" s="15" t="n"/>
      <c r="G427" s="15" t="n"/>
    </row>
    <row r="428">
      <c r="A428" s="15" t="inlineStr">
        <is>
          <t>unit</t>
        </is>
      </c>
      <c r="B428" s="15" t="inlineStr">
        <is>
          <t>kilogram</t>
        </is>
      </c>
      <c r="C428" s="15" t="n"/>
      <c r="D428" s="15" t="n"/>
      <c r="E428" s="15" t="n"/>
      <c r="F428" s="15" t="n"/>
      <c r="G428" s="15" t="n"/>
    </row>
    <row r="429">
      <c r="A429" s="15" t="inlineStr">
        <is>
          <t>source</t>
        </is>
      </c>
      <c r="B429" s="15" t="n"/>
      <c r="C429" s="15" t="n"/>
      <c r="D429" s="15" t="n"/>
      <c r="E429" s="15" t="n"/>
      <c r="F429" s="15" t="n"/>
      <c r="G429" s="15" t="n"/>
    </row>
    <row r="430">
      <c r="A430" s="19" t="inlineStr">
        <is>
          <t>Exchanges</t>
        </is>
      </c>
      <c r="B430" s="15" t="n"/>
      <c r="C430" s="15" t="n"/>
      <c r="D430" s="15" t="n"/>
      <c r="E430" s="15" t="n"/>
      <c r="F430" s="15" t="n"/>
      <c r="G430" s="15" t="n"/>
    </row>
    <row r="431">
      <c r="A431" s="15" t="inlineStr">
        <is>
          <t>name</t>
        </is>
      </c>
      <c r="B431" s="15" t="inlineStr">
        <is>
          <t>amount</t>
        </is>
      </c>
      <c r="C431" s="15" t="inlineStr">
        <is>
          <t>unit</t>
        </is>
      </c>
      <c r="D431" s="15" t="inlineStr">
        <is>
          <t>categories</t>
        </is>
      </c>
      <c r="E431" s="15" t="inlineStr">
        <is>
          <t>location</t>
        </is>
      </c>
      <c r="F431" s="15" t="inlineStr">
        <is>
          <t>type</t>
        </is>
      </c>
      <c r="G431" s="15" t="inlineStr">
        <is>
          <t>reference product</t>
        </is>
      </c>
    </row>
    <row r="432">
      <c r="A432" s="15" t="inlineStr">
        <is>
          <t>negative tab production, for LiS battery</t>
        </is>
      </c>
      <c r="B432" s="15" t="n">
        <v>1</v>
      </c>
      <c r="C432" s="15" t="inlineStr">
        <is>
          <t>kilogram</t>
        </is>
      </c>
      <c r="D432" s="15" t="n"/>
      <c r="E432" s="15" t="inlineStr">
        <is>
          <t>GLO</t>
        </is>
      </c>
      <c r="F432" s="15" t="inlineStr">
        <is>
          <t>production</t>
        </is>
      </c>
      <c r="G432" s="15" t="inlineStr">
        <is>
          <t>negative tab</t>
        </is>
      </c>
    </row>
    <row r="433">
      <c r="A433" s="15" t="inlineStr">
        <is>
          <t>market for copper, cathode</t>
        </is>
      </c>
      <c r="B433" s="15" t="n">
        <v>1</v>
      </c>
      <c r="C433" s="15" t="inlineStr">
        <is>
          <t>kilogram</t>
        </is>
      </c>
      <c r="D433" s="15" t="n"/>
      <c r="E433" s="15" t="inlineStr">
        <is>
          <t>GLO</t>
        </is>
      </c>
      <c r="F433" s="15" t="inlineStr">
        <is>
          <t>technosphere</t>
        </is>
      </c>
      <c r="G433" s="15" t="inlineStr">
        <is>
          <t>copper, cathode</t>
        </is>
      </c>
    </row>
    <row r="434">
      <c r="A434" s="15" t="inlineStr">
        <is>
          <t>market for sheet rolling, copper</t>
        </is>
      </c>
      <c r="B434" s="15" t="n">
        <v>1</v>
      </c>
      <c r="C434" s="15" t="inlineStr">
        <is>
          <t>kilogram</t>
        </is>
      </c>
      <c r="D434" s="15" t="n"/>
      <c r="E434" s="15" t="inlineStr">
        <is>
          <t>GLO</t>
        </is>
      </c>
      <c r="F434" s="15" t="inlineStr">
        <is>
          <t>technosphere</t>
        </is>
      </c>
      <c r="G434" s="15" t="inlineStr">
        <is>
          <t>sheet rolling, copper</t>
        </is>
      </c>
    </row>
    <row r="435">
      <c r="A435" s="15" t="inlineStr">
        <is>
          <t>market for metal working, average for copper product manufacturing</t>
        </is>
      </c>
      <c r="B435" s="21" t="n">
        <v>4.6e-10</v>
      </c>
      <c r="C435" s="15" t="inlineStr">
        <is>
          <t>kilogram</t>
        </is>
      </c>
      <c r="D435" s="15" t="n"/>
      <c r="E435" s="15" t="inlineStr">
        <is>
          <t>GLO</t>
        </is>
      </c>
      <c r="F435" s="15" t="inlineStr">
        <is>
          <t>technosphere</t>
        </is>
      </c>
      <c r="G435" s="15" t="inlineStr">
        <is>
          <t>metal working, average for copper product manufacturing</t>
        </is>
      </c>
    </row>
    <row r="436">
      <c r="A436" s="15" t="n"/>
      <c r="B436" s="15" t="n"/>
      <c r="C436" s="15" t="n"/>
      <c r="D436" s="15" t="n"/>
      <c r="E436" s="15" t="n"/>
      <c r="F436" s="15" t="n"/>
      <c r="G436" s="15" t="n"/>
    </row>
    <row r="437">
      <c r="A437" s="15" t="n"/>
      <c r="B437" s="15" t="n"/>
      <c r="C437" s="15" t="n"/>
      <c r="D437" s="15" t="n"/>
      <c r="E437" s="15" t="n"/>
      <c r="F437" s="15" t="n"/>
      <c r="G437" s="15" t="n"/>
    </row>
    <row r="438">
      <c r="A438" s="15" t="n"/>
    </row>
    <row r="439" ht="16" customHeight="1">
      <c r="A439" s="1" t="inlineStr">
        <is>
          <t>Activity</t>
        </is>
      </c>
      <c r="B439" s="1" t="inlineStr">
        <is>
          <t>battery cell assembly, Li-S</t>
        </is>
      </c>
    </row>
    <row r="440" ht="16" customHeight="1">
      <c r="A440" s="16" t="inlineStr">
        <is>
          <t>comment</t>
        </is>
      </c>
      <c r="B440" s="26" t="inlineStr">
        <is>
          <t>A cell weight of 46 g is modeled, due to the slight difference in cell weight of the different cell compositions. The number of formed cells required to provide the function depends on the specific energy density. Consequently, fewer cells are required in the technical performance and combined scenarios because of the higher specific energy density considered in those scenarios. SI. S3.6.6. Source: Wickerts et al. (2023). Prospective Life Cycle Assessment of Lithium-Sulfur Batteries for Stationary Energy Storage. ACS Sustainable Chemistry &amp; Engineering. https://doi.org/10.1021/acssuschemeng.3c00141</t>
        </is>
      </c>
    </row>
    <row r="441">
      <c r="A441" t="inlineStr">
        <is>
          <t>location</t>
        </is>
      </c>
      <c r="B441" t="inlineStr">
        <is>
          <t>GLO</t>
        </is>
      </c>
    </row>
    <row r="442">
      <c r="A442" t="inlineStr">
        <is>
          <t>production amount</t>
        </is>
      </c>
      <c r="B442" t="n">
        <v>1</v>
      </c>
    </row>
    <row r="443">
      <c r="A443" t="inlineStr">
        <is>
          <t>reference product</t>
        </is>
      </c>
      <c r="B443" t="inlineStr">
        <is>
          <t>battery cell</t>
        </is>
      </c>
    </row>
    <row r="444">
      <c r="A444" t="inlineStr">
        <is>
          <t>unit</t>
        </is>
      </c>
      <c r="B444" t="inlineStr">
        <is>
          <t>kilogram</t>
        </is>
      </c>
    </row>
    <row r="445">
      <c r="A445" t="inlineStr">
        <is>
          <t>source</t>
        </is>
      </c>
      <c r="B445" t="inlineStr">
        <is>
          <t>Originally from  Wickerts et al. (2023). Prospective Life Cycle Assessment of Lithium-Sulfur Batteries for Stationary Energy Storage. ACS Sustainable Chemistry &amp; Engineering. Adapted from Chordia et al. (2021)</t>
        </is>
      </c>
    </row>
    <row r="446">
      <c r="A446" s="2" t="inlineStr">
        <is>
          <t>Exchanges</t>
        </is>
      </c>
    </row>
    <row r="447">
      <c r="A447" t="inlineStr">
        <is>
          <t>name</t>
        </is>
      </c>
      <c r="B447" t="inlineStr">
        <is>
          <t>amount</t>
        </is>
      </c>
      <c r="C447" t="inlineStr">
        <is>
          <t>unit</t>
        </is>
      </c>
      <c r="D447" t="inlineStr">
        <is>
          <t>categories</t>
        </is>
      </c>
      <c r="E447" t="inlineStr">
        <is>
          <t>location</t>
        </is>
      </c>
      <c r="F447" t="inlineStr">
        <is>
          <t>type</t>
        </is>
      </c>
      <c r="G447" t="inlineStr">
        <is>
          <t>reference product</t>
        </is>
      </c>
      <c r="H447" t="inlineStr">
        <is>
          <t>comment</t>
        </is>
      </c>
    </row>
    <row r="448">
      <c r="A448" t="inlineStr">
        <is>
          <t>battery cell assembly, Li-S</t>
        </is>
      </c>
      <c r="B448" t="n">
        <v>1</v>
      </c>
      <c r="C448" t="inlineStr">
        <is>
          <t>kilogram</t>
        </is>
      </c>
      <c r="E448" t="inlineStr">
        <is>
          <t>GLO</t>
        </is>
      </c>
      <c r="F448" t="inlineStr">
        <is>
          <t>production</t>
        </is>
      </c>
      <c r="G448" t="inlineStr">
        <is>
          <t>battery cell</t>
        </is>
      </c>
    </row>
    <row r="449">
      <c r="A449" t="inlineStr">
        <is>
          <t>lithium foil production, for LiS battery</t>
        </is>
      </c>
      <c r="B449" s="3">
        <f>7.4/1000*(1/0.046)</f>
        <v>0.16086956521739132</v>
      </c>
      <c r="C449" t="inlineStr">
        <is>
          <t>kilogram</t>
        </is>
      </c>
      <c r="E449" t="inlineStr">
        <is>
          <t>GLO</t>
        </is>
      </c>
      <c r="F449" t="inlineStr">
        <is>
          <t>technosphere</t>
        </is>
      </c>
      <c r="G449" t="inlineStr">
        <is>
          <t>lithium foil</t>
        </is>
      </c>
      <c r="H449" t="inlineStr">
        <is>
          <t>Multiplied by 10e-3 to convert from gram to kg. Then multiplied by (1/0.046) to convert from unit of cell to kg of cell</t>
        </is>
      </c>
    </row>
    <row r="450">
      <c r="A450" t="inlineStr">
        <is>
          <t>separator production, for LiS battery</t>
        </is>
      </c>
      <c r="B450" s="3">
        <f>4.6/1000*(1/0.046)</f>
        <v>0.1</v>
      </c>
      <c r="C450" t="inlineStr">
        <is>
          <t>kilogram</t>
        </is>
      </c>
      <c r="E450" t="inlineStr">
        <is>
          <t>GLO</t>
        </is>
      </c>
      <c r="F450" t="inlineStr">
        <is>
          <t>technosphere</t>
        </is>
      </c>
      <c r="G450" t="inlineStr">
        <is>
          <t>separator</t>
        </is>
      </c>
      <c r="H450" t="inlineStr">
        <is>
          <t>Multiplied by 10e-3 to convert from gram to kg. Then multiplied by (1/0.046) to convert from unit of cell to kg of cell</t>
        </is>
      </c>
    </row>
    <row r="451">
      <c r="A451" t="inlineStr">
        <is>
          <t>cathode production, for LiS battery</t>
        </is>
      </c>
      <c r="B451" s="3">
        <f>11/1000*(1/0.046)</f>
        <v>0.23913043478260868</v>
      </c>
      <c r="C451" t="inlineStr">
        <is>
          <t>kilogram</t>
        </is>
      </c>
      <c r="E451" t="inlineStr">
        <is>
          <t>GLO</t>
        </is>
      </c>
      <c r="F451" t="inlineStr">
        <is>
          <t>technosphere</t>
        </is>
      </c>
      <c r="G451" t="inlineStr">
        <is>
          <t>cathode</t>
        </is>
      </c>
      <c r="H451" t="inlineStr">
        <is>
          <t>Multiplied by 10e-3 to convert from gram to kg. Then multiplied by (1/0.046) to convert from unit of cell to kg of cell</t>
        </is>
      </c>
    </row>
    <row r="452">
      <c r="A452" t="inlineStr">
        <is>
          <t>electrolyte mixing and feeding, for LiS battery</t>
        </is>
      </c>
      <c r="B452" s="3">
        <f>20/1000*(1/0.046)</f>
        <v>0.43478260869565222</v>
      </c>
      <c r="C452" t="inlineStr">
        <is>
          <t>kilogram</t>
        </is>
      </c>
      <c r="E452" t="inlineStr">
        <is>
          <t>GLO</t>
        </is>
      </c>
      <c r="F452" t="inlineStr">
        <is>
          <t>technosphere</t>
        </is>
      </c>
      <c r="G452" t="inlineStr">
        <is>
          <t>electrolyte</t>
        </is>
      </c>
      <c r="H452" t="inlineStr">
        <is>
          <t>Multiplied by 10e-3 to convert from gram to kg. Then multiplied by (1/0.046) to convert from unit of cell to kg of cell</t>
        </is>
      </c>
    </row>
    <row r="453">
      <c r="A453" t="inlineStr">
        <is>
          <t>battery pouch production, for LiS battery</t>
        </is>
      </c>
      <c r="B453" s="3">
        <f>0.13/1000*(1/0.046)</f>
        <v>2.8260869565217396E-3</v>
      </c>
      <c r="C453" t="inlineStr">
        <is>
          <t>kilogram</t>
        </is>
      </c>
      <c r="E453" t="inlineStr">
        <is>
          <t>GLO</t>
        </is>
      </c>
      <c r="F453" t="inlineStr">
        <is>
          <t>technosphere</t>
        </is>
      </c>
      <c r="G453" t="inlineStr">
        <is>
          <t>battery pouch</t>
        </is>
      </c>
      <c r="H453" t="inlineStr">
        <is>
          <t>Multiplied by 10e-3 to convert from gram to kg. Then multiplied by (1/0.046) to convert from unit of cell to kg of cell</t>
        </is>
      </c>
    </row>
    <row r="454">
      <c r="A454" t="inlineStr">
        <is>
          <t>negative tab production, for LiS battery</t>
        </is>
      </c>
      <c r="B454" s="3">
        <f>0.12/1000*(1/0.046)</f>
        <v>2.6086956521739128E-3</v>
      </c>
      <c r="C454" t="inlineStr">
        <is>
          <t>kilogram</t>
        </is>
      </c>
      <c r="E454" t="inlineStr">
        <is>
          <t>GLO</t>
        </is>
      </c>
      <c r="F454" t="inlineStr">
        <is>
          <t>technosphere</t>
        </is>
      </c>
      <c r="G454" t="inlineStr">
        <is>
          <t>negative tab</t>
        </is>
      </c>
      <c r="H454" t="inlineStr">
        <is>
          <t>Multiplied by 10e-3 to convert from gram to kg. Then multiplied by (1/0.046) to convert from unit of cell to kg of cell</t>
        </is>
      </c>
    </row>
    <row r="455">
      <c r="A455" t="inlineStr">
        <is>
          <t>positive tab production, for LiS battery</t>
        </is>
      </c>
      <c r="B455" s="3">
        <f>0.069/1000*(1/0.046)</f>
        <v>1.5000000000000002E-3</v>
      </c>
      <c r="C455" t="inlineStr">
        <is>
          <t>kilogram</t>
        </is>
      </c>
      <c r="E455" t="inlineStr">
        <is>
          <t>GLO</t>
        </is>
      </c>
      <c r="F455" t="inlineStr">
        <is>
          <t>technosphere</t>
        </is>
      </c>
      <c r="G455" t="inlineStr">
        <is>
          <t>positive tab</t>
        </is>
      </c>
      <c r="H455" t="inlineStr">
        <is>
          <t>Multiplied by 10e-3 to convert from gram to kg. Then multiplied by (1/0.046) to convert from unit of cell to kg of cell</t>
        </is>
      </c>
    </row>
    <row r="456">
      <c r="A456" t="inlineStr">
        <is>
          <t>market for water, deionised</t>
        </is>
      </c>
      <c r="B456" s="3">
        <f>31/1000*(1/0.046)</f>
        <v>0.67391304347826086</v>
      </c>
      <c r="C456" t="inlineStr">
        <is>
          <t>kilogram</t>
        </is>
      </c>
      <c r="E456" t="inlineStr">
        <is>
          <t>RoW</t>
        </is>
      </c>
      <c r="F456" t="inlineStr">
        <is>
          <t>technosphere</t>
        </is>
      </c>
      <c r="G456" t="inlineStr">
        <is>
          <t>water, deionised</t>
        </is>
      </c>
      <c r="H456" t="inlineStr">
        <is>
          <t>Multiplied by 10e-3 to convert from gram to kg. Then multiplied by (1/0.046) to convert from unit of cell to kg of cell</t>
        </is>
      </c>
    </row>
    <row r="457">
      <c r="A457" t="inlineStr">
        <is>
          <t>market group for electricity, medium voltage</t>
        </is>
      </c>
      <c r="B457" s="13">
        <f>0.046*(1/0.046)</f>
        <v>1</v>
      </c>
      <c r="C457" t="inlineStr">
        <is>
          <t>kilowatt hour</t>
        </is>
      </c>
      <c r="E457" t="inlineStr">
        <is>
          <t>Europe without Switzerland</t>
        </is>
      </c>
      <c r="F457" t="inlineStr">
        <is>
          <t>technosphere</t>
        </is>
      </c>
      <c r="G457" t="inlineStr">
        <is>
          <t>electricity, medium voltage</t>
        </is>
      </c>
    </row>
    <row r="458">
      <c r="A458" t="inlineStr">
        <is>
          <t>market for wastewater, average</t>
        </is>
      </c>
      <c r="B458" s="23">
        <f>-31/1000000*(1/0.046)</f>
        <v>-6.7391304347826086E-4</v>
      </c>
      <c r="C458" t="inlineStr">
        <is>
          <t>cubic meter</t>
        </is>
      </c>
      <c r="E458" t="inlineStr">
        <is>
          <t>RoW</t>
        </is>
      </c>
      <c r="F458" t="inlineStr">
        <is>
          <t>technosphere</t>
        </is>
      </c>
      <c r="G458" t="inlineStr">
        <is>
          <t>wastewater, average</t>
        </is>
      </c>
      <c r="H458" t="inlineStr">
        <is>
          <t>Multiplied by 10e-3 to convert from kg to cubic meter</t>
        </is>
      </c>
    </row>
    <row r="459">
      <c r="B459" s="29" t="n"/>
    </row>
    <row r="460" ht="16" customHeight="1">
      <c r="A460" s="1" t="inlineStr">
        <is>
          <t>Activity</t>
        </is>
      </c>
      <c r="B460" s="1" t="inlineStr">
        <is>
          <t>battery cell production, Li-S</t>
        </is>
      </c>
    </row>
    <row r="461">
      <c r="A461" t="inlineStr">
        <is>
          <t>comment</t>
        </is>
      </c>
      <c r="B461" t="inlineStr">
        <is>
          <t>Source: Wickerts et al. (2023). Prospective Life Cycle Assessment of Lithium-Sulfur Batteries for Stationary Energy Storage. ACS Sustainable Chemistry &amp; Engineering. https://doi.org/10.1021/acssuschemeng.3c00141. Manufacturing of Li-S cells was based on the work by Chordia, M.; Nordelöf, A.; Ellingsen, L. A.-W. Environmental life cycle implications of upscaling lithium-ion battery production. Int. J. Life Cycle Assess. 2021, 26, 2024– 2039,  DOI: 10.1007/s11367-021-01976-0 8. Note that the factory construction and operation is included in this activity, and not in the "1 kWh storage capacity" as it is in the supporting information.</t>
        </is>
      </c>
      <c r="H461" s="5" t="n"/>
    </row>
    <row r="462">
      <c r="A462" t="inlineStr">
        <is>
          <t>location</t>
        </is>
      </c>
      <c r="B462" t="inlineStr">
        <is>
          <t>GLO</t>
        </is>
      </c>
    </row>
    <row r="463">
      <c r="A463" t="inlineStr">
        <is>
          <t>production amount</t>
        </is>
      </c>
      <c r="B463" t="n">
        <v>1</v>
      </c>
    </row>
    <row r="464">
      <c r="A464" t="inlineStr">
        <is>
          <t>reference product</t>
        </is>
      </c>
      <c r="B464" t="inlineStr">
        <is>
          <t>battery cell, LiS</t>
        </is>
      </c>
    </row>
    <row r="465">
      <c r="A465" t="inlineStr">
        <is>
          <t>unit</t>
        </is>
      </c>
      <c r="B465" t="inlineStr">
        <is>
          <t>kilogram</t>
        </is>
      </c>
    </row>
    <row r="466">
      <c r="A466" t="inlineStr">
        <is>
          <t>source</t>
        </is>
      </c>
      <c r="B466" t="inlineStr">
        <is>
          <t>Originally from  Wickerts et al. (2023). Prospective Life Cycle Assessment of Lithium-Sulfur Batteries for Stationary Energy Storage. ACS Sustainable Chemistry &amp; Engineering. Based on Chordia et al. (2021).</t>
        </is>
      </c>
    </row>
    <row r="467">
      <c r="A467" s="2" t="inlineStr">
        <is>
          <t>Exchanges</t>
        </is>
      </c>
    </row>
    <row r="468">
      <c r="A468" t="inlineStr">
        <is>
          <t>name</t>
        </is>
      </c>
      <c r="B468" t="inlineStr">
        <is>
          <t>amount</t>
        </is>
      </c>
      <c r="C468" t="inlineStr">
        <is>
          <t>unit</t>
        </is>
      </c>
      <c r="D468" t="inlineStr">
        <is>
          <t>location</t>
        </is>
      </c>
      <c r="E468" t="inlineStr">
        <is>
          <t>type</t>
        </is>
      </c>
      <c r="F468" t="inlineStr">
        <is>
          <t>reference product</t>
        </is>
      </c>
      <c r="G468" t="inlineStr">
        <is>
          <t>comment</t>
        </is>
      </c>
    </row>
    <row r="469">
      <c r="A469" t="inlineStr">
        <is>
          <t>battery cell production, Li-S</t>
        </is>
      </c>
      <c r="B469" t="n">
        <v>1</v>
      </c>
      <c r="C469" t="inlineStr">
        <is>
          <t>kilogram</t>
        </is>
      </c>
      <c r="D469" t="inlineStr">
        <is>
          <t>GLO</t>
        </is>
      </c>
      <c r="E469" t="inlineStr">
        <is>
          <t>production</t>
        </is>
      </c>
      <c r="F469" t="inlineStr">
        <is>
          <t>battery cell, LiS</t>
        </is>
      </c>
    </row>
    <row r="470">
      <c r="A470" t="inlineStr">
        <is>
          <t>battery cell assembly, Li-S</t>
        </is>
      </c>
      <c r="B470" t="n">
        <v>1</v>
      </c>
      <c r="C470" t="inlineStr">
        <is>
          <t>kilogram</t>
        </is>
      </c>
      <c r="D470" t="inlineStr">
        <is>
          <t>GLO</t>
        </is>
      </c>
      <c r="E470" t="inlineStr">
        <is>
          <t>technosphere</t>
        </is>
      </c>
      <c r="F470" t="inlineStr">
        <is>
          <t>battery cell</t>
        </is>
      </c>
    </row>
    <row r="471">
      <c r="A471" t="inlineStr">
        <is>
          <t>market group for electricity, medium voltage</t>
        </is>
      </c>
      <c r="B471" s="5">
        <f>0.225*(1/0.046)</f>
        <v>4.8913043478260869</v>
      </c>
      <c r="C471" t="inlineStr">
        <is>
          <t>kilowatt hour</t>
        </is>
      </c>
      <c r="D471" t="inlineStr">
        <is>
          <t>Europe without Switzerland</t>
        </is>
      </c>
      <c r="E471" t="inlineStr">
        <is>
          <t>technosphere</t>
        </is>
      </c>
      <c r="F471" t="inlineStr">
        <is>
          <t>electricity, medium voltage</t>
        </is>
      </c>
      <c r="G471" t="inlineStr">
        <is>
          <t>multiplied by (1/0.046) to convert from unit of cell to kg of cell</t>
        </is>
      </c>
    </row>
    <row r="472">
      <c r="A472" t="inlineStr">
        <is>
          <t>factory construction and operation, for LiS battery</t>
        </is>
      </c>
      <c r="B472" s="13">
        <f>0.0000000115*(1/0.046)</f>
        <v>2.5000000000000004E-7</v>
      </c>
      <c r="C472" t="inlineStr">
        <is>
          <t>unit</t>
        </is>
      </c>
      <c r="D472" t="inlineStr">
        <is>
          <t>GLO</t>
        </is>
      </c>
      <c r="E472" t="inlineStr">
        <is>
          <t>technosphere</t>
        </is>
      </c>
      <c r="F472" t="inlineStr">
        <is>
          <t>operating battery factory</t>
        </is>
      </c>
      <c r="G472" t="inlineStr">
        <is>
          <t>multiplied by (1/0.046) to convert from unit of cell to kg of cell</t>
        </is>
      </c>
    </row>
    <row r="473">
      <c r="B473" s="29" t="n"/>
    </row>
    <row r="474" ht="16" customHeight="1">
      <c r="A474" s="1" t="inlineStr">
        <is>
          <t>Activity</t>
        </is>
      </c>
      <c r="B474" s="1" t="inlineStr">
        <is>
          <t>factory construction and operation, for LiS battery</t>
        </is>
      </c>
    </row>
    <row r="475">
      <c r="A475" t="inlineStr">
        <is>
          <t>comment</t>
        </is>
      </c>
      <c r="B475" t="inlineStr">
        <is>
          <t>Note that this is the updated dataset obtained from the published correction from Chordia et al. (2021) (which was not used in our published study). Source: Wickerts et al. (2023). Prospective Life Cycle Assessment of Lithium-Sulfur Batteries for Stationary Energy Storage. ACS Sustainable Chemistry &amp; Engineering. https://doi.org/10.1021/acssuschemeng.3c00141</t>
        </is>
      </c>
    </row>
    <row r="476">
      <c r="A476" t="inlineStr">
        <is>
          <t>location</t>
        </is>
      </c>
      <c r="B476" t="inlineStr">
        <is>
          <t>GLO</t>
        </is>
      </c>
    </row>
    <row r="477">
      <c r="A477" t="inlineStr">
        <is>
          <t>production amount</t>
        </is>
      </c>
      <c r="B477" t="n">
        <v>1</v>
      </c>
    </row>
    <row r="478">
      <c r="A478" t="inlineStr">
        <is>
          <t>reference product</t>
        </is>
      </c>
      <c r="B478" t="inlineStr">
        <is>
          <t>operating battery factory</t>
        </is>
      </c>
    </row>
    <row r="479">
      <c r="A479" t="inlineStr">
        <is>
          <t>unit</t>
        </is>
      </c>
      <c r="B479" t="inlineStr">
        <is>
          <t>unit</t>
        </is>
      </c>
    </row>
    <row r="480">
      <c r="A480" t="inlineStr">
        <is>
          <t>source</t>
        </is>
      </c>
      <c r="B480" t="inlineStr">
        <is>
          <t>Originally from  Wickerts et al. (2023). Prospective Life Cycle Assessment of Lithium-Sulfur Batteries for Stationary Energy Storage. ACS Sustainable Chemistry &amp; Engineering. Obtained from Chordia et al. (2021)</t>
        </is>
      </c>
    </row>
    <row r="481">
      <c r="A481" s="2" t="inlineStr">
        <is>
          <t>Exchanges</t>
        </is>
      </c>
    </row>
    <row r="482">
      <c r="A482" t="inlineStr">
        <is>
          <t>name</t>
        </is>
      </c>
      <c r="B482" t="inlineStr">
        <is>
          <t>amount</t>
        </is>
      </c>
      <c r="C482" t="inlineStr">
        <is>
          <t>unit</t>
        </is>
      </c>
      <c r="D482" t="inlineStr">
        <is>
          <t>location</t>
        </is>
      </c>
      <c r="E482" t="inlineStr">
        <is>
          <t>type</t>
        </is>
      </c>
      <c r="F482" t="inlineStr">
        <is>
          <t>reference product</t>
        </is>
      </c>
      <c r="G482" t="inlineStr">
        <is>
          <t>Comment</t>
        </is>
      </c>
    </row>
    <row r="483">
      <c r="A483" t="inlineStr">
        <is>
          <t>factory construction and operation, for LiS battery</t>
        </is>
      </c>
      <c r="B483" t="n">
        <v>1</v>
      </c>
      <c r="C483" t="inlineStr">
        <is>
          <t>unit</t>
        </is>
      </c>
      <c r="D483" t="inlineStr">
        <is>
          <t>GLO</t>
        </is>
      </c>
      <c r="E483" t="inlineStr">
        <is>
          <t>production</t>
        </is>
      </c>
      <c r="F483" t="inlineStr">
        <is>
          <t>operating battery factory</t>
        </is>
      </c>
    </row>
    <row r="484">
      <c r="A484" t="inlineStr">
        <is>
          <t>market for precious metal refinery</t>
        </is>
      </c>
      <c r="B484" s="31" t="n">
        <v>0.075</v>
      </c>
      <c r="C484" t="inlineStr">
        <is>
          <t>unit</t>
        </is>
      </c>
      <c r="D484" t="inlineStr">
        <is>
          <t>GLO</t>
        </is>
      </c>
      <c r="E484" t="inlineStr">
        <is>
          <t>technosphere</t>
        </is>
      </c>
      <c r="F484" t="inlineStr">
        <is>
          <t>precious metal refinery</t>
        </is>
      </c>
    </row>
    <row r="485">
      <c r="A485" t="inlineStr">
        <is>
          <t>market for electronic component factory</t>
        </is>
      </c>
      <c r="B485" s="29" t="n">
        <v>0.00701</v>
      </c>
      <c r="C485" t="inlineStr">
        <is>
          <t>unit</t>
        </is>
      </c>
      <c r="D485" t="inlineStr">
        <is>
          <t>GLO</t>
        </is>
      </c>
      <c r="E485" t="inlineStr">
        <is>
          <t>technosphere</t>
        </is>
      </c>
      <c r="F485" t="inlineStr">
        <is>
          <t>electronic component factory</t>
        </is>
      </c>
    </row>
    <row r="486">
      <c r="A486" t="inlineStr">
        <is>
          <t>market group for electricity, medium voltage</t>
        </is>
      </c>
      <c r="B486" s="13">
        <f>24.1*1000000</f>
        <v>24100000</v>
      </c>
      <c r="C486" t="inlineStr">
        <is>
          <t>kilowatt hour</t>
        </is>
      </c>
      <c r="D486" t="inlineStr">
        <is>
          <t>Europe without Switzerland</t>
        </is>
      </c>
      <c r="E486" t="inlineStr">
        <is>
          <t>technosphere</t>
        </is>
      </c>
      <c r="F486" t="inlineStr">
        <is>
          <t>electricity, medium voltage</t>
        </is>
      </c>
      <c r="G486" t="inlineStr">
        <is>
          <t>Multiplied by 10e6 to convert from gwh to kwh</t>
        </is>
      </c>
    </row>
    <row r="487">
      <c r="A487" t="inlineStr">
        <is>
          <t>market for heat, district or industrial, natural gas</t>
        </is>
      </c>
      <c r="B487" s="18">
        <f>48.3*1000000</f>
        <v>48300000</v>
      </c>
      <c r="C487" t="inlineStr">
        <is>
          <t>megajoule</t>
        </is>
      </c>
      <c r="D487" t="inlineStr">
        <is>
          <t>RoW</t>
        </is>
      </c>
      <c r="E487" t="inlineStr">
        <is>
          <t>technosphere</t>
        </is>
      </c>
      <c r="F487" t="inlineStr">
        <is>
          <t>heat, district or industrial, natural gas</t>
        </is>
      </c>
      <c r="G487" t="inlineStr">
        <is>
          <t>Multiplied by 10e6 to convert from TJ to MJ. Location changed from GLO to RoW</t>
        </is>
      </c>
    </row>
    <row r="488">
      <c r="A488" t="inlineStr">
        <is>
          <t>market for cooling energy</t>
        </is>
      </c>
      <c r="B488" s="18">
        <f>59.7*1000000</f>
        <v>59700000</v>
      </c>
      <c r="C488" t="inlineStr">
        <is>
          <t>megajoule</t>
        </is>
      </c>
      <c r="D488" t="inlineStr">
        <is>
          <t>GLO</t>
        </is>
      </c>
      <c r="E488" t="inlineStr">
        <is>
          <t>technosphere</t>
        </is>
      </c>
      <c r="F488" t="inlineStr">
        <is>
          <t>cooling energy</t>
        </is>
      </c>
      <c r="G488" t="inlineStr">
        <is>
          <t>Multiplied by 10e6 to convert from TJ to MJ</t>
        </is>
      </c>
    </row>
    <row r="489"/>
    <row r="490" ht="16" customHeight="1">
      <c r="A490" s="1" t="inlineStr">
        <is>
          <t>Activity</t>
        </is>
      </c>
      <c r="B490" s="1" t="inlineStr">
        <is>
          <t>battery module production, for LiS battery</t>
        </is>
      </c>
    </row>
    <row r="491" ht="16" customHeight="1">
      <c r="A491" s="16" t="inlineStr">
        <is>
          <t>comment</t>
        </is>
      </c>
      <c r="B491" s="16" t="inlineStr">
        <is>
          <t>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492">
      <c r="A492" t="inlineStr">
        <is>
          <t>location</t>
        </is>
      </c>
      <c r="B492" t="inlineStr">
        <is>
          <t>GLO</t>
        </is>
      </c>
    </row>
    <row r="493">
      <c r="A493" t="inlineStr">
        <is>
          <t>production amount</t>
        </is>
      </c>
      <c r="B493" t="n">
        <v>1</v>
      </c>
    </row>
    <row r="494">
      <c r="A494" t="inlineStr">
        <is>
          <t>reference product</t>
        </is>
      </c>
      <c r="B494" t="inlineStr">
        <is>
          <t>battery, LiS module</t>
        </is>
      </c>
    </row>
    <row r="495">
      <c r="A495" t="inlineStr">
        <is>
          <t>unit</t>
        </is>
      </c>
      <c r="B495" t="inlineStr">
        <is>
          <t>kilogram</t>
        </is>
      </c>
    </row>
    <row r="496">
      <c r="A496" t="inlineStr">
        <is>
          <t>source</t>
        </is>
      </c>
      <c r="B496" t="inlineStr">
        <is>
          <t>Originally from  Wickerts et al. (2023). Prospective Life Cycle Assessment of Lithium-Sulfur Batteries for Stationary Energy Storage. ACS Sustainable Chemistry &amp; Engineering. Based on Ainsworth (2016), Peters and Weil (2017), Ellingsen et al. (2014)</t>
        </is>
      </c>
    </row>
    <row r="497">
      <c r="A497" s="2" t="inlineStr">
        <is>
          <t>Exchanges</t>
        </is>
      </c>
    </row>
    <row r="498">
      <c r="A498" t="inlineStr">
        <is>
          <t>name</t>
        </is>
      </c>
      <c r="B498" t="inlineStr">
        <is>
          <t>amount</t>
        </is>
      </c>
      <c r="C498" t="inlineStr">
        <is>
          <t>unit</t>
        </is>
      </c>
      <c r="D498" t="inlineStr">
        <is>
          <t>categories</t>
        </is>
      </c>
      <c r="E498" t="inlineStr">
        <is>
          <t>location</t>
        </is>
      </c>
      <c r="F498" t="inlineStr">
        <is>
          <t>type</t>
        </is>
      </c>
      <c r="G498" t="inlineStr">
        <is>
          <t>reference product</t>
        </is>
      </c>
      <c r="H498" t="inlineStr">
        <is>
          <t>comment</t>
        </is>
      </c>
    </row>
    <row r="499">
      <c r="A499" t="inlineStr">
        <is>
          <t>battery module production, for LiS battery</t>
        </is>
      </c>
      <c r="B499" t="n">
        <v>1</v>
      </c>
      <c r="C499" t="inlineStr">
        <is>
          <t>kilogram</t>
        </is>
      </c>
      <c r="E499" t="inlineStr">
        <is>
          <t>GLO</t>
        </is>
      </c>
      <c r="F499" t="inlineStr">
        <is>
          <t>production</t>
        </is>
      </c>
      <c r="G499" t="inlineStr">
        <is>
          <t>battery, LiS module</t>
        </is>
      </c>
    </row>
    <row r="500">
      <c r="A500" t="inlineStr">
        <is>
          <t>battery cell production, Li-S</t>
        </is>
      </c>
      <c r="B500" s="5">
        <f>408*0.046/24.971</f>
        <v>0.75159184654198874</v>
      </c>
      <c r="C500" t="inlineStr">
        <is>
          <t>kilogram</t>
        </is>
      </c>
      <c r="E500" t="inlineStr">
        <is>
          <t>GLO</t>
        </is>
      </c>
      <c r="F500" t="inlineStr">
        <is>
          <t>technosphere</t>
        </is>
      </c>
      <c r="G500" t="inlineStr">
        <is>
          <t>battery cell, LiS</t>
        </is>
      </c>
      <c r="H500" t="inlineStr">
        <is>
          <t>Converted from battery unit to kilogram of battery. The size (41 litre) and total weight (25 kg) of a battery module, as well as the total battery cell weight in one module (19 kg), are obtained from Ainsworth</t>
        </is>
      </c>
    </row>
    <row r="501">
      <c r="A501" t="inlineStr">
        <is>
          <t>aluminium busbar production, for LiS battery</t>
        </is>
      </c>
      <c r="B501" s="5">
        <f>0.275/24.971</f>
        <v>1.1012774818789798E-2</v>
      </c>
      <c r="C501" t="inlineStr">
        <is>
          <t>kilogram</t>
        </is>
      </c>
      <c r="E501" t="inlineStr">
        <is>
          <t>GLO</t>
        </is>
      </c>
      <c r="F501" t="inlineStr">
        <is>
          <t>technosphere</t>
        </is>
      </c>
      <c r="G501" t="inlineStr">
        <is>
          <t>aluminium busbar</t>
        </is>
      </c>
    </row>
    <row r="502">
      <c r="A502" t="inlineStr">
        <is>
          <t>bimetallic busbar production, for LiS battery</t>
        </is>
      </c>
      <c r="B502" s="5">
        <f>0.593/24.971</f>
        <v>2.3747547154699448E-2</v>
      </c>
      <c r="C502" t="inlineStr">
        <is>
          <t>kilogram</t>
        </is>
      </c>
      <c r="E502" t="inlineStr">
        <is>
          <t>GLO</t>
        </is>
      </c>
      <c r="F502" t="inlineStr">
        <is>
          <t>technosphere</t>
        </is>
      </c>
      <c r="G502" t="inlineStr">
        <is>
          <t>bimetallic busbar</t>
        </is>
      </c>
    </row>
    <row r="503" ht="16" customHeight="1">
      <c r="A503" s="16" t="inlineStr">
        <is>
          <t>copper busbar production, for LiS battery</t>
        </is>
      </c>
      <c r="B503" s="31">
        <f>0.085/24.971</f>
        <v>3.4039485803532099E-3</v>
      </c>
      <c r="C503" t="inlineStr">
        <is>
          <t>kilogram</t>
        </is>
      </c>
      <c r="E503" t="inlineStr">
        <is>
          <t>GLO</t>
        </is>
      </c>
      <c r="F503" t="inlineStr">
        <is>
          <t>technosphere</t>
        </is>
      </c>
      <c r="G503" t="inlineStr">
        <is>
          <t>copper busbar</t>
        </is>
      </c>
    </row>
    <row r="504">
      <c r="A504" t="inlineStr">
        <is>
          <t>market for polypropylene, granulate</t>
        </is>
      </c>
      <c r="B504" s="30">
        <f>2.75/24.971</f>
        <v>0.11012774818789796</v>
      </c>
      <c r="C504" t="inlineStr">
        <is>
          <t>kilogram</t>
        </is>
      </c>
      <c r="E504" t="inlineStr">
        <is>
          <t>GLO</t>
        </is>
      </c>
      <c r="F504" t="inlineStr">
        <is>
          <t>technosphere</t>
        </is>
      </c>
      <c r="G504" t="inlineStr">
        <is>
          <t>polypropylene, granulate</t>
        </is>
      </c>
      <c r="I504" s="23" t="n"/>
      <c r="J504" s="18" t="n"/>
      <c r="K504" s="18" t="n"/>
    </row>
    <row r="505">
      <c r="A505" t="inlineStr">
        <is>
          <t>market for steel, low-alloyed</t>
        </is>
      </c>
      <c r="B505" s="30">
        <f>2.5/24.971</f>
        <v>0.10011613471627087</v>
      </c>
      <c r="C505" t="inlineStr">
        <is>
          <t>kilogram</t>
        </is>
      </c>
      <c r="E505" t="inlineStr">
        <is>
          <t>GLO</t>
        </is>
      </c>
      <c r="F505" t="inlineStr">
        <is>
          <t>technosphere</t>
        </is>
      </c>
      <c r="G505" t="inlineStr">
        <is>
          <t>steel, low-alloyed</t>
        </is>
      </c>
    </row>
    <row r="506">
      <c r="A506" t="inlineStr">
        <is>
          <t>market for injection moulding</t>
        </is>
      </c>
      <c r="B506" s="30">
        <f>2.75/24.971</f>
        <v>0.11012774818789796</v>
      </c>
      <c r="C506" t="inlineStr">
        <is>
          <t>kilogram</t>
        </is>
      </c>
      <c r="E506" t="inlineStr">
        <is>
          <t>GLO</t>
        </is>
      </c>
      <c r="F506" t="inlineStr">
        <is>
          <t>technosphere</t>
        </is>
      </c>
      <c r="G506" t="inlineStr">
        <is>
          <t>injection moulding</t>
        </is>
      </c>
    </row>
    <row r="507">
      <c r="A507" t="inlineStr">
        <is>
          <t>market for metal working, average for steel product manufacturing</t>
        </is>
      </c>
      <c r="B507" s="13">
        <f>2.5/24.971</f>
        <v>0.10011613471627087</v>
      </c>
      <c r="C507" t="inlineStr">
        <is>
          <t>kilogram</t>
        </is>
      </c>
      <c r="E507" t="inlineStr">
        <is>
          <t>GLO</t>
        </is>
      </c>
      <c r="F507" t="inlineStr">
        <is>
          <t>technosphere</t>
        </is>
      </c>
      <c r="G507" t="inlineStr">
        <is>
          <t>metal working, average for steel product manufacturing</t>
        </is>
      </c>
    </row>
    <row r="508">
      <c r="B508" s="29" t="n"/>
    </row>
    <row r="509" ht="16" customHeight="1">
      <c r="A509" s="1" t="inlineStr">
        <is>
          <t>Activity</t>
        </is>
      </c>
      <c r="B509" s="1" t="inlineStr">
        <is>
          <t>market for battery, Li-sulfur, Li-S</t>
        </is>
      </c>
    </row>
    <row r="510" ht="16" customHeight="1">
      <c r="A510" t="inlineStr">
        <is>
          <t>comment</t>
        </is>
      </c>
      <c r="B510" s="28" t="inlineStr">
        <is>
          <t>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511">
      <c r="A511" t="inlineStr">
        <is>
          <t>location</t>
        </is>
      </c>
      <c r="B511" t="inlineStr">
        <is>
          <t>GLO</t>
        </is>
      </c>
    </row>
    <row r="512">
      <c r="A512" t="inlineStr">
        <is>
          <t>production amount</t>
        </is>
      </c>
      <c r="B512" t="n">
        <v>1</v>
      </c>
    </row>
    <row r="513">
      <c r="A513" t="inlineStr">
        <is>
          <t>reference product</t>
        </is>
      </c>
      <c r="B513" t="inlineStr">
        <is>
          <t>battery, Li-S</t>
        </is>
      </c>
    </row>
    <row r="514">
      <c r="A514" t="inlineStr">
        <is>
          <t>unit</t>
        </is>
      </c>
      <c r="B514" t="inlineStr">
        <is>
          <t>kilogram</t>
        </is>
      </c>
    </row>
    <row r="515">
      <c r="A515" t="inlineStr">
        <is>
          <t>source</t>
        </is>
      </c>
      <c r="B515" t="inlineStr">
        <is>
          <t>Originally from  Wickerts et al. (2023). Prospective Life Cycle Assessment of Lithium-Sulfur Batteries for Stationary Energy Storage. ACS Sustainable Chemistry &amp; Engineering. Based on Chordia et al. (2021).</t>
        </is>
      </c>
    </row>
    <row r="516">
      <c r="A516" s="2" t="inlineStr">
        <is>
          <t>Exchanges</t>
        </is>
      </c>
      <c r="B516" s="2" t="n"/>
      <c r="C516" s="2" t="n"/>
      <c r="D516" s="2" t="n"/>
      <c r="E516" s="2" t="n"/>
      <c r="F516" s="2" t="n"/>
      <c r="G516" s="2" t="n"/>
    </row>
    <row r="517">
      <c r="A517" s="2" t="inlineStr">
        <is>
          <t>name</t>
        </is>
      </c>
      <c r="B517" s="2" t="inlineStr">
        <is>
          <t>amount</t>
        </is>
      </c>
      <c r="C517" s="2" t="inlineStr">
        <is>
          <t>unit</t>
        </is>
      </c>
      <c r="D517" s="2" t="inlineStr">
        <is>
          <t>categories</t>
        </is>
      </c>
      <c r="E517" s="2" t="inlineStr">
        <is>
          <t>location</t>
        </is>
      </c>
      <c r="F517" s="2" t="inlineStr">
        <is>
          <t>type</t>
        </is>
      </c>
      <c r="G517" s="2" t="inlineStr">
        <is>
          <t>reference product</t>
        </is>
      </c>
      <c r="H517" s="2" t="inlineStr">
        <is>
          <t>comment</t>
        </is>
      </c>
    </row>
    <row r="518" ht="16" customHeight="1">
      <c r="A518" s="27" t="inlineStr">
        <is>
          <t>market for battery, Li-sulfur, Li-S</t>
        </is>
      </c>
      <c r="B518" t="n">
        <v>1</v>
      </c>
      <c r="C518" t="inlineStr">
        <is>
          <t>kilogram</t>
        </is>
      </c>
      <c r="E518" t="inlineStr">
        <is>
          <t>GLO</t>
        </is>
      </c>
      <c r="F518" t="inlineStr">
        <is>
          <t>production</t>
        </is>
      </c>
      <c r="G518" t="inlineStr">
        <is>
          <t>battery, Li-S</t>
        </is>
      </c>
      <c r="H518" t="inlineStr">
        <is>
          <t>Battery system mass: 321 kg</t>
        </is>
      </c>
    </row>
    <row r="519">
      <c r="A519" t="inlineStr">
        <is>
          <t>battery module production, for LiS battery</t>
        </is>
      </c>
      <c r="B519" t="n">
        <v>1</v>
      </c>
      <c r="C519" t="inlineStr">
        <is>
          <t>kilogram</t>
        </is>
      </c>
      <c r="E519" t="inlineStr">
        <is>
          <t>GLO</t>
        </is>
      </c>
      <c r="F519" t="inlineStr">
        <is>
          <t>technosphere</t>
        </is>
      </c>
      <c r="G519" t="inlineStr">
        <is>
          <t>battery, LiS module</t>
        </is>
      </c>
    </row>
    <row r="520">
      <c r="A520" t="inlineStr">
        <is>
          <t>market group for transport, freight train</t>
        </is>
      </c>
      <c r="B520" t="n">
        <v>0.309107277</v>
      </c>
      <c r="C520" t="inlineStr">
        <is>
          <t>ton kilometer</t>
        </is>
      </c>
      <c r="E520" t="inlineStr">
        <is>
          <t>GLO</t>
        </is>
      </c>
      <c r="F520" t="inlineStr">
        <is>
          <t>technosphere</t>
        </is>
      </c>
      <c r="G520" t="inlineStr">
        <is>
          <t>transport, freight train</t>
        </is>
      </c>
    </row>
    <row r="521">
      <c r="A521" t="inlineStr">
        <is>
          <t>market group for transport, freight, inland waterways, barge</t>
        </is>
      </c>
      <c r="B521" t="n">
        <v>0.02462741</v>
      </c>
      <c r="C521" t="inlineStr">
        <is>
          <t>ton kilometer</t>
        </is>
      </c>
      <c r="E521" t="inlineStr">
        <is>
          <t>GLO</t>
        </is>
      </c>
      <c r="F521" t="inlineStr">
        <is>
          <t>technosphere</t>
        </is>
      </c>
      <c r="G521" t="inlineStr">
        <is>
          <t>transport, freight, inland waterways, barge</t>
        </is>
      </c>
    </row>
    <row r="522">
      <c r="A522" t="inlineStr">
        <is>
          <t>market group for transport, freight, lorry, unspecified</t>
        </is>
      </c>
      <c r="B522" t="n">
        <v>0.208779765</v>
      </c>
      <c r="C522" t="inlineStr">
        <is>
          <t>ton kilometer</t>
        </is>
      </c>
      <c r="E522" t="inlineStr">
        <is>
          <t>GLO</t>
        </is>
      </c>
      <c r="F522" t="inlineStr">
        <is>
          <t>technosphere</t>
        </is>
      </c>
      <c r="G522" t="inlineStr">
        <is>
          <t>transport, freight, lorry, unspecified</t>
        </is>
      </c>
    </row>
    <row r="523">
      <c r="A523" t="inlineStr">
        <is>
          <t>market for transport, freight, sea, container ship</t>
        </is>
      </c>
      <c r="B523" t="n">
        <v>0.599015849</v>
      </c>
      <c r="C523" t="inlineStr">
        <is>
          <t>ton kilometer</t>
        </is>
      </c>
      <c r="E523" t="inlineStr">
        <is>
          <t>GLO</t>
        </is>
      </c>
      <c r="F523" t="inlineStr">
        <is>
          <t>technosphere</t>
        </is>
      </c>
      <c r="G523" t="inlineStr">
        <is>
          <t>transport, freight, sea, container ship</t>
        </is>
      </c>
    </row>
    <row r="524">
      <c r="G524" s="3" t="n"/>
    </row>
    <row r="525" ht="16" customHeight="1">
      <c r="A525" s="1" t="inlineStr">
        <is>
          <t>Activity</t>
        </is>
      </c>
      <c r="B525" s="1" t="inlineStr">
        <is>
          <t>aluminium busbar production, for LiS battery</t>
        </is>
      </c>
    </row>
    <row r="526" ht="16" customHeight="1">
      <c r="A526" s="16" t="inlineStr">
        <is>
          <t>comment</t>
        </is>
      </c>
      <c r="B526" s="16" t="inlineStr">
        <is>
          <t>Source: Wickerts et al. (2023). Prospective Life Cycle Assessment of Lithium-Sulfur Batteries for Stationary Energy Storage. ACS Sustainable Chemistry &amp; Engineering. https://doi.org/10.1021/acssuschemeng.3c00141</t>
        </is>
      </c>
    </row>
    <row r="527">
      <c r="A527" t="inlineStr">
        <is>
          <t>location</t>
        </is>
      </c>
      <c r="B527" t="inlineStr">
        <is>
          <t>GLO</t>
        </is>
      </c>
    </row>
    <row r="528">
      <c r="A528" t="inlineStr">
        <is>
          <t>production amount</t>
        </is>
      </c>
      <c r="B528" t="n">
        <v>1</v>
      </c>
    </row>
    <row r="529">
      <c r="A529" t="inlineStr">
        <is>
          <t>reference product</t>
        </is>
      </c>
      <c r="B529" t="inlineStr">
        <is>
          <t>aluminium busbar</t>
        </is>
      </c>
    </row>
    <row r="530">
      <c r="A530" t="inlineStr">
        <is>
          <t>unit</t>
        </is>
      </c>
      <c r="B530" t="inlineStr">
        <is>
          <t>kilogram</t>
        </is>
      </c>
    </row>
    <row r="531">
      <c r="A531" t="inlineStr">
        <is>
          <t>source</t>
        </is>
      </c>
      <c r="B531" t="inlineStr">
        <is>
          <t>Originally from  Wickerts et al. (2023). Prospective Life Cycle Assessment of Lithium-Sulfur Batteries for Stationary Energy Storage. ACS Sustainable Chemistry &amp; Engineering. Obtained from Ellingsen et al. (2014)</t>
        </is>
      </c>
    </row>
    <row r="532">
      <c r="A532" s="2" t="inlineStr">
        <is>
          <t>Exchanges</t>
        </is>
      </c>
    </row>
    <row r="533">
      <c r="A533" t="inlineStr">
        <is>
          <t>name</t>
        </is>
      </c>
      <c r="B533" t="inlineStr">
        <is>
          <t>amount</t>
        </is>
      </c>
      <c r="C533" t="inlineStr">
        <is>
          <t>unit</t>
        </is>
      </c>
      <c r="D533" t="inlineStr">
        <is>
          <t>categories</t>
        </is>
      </c>
      <c r="E533" t="inlineStr">
        <is>
          <t>location</t>
        </is>
      </c>
      <c r="F533" t="inlineStr">
        <is>
          <t>type</t>
        </is>
      </c>
      <c r="G533" t="inlineStr">
        <is>
          <t>reference product</t>
        </is>
      </c>
      <c r="H533" t="inlineStr">
        <is>
          <t>comment</t>
        </is>
      </c>
    </row>
    <row r="534">
      <c r="A534" t="inlineStr">
        <is>
          <t>aluminium busbar production, for LiS battery</t>
        </is>
      </c>
      <c r="B534" t="n">
        <v>1</v>
      </c>
      <c r="C534" t="inlineStr">
        <is>
          <t>kilogram</t>
        </is>
      </c>
      <c r="E534" t="inlineStr">
        <is>
          <t>GLO</t>
        </is>
      </c>
      <c r="F534" t="inlineStr">
        <is>
          <t>production</t>
        </is>
      </c>
      <c r="G534" t="inlineStr">
        <is>
          <t>aluminium busbar</t>
        </is>
      </c>
    </row>
    <row r="535">
      <c r="A535" t="inlineStr">
        <is>
          <t>market for acrylonitrile-butadiene-styrene copolymer</t>
        </is>
      </c>
      <c r="B535" s="31" t="n">
        <v>0.091</v>
      </c>
      <c r="C535" t="inlineStr">
        <is>
          <t>kilogram</t>
        </is>
      </c>
      <c r="E535" t="inlineStr">
        <is>
          <t>GLO</t>
        </is>
      </c>
      <c r="F535" t="inlineStr">
        <is>
          <t>technosphere</t>
        </is>
      </c>
      <c r="G535" t="inlineStr">
        <is>
          <t>acrylonitrile-butadiene-styrene copolymer</t>
        </is>
      </c>
    </row>
    <row r="536">
      <c r="A536" t="inlineStr">
        <is>
          <t>market for aluminium casting facility</t>
        </is>
      </c>
      <c r="B536" s="13">
        <f>1.4*10^-10</f>
        <v>1.4000000000000001E-10</v>
      </c>
      <c r="C536" t="inlineStr">
        <is>
          <t>unit</t>
        </is>
      </c>
      <c r="E536" t="inlineStr">
        <is>
          <t>GLO</t>
        </is>
      </c>
      <c r="F536" t="inlineStr">
        <is>
          <t>technosphere</t>
        </is>
      </c>
      <c r="G536" t="inlineStr">
        <is>
          <t>aluminium casting facility</t>
        </is>
      </c>
    </row>
    <row r="537">
      <c r="A537" t="inlineStr">
        <is>
          <t>market for aluminium, cast alloy</t>
        </is>
      </c>
      <c r="B537" s="5" t="n">
        <v>0.91</v>
      </c>
      <c r="C537" t="inlineStr">
        <is>
          <t>kilogram</t>
        </is>
      </c>
      <c r="E537" t="inlineStr">
        <is>
          <t>GLO</t>
        </is>
      </c>
      <c r="F537" t="inlineStr">
        <is>
          <t>technosphere</t>
        </is>
      </c>
      <c r="G537" t="inlineStr">
        <is>
          <t>aluminium, cast alloy</t>
        </is>
      </c>
    </row>
    <row r="538">
      <c r="A538" t="inlineStr">
        <is>
          <t>market for injection moulding</t>
        </is>
      </c>
      <c r="B538" s="31" t="n">
        <v>0.091</v>
      </c>
      <c r="C538" t="inlineStr">
        <is>
          <t>kilogram</t>
        </is>
      </c>
      <c r="E538" t="inlineStr">
        <is>
          <t>GLO</t>
        </is>
      </c>
      <c r="F538" t="inlineStr">
        <is>
          <t>technosphere</t>
        </is>
      </c>
      <c r="G538" t="inlineStr">
        <is>
          <t>injection moulding</t>
        </is>
      </c>
    </row>
    <row r="539">
      <c r="A539" t="inlineStr">
        <is>
          <t>metal working, average for aluminium product manufacturing</t>
        </is>
      </c>
      <c r="B539" s="5" t="n">
        <v>0.91</v>
      </c>
      <c r="C539" t="inlineStr">
        <is>
          <t>kilogram</t>
        </is>
      </c>
      <c r="E539" t="inlineStr">
        <is>
          <t>RoW</t>
        </is>
      </c>
      <c r="F539" t="inlineStr">
        <is>
          <t>technosphere</t>
        </is>
      </c>
      <c r="G539" t="inlineStr">
        <is>
          <t>metal working, average for aluminium product manufacturing</t>
        </is>
      </c>
    </row>
    <row r="540">
      <c r="A540" t="inlineStr">
        <is>
          <t>market for plastic processing factory</t>
        </is>
      </c>
      <c r="B540" s="13">
        <f>6.7*10^-11</f>
        <v>6.7000000000000001E-11</v>
      </c>
      <c r="C540" t="inlineStr">
        <is>
          <t>unit</t>
        </is>
      </c>
      <c r="E540" t="inlineStr">
        <is>
          <t>GLO</t>
        </is>
      </c>
      <c r="F540" t="inlineStr">
        <is>
          <t>technosphere</t>
        </is>
      </c>
      <c r="G540" t="inlineStr">
        <is>
          <t>plastic processing factory</t>
        </is>
      </c>
      <c r="H540" t="inlineStr">
        <is>
          <t>Reference product changed to match EI</t>
        </is>
      </c>
    </row>
    <row r="541">
      <c r="B541" s="29" t="n"/>
    </row>
    <row r="542">
      <c r="B542" s="29" t="n"/>
    </row>
    <row r="543"/>
    <row r="544" ht="16" customHeight="1">
      <c r="A544" s="1" t="inlineStr">
        <is>
          <t>Activity</t>
        </is>
      </c>
      <c r="B544" s="1" t="inlineStr">
        <is>
          <t>bimetallic busbar production, for LiS battery</t>
        </is>
      </c>
    </row>
    <row r="545" ht="16" customHeight="1">
      <c r="A545" s="16" t="inlineStr">
        <is>
          <t>comment</t>
        </is>
      </c>
      <c r="B545" s="16" t="inlineStr">
        <is>
          <t>Source: Wickerts et al. (2023). Prospective Life Cycle Assessment of Lithium-Sulfur Batteries for Stationary Energy Storage. ACS Sustainable Chemistry &amp; Engineering. https://doi.org/10.1021/acssuschemeng.3c00141</t>
        </is>
      </c>
    </row>
    <row r="546">
      <c r="A546" t="inlineStr">
        <is>
          <t>location</t>
        </is>
      </c>
      <c r="B546" t="inlineStr">
        <is>
          <t>GLO</t>
        </is>
      </c>
    </row>
    <row r="547">
      <c r="A547" t="inlineStr">
        <is>
          <t>production amount</t>
        </is>
      </c>
      <c r="B547" t="n">
        <v>1</v>
      </c>
    </row>
    <row r="548">
      <c r="A548" t="inlineStr">
        <is>
          <t>reference product</t>
        </is>
      </c>
      <c r="B548" t="inlineStr">
        <is>
          <t>bimetallic busbar</t>
        </is>
      </c>
    </row>
    <row r="549">
      <c r="A549" t="inlineStr">
        <is>
          <t>unit</t>
        </is>
      </c>
      <c r="B549" t="inlineStr">
        <is>
          <t>kilogram</t>
        </is>
      </c>
    </row>
    <row r="550">
      <c r="A550" t="inlineStr">
        <is>
          <t>source</t>
        </is>
      </c>
      <c r="B550" t="inlineStr">
        <is>
          <t>Originally from  Wickerts et al. (2023). Prospective Life Cycle Assessment of Lithium-Sulfur Batteries for Stationary Energy Storage. ACS Sustainable Chemistry &amp; Engineering. Obtained from Ellingsen et al. (2014)</t>
        </is>
      </c>
    </row>
    <row r="551">
      <c r="A551" s="2" t="inlineStr">
        <is>
          <t>Exchanges</t>
        </is>
      </c>
    </row>
    <row r="552">
      <c r="A552" t="inlineStr">
        <is>
          <t>name</t>
        </is>
      </c>
      <c r="B552" t="inlineStr">
        <is>
          <t>amount</t>
        </is>
      </c>
      <c r="C552" t="inlineStr">
        <is>
          <t>unit</t>
        </is>
      </c>
      <c r="D552" t="inlineStr">
        <is>
          <t>location</t>
        </is>
      </c>
      <c r="E552" t="inlineStr">
        <is>
          <t>type</t>
        </is>
      </c>
      <c r="F552" t="inlineStr">
        <is>
          <t>reference product</t>
        </is>
      </c>
    </row>
    <row r="553">
      <c r="A553" t="inlineStr">
        <is>
          <t>bimetallic busbar production, for LiS battery</t>
        </is>
      </c>
      <c r="B553" t="n">
        <v>1</v>
      </c>
      <c r="C553" t="inlineStr">
        <is>
          <t>kilogram</t>
        </is>
      </c>
      <c r="D553" t="inlineStr">
        <is>
          <t>GLO</t>
        </is>
      </c>
      <c r="E553" t="inlineStr">
        <is>
          <t>production</t>
        </is>
      </c>
      <c r="F553" t="inlineStr">
        <is>
          <t>bimetallic busbar</t>
        </is>
      </c>
    </row>
    <row r="554">
      <c r="A554" t="inlineStr">
        <is>
          <t>market for acrylonitrile-butadiene-styrene copolymer</t>
        </is>
      </c>
      <c r="B554" s="5" t="n">
        <v>0.17</v>
      </c>
      <c r="C554" t="inlineStr">
        <is>
          <t>kilogram</t>
        </is>
      </c>
      <c r="D554" t="inlineStr">
        <is>
          <t>GLO</t>
        </is>
      </c>
      <c r="E554" t="inlineStr">
        <is>
          <t>technosphere</t>
        </is>
      </c>
      <c r="F554" t="inlineStr">
        <is>
          <t>acrylonitrile-butadiene-styrene copolymer</t>
        </is>
      </c>
    </row>
    <row r="555">
      <c r="A555" t="inlineStr">
        <is>
          <t>market for aluminium, cast alloy</t>
        </is>
      </c>
      <c r="B555" s="5" t="n">
        <v>0.25</v>
      </c>
      <c r="C555" t="inlineStr">
        <is>
          <t>kilogram</t>
        </is>
      </c>
      <c r="D555" t="inlineStr">
        <is>
          <t>GLO</t>
        </is>
      </c>
      <c r="E555" t="inlineStr">
        <is>
          <t>technosphere</t>
        </is>
      </c>
      <c r="F555" t="inlineStr">
        <is>
          <t>aluminium, cast alloy</t>
        </is>
      </c>
    </row>
    <row r="556">
      <c r="A556" t="inlineStr">
        <is>
          <t>market for copper scrap, sorted, pressed</t>
        </is>
      </c>
      <c r="B556" s="31" t="n">
        <v>0.08599999999999999</v>
      </c>
      <c r="C556" t="inlineStr">
        <is>
          <t>kilogram</t>
        </is>
      </c>
      <c r="D556" t="inlineStr">
        <is>
          <t>GLO</t>
        </is>
      </c>
      <c r="E556" t="inlineStr">
        <is>
          <t>technosphere</t>
        </is>
      </c>
      <c r="F556" t="inlineStr">
        <is>
          <t>copper scrap, sorted, pressed</t>
        </is>
      </c>
    </row>
    <row r="557">
      <c r="A557" t="inlineStr">
        <is>
          <t>market for copper, cathode</t>
        </is>
      </c>
      <c r="B557" s="5" t="n">
        <v>0.49</v>
      </c>
      <c r="C557" t="inlineStr">
        <is>
          <t>kilogram</t>
        </is>
      </c>
      <c r="D557" t="inlineStr">
        <is>
          <t>GLO</t>
        </is>
      </c>
      <c r="E557" t="inlineStr">
        <is>
          <t>technosphere</t>
        </is>
      </c>
      <c r="F557" t="inlineStr">
        <is>
          <t>copper, cathode</t>
        </is>
      </c>
    </row>
    <row r="558">
      <c r="A558" t="inlineStr">
        <is>
          <t>market for injection moulding</t>
        </is>
      </c>
      <c r="B558" s="5" t="n">
        <v>0.17</v>
      </c>
      <c r="C558" t="inlineStr">
        <is>
          <t>kilogram</t>
        </is>
      </c>
      <c r="D558" t="inlineStr">
        <is>
          <t>GLO</t>
        </is>
      </c>
      <c r="E558" t="inlineStr">
        <is>
          <t>technosphere</t>
        </is>
      </c>
      <c r="F558" t="inlineStr">
        <is>
          <t>injection moulding</t>
        </is>
      </c>
    </row>
    <row r="559">
      <c r="A559" t="inlineStr">
        <is>
          <t>market for metal working factory</t>
        </is>
      </c>
      <c r="B559" s="13">
        <f>3.8*10^-10</f>
        <v>3.7999999999999998E-10</v>
      </c>
      <c r="C559" t="inlineStr">
        <is>
          <t>unit</t>
        </is>
      </c>
      <c r="D559" t="inlineStr">
        <is>
          <t>GLO</t>
        </is>
      </c>
      <c r="E559" t="inlineStr">
        <is>
          <t>technosphere</t>
        </is>
      </c>
      <c r="F559" t="inlineStr">
        <is>
          <t>metal working factory</t>
        </is>
      </c>
    </row>
    <row r="560">
      <c r="A560" t="inlineStr">
        <is>
          <t>market for metal working, average for aluminium product manufacturing</t>
        </is>
      </c>
      <c r="B560" s="5" t="n">
        <v>0.25</v>
      </c>
      <c r="C560" t="inlineStr">
        <is>
          <t>kilogram</t>
        </is>
      </c>
      <c r="D560" t="inlineStr">
        <is>
          <t>GLO</t>
        </is>
      </c>
      <c r="E560" t="inlineStr">
        <is>
          <t>technosphere</t>
        </is>
      </c>
      <c r="F560" t="inlineStr">
        <is>
          <t>metal working, average for aluminium product manufacturing</t>
        </is>
      </c>
    </row>
    <row r="561">
      <c r="A561" t="inlineStr">
        <is>
          <t>market for metal working, average for copper product manufacturing</t>
        </is>
      </c>
      <c r="B561" s="5" t="n">
        <v>0.57</v>
      </c>
      <c r="C561" t="inlineStr">
        <is>
          <t>kilogram</t>
        </is>
      </c>
      <c r="D561" t="inlineStr">
        <is>
          <t>GLO</t>
        </is>
      </c>
      <c r="E561" t="inlineStr">
        <is>
          <t>technosphere</t>
        </is>
      </c>
      <c r="F561" t="inlineStr">
        <is>
          <t>metal working, average for copper product manufacturing</t>
        </is>
      </c>
    </row>
    <row r="562">
      <c r="A562" t="inlineStr">
        <is>
          <t>market for plastic processing factory</t>
        </is>
      </c>
      <c r="B562" s="13">
        <f>1.3*10^-10</f>
        <v>1.3000000000000002E-10</v>
      </c>
      <c r="C562" t="inlineStr">
        <is>
          <t>unit</t>
        </is>
      </c>
      <c r="D562" t="inlineStr">
        <is>
          <t>GLO</t>
        </is>
      </c>
      <c r="E562" t="inlineStr">
        <is>
          <t>technosphere</t>
        </is>
      </c>
      <c r="F562" t="inlineStr">
        <is>
          <t>plastic processing factory</t>
        </is>
      </c>
    </row>
    <row r="563">
      <c r="B563" s="29" t="n"/>
    </row>
    <row r="564">
      <c r="B564" s="29" t="n"/>
    </row>
    <row r="565"/>
    <row r="566" ht="16" customHeight="1">
      <c r="A566" s="1" t="inlineStr">
        <is>
          <t>Activity</t>
        </is>
      </c>
      <c r="B566" s="1" t="inlineStr">
        <is>
          <t>copper busbar production, for LiS battery</t>
        </is>
      </c>
    </row>
    <row r="567" ht="16" customHeight="1">
      <c r="A567" s="16" t="inlineStr">
        <is>
          <t>comment</t>
        </is>
      </c>
      <c r="B567" s="16" t="inlineStr">
        <is>
          <t>Source: Wickerts et al. (2023). Prospective Life Cycle Assessment of Lithium-Sulfur Batteries for Stationary Energy Storage. ACS Sustainable Chemistry &amp; Engineering. https://doi.org/10.1021/acssuschemeng.3c00141</t>
        </is>
      </c>
    </row>
    <row r="568">
      <c r="A568" t="inlineStr">
        <is>
          <t>location</t>
        </is>
      </c>
      <c r="B568" t="inlineStr">
        <is>
          <t>GLO</t>
        </is>
      </c>
    </row>
    <row r="569">
      <c r="A569" t="inlineStr">
        <is>
          <t>production amount</t>
        </is>
      </c>
      <c r="B569" t="n">
        <v>1</v>
      </c>
    </row>
    <row r="570">
      <c r="A570" t="inlineStr">
        <is>
          <t>reference product</t>
        </is>
      </c>
      <c r="B570" t="inlineStr">
        <is>
          <t>copper busbar</t>
        </is>
      </c>
    </row>
    <row r="571">
      <c r="A571" t="inlineStr">
        <is>
          <t>unit</t>
        </is>
      </c>
      <c r="B571" t="inlineStr">
        <is>
          <t>kilogram</t>
        </is>
      </c>
    </row>
    <row r="572">
      <c r="A572" t="inlineStr">
        <is>
          <t>source</t>
        </is>
      </c>
      <c r="B572" t="inlineStr">
        <is>
          <t>Originally from  Wickerts et al. (2023). Prospective Life Cycle Assessment of Lithium-Sulfur Batteries for Stationary Energy Storage. ACS Sustainable Chemistry &amp; Engineering. Obtained from Ellingsen et al. (2014)</t>
        </is>
      </c>
    </row>
    <row r="573">
      <c r="A573" s="2" t="inlineStr">
        <is>
          <t>Exchanges</t>
        </is>
      </c>
    </row>
    <row r="574">
      <c r="A574" t="inlineStr">
        <is>
          <t>name</t>
        </is>
      </c>
      <c r="B574" t="inlineStr">
        <is>
          <t>amount</t>
        </is>
      </c>
      <c r="C574" t="inlineStr">
        <is>
          <t>unit</t>
        </is>
      </c>
      <c r="D574" t="inlineStr">
        <is>
          <t>location</t>
        </is>
      </c>
      <c r="E574" t="inlineStr">
        <is>
          <t>type</t>
        </is>
      </c>
      <c r="F574" t="inlineStr">
        <is>
          <t>reference product</t>
        </is>
      </c>
    </row>
    <row r="575">
      <c r="A575" t="inlineStr">
        <is>
          <t>copper busbar production, for LiS battery</t>
        </is>
      </c>
      <c r="B575" t="n">
        <v>1</v>
      </c>
      <c r="C575" t="inlineStr">
        <is>
          <t>kilogram</t>
        </is>
      </c>
      <c r="D575" t="inlineStr">
        <is>
          <t>GLO</t>
        </is>
      </c>
      <c r="E575" t="inlineStr">
        <is>
          <t>production</t>
        </is>
      </c>
      <c r="F575" t="inlineStr">
        <is>
          <t>copper busbar</t>
        </is>
      </c>
    </row>
    <row r="576">
      <c r="A576" t="inlineStr">
        <is>
          <t>market for acrylonitrile-butadiene-styrene copolymer</t>
        </is>
      </c>
      <c r="B576" s="31" t="n">
        <v>0.031</v>
      </c>
      <c r="C576" t="inlineStr">
        <is>
          <t>kilogram</t>
        </is>
      </c>
      <c r="D576" t="inlineStr">
        <is>
          <t>GLO</t>
        </is>
      </c>
      <c r="E576" t="inlineStr">
        <is>
          <t>technosphere</t>
        </is>
      </c>
      <c r="F576" t="inlineStr">
        <is>
          <t>acrylonitrile-butadiene-styrene copolymer</t>
        </is>
      </c>
    </row>
    <row r="577">
      <c r="A577" t="inlineStr">
        <is>
          <t>market for copper, cathode</t>
        </is>
      </c>
      <c r="B577" s="5" t="n">
        <v>0.82</v>
      </c>
      <c r="C577" t="inlineStr">
        <is>
          <t>kilogram</t>
        </is>
      </c>
      <c r="D577" t="inlineStr">
        <is>
          <t>GLO</t>
        </is>
      </c>
      <c r="E577" t="inlineStr">
        <is>
          <t>technosphere</t>
        </is>
      </c>
      <c r="F577" t="inlineStr">
        <is>
          <t>copper, cathode</t>
        </is>
      </c>
    </row>
    <row r="578">
      <c r="A578" t="inlineStr">
        <is>
          <t>market for injection moulding</t>
        </is>
      </c>
      <c r="B578" s="31" t="n">
        <v>0.031</v>
      </c>
      <c r="C578" t="inlineStr">
        <is>
          <t>kilogram</t>
        </is>
      </c>
      <c r="D578" t="inlineStr">
        <is>
          <t>GLO</t>
        </is>
      </c>
      <c r="E578" t="inlineStr">
        <is>
          <t>technosphere</t>
        </is>
      </c>
      <c r="F578" t="inlineStr">
        <is>
          <t>injection moulding</t>
        </is>
      </c>
    </row>
    <row r="579">
      <c r="A579" t="inlineStr">
        <is>
          <t>market for copper scrap, sorted, pressed</t>
        </is>
      </c>
      <c r="B579" s="5" t="n">
        <v>0.15</v>
      </c>
      <c r="C579" t="inlineStr">
        <is>
          <t>kilogram</t>
        </is>
      </c>
      <c r="D579" t="inlineStr">
        <is>
          <t>GLO</t>
        </is>
      </c>
      <c r="E579" t="inlineStr">
        <is>
          <t>technosphere</t>
        </is>
      </c>
      <c r="F579" t="inlineStr">
        <is>
          <t>copper scrap, sorted, pressed</t>
        </is>
      </c>
    </row>
    <row r="580">
      <c r="A580" t="inlineStr">
        <is>
          <t xml:space="preserve">market for metal working factory </t>
        </is>
      </c>
      <c r="B580" s="13">
        <f>4.4*10^-10</f>
        <v>4.4000000000000003E-10</v>
      </c>
      <c r="C580" t="inlineStr">
        <is>
          <t>unit</t>
        </is>
      </c>
      <c r="D580" t="inlineStr">
        <is>
          <t>GLO</t>
        </is>
      </c>
      <c r="E580" t="inlineStr">
        <is>
          <t>technosphere</t>
        </is>
      </c>
      <c r="F580" t="inlineStr">
        <is>
          <t>metal working factory</t>
        </is>
      </c>
    </row>
    <row r="581">
      <c r="A581" t="inlineStr">
        <is>
          <t>market for metal working, average for copper product manufacturing</t>
        </is>
      </c>
      <c r="B581" s="5" t="n">
        <v>0.97</v>
      </c>
      <c r="C581" t="inlineStr">
        <is>
          <t>kilogram</t>
        </is>
      </c>
      <c r="D581" t="inlineStr">
        <is>
          <t>GLO</t>
        </is>
      </c>
      <c r="E581" t="inlineStr">
        <is>
          <t>technosphere</t>
        </is>
      </c>
      <c r="F581" t="inlineStr">
        <is>
          <t>metal working, average for copper product manufacturing</t>
        </is>
      </c>
    </row>
    <row r="582">
      <c r="A582" t="inlineStr">
        <is>
          <t>market for plastic processing factory</t>
        </is>
      </c>
      <c r="B582" s="13">
        <f>2.3*10^-11</f>
        <v>2.2999999999999998E-11</v>
      </c>
      <c r="C582" t="inlineStr">
        <is>
          <t>unit</t>
        </is>
      </c>
      <c r="D582" t="inlineStr">
        <is>
          <t>GLO</t>
        </is>
      </c>
      <c r="E582" t="inlineStr">
        <is>
          <t>technosphere</t>
        </is>
      </c>
      <c r="F582" t="inlineStr">
        <is>
          <t>plastic processing factory</t>
        </is>
      </c>
    </row>
    <row r="583">
      <c r="B583" s="29" t="n"/>
    </row>
    <row r="584">
      <c r="B584" s="3" t="n"/>
      <c r="G584" s="3" t="n"/>
    </row>
    <row r="585"/>
    <row r="586" ht="16" customHeight="1">
      <c r="A586" s="1" t="inlineStr">
        <is>
          <t>Activity</t>
        </is>
      </c>
      <c r="B586" s="1" t="inlineStr">
        <is>
          <t>BMS production, for LiS battery</t>
        </is>
      </c>
    </row>
    <row r="587">
      <c r="A587" t="inlineStr">
        <is>
          <t>comment</t>
        </is>
      </c>
      <c r="B587" t="inlineStr">
        <is>
          <t>This activity is aggregated to match the requirements of one battery rack, as it is modelled in the lithium-sulfur study. This includes both the BMS on a module level as well as on the rack level. BMS=battery management system. PCB=printed circut board. Source: Wickerts et al. (2023). Prospective Life Cycle Assessment of Lithium-Sulfur Batteries for Stationary Energy Storage. ACS Sustainable Chemistry &amp; Engineering. https://doi.org/10.1021/acssuschemeng.3c00141</t>
        </is>
      </c>
    </row>
    <row r="588">
      <c r="A588" t="inlineStr">
        <is>
          <t>location</t>
        </is>
      </c>
      <c r="B588" t="inlineStr">
        <is>
          <t>GLO</t>
        </is>
      </c>
    </row>
    <row r="589">
      <c r="A589" t="inlineStr">
        <is>
          <t>production amount</t>
        </is>
      </c>
      <c r="B589" t="n">
        <v>1</v>
      </c>
    </row>
    <row r="590">
      <c r="A590" t="inlineStr">
        <is>
          <t>reference product</t>
        </is>
      </c>
      <c r="B590" t="inlineStr">
        <is>
          <t>BMS</t>
        </is>
      </c>
    </row>
    <row r="591">
      <c r="A591" t="inlineStr">
        <is>
          <t>unit</t>
        </is>
      </c>
      <c r="B591" t="inlineStr">
        <is>
          <t>unit</t>
        </is>
      </c>
    </row>
    <row r="592">
      <c r="A592" t="inlineStr">
        <is>
          <t>source</t>
        </is>
      </c>
      <c r="B592" t="inlineStr">
        <is>
          <t>Originally from  Wickerts et al. (2023). Prospective Life Cycle Assessment of Lithium-Sulfur Batteries for Stationary Energy Storage. ACS Sustainable Chemistry &amp; Engineering. Production of the BMS components is based on Nordelöf and Alatalo (2018), and Ellingsen et al. (2014)</t>
        </is>
      </c>
    </row>
    <row r="593">
      <c r="A593" s="2" t="inlineStr">
        <is>
          <t>Exchanges</t>
        </is>
      </c>
    </row>
    <row r="594">
      <c r="A594" t="inlineStr">
        <is>
          <t>name</t>
        </is>
      </c>
      <c r="B594" t="inlineStr">
        <is>
          <t>amount</t>
        </is>
      </c>
      <c r="C594" t="inlineStr">
        <is>
          <t>unit</t>
        </is>
      </c>
      <c r="D594" t="inlineStr">
        <is>
          <t>categories</t>
        </is>
      </c>
      <c r="E594" t="inlineStr">
        <is>
          <t>location</t>
        </is>
      </c>
      <c r="F594" t="inlineStr">
        <is>
          <t>type</t>
        </is>
      </c>
      <c r="G594" t="inlineStr">
        <is>
          <t>reference product</t>
        </is>
      </c>
    </row>
    <row r="595">
      <c r="A595" t="inlineStr">
        <is>
          <t>BMS production, for LiS battery</t>
        </is>
      </c>
      <c r="B595" t="n">
        <v>1</v>
      </c>
      <c r="C595" t="inlineStr">
        <is>
          <t>unit</t>
        </is>
      </c>
      <c r="E595" t="inlineStr">
        <is>
          <t>GLO</t>
        </is>
      </c>
      <c r="F595" t="inlineStr">
        <is>
          <t>production</t>
        </is>
      </c>
      <c r="G595" t="inlineStr">
        <is>
          <t>BMS</t>
        </is>
      </c>
    </row>
    <row r="596">
      <c r="A596" t="inlineStr">
        <is>
          <t>market for acrylonitrile-butadiene-styrene copolymer</t>
        </is>
      </c>
      <c r="B596" s="17" t="n">
        <v>0.0009</v>
      </c>
      <c r="C596" t="inlineStr">
        <is>
          <t>kilogram</t>
        </is>
      </c>
      <c r="E596" t="inlineStr">
        <is>
          <t>GLO</t>
        </is>
      </c>
      <c r="F596" t="inlineStr">
        <is>
          <t>technosphere</t>
        </is>
      </c>
      <c r="G596" t="inlineStr">
        <is>
          <t>acrylonitrile-butadiene-styrene copolymer</t>
        </is>
      </c>
    </row>
    <row r="597">
      <c r="A597" t="inlineStr">
        <is>
          <t>printed circuit board assembly, for LiS battery</t>
        </is>
      </c>
      <c r="B597" s="5" t="n">
        <v>0.152</v>
      </c>
      <c r="C597" t="inlineStr">
        <is>
          <t>square meter</t>
        </is>
      </c>
      <c r="E597" t="inlineStr">
        <is>
          <t>GLO</t>
        </is>
      </c>
      <c r="F597" t="inlineStr">
        <is>
          <t>technosphere</t>
        </is>
      </c>
      <c r="G597" t="inlineStr">
        <is>
          <t>BMS board, assembled, w/o external connector</t>
        </is>
      </c>
    </row>
    <row r="598">
      <c r="A598" t="inlineStr">
        <is>
          <t>market for brass</t>
        </is>
      </c>
      <c r="B598" s="31" t="n">
        <v>0.026</v>
      </c>
      <c r="C598" t="inlineStr">
        <is>
          <t>kilogram</t>
        </is>
      </c>
      <c r="E598" t="inlineStr">
        <is>
          <t>RoW</t>
        </is>
      </c>
      <c r="F598" t="inlineStr">
        <is>
          <t>technosphere</t>
        </is>
      </c>
      <c r="G598" t="inlineStr">
        <is>
          <t>brass</t>
        </is>
      </c>
    </row>
    <row r="599">
      <c r="A599" t="inlineStr">
        <is>
          <t>market for casting, brass</t>
        </is>
      </c>
      <c r="B599" s="31" t="n">
        <v>0.03</v>
      </c>
      <c r="C599" t="inlineStr">
        <is>
          <t>kilogram</t>
        </is>
      </c>
      <c r="E599" t="inlineStr">
        <is>
          <t>GLO</t>
        </is>
      </c>
      <c r="F599" t="inlineStr">
        <is>
          <t>technosphere</t>
        </is>
      </c>
      <c r="G599" t="inlineStr">
        <is>
          <t>casting, brass</t>
        </is>
      </c>
    </row>
    <row r="600">
      <c r="A600" t="inlineStr">
        <is>
          <t>market for electronic component factory</t>
        </is>
      </c>
      <c r="B600" s="13">
        <f>8.99*10^-8</f>
        <v>8.9900000000000004E-8</v>
      </c>
      <c r="C600" t="inlineStr">
        <is>
          <t>unit</t>
        </is>
      </c>
      <c r="E600" t="inlineStr">
        <is>
          <t>GLO</t>
        </is>
      </c>
      <c r="F600" t="inlineStr">
        <is>
          <t>technosphere</t>
        </is>
      </c>
      <c r="G600" t="inlineStr">
        <is>
          <t>electronic component factory</t>
        </is>
      </c>
    </row>
    <row r="601">
      <c r="A601" t="inlineStr">
        <is>
          <t>high voltage system production, for LiS battery</t>
        </is>
      </c>
      <c r="B601" s="30" t="n">
        <v>2.8</v>
      </c>
      <c r="C601" t="inlineStr">
        <is>
          <t>kilogram</t>
        </is>
      </c>
      <c r="E601" t="inlineStr">
        <is>
          <t>GLO</t>
        </is>
      </c>
      <c r="F601" t="inlineStr">
        <is>
          <t>technosphere</t>
        </is>
      </c>
      <c r="G601" t="inlineStr">
        <is>
          <t>high voltage system</t>
        </is>
      </c>
    </row>
    <row r="602">
      <c r="A602" t="inlineStr">
        <is>
          <t>IBIS fasteners production, for LiS battery</t>
        </is>
      </c>
      <c r="B602" s="31" t="n">
        <v>0.028</v>
      </c>
      <c r="C602" t="inlineStr">
        <is>
          <t>kilogram</t>
        </is>
      </c>
      <c r="E602" t="inlineStr">
        <is>
          <t>GLO</t>
        </is>
      </c>
      <c r="F602" t="inlineStr">
        <is>
          <t>technosphere</t>
        </is>
      </c>
      <c r="G602" t="inlineStr">
        <is>
          <t>IBIS fasteners</t>
        </is>
      </c>
    </row>
    <row r="603">
      <c r="A603" t="inlineStr">
        <is>
          <t>market for injection moulding</t>
        </is>
      </c>
      <c r="B603" s="13" t="n">
        <v>0.04</v>
      </c>
      <c r="C603" t="inlineStr">
        <is>
          <t>kilogram</t>
        </is>
      </c>
      <c r="E603" t="inlineStr">
        <is>
          <t>GLO</t>
        </is>
      </c>
      <c r="F603" t="inlineStr">
        <is>
          <t>technosphere</t>
        </is>
      </c>
      <c r="G603" t="inlineStr">
        <is>
          <t>injection moulding</t>
        </is>
      </c>
    </row>
    <row r="604">
      <c r="A604" t="inlineStr">
        <is>
          <t>selective soldering for mounting larger external connector on BMS board, for LiS battery</t>
        </is>
      </c>
      <c r="B604" s="31" t="n">
        <v>0.0677</v>
      </c>
      <c r="C604" t="inlineStr">
        <is>
          <t>square meter</t>
        </is>
      </c>
      <c r="E604" t="inlineStr">
        <is>
          <t>GLO</t>
        </is>
      </c>
      <c r="F604" t="inlineStr">
        <is>
          <t>technosphere</t>
        </is>
      </c>
      <c r="G604" t="inlineStr">
        <is>
          <t>logic board, assembled, with external connector</t>
        </is>
      </c>
    </row>
    <row r="605">
      <c r="A605" t="inlineStr">
        <is>
          <t>low voltage system production, for LiS battery</t>
        </is>
      </c>
      <c r="B605" s="30" t="n">
        <v>1.2</v>
      </c>
      <c r="C605" t="inlineStr">
        <is>
          <t>kilogram</t>
        </is>
      </c>
      <c r="E605" t="inlineStr">
        <is>
          <t>GLO</t>
        </is>
      </c>
      <c r="F605" t="inlineStr">
        <is>
          <t>technosphere</t>
        </is>
      </c>
      <c r="G605" t="inlineStr">
        <is>
          <t>low voltage system</t>
        </is>
      </c>
    </row>
    <row r="606">
      <c r="A606" t="inlineStr">
        <is>
          <t>market for metal working, average for steel product manufacturing</t>
        </is>
      </c>
      <c r="B606" s="30" t="n">
        <v>3.8</v>
      </c>
      <c r="C606" t="inlineStr">
        <is>
          <t>kilogram</t>
        </is>
      </c>
      <c r="E606" t="inlineStr">
        <is>
          <t>GLO</t>
        </is>
      </c>
      <c r="F606" t="inlineStr">
        <is>
          <t>technosphere</t>
        </is>
      </c>
      <c r="G606" t="inlineStr">
        <is>
          <t>metal working, average for steel product manufacturing</t>
        </is>
      </c>
    </row>
    <row r="607">
      <c r="A607" t="inlineStr">
        <is>
          <t>market for nylon 6</t>
        </is>
      </c>
      <c r="B607" s="29" t="n">
        <v>0.008500000000000001</v>
      </c>
      <c r="C607" t="inlineStr">
        <is>
          <t>kilogram</t>
        </is>
      </c>
      <c r="E607" t="inlineStr">
        <is>
          <t>RoW</t>
        </is>
      </c>
      <c r="F607" t="inlineStr">
        <is>
          <t>technosphere</t>
        </is>
      </c>
      <c r="G607" t="inlineStr">
        <is>
          <t>nylon 6</t>
        </is>
      </c>
    </row>
    <row r="608">
      <c r="A608" t="inlineStr">
        <is>
          <t>market for polyethylene terephthalate, granulate, amorphous</t>
        </is>
      </c>
      <c r="B608" s="31" t="n">
        <v>0.031</v>
      </c>
      <c r="C608" t="inlineStr">
        <is>
          <t>kilogram</t>
        </is>
      </c>
      <c r="E608" t="inlineStr">
        <is>
          <t>GLO</t>
        </is>
      </c>
      <c r="F608" t="inlineStr">
        <is>
          <t>technosphere</t>
        </is>
      </c>
      <c r="G608" t="inlineStr">
        <is>
          <t>polyethylene terephthalate, granulate, amorphous</t>
        </is>
      </c>
    </row>
    <row r="609">
      <c r="A609" t="inlineStr">
        <is>
          <t>market for steel, low-alloyed</t>
        </is>
      </c>
      <c r="B609" s="30" t="n">
        <v>3.8</v>
      </c>
      <c r="C609" t="inlineStr">
        <is>
          <t>kilogram</t>
        </is>
      </c>
      <c r="E609" t="inlineStr">
        <is>
          <t>GLO</t>
        </is>
      </c>
      <c r="F609" t="inlineStr">
        <is>
          <t>technosphere</t>
        </is>
      </c>
      <c r="G609" t="inlineStr">
        <is>
          <t>steel, low-alloyed</t>
        </is>
      </c>
    </row>
    <row r="610">
      <c r="B610" s="29" t="n"/>
    </row>
    <row r="611">
      <c r="B611" s="29" t="n"/>
    </row>
    <row r="612">
      <c r="G612" s="3" t="n"/>
    </row>
    <row r="613" ht="16" customHeight="1">
      <c r="A613" s="1" t="inlineStr">
        <is>
          <t>Activity</t>
        </is>
      </c>
      <c r="B613" s="1" t="inlineStr">
        <is>
          <t>board components and panel input to logic board, for LiS battery</t>
        </is>
      </c>
    </row>
    <row r="614" ht="16" customHeight="1">
      <c r="A614" s="16" t="inlineStr">
        <is>
          <t>comment</t>
        </is>
      </c>
      <c r="B614" s="16" t="inlineStr">
        <is>
          <t>Source: Wickerts et al. (2023). Prospective Life Cycle Assessment of Lithium-Sulfur Batteries for Stationary Energy Storage. ACS Sustainable Chemistry &amp; Engineering. https://doi.org/10.1021/acssuschemeng.3c00141</t>
        </is>
      </c>
    </row>
    <row r="615">
      <c r="A615" t="inlineStr">
        <is>
          <t>location</t>
        </is>
      </c>
      <c r="B615" t="inlineStr">
        <is>
          <t>GLO</t>
        </is>
      </c>
    </row>
    <row r="616">
      <c r="A616" t="inlineStr">
        <is>
          <t>production amount</t>
        </is>
      </c>
      <c r="B616" t="n">
        <v>1</v>
      </c>
    </row>
    <row r="617">
      <c r="A617" t="inlineStr">
        <is>
          <t>reference product</t>
        </is>
      </c>
      <c r="B617" t="inlineStr">
        <is>
          <t>BMS board and devices, unassembled</t>
        </is>
      </c>
    </row>
    <row r="618">
      <c r="A618" t="inlineStr">
        <is>
          <t>unit</t>
        </is>
      </c>
      <c r="B618" t="inlineStr">
        <is>
          <t>square meter</t>
        </is>
      </c>
    </row>
    <row r="619">
      <c r="A619" t="inlineStr">
        <is>
          <t>source</t>
        </is>
      </c>
      <c r="B619" t="inlineStr">
        <is>
          <t>Originally from  Wickerts et al. (2023). Prospective Life Cycle Assessment of Lithium-Sulfur Batteries for Stationary Energy Storage. ACS Sustainable Chemistry &amp; Engineering. Obtained from first author of Nordelöf and Alatalo (2018), Nordelöf et al. (2019) and Nordelöf (2019)</t>
        </is>
      </c>
    </row>
    <row r="620">
      <c r="A620" s="2" t="inlineStr">
        <is>
          <t>Exchanges</t>
        </is>
      </c>
    </row>
    <row r="621">
      <c r="A621" t="inlineStr">
        <is>
          <t>name</t>
        </is>
      </c>
      <c r="B621" t="inlineStr">
        <is>
          <t>amount</t>
        </is>
      </c>
      <c r="C621" t="inlineStr">
        <is>
          <t>unit</t>
        </is>
      </c>
      <c r="D621" t="inlineStr">
        <is>
          <t>categories</t>
        </is>
      </c>
      <c r="E621" t="inlineStr">
        <is>
          <t>location</t>
        </is>
      </c>
      <c r="F621" t="inlineStr">
        <is>
          <t>type</t>
        </is>
      </c>
      <c r="G621" t="inlineStr">
        <is>
          <t>reference product</t>
        </is>
      </c>
      <c r="H621" t="inlineStr">
        <is>
          <t>comment</t>
        </is>
      </c>
    </row>
    <row r="622">
      <c r="A622" t="inlineStr">
        <is>
          <t>Board components and panel input to logic board, for LiS battery</t>
        </is>
      </c>
      <c r="B622">
        <f>0.07/0.07</f>
        <v>1</v>
      </c>
      <c r="C622" t="inlineStr">
        <is>
          <t>square meter</t>
        </is>
      </c>
      <c r="E622" t="inlineStr">
        <is>
          <t>GLO</t>
        </is>
      </c>
      <c r="F622" t="inlineStr">
        <is>
          <t>production</t>
        </is>
      </c>
      <c r="G622" t="inlineStr">
        <is>
          <t>BMS board and devices, unassembled</t>
        </is>
      </c>
    </row>
    <row r="623">
      <c r="A623" t="inlineStr">
        <is>
          <t>market for capacitor, electrolyte type, &lt; 2cm height</t>
        </is>
      </c>
      <c r="B623" s="18">
        <f>38.4/0.07/1000</f>
        <v>0.5485714285714286</v>
      </c>
      <c r="C623" t="inlineStr">
        <is>
          <t>kilogram</t>
        </is>
      </c>
      <c r="E623" t="inlineStr">
        <is>
          <t>GLO</t>
        </is>
      </c>
      <c r="F623" t="inlineStr">
        <is>
          <t>technosphere</t>
        </is>
      </c>
      <c r="G623" t="inlineStr">
        <is>
          <t>capacitor, electrolyte type, &lt; 2cm height</t>
        </is>
      </c>
      <c r="H623" t="inlineStr">
        <is>
          <t>Multiplied by 10e-3 to convert from gram to kg</t>
        </is>
      </c>
    </row>
    <row r="624">
      <c r="A624" t="inlineStr">
        <is>
          <t>market for capacitor, for surface-mounting</t>
        </is>
      </c>
      <c r="B624" s="18">
        <f>19.7/0.07/1000</f>
        <v>0.28142857142857136</v>
      </c>
      <c r="C624" t="inlineStr">
        <is>
          <t>kilogram</t>
        </is>
      </c>
      <c r="E624" t="inlineStr">
        <is>
          <t>GLO</t>
        </is>
      </c>
      <c r="F624" t="inlineStr">
        <is>
          <t>technosphere</t>
        </is>
      </c>
      <c r="G624" t="inlineStr">
        <is>
          <t>capacitor, for surface-mounting</t>
        </is>
      </c>
      <c r="H624" t="inlineStr">
        <is>
          <t>Multiplied by 10e-3 to convert from gram to kg</t>
        </is>
      </c>
    </row>
    <row r="625">
      <c r="A625" t="inlineStr">
        <is>
          <t>market for diode, glass-, for surface-mounting</t>
        </is>
      </c>
      <c r="B625" s="30">
        <f>5.6/0.07/1000</f>
        <v>7.9999999999999988E-2</v>
      </c>
      <c r="C625" t="inlineStr">
        <is>
          <t>kilogram</t>
        </is>
      </c>
      <c r="E625" t="inlineStr">
        <is>
          <t>GLO</t>
        </is>
      </c>
      <c r="F625" t="inlineStr">
        <is>
          <t>technosphere</t>
        </is>
      </c>
      <c r="G625" t="inlineStr">
        <is>
          <t>diode, glass-, for surface-mounting</t>
        </is>
      </c>
      <c r="H625" t="inlineStr">
        <is>
          <t>Multiplied by 10e-3 to convert from gram to kg</t>
        </is>
      </c>
    </row>
    <row r="626">
      <c r="A626" t="inlineStr">
        <is>
          <t>market for electric connector, wire clamp</t>
        </is>
      </c>
      <c r="B626" s="18">
        <f>49.8/0.07/1000</f>
        <v>0.7114285714285713</v>
      </c>
      <c r="C626" t="inlineStr">
        <is>
          <t>kilogram</t>
        </is>
      </c>
      <c r="E626" t="inlineStr">
        <is>
          <t>GLO</t>
        </is>
      </c>
      <c r="F626" t="inlineStr">
        <is>
          <t>technosphere</t>
        </is>
      </c>
      <c r="G626" t="inlineStr">
        <is>
          <t>electric connector, wire clamp</t>
        </is>
      </c>
      <c r="H626" t="inlineStr">
        <is>
          <t>Multiplied by 10e-3 to convert from gram to kg</t>
        </is>
      </c>
    </row>
    <row r="627">
      <c r="A627" t="inlineStr">
        <is>
          <t>market for inductor, low value multilayer chip</t>
        </is>
      </c>
      <c r="B627" s="5">
        <f>0.2/0.07/1000</f>
        <v>2.8571428571428571E-3</v>
      </c>
      <c r="C627" t="inlineStr">
        <is>
          <t>kilogram</t>
        </is>
      </c>
      <c r="E627" t="inlineStr">
        <is>
          <t>GLO</t>
        </is>
      </c>
      <c r="F627" t="inlineStr">
        <is>
          <t>technosphere</t>
        </is>
      </c>
      <c r="G627" t="inlineStr">
        <is>
          <t>inductor, low value multilayer chip</t>
        </is>
      </c>
      <c r="H627" t="inlineStr">
        <is>
          <t>Multiplied by 10e-3 to convert from gram to kg</t>
        </is>
      </c>
    </row>
    <row r="628">
      <c r="A628" t="inlineStr">
        <is>
          <t>market for inductor, miniature radio frequency chip</t>
        </is>
      </c>
      <c r="B628" s="30">
        <f>3.6/0.07/1000</f>
        <v>5.1428571428571421E-2</v>
      </c>
      <c r="C628" t="inlineStr">
        <is>
          <t>kilogram</t>
        </is>
      </c>
      <c r="E628" t="inlineStr">
        <is>
          <t>GLO</t>
        </is>
      </c>
      <c r="F628" t="inlineStr">
        <is>
          <t>technosphere</t>
        </is>
      </c>
      <c r="G628" t="inlineStr">
        <is>
          <t>inductor, miniature radio frequency chip</t>
        </is>
      </c>
      <c r="H628" t="inlineStr">
        <is>
          <t>Multiplied by 10e-3 to convert from gram to kg</t>
        </is>
      </c>
    </row>
    <row r="629">
      <c r="A629" t="inlineStr">
        <is>
          <t>market for inductor, ring core choke type</t>
        </is>
      </c>
      <c r="B629" s="18">
        <f>59.1/0.07/1000</f>
        <v>0.84428571428571419</v>
      </c>
      <c r="C629" t="inlineStr">
        <is>
          <t>kilogram</t>
        </is>
      </c>
      <c r="E629" t="inlineStr">
        <is>
          <t>GLO</t>
        </is>
      </c>
      <c r="F629" t="inlineStr">
        <is>
          <t>technosphere</t>
        </is>
      </c>
      <c r="G629" t="inlineStr">
        <is>
          <t>inductor, ring core choke type</t>
        </is>
      </c>
      <c r="H629" t="inlineStr">
        <is>
          <t>Multiplied by 10e-3 to convert from gram to kg</t>
        </is>
      </c>
    </row>
    <row r="630">
      <c r="A630" t="inlineStr">
        <is>
          <t>market for integrated circuit, logic type</t>
        </is>
      </c>
      <c r="B630" s="18">
        <f>67.4/0.07/1000</f>
        <v>0.96285714285714286</v>
      </c>
      <c r="C630" t="inlineStr">
        <is>
          <t>kilogram</t>
        </is>
      </c>
      <c r="E630" t="inlineStr">
        <is>
          <t>GLO</t>
        </is>
      </c>
      <c r="F630" t="inlineStr">
        <is>
          <t>technosphere</t>
        </is>
      </c>
      <c r="G630" t="inlineStr">
        <is>
          <t>integrated circuit, logic type</t>
        </is>
      </c>
      <c r="H630" t="inlineStr">
        <is>
          <t>Multiplied by 10e-3 to convert from gram to kg</t>
        </is>
      </c>
    </row>
    <row r="631">
      <c r="A631" t="inlineStr">
        <is>
          <t>market for integrated circuit, memory type</t>
        </is>
      </c>
      <c r="B631" s="5">
        <f>0.4/0.07/1000</f>
        <v>5.7142857142857143E-3</v>
      </c>
      <c r="C631" t="inlineStr">
        <is>
          <t>kilogram</t>
        </is>
      </c>
      <c r="E631" t="inlineStr">
        <is>
          <t>GLO</t>
        </is>
      </c>
      <c r="F631" t="inlineStr">
        <is>
          <t>technosphere</t>
        </is>
      </c>
      <c r="G631" t="inlineStr">
        <is>
          <t>integrated circuit, memory type</t>
        </is>
      </c>
      <c r="H631" t="inlineStr">
        <is>
          <t>Multiplied by 10e-3 to convert from gram to kg</t>
        </is>
      </c>
    </row>
    <row r="632">
      <c r="A632" t="inlineStr">
        <is>
          <t>market for light emitting diode</t>
        </is>
      </c>
      <c r="B632" s="5">
        <f>0.1/0.07/1000</f>
        <v>1.4285714285714286E-3</v>
      </c>
      <c r="C632" t="inlineStr">
        <is>
          <t>kilogram</t>
        </is>
      </c>
      <c r="E632" t="inlineStr">
        <is>
          <t>GLO</t>
        </is>
      </c>
      <c r="F632" t="inlineStr">
        <is>
          <t>technosphere</t>
        </is>
      </c>
      <c r="G632" t="inlineStr">
        <is>
          <t>light emitting diode</t>
        </is>
      </c>
      <c r="H632" t="inlineStr">
        <is>
          <t>Multiplied by 10e-3 to convert from gram to kg</t>
        </is>
      </c>
      <c r="N632" s="5" t="n"/>
    </row>
    <row r="633">
      <c r="A633" t="inlineStr">
        <is>
          <t>market for mounting, surface mount technology, Pb-free solder</t>
        </is>
      </c>
      <c r="B633" s="5" t="n">
        <v>1.004</v>
      </c>
      <c r="C633" t="inlineStr">
        <is>
          <t>square meter</t>
        </is>
      </c>
      <c r="E633" t="inlineStr">
        <is>
          <t>GLO</t>
        </is>
      </c>
      <c r="F633" t="inlineStr">
        <is>
          <t>technosphere</t>
        </is>
      </c>
      <c r="G633" t="inlineStr">
        <is>
          <t>mounting, surface mount technology, Pb-free solder</t>
        </is>
      </c>
      <c r="H633" t="inlineStr">
        <is>
          <t>Activity name and product changed to match EI</t>
        </is>
      </c>
    </row>
    <row r="634">
      <c r="A634" t="inlineStr">
        <is>
          <t>market for resistor, surface-mounted</t>
        </is>
      </c>
      <c r="B634" s="30">
        <f>3.1/0.07/1000</f>
        <v>4.4285714285714282E-2</v>
      </c>
      <c r="C634" t="inlineStr">
        <is>
          <t>kilogram</t>
        </is>
      </c>
      <c r="E634" t="inlineStr">
        <is>
          <t>GLO</t>
        </is>
      </c>
      <c r="F634" t="inlineStr">
        <is>
          <t>technosphere</t>
        </is>
      </c>
      <c r="G634" t="inlineStr">
        <is>
          <t>resistor, surface-mounted</t>
        </is>
      </c>
      <c r="H634" t="inlineStr">
        <is>
          <t>Multiplied by 10e-3 to convert from gram to kg</t>
        </is>
      </c>
    </row>
    <row r="635">
      <c r="A635" t="inlineStr">
        <is>
          <t>market for switch, toggle type</t>
        </is>
      </c>
      <c r="B635" s="30">
        <f>3.1/0.07/1000</f>
        <v>4.4285714285714282E-2</v>
      </c>
      <c r="C635" t="inlineStr">
        <is>
          <t>kilogram</t>
        </is>
      </c>
      <c r="E635" t="inlineStr">
        <is>
          <t>GLO</t>
        </is>
      </c>
      <c r="F635" t="inlineStr">
        <is>
          <t>technosphere</t>
        </is>
      </c>
      <c r="G635" t="inlineStr">
        <is>
          <t>switch, toggle type</t>
        </is>
      </c>
      <c r="H635" t="inlineStr">
        <is>
          <t>Multiplied by 10e-3 to convert from gram to kg</t>
        </is>
      </c>
    </row>
    <row r="636">
      <c r="A636" t="inlineStr">
        <is>
          <t>market for transistor, surface-mounted</t>
        </is>
      </c>
      <c r="B636" s="30">
        <f>5.6/0.07/1000</f>
        <v>7.9999999999999988E-2</v>
      </c>
      <c r="C636" t="inlineStr">
        <is>
          <t>kilogram</t>
        </is>
      </c>
      <c r="E636" t="inlineStr">
        <is>
          <t>GLO</t>
        </is>
      </c>
      <c r="F636" t="inlineStr">
        <is>
          <t>technosphere</t>
        </is>
      </c>
      <c r="G636" t="inlineStr">
        <is>
          <t>transistor, surface-mounted</t>
        </is>
      </c>
      <c r="H636" t="inlineStr">
        <is>
          <t>Multiplied by 10e-3 to convert from gram to kg</t>
        </is>
      </c>
    </row>
    <row r="637">
      <c r="B637" s="29" t="n"/>
    </row>
    <row r="638">
      <c r="B638" s="29" t="n"/>
    </row>
    <row r="639"/>
    <row r="640" ht="16" customHeight="1">
      <c r="A640" s="1" t="inlineStr">
        <is>
          <t>Activity</t>
        </is>
      </c>
      <c r="B640" s="1" t="inlineStr">
        <is>
          <t>printed circuit board assembly, for LiS battery</t>
        </is>
      </c>
    </row>
    <row r="641" ht="16" customHeight="1">
      <c r="A641" s="16" t="inlineStr">
        <is>
          <t>comment</t>
        </is>
      </c>
      <c r="B641" s="16" t="inlineStr">
        <is>
          <t>Source: Wickerts et al. (2023). Prospective Life Cycle Assessment of Lithium-Sulfur Batteries for Stationary Energy Storage. ACS Sustainable Chemistry &amp; Engineering. https://doi.org/10.1021/acssuschemeng.3c00141</t>
        </is>
      </c>
    </row>
    <row r="642">
      <c r="A642" t="inlineStr">
        <is>
          <t>location</t>
        </is>
      </c>
      <c r="B642" t="inlineStr">
        <is>
          <t>GLO</t>
        </is>
      </c>
    </row>
    <row r="643">
      <c r="A643" t="inlineStr">
        <is>
          <t>production amount</t>
        </is>
      </c>
      <c r="B643" t="n">
        <v>1</v>
      </c>
    </row>
    <row r="644">
      <c r="A644" t="inlineStr">
        <is>
          <t>reference product</t>
        </is>
      </c>
      <c r="B644" t="inlineStr">
        <is>
          <t>BMS board, assembled, w/o external connector</t>
        </is>
      </c>
    </row>
    <row r="645">
      <c r="A645" t="inlineStr">
        <is>
          <t>unit</t>
        </is>
      </c>
      <c r="B645" t="inlineStr">
        <is>
          <t>square meter</t>
        </is>
      </c>
    </row>
    <row r="646">
      <c r="A646" t="inlineStr">
        <is>
          <t>source</t>
        </is>
      </c>
      <c r="B646" t="inlineStr">
        <is>
          <t>Originally from  Wickerts et al. (2023). Prospective Life Cycle Assessment of Lithium-Sulfur Batteries for Stationary Energy Storage. ACS Sustainable Chemistry &amp; Engineering. Obtained from first author of Nordelöf and Alatalo (2018), Nordelöf et al. (2019) and Nordelöf (2019)</t>
        </is>
      </c>
    </row>
    <row r="647">
      <c r="A647" s="2" t="inlineStr">
        <is>
          <t>Exchanges</t>
        </is>
      </c>
    </row>
    <row r="648">
      <c r="A648" t="inlineStr">
        <is>
          <t>name</t>
        </is>
      </c>
      <c r="B648" t="inlineStr">
        <is>
          <t>amount</t>
        </is>
      </c>
      <c r="C648" t="inlineStr">
        <is>
          <t>unit</t>
        </is>
      </c>
      <c r="D648" t="inlineStr">
        <is>
          <t>categories</t>
        </is>
      </c>
      <c r="E648" t="inlineStr">
        <is>
          <t>location</t>
        </is>
      </c>
      <c r="F648" t="inlineStr">
        <is>
          <t>type</t>
        </is>
      </c>
      <c r="G648" t="inlineStr">
        <is>
          <t>reference product</t>
        </is>
      </c>
      <c r="H648" t="inlineStr">
        <is>
          <t>comment</t>
        </is>
      </c>
    </row>
    <row r="649">
      <c r="A649" t="inlineStr">
        <is>
          <t>printed circuit board assembly, for LiS battery</t>
        </is>
      </c>
      <c r="B649" t="n">
        <v>1</v>
      </c>
      <c r="C649" t="inlineStr">
        <is>
          <t>square meter</t>
        </is>
      </c>
      <c r="E649" t="inlineStr">
        <is>
          <t>GLO</t>
        </is>
      </c>
      <c r="F649" t="inlineStr">
        <is>
          <t>production</t>
        </is>
      </c>
      <c r="G649" t="inlineStr">
        <is>
          <t>BMS board, assembled, w/o external connector</t>
        </is>
      </c>
    </row>
    <row r="650">
      <c r="A650" t="inlineStr">
        <is>
          <t>market for [thio]carbamate-compound</t>
        </is>
      </c>
      <c r="B650">
        <f>70/1000</f>
        <v>7.0000000000000007E-2</v>
      </c>
      <c r="C650" t="inlineStr">
        <is>
          <t>kilogram</t>
        </is>
      </c>
      <c r="E650" t="inlineStr">
        <is>
          <t>GLO</t>
        </is>
      </c>
      <c r="F650" t="inlineStr">
        <is>
          <t>technosphere</t>
        </is>
      </c>
      <c r="G650" t="inlineStr">
        <is>
          <t>[thio]carbamate-compound</t>
        </is>
      </c>
      <c r="H650" t="inlineStr">
        <is>
          <t>Multiplied by 10e- to convert from gram to kg</t>
        </is>
      </c>
    </row>
    <row r="651">
      <c r="A651" t="inlineStr">
        <is>
          <t>board components and panel input to logic board, for LiS battery</t>
        </is>
      </c>
      <c r="B651" t="n">
        <v>1</v>
      </c>
      <c r="C651" t="inlineStr">
        <is>
          <t>square meter</t>
        </is>
      </c>
      <c r="E651" t="inlineStr">
        <is>
          <t>GLO</t>
        </is>
      </c>
      <c r="F651" t="inlineStr">
        <is>
          <t>technosphere</t>
        </is>
      </c>
      <c r="G651" t="inlineStr">
        <is>
          <t>BMS board and devices, unassembled</t>
        </is>
      </c>
    </row>
    <row r="652">
      <c r="A652" t="inlineStr">
        <is>
          <t>market for butyl acetate</t>
        </is>
      </c>
      <c r="B652">
        <f>24/1000</f>
        <v>2.4E-2</v>
      </c>
      <c r="C652" t="inlineStr">
        <is>
          <t>kilogram</t>
        </is>
      </c>
      <c r="E652" t="inlineStr">
        <is>
          <t>RoW</t>
        </is>
      </c>
      <c r="F652" t="inlineStr">
        <is>
          <t>technosphere</t>
        </is>
      </c>
      <c r="G652" t="inlineStr">
        <is>
          <t>butyl acetate</t>
        </is>
      </c>
      <c r="H652" t="inlineStr">
        <is>
          <t>Multiplied by 10e- to convert from gram to kg</t>
        </is>
      </c>
    </row>
    <row r="653">
      <c r="A653" t="inlineStr">
        <is>
          <t>market for dipropylene glycol monomethyl ether</t>
        </is>
      </c>
      <c r="B653">
        <f>65/1000</f>
        <v>6.5000000000000002E-2</v>
      </c>
      <c r="C653" t="inlineStr">
        <is>
          <t>kilogram</t>
        </is>
      </c>
      <c r="E653" t="inlineStr">
        <is>
          <t>RoW</t>
        </is>
      </c>
      <c r="F653" t="inlineStr">
        <is>
          <t>technosphere</t>
        </is>
      </c>
      <c r="G653" t="inlineStr">
        <is>
          <t>dipropylene glycol monomethyl ether</t>
        </is>
      </c>
      <c r="H653" t="inlineStr">
        <is>
          <t>Multiplied by 10e- to convert from gram to kg</t>
        </is>
      </c>
    </row>
    <row r="654">
      <c r="A654" t="inlineStr">
        <is>
          <t>market group for electricity, medium voltage</t>
        </is>
      </c>
      <c r="B654" t="n">
        <v>46</v>
      </c>
      <c r="C654" t="inlineStr">
        <is>
          <t>kilowatt hour</t>
        </is>
      </c>
      <c r="E654" t="inlineStr">
        <is>
          <t>Europe without Switzerland</t>
        </is>
      </c>
      <c r="F654" t="inlineStr">
        <is>
          <t>technosphere</t>
        </is>
      </c>
      <c r="G654" t="inlineStr">
        <is>
          <t>electricity, medium voltage</t>
        </is>
      </c>
    </row>
    <row r="655">
      <c r="A655" t="inlineStr">
        <is>
          <t>market for isohexane</t>
        </is>
      </c>
      <c r="B655">
        <f>126/1000</f>
        <v>0.126</v>
      </c>
      <c r="C655" t="inlineStr">
        <is>
          <t>kilogram</t>
        </is>
      </c>
      <c r="E655" t="inlineStr">
        <is>
          <t>GLO</t>
        </is>
      </c>
      <c r="F655" t="inlineStr">
        <is>
          <t>technosphere</t>
        </is>
      </c>
      <c r="G655" t="inlineStr">
        <is>
          <t>isohexane</t>
        </is>
      </c>
      <c r="H655" t="inlineStr">
        <is>
          <t>Multiplied by 10e- to convert from gram to kg</t>
        </is>
      </c>
    </row>
    <row r="656">
      <c r="A656" t="inlineStr">
        <is>
          <t>market for monoethanolamine</t>
        </is>
      </c>
      <c r="B656">
        <f>10/1000</f>
        <v>0.01</v>
      </c>
      <c r="C656" t="inlineStr">
        <is>
          <t>kilogram</t>
        </is>
      </c>
      <c r="E656" t="inlineStr">
        <is>
          <t>GLO</t>
        </is>
      </c>
      <c r="F656" t="inlineStr">
        <is>
          <t>technosphere</t>
        </is>
      </c>
      <c r="G656" t="inlineStr">
        <is>
          <t>monoethanolamine</t>
        </is>
      </c>
      <c r="H656" t="inlineStr">
        <is>
          <t>Multiplied by 10e- to convert from gram to kg</t>
        </is>
      </c>
    </row>
    <row r="657">
      <c r="A657" t="inlineStr">
        <is>
          <t>market for nitrogen, liquid</t>
        </is>
      </c>
      <c r="B657" t="n">
        <v>64</v>
      </c>
      <c r="C657" t="inlineStr">
        <is>
          <t>kilogram</t>
        </is>
      </c>
      <c r="E657" t="inlineStr">
        <is>
          <t>RoW</t>
        </is>
      </c>
      <c r="F657" t="inlineStr">
        <is>
          <t>technosphere</t>
        </is>
      </c>
      <c r="G657" t="inlineStr">
        <is>
          <t>nitrogen, liquid</t>
        </is>
      </c>
      <c r="H657" t="inlineStr">
        <is>
          <t>Location changed from GLO to RoW</t>
        </is>
      </c>
    </row>
    <row r="658">
      <c r="A658" t="inlineStr">
        <is>
          <t>market for solder, paste, Sn95.5Ag3.9Cu0.6, for electronics industry</t>
        </is>
      </c>
      <c r="B658">
        <f>94/1000</f>
        <v>9.4E-2</v>
      </c>
      <c r="C658" t="inlineStr">
        <is>
          <t>kilogram</t>
        </is>
      </c>
      <c r="E658" t="inlineStr">
        <is>
          <t>GLO</t>
        </is>
      </c>
      <c r="F658" t="inlineStr">
        <is>
          <t>technosphere</t>
        </is>
      </c>
      <c r="G658" t="inlineStr">
        <is>
          <t>solder, paste, Sn95.5Ag3.9Cu0.6, for electronics industry</t>
        </is>
      </c>
      <c r="H658" t="inlineStr">
        <is>
          <t>Multiplied by 10e- to convert from gram to kg</t>
        </is>
      </c>
    </row>
    <row r="659">
      <c r="A659" t="inlineStr">
        <is>
          <t>market for water, deionised</t>
        </is>
      </c>
      <c r="B659">
        <f>320/1000</f>
        <v>0.32</v>
      </c>
      <c r="C659" t="inlineStr">
        <is>
          <t>kilogram</t>
        </is>
      </c>
      <c r="E659" t="inlineStr">
        <is>
          <t>RoW</t>
        </is>
      </c>
      <c r="F659" t="inlineStr">
        <is>
          <t>technosphere</t>
        </is>
      </c>
      <c r="G659" t="inlineStr">
        <is>
          <t>water, deionised</t>
        </is>
      </c>
      <c r="H659" t="inlineStr">
        <is>
          <t>Multiplied by 10e- to convert from gram to kg</t>
        </is>
      </c>
      <c r="K659" s="3" t="n"/>
    </row>
    <row r="660">
      <c r="A660" t="inlineStr">
        <is>
          <t>market for hazardous waste, for incineration</t>
        </is>
      </c>
      <c r="B660">
        <f>-3/1000</f>
        <v>-3.0000000000000001E-3</v>
      </c>
      <c r="C660" t="inlineStr">
        <is>
          <t>kilogram</t>
        </is>
      </c>
      <c r="E660" t="inlineStr">
        <is>
          <t>RoW</t>
        </is>
      </c>
      <c r="F660" t="inlineStr">
        <is>
          <t>technosphere</t>
        </is>
      </c>
      <c r="G660" t="inlineStr">
        <is>
          <t>hazardous waste, for incineration</t>
        </is>
      </c>
      <c r="H660" t="inlineStr">
        <is>
          <t>Multiplied by 10e- to convert from gram to kg</t>
        </is>
      </c>
    </row>
    <row r="661">
      <c r="A661" t="inlineStr">
        <is>
          <t>market for spent solvent mixture</t>
        </is>
      </c>
      <c r="B661">
        <f>-75/1000</f>
        <v>-7.4999999999999997E-2</v>
      </c>
      <c r="C661" t="inlineStr">
        <is>
          <t>kilogram</t>
        </is>
      </c>
      <c r="E661" t="inlineStr">
        <is>
          <t>RoW</t>
        </is>
      </c>
      <c r="F661" t="inlineStr">
        <is>
          <t>technosphere</t>
        </is>
      </c>
      <c r="G661" t="inlineStr">
        <is>
          <t>spent solvent mixture</t>
        </is>
      </c>
      <c r="H661" t="inlineStr">
        <is>
          <t>Multiplied by 10e- to convert from gram to kg</t>
        </is>
      </c>
    </row>
    <row r="662">
      <c r="A662" t="inlineStr">
        <is>
          <t>Ethanol</t>
        </is>
      </c>
      <c r="B662" s="18">
        <f>4/1000</f>
        <v>4.0000000000000001E-3</v>
      </c>
      <c r="C662" t="inlineStr">
        <is>
          <t>kilogram</t>
        </is>
      </c>
      <c r="D662" t="inlineStr">
        <is>
          <t>air</t>
        </is>
      </c>
      <c r="F662" t="inlineStr">
        <is>
          <t>biosphere</t>
        </is>
      </c>
      <c r="H662" t="inlineStr">
        <is>
          <t>Multiplied by 10e- to convert from gram to kg</t>
        </is>
      </c>
    </row>
    <row r="663">
      <c r="A663" t="inlineStr">
        <is>
          <t>NMVOC, non-methane volatile organic compounds</t>
        </is>
      </c>
      <c r="B663">
        <f>155/1000</f>
        <v>0.155</v>
      </c>
      <c r="C663" t="inlineStr">
        <is>
          <t>kilogram</t>
        </is>
      </c>
      <c r="D663" t="inlineStr">
        <is>
          <t>air</t>
        </is>
      </c>
      <c r="F663" t="inlineStr">
        <is>
          <t>biosphere</t>
        </is>
      </c>
      <c r="H663" t="inlineStr">
        <is>
          <t>Multiplied by 10e- to convert from gram to kg</t>
        </is>
      </c>
    </row>
    <row r="664">
      <c r="B664" s="3" t="n"/>
    </row>
    <row r="665"/>
    <row r="666"/>
    <row r="667" ht="16" customHeight="1">
      <c r="A667" s="1" t="inlineStr">
        <is>
          <t>Activity</t>
        </is>
      </c>
      <c r="B667" s="1" t="inlineStr">
        <is>
          <t>selective soldering for mounting larger external connector on BMS board, for LiS battery</t>
        </is>
      </c>
    </row>
    <row r="668" ht="16" customHeight="1">
      <c r="A668" s="16" t="inlineStr">
        <is>
          <t>comment</t>
        </is>
      </c>
      <c r="B668" s="16" t="inlineStr">
        <is>
          <t>Source: Wickerts et al. (2023). Prospective Life Cycle Assessment of Lithium-Sulfur Batteries for Stationary Energy Storage. ACS Sustainable Chemistry &amp; Engineering. https://doi.org/10.1021/acssuschemeng.3c00141</t>
        </is>
      </c>
    </row>
    <row r="669">
      <c r="A669" t="inlineStr">
        <is>
          <t>location</t>
        </is>
      </c>
      <c r="B669" t="inlineStr">
        <is>
          <t>GLO</t>
        </is>
      </c>
    </row>
    <row r="670">
      <c r="A670" t="inlineStr">
        <is>
          <t>production amount</t>
        </is>
      </c>
      <c r="B670" t="n">
        <v>1</v>
      </c>
    </row>
    <row r="671">
      <c r="A671" t="inlineStr">
        <is>
          <t>reference product</t>
        </is>
      </c>
      <c r="B671" t="inlineStr">
        <is>
          <t>logic board, assembled, with external connector</t>
        </is>
      </c>
    </row>
    <row r="672">
      <c r="A672" t="inlineStr">
        <is>
          <t>unit</t>
        </is>
      </c>
      <c r="B672" t="inlineStr">
        <is>
          <t>square meter</t>
        </is>
      </c>
    </row>
    <row r="673">
      <c r="A673" t="inlineStr">
        <is>
          <t>source</t>
        </is>
      </c>
      <c r="B673" t="inlineStr">
        <is>
          <t>Originally from  Wickerts et al. (2023). Prospective Life Cycle Assessment of Lithium-Sulfur Batteries for Stationary Energy Storage. ACS Sustainable Chemistry &amp; Engineering. Obtained from first author of Nordelöf and Alatalo (2018), Nordelöf et al. (2019) and Nordelöf (2019)</t>
        </is>
      </c>
    </row>
    <row r="674">
      <c r="A674" s="2" t="inlineStr">
        <is>
          <t>Exchanges</t>
        </is>
      </c>
    </row>
    <row r="675">
      <c r="A675" t="inlineStr">
        <is>
          <t>name</t>
        </is>
      </c>
      <c r="B675" t="inlineStr">
        <is>
          <t>amount</t>
        </is>
      </c>
      <c r="C675" t="inlineStr">
        <is>
          <t>unit</t>
        </is>
      </c>
      <c r="D675" t="inlineStr">
        <is>
          <t>location</t>
        </is>
      </c>
      <c r="E675" t="inlineStr">
        <is>
          <t>type</t>
        </is>
      </c>
      <c r="F675" t="inlineStr">
        <is>
          <t>reference product</t>
        </is>
      </c>
      <c r="G675" t="inlineStr">
        <is>
          <t>comment</t>
        </is>
      </c>
    </row>
    <row r="676">
      <c r="A676" t="inlineStr">
        <is>
          <t>selective soldering for mounting larger external connector on BMS board, for LiS battery</t>
        </is>
      </c>
      <c r="B676">
        <f>0.5/0.5</f>
        <v>1</v>
      </c>
      <c r="C676" t="inlineStr">
        <is>
          <t>square meter</t>
        </is>
      </c>
      <c r="D676" t="inlineStr">
        <is>
          <t>GLO</t>
        </is>
      </c>
      <c r="E676" t="inlineStr">
        <is>
          <t>production</t>
        </is>
      </c>
      <c r="F676" t="inlineStr">
        <is>
          <t>logic board, assembled, with external connector</t>
        </is>
      </c>
    </row>
    <row r="677">
      <c r="A677" t="inlineStr">
        <is>
          <t>market for adipic acid</t>
        </is>
      </c>
      <c r="B677" s="18">
        <f>10/1000</f>
        <v>0.01</v>
      </c>
      <c r="C677" t="inlineStr">
        <is>
          <t>kilogram</t>
        </is>
      </c>
      <c r="D677" t="inlineStr">
        <is>
          <t>GLO</t>
        </is>
      </c>
      <c r="E677" t="inlineStr">
        <is>
          <t>technosphere</t>
        </is>
      </c>
      <c r="F677" t="inlineStr">
        <is>
          <t>adipic acid</t>
        </is>
      </c>
      <c r="G677" t="inlineStr">
        <is>
          <t>Multiplied by 10e- to convert from gram to kg</t>
        </is>
      </c>
    </row>
    <row r="678">
      <c r="A678" t="inlineStr">
        <is>
          <t>printed circuit board assembly, for LiS battery</t>
        </is>
      </c>
      <c r="B678" s="30">
        <f>0.5/0.5</f>
        <v>1</v>
      </c>
      <c r="C678" t="inlineStr">
        <is>
          <t>square meter</t>
        </is>
      </c>
      <c r="D678" t="inlineStr">
        <is>
          <t>GLO</t>
        </is>
      </c>
      <c r="E678" t="inlineStr">
        <is>
          <t>technosphere</t>
        </is>
      </c>
      <c r="F678" t="inlineStr">
        <is>
          <t>BMS board, assembled, w/o external connector</t>
        </is>
      </c>
    </row>
    <row r="679">
      <c r="A679" t="inlineStr">
        <is>
          <t>market for electric connector, wire clamp</t>
        </is>
      </c>
      <c r="B679" s="13">
        <f>19000/1000</f>
        <v>19</v>
      </c>
      <c r="C679" t="inlineStr">
        <is>
          <t>kilogram</t>
        </is>
      </c>
      <c r="D679" t="inlineStr">
        <is>
          <t>GLO</t>
        </is>
      </c>
      <c r="E679" t="inlineStr">
        <is>
          <t>technosphere</t>
        </is>
      </c>
      <c r="F679" t="inlineStr">
        <is>
          <t>electric connector, wire clamp</t>
        </is>
      </c>
      <c r="G679" t="inlineStr">
        <is>
          <t>Multiplied by 10e- to convert from gram to kg</t>
        </is>
      </c>
    </row>
    <row r="680">
      <c r="A680" t="inlineStr">
        <is>
          <t>market group for electricity, medium voltage</t>
        </is>
      </c>
      <c r="B680" s="18" t="n">
        <v>72.40000000000001</v>
      </c>
      <c r="C680" t="inlineStr">
        <is>
          <t>kilowatt hour</t>
        </is>
      </c>
      <c r="D680" t="inlineStr">
        <is>
          <t>Europe without Switzerland</t>
        </is>
      </c>
      <c r="E680" t="inlineStr">
        <is>
          <t>technosphere</t>
        </is>
      </c>
      <c r="F680" t="inlineStr">
        <is>
          <t>electricity, medium voltage</t>
        </is>
      </c>
    </row>
    <row r="681">
      <c r="A681" t="inlineStr">
        <is>
          <t>market for nitrogen, liquid</t>
        </is>
      </c>
      <c r="B681" s="18" t="n">
        <v>21</v>
      </c>
      <c r="C681" t="inlineStr">
        <is>
          <t>kilogram</t>
        </is>
      </c>
      <c r="D681" t="inlineStr">
        <is>
          <t>RoW</t>
        </is>
      </c>
      <c r="E681" t="inlineStr">
        <is>
          <t>technosphere</t>
        </is>
      </c>
      <c r="F681" t="inlineStr">
        <is>
          <t>nitrogen, liquid</t>
        </is>
      </c>
    </row>
    <row r="682">
      <c r="A682" t="inlineStr">
        <is>
          <t>market for solder, paste, Sn95.5Ag3.9Cu0.6, for electronics industry</t>
        </is>
      </c>
      <c r="B682" s="18">
        <f>442/1000</f>
        <v>0.442</v>
      </c>
      <c r="C682" t="inlineStr">
        <is>
          <t>kilogram</t>
        </is>
      </c>
      <c r="D682" t="inlineStr">
        <is>
          <t>GLO</t>
        </is>
      </c>
      <c r="E682" t="inlineStr">
        <is>
          <t>technosphere</t>
        </is>
      </c>
      <c r="F682" t="inlineStr">
        <is>
          <t>solder, paste, Sn95.5Ag3.9Cu0.6, for electronics industry</t>
        </is>
      </c>
      <c r="G682" t="inlineStr">
        <is>
          <t>Multiplied by 10e- to convert from gram to kg</t>
        </is>
      </c>
    </row>
    <row r="683">
      <c r="A683" t="inlineStr">
        <is>
          <t>market for water, deionised</t>
        </is>
      </c>
      <c r="B683" s="18">
        <f>180/1000</f>
        <v>0.18</v>
      </c>
      <c r="C683" t="inlineStr">
        <is>
          <t>kilogram</t>
        </is>
      </c>
      <c r="D683" t="inlineStr">
        <is>
          <t>RoW</t>
        </is>
      </c>
      <c r="E683" t="inlineStr">
        <is>
          <t>technosphere</t>
        </is>
      </c>
      <c r="F683" t="inlineStr">
        <is>
          <t>water, deionised</t>
        </is>
      </c>
      <c r="G683" t="inlineStr">
        <is>
          <t>Multiplied by 10e- to convert from gram to kg</t>
        </is>
      </c>
    </row>
    <row r="684">
      <c r="B684" s="29" t="n"/>
    </row>
    <row r="685">
      <c r="B685" s="29" t="n"/>
    </row>
    <row r="686"/>
    <row r="687" ht="16" customHeight="1">
      <c r="A687" s="1" t="inlineStr">
        <is>
          <t>Activity</t>
        </is>
      </c>
      <c r="B687" s="1" t="inlineStr">
        <is>
          <t>high voltage system production, for LiS battery</t>
        </is>
      </c>
    </row>
    <row r="688" ht="16" customHeight="1">
      <c r="A688" s="16" t="inlineStr">
        <is>
          <t>comment</t>
        </is>
      </c>
      <c r="B688" s="16" t="inlineStr">
        <is>
          <t>Source: Wickerts et al. (2023). Prospective Life Cycle Assessment of Lithium-Sulfur Batteries for Stationary Energy Storage. ACS Sustainable Chemistry &amp; Engineering. https://doi.org/10.1021/acssuschemeng.3c00141</t>
        </is>
      </c>
    </row>
    <row r="689">
      <c r="A689" t="inlineStr">
        <is>
          <t>location</t>
        </is>
      </c>
      <c r="B689" t="inlineStr">
        <is>
          <t>GLO</t>
        </is>
      </c>
    </row>
    <row r="690">
      <c r="A690" t="inlineStr">
        <is>
          <t>production amount</t>
        </is>
      </c>
      <c r="B690" t="n">
        <v>1</v>
      </c>
    </row>
    <row r="691">
      <c r="A691" t="inlineStr">
        <is>
          <t>reference product</t>
        </is>
      </c>
      <c r="B691" t="inlineStr">
        <is>
          <t>high voltage system</t>
        </is>
      </c>
    </row>
    <row r="692">
      <c r="A692" t="inlineStr">
        <is>
          <t>unit</t>
        </is>
      </c>
      <c r="B692" t="inlineStr">
        <is>
          <t>kilogram</t>
        </is>
      </c>
    </row>
    <row r="693">
      <c r="A693" t="inlineStr">
        <is>
          <t>source</t>
        </is>
      </c>
      <c r="B693" t="inlineStr">
        <is>
          <t>Originally from  Wickerts et al. (2023). Prospective Life Cycle Assessment of Lithium-Sulfur Batteries for Stationary Energy Storage. ACS Sustainable Chemistry &amp; Engineering. Obtained from Ellingsen et al. (2014)</t>
        </is>
      </c>
    </row>
    <row r="694">
      <c r="A694" s="2" t="inlineStr">
        <is>
          <t>Exchanges</t>
        </is>
      </c>
    </row>
    <row r="695">
      <c r="A695" t="inlineStr">
        <is>
          <t>name</t>
        </is>
      </c>
      <c r="B695" t="inlineStr">
        <is>
          <t>amount</t>
        </is>
      </c>
      <c r="C695" t="inlineStr">
        <is>
          <t>unit</t>
        </is>
      </c>
      <c r="D695" t="inlineStr">
        <is>
          <t>location</t>
        </is>
      </c>
      <c r="E695" t="inlineStr">
        <is>
          <t>type</t>
        </is>
      </c>
      <c r="F695" t="inlineStr">
        <is>
          <t>reference product</t>
        </is>
      </c>
    </row>
    <row r="696">
      <c r="A696" t="inlineStr">
        <is>
          <t>high voltage system production, for LiS battery</t>
        </is>
      </c>
      <c r="B696" t="n">
        <v>1</v>
      </c>
      <c r="C696" t="inlineStr">
        <is>
          <t>kilogram</t>
        </is>
      </c>
      <c r="D696" t="inlineStr">
        <is>
          <t>GLO</t>
        </is>
      </c>
      <c r="E696" t="inlineStr">
        <is>
          <t>production</t>
        </is>
      </c>
      <c r="F696" t="inlineStr">
        <is>
          <t>high voltage system</t>
        </is>
      </c>
    </row>
    <row r="697">
      <c r="A697" t="inlineStr">
        <is>
          <t>market for aluminium, primary, ingot</t>
        </is>
      </c>
      <c r="B697" s="5" t="n">
        <v>0.12</v>
      </c>
      <c r="C697" t="inlineStr">
        <is>
          <t>kilogram</t>
        </is>
      </c>
      <c r="D697" t="inlineStr">
        <is>
          <t>RoW</t>
        </is>
      </c>
      <c r="E697" t="inlineStr">
        <is>
          <t>technosphere</t>
        </is>
      </c>
      <c r="F697" t="inlineStr">
        <is>
          <t>aluminium, primary, ingot</t>
        </is>
      </c>
    </row>
    <row r="698">
      <c r="A698" t="inlineStr">
        <is>
          <t>market for cable, ribbon cable, 20-pin, with plugs</t>
        </is>
      </c>
      <c r="B698" s="5" t="n">
        <v>0.45</v>
      </c>
      <c r="C698" t="inlineStr">
        <is>
          <t>kilogram</t>
        </is>
      </c>
      <c r="D698" t="inlineStr">
        <is>
          <t>GLO</t>
        </is>
      </c>
      <c r="E698" t="inlineStr">
        <is>
          <t>technosphere</t>
        </is>
      </c>
      <c r="F698" t="inlineStr">
        <is>
          <t>cable, ribbon cable, 20-pin, with plugs</t>
        </is>
      </c>
    </row>
    <row r="699">
      <c r="A699" t="inlineStr">
        <is>
          <t>market for copper scrap, sorted, pressed</t>
        </is>
      </c>
      <c r="B699" s="31" t="n">
        <v>0.041</v>
      </c>
      <c r="C699" t="inlineStr">
        <is>
          <t>kilogram</t>
        </is>
      </c>
      <c r="D699" t="inlineStr">
        <is>
          <t>GLO</t>
        </is>
      </c>
      <c r="E699" t="inlineStr">
        <is>
          <t>technosphere</t>
        </is>
      </c>
      <c r="F699" t="inlineStr">
        <is>
          <t>copper scrap, sorted, pressed</t>
        </is>
      </c>
    </row>
    <row r="700">
      <c r="A700" t="inlineStr">
        <is>
          <t>market for copper, cathode</t>
        </is>
      </c>
      <c r="B700" s="5" t="n">
        <v>0.23</v>
      </c>
      <c r="C700" t="inlineStr">
        <is>
          <t>kilogram</t>
        </is>
      </c>
      <c r="D700" t="inlineStr">
        <is>
          <t>GLO</t>
        </is>
      </c>
      <c r="E700" t="inlineStr">
        <is>
          <t>technosphere</t>
        </is>
      </c>
      <c r="F700" t="inlineStr">
        <is>
          <t>copper, cathode</t>
        </is>
      </c>
    </row>
    <row r="701">
      <c r="A701" t="inlineStr">
        <is>
          <t>market for electronic component factory</t>
        </is>
      </c>
      <c r="B701" s="13">
        <f>2*10^-8</f>
        <v>2E-8</v>
      </c>
      <c r="C701" t="inlineStr">
        <is>
          <t>unit</t>
        </is>
      </c>
      <c r="D701" t="inlineStr">
        <is>
          <t>GLO</t>
        </is>
      </c>
      <c r="E701" t="inlineStr">
        <is>
          <t>technosphere</t>
        </is>
      </c>
      <c r="F701" t="inlineStr">
        <is>
          <t>electronic component factory</t>
        </is>
      </c>
    </row>
    <row r="702">
      <c r="A702" t="inlineStr">
        <is>
          <t>market for injection moulding</t>
        </is>
      </c>
      <c r="B702" s="5" t="n">
        <v>0.14</v>
      </c>
      <c r="C702" t="inlineStr">
        <is>
          <t>kilogram</t>
        </is>
      </c>
      <c r="D702" t="inlineStr">
        <is>
          <t>GLO</t>
        </is>
      </c>
      <c r="E702" t="inlineStr">
        <is>
          <t>technosphere</t>
        </is>
      </c>
      <c r="F702" t="inlineStr">
        <is>
          <t>injection moulding</t>
        </is>
      </c>
    </row>
    <row r="703">
      <c r="A703" t="inlineStr">
        <is>
          <t>market for metal working, average for aluminium product manufacturing</t>
        </is>
      </c>
      <c r="B703" s="5" t="n">
        <v>0.12</v>
      </c>
      <c r="C703" t="inlineStr">
        <is>
          <t>kilogram</t>
        </is>
      </c>
      <c r="D703" t="inlineStr">
        <is>
          <t>GLO</t>
        </is>
      </c>
      <c r="E703" t="inlineStr">
        <is>
          <t>technosphere</t>
        </is>
      </c>
      <c r="F703" t="inlineStr">
        <is>
          <t>metal working, average for aluminium product manufacturing</t>
        </is>
      </c>
    </row>
    <row r="704">
      <c r="A704" t="inlineStr">
        <is>
          <t>metal working, average for copper product manufacturing</t>
        </is>
      </c>
      <c r="B704" s="5" t="n">
        <v>0.27</v>
      </c>
      <c r="C704" t="inlineStr">
        <is>
          <t>kilogram</t>
        </is>
      </c>
      <c r="D704" t="inlineStr">
        <is>
          <t>RoW</t>
        </is>
      </c>
      <c r="E704" t="inlineStr">
        <is>
          <t>technosphere</t>
        </is>
      </c>
      <c r="F704" t="inlineStr">
        <is>
          <t>metal working, average for copper product manufacturing</t>
        </is>
      </c>
    </row>
    <row r="705">
      <c r="A705" t="inlineStr">
        <is>
          <t>metal working, average for metal product manufacturing</t>
        </is>
      </c>
      <c r="B705" t="n">
        <v>0.016</v>
      </c>
      <c r="C705" t="inlineStr">
        <is>
          <t>kilogram</t>
        </is>
      </c>
      <c r="D705" t="inlineStr">
        <is>
          <t>RoW</t>
        </is>
      </c>
      <c r="E705" t="inlineStr">
        <is>
          <t>technosphere</t>
        </is>
      </c>
      <c r="F705" t="inlineStr">
        <is>
          <t>metal working, average for metal product manufacturing</t>
        </is>
      </c>
      <c r="G705" s="3" t="n"/>
    </row>
    <row r="706">
      <c r="A706" t="inlineStr">
        <is>
          <t>market for metal working, average for steel product manufacturing</t>
        </is>
      </c>
      <c r="B706" s="29" t="n">
        <v>0.0014</v>
      </c>
      <c r="C706" t="inlineStr">
        <is>
          <t>kilogram</t>
        </is>
      </c>
      <c r="D706" t="inlineStr">
        <is>
          <t>GLO</t>
        </is>
      </c>
      <c r="E706" t="inlineStr">
        <is>
          <t>technosphere</t>
        </is>
      </c>
      <c r="F706" t="inlineStr">
        <is>
          <t>metal working, average for steel product manufacturing</t>
        </is>
      </c>
    </row>
    <row r="707">
      <c r="A707" t="inlineStr">
        <is>
          <t>market for nylon 6-6</t>
        </is>
      </c>
      <c r="B707" s="31" t="n">
        <v>0.044</v>
      </c>
      <c r="C707" t="inlineStr">
        <is>
          <t>kilogram</t>
        </is>
      </c>
      <c r="D707" t="inlineStr">
        <is>
          <t>RoW</t>
        </is>
      </c>
      <c r="E707" t="inlineStr">
        <is>
          <t>technosphere</t>
        </is>
      </c>
      <c r="F707" t="inlineStr">
        <is>
          <t>nylon 6-6</t>
        </is>
      </c>
    </row>
    <row r="708">
      <c r="A708" t="inlineStr">
        <is>
          <t>market for polyethylene terephthalate, granulate, amorphous</t>
        </is>
      </c>
      <c r="B708" s="29" t="n">
        <v>0.0057</v>
      </c>
      <c r="C708" t="inlineStr">
        <is>
          <t>kilogram</t>
        </is>
      </c>
      <c r="D708" t="inlineStr">
        <is>
          <t>GLO</t>
        </is>
      </c>
      <c r="E708" t="inlineStr">
        <is>
          <t>technosphere</t>
        </is>
      </c>
      <c r="F708" t="inlineStr">
        <is>
          <t>polyethylene terephthalate, granulate, amorphous</t>
        </is>
      </c>
    </row>
    <row r="709">
      <c r="A709" t="inlineStr">
        <is>
          <t>market for polyphenylene sulfide</t>
        </is>
      </c>
      <c r="B709" s="31" t="n">
        <v>0.032</v>
      </c>
      <c r="C709" t="inlineStr">
        <is>
          <t>kilogram</t>
        </is>
      </c>
      <c r="D709" t="inlineStr">
        <is>
          <t>GLO</t>
        </is>
      </c>
      <c r="E709" t="inlineStr">
        <is>
          <t>technosphere</t>
        </is>
      </c>
      <c r="F709" t="inlineStr">
        <is>
          <t>polyphenylene sulfide</t>
        </is>
      </c>
    </row>
    <row r="710">
      <c r="A710" t="inlineStr">
        <is>
          <t>market for steel, low-alloyed</t>
        </is>
      </c>
      <c r="B710" s="29" t="n">
        <v>0.0014</v>
      </c>
      <c r="C710" t="inlineStr">
        <is>
          <t>kilogram</t>
        </is>
      </c>
      <c r="D710" t="inlineStr">
        <is>
          <t>GLO</t>
        </is>
      </c>
      <c r="E710" t="inlineStr">
        <is>
          <t>technosphere</t>
        </is>
      </c>
      <c r="F710" t="inlineStr">
        <is>
          <t>steel, low-alloyed</t>
        </is>
      </c>
    </row>
    <row r="711">
      <c r="A711" t="inlineStr">
        <is>
          <t>market for synthetic rubber</t>
        </is>
      </c>
      <c r="B711" s="29" t="n">
        <v>0.0036</v>
      </c>
      <c r="C711" t="inlineStr">
        <is>
          <t>kilogram</t>
        </is>
      </c>
      <c r="D711" t="inlineStr">
        <is>
          <t>GLO</t>
        </is>
      </c>
      <c r="E711" t="inlineStr">
        <is>
          <t>technosphere</t>
        </is>
      </c>
      <c r="F711" t="inlineStr">
        <is>
          <t>synthetic rubber</t>
        </is>
      </c>
    </row>
    <row r="712">
      <c r="A712" t="inlineStr">
        <is>
          <t>market for tin</t>
        </is>
      </c>
      <c r="B712" s="31" t="n">
        <v>0.016</v>
      </c>
      <c r="C712" t="inlineStr">
        <is>
          <t>kilogram</t>
        </is>
      </c>
      <c r="D712" t="inlineStr">
        <is>
          <t>GLO</t>
        </is>
      </c>
      <c r="E712" t="inlineStr">
        <is>
          <t>technosphere</t>
        </is>
      </c>
      <c r="F712" t="inlineStr">
        <is>
          <t>tin</t>
        </is>
      </c>
    </row>
    <row r="713">
      <c r="B713" s="29" t="n"/>
    </row>
    <row r="714">
      <c r="B714" s="29" t="n"/>
    </row>
    <row r="715"/>
    <row r="716" ht="16" customHeight="1">
      <c r="A716" s="1" t="inlineStr">
        <is>
          <t>Activity</t>
        </is>
      </c>
      <c r="B716" s="1" t="inlineStr">
        <is>
          <t>low voltage system production, for LiS battery</t>
        </is>
      </c>
    </row>
    <row r="717" ht="16" customHeight="1">
      <c r="A717" s="16" t="inlineStr">
        <is>
          <t>comment</t>
        </is>
      </c>
      <c r="B717" s="16" t="inlineStr">
        <is>
          <t>Source: Wickerts et al. (2023). Prospective Life Cycle Assessment of Lithium-Sulfur Batteries for Stationary Energy Storage. ACS Sustainable Chemistry &amp; Engineering. https://doi.org/10.1021/acssuschemeng.3c00141</t>
        </is>
      </c>
    </row>
    <row r="718">
      <c r="A718" t="inlineStr">
        <is>
          <t>location</t>
        </is>
      </c>
      <c r="B718" t="inlineStr">
        <is>
          <t>GLO</t>
        </is>
      </c>
    </row>
    <row r="719">
      <c r="A719" t="inlineStr">
        <is>
          <t>production amount</t>
        </is>
      </c>
      <c r="B719" t="n">
        <v>1</v>
      </c>
    </row>
    <row r="720">
      <c r="A720" t="inlineStr">
        <is>
          <t>reference product</t>
        </is>
      </c>
      <c r="B720" t="inlineStr">
        <is>
          <t>low voltage system</t>
        </is>
      </c>
    </row>
    <row r="721">
      <c r="A721" t="inlineStr">
        <is>
          <t>unit</t>
        </is>
      </c>
      <c r="B721" t="inlineStr">
        <is>
          <t>kilogram</t>
        </is>
      </c>
    </row>
    <row r="722">
      <c r="A722" t="inlineStr">
        <is>
          <t>source</t>
        </is>
      </c>
      <c r="B722" t="inlineStr">
        <is>
          <t>Originally from  Wickerts et al. (2023). Prospective Life Cycle Assessment of Lithium-Sulfur Batteries for Stationary Energy Storage. ACS Sustainable Chemistry &amp; Engineering. Obtained from Ellingsen et al. (2014)</t>
        </is>
      </c>
    </row>
    <row r="723">
      <c r="A723" s="2" t="inlineStr">
        <is>
          <t>Exchanges</t>
        </is>
      </c>
    </row>
    <row r="724">
      <c r="A724" t="inlineStr">
        <is>
          <t>name</t>
        </is>
      </c>
      <c r="B724" t="inlineStr">
        <is>
          <t>amount</t>
        </is>
      </c>
      <c r="C724" t="inlineStr">
        <is>
          <t>unit</t>
        </is>
      </c>
      <c r="D724" t="inlineStr">
        <is>
          <t>categories</t>
        </is>
      </c>
      <c r="E724" t="inlineStr">
        <is>
          <t>location</t>
        </is>
      </c>
      <c r="F724" t="inlineStr">
        <is>
          <t>type</t>
        </is>
      </c>
      <c r="G724" t="inlineStr">
        <is>
          <t>reference product</t>
        </is>
      </c>
    </row>
    <row r="725">
      <c r="A725" t="inlineStr">
        <is>
          <t>low voltage system production, for LiS battery</t>
        </is>
      </c>
      <c r="B725" t="n">
        <v>1</v>
      </c>
      <c r="C725" t="inlineStr">
        <is>
          <t>kilogram</t>
        </is>
      </c>
      <c r="E725" t="inlineStr">
        <is>
          <t>GLO</t>
        </is>
      </c>
      <c r="F725" t="inlineStr">
        <is>
          <t>production</t>
        </is>
      </c>
      <c r="G725" t="inlineStr">
        <is>
          <t>low voltage system</t>
        </is>
      </c>
    </row>
    <row r="726">
      <c r="A726" t="inlineStr">
        <is>
          <t>market for electronic component factory</t>
        </is>
      </c>
      <c r="B726" s="13">
        <f>2*10^-8</f>
        <v>2E-8</v>
      </c>
      <c r="C726" t="inlineStr">
        <is>
          <t>unit</t>
        </is>
      </c>
      <c r="E726" t="inlineStr">
        <is>
          <t>GLO</t>
        </is>
      </c>
      <c r="F726" t="inlineStr">
        <is>
          <t>technosphere</t>
        </is>
      </c>
      <c r="G726" t="inlineStr">
        <is>
          <t>electronic component factory</t>
        </is>
      </c>
    </row>
    <row r="727">
      <c r="A727" t="inlineStr">
        <is>
          <t>market for electronic component, passive, unspecified</t>
        </is>
      </c>
      <c r="B727" s="5" t="n">
        <v>0.97</v>
      </c>
      <c r="C727" t="inlineStr">
        <is>
          <t>kilogram</t>
        </is>
      </c>
      <c r="E727" t="inlineStr">
        <is>
          <t>GLO</t>
        </is>
      </c>
      <c r="F727" t="inlineStr">
        <is>
          <t>technosphere</t>
        </is>
      </c>
      <c r="G727" t="inlineStr">
        <is>
          <t>electronic component, passive, unspecified</t>
        </is>
      </c>
    </row>
    <row r="728">
      <c r="A728" t="inlineStr">
        <is>
          <t>market for injection moulding</t>
        </is>
      </c>
      <c r="B728" s="31" t="n">
        <v>0.029</v>
      </c>
      <c r="C728" t="inlineStr">
        <is>
          <t>kilogram</t>
        </is>
      </c>
      <c r="E728" t="inlineStr">
        <is>
          <t>GLO</t>
        </is>
      </c>
      <c r="F728" t="inlineStr">
        <is>
          <t>technosphere</t>
        </is>
      </c>
      <c r="G728" t="inlineStr">
        <is>
          <t>injection moulding</t>
        </is>
      </c>
    </row>
    <row r="729">
      <c r="A729" t="inlineStr">
        <is>
          <t>market for nylon 6-6</t>
        </is>
      </c>
      <c r="B729" s="31" t="n">
        <v>0.029</v>
      </c>
      <c r="C729" t="inlineStr">
        <is>
          <t>kilogram</t>
        </is>
      </c>
      <c r="E729" t="inlineStr">
        <is>
          <t>RoW</t>
        </is>
      </c>
      <c r="F729" t="inlineStr">
        <is>
          <t>technosphere</t>
        </is>
      </c>
      <c r="G729" t="inlineStr">
        <is>
          <t>nylon 6-6</t>
        </is>
      </c>
    </row>
    <row r="730">
      <c r="B730" s="29" t="n"/>
    </row>
    <row r="731">
      <c r="B731" s="29" t="n"/>
    </row>
    <row r="732">
      <c r="G732" s="3" t="n"/>
    </row>
    <row r="733" ht="16" customHeight="1">
      <c r="A733" s="1" t="inlineStr">
        <is>
          <t>Activity</t>
        </is>
      </c>
      <c r="B733" s="1" t="inlineStr">
        <is>
          <t>IBIS fasteners production, for LiS battery</t>
        </is>
      </c>
    </row>
    <row r="734" ht="16" customHeight="1">
      <c r="A734" s="16" t="inlineStr">
        <is>
          <t>comment</t>
        </is>
      </c>
      <c r="B734" s="16" t="inlineStr">
        <is>
          <t>Source: Wickerts et al. (2023). Prospective Life Cycle Assessment of Lithium-Sulfur Batteries for Stationary Energy Storage. ACS Sustainable Chemistry &amp; Engineering. https://doi.org/10.1021/acssuschemeng.3c00141</t>
        </is>
      </c>
    </row>
    <row r="735">
      <c r="A735" t="inlineStr">
        <is>
          <t>location</t>
        </is>
      </c>
      <c r="B735" t="inlineStr">
        <is>
          <t>GLO</t>
        </is>
      </c>
    </row>
    <row r="736">
      <c r="A736" t="inlineStr">
        <is>
          <t>production amount</t>
        </is>
      </c>
      <c r="B736" t="n">
        <v>1</v>
      </c>
    </row>
    <row r="737">
      <c r="A737" t="inlineStr">
        <is>
          <t>reference product</t>
        </is>
      </c>
      <c r="B737" t="inlineStr">
        <is>
          <t>IBIS fasteners</t>
        </is>
      </c>
    </row>
    <row r="738">
      <c r="A738" t="inlineStr">
        <is>
          <t>unit</t>
        </is>
      </c>
      <c r="B738" t="inlineStr">
        <is>
          <t>kilogram</t>
        </is>
      </c>
    </row>
    <row r="739">
      <c r="A739" t="inlineStr">
        <is>
          <t>source</t>
        </is>
      </c>
      <c r="B739" t="inlineStr">
        <is>
          <t>Originally from  Wickerts et al. (2023). Prospective Life Cycle Assessment of Lithium-Sulfur Batteries for Stationary Energy Storage. ACS Sustainable Chemistry &amp; Engineering. Obtained from Ellingsen et al. (2014)</t>
        </is>
      </c>
    </row>
    <row r="740">
      <c r="A740" s="2" t="inlineStr">
        <is>
          <t>Exchanges</t>
        </is>
      </c>
    </row>
    <row r="741">
      <c r="A741" t="inlineStr">
        <is>
          <t>name</t>
        </is>
      </c>
      <c r="B741" t="inlineStr">
        <is>
          <t>amount</t>
        </is>
      </c>
      <c r="C741" t="inlineStr">
        <is>
          <t>unit</t>
        </is>
      </c>
      <c r="D741" t="inlineStr">
        <is>
          <t>categories</t>
        </is>
      </c>
      <c r="E741" t="inlineStr">
        <is>
          <t>location</t>
        </is>
      </c>
      <c r="F741" t="inlineStr">
        <is>
          <t>type</t>
        </is>
      </c>
      <c r="G741" t="inlineStr">
        <is>
          <t>reference product</t>
        </is>
      </c>
    </row>
    <row r="742">
      <c r="A742" t="inlineStr">
        <is>
          <t>IBIS fasteners production, for LiS battery</t>
        </is>
      </c>
      <c r="B742" t="n">
        <v>1</v>
      </c>
      <c r="C742" t="inlineStr">
        <is>
          <t>kilogram</t>
        </is>
      </c>
      <c r="E742" t="inlineStr">
        <is>
          <t>GLO</t>
        </is>
      </c>
      <c r="F742" t="inlineStr">
        <is>
          <t>production</t>
        </is>
      </c>
      <c r="G742" t="inlineStr">
        <is>
          <t>IBIS fasteners</t>
        </is>
      </c>
    </row>
    <row r="743">
      <c r="A743" t="inlineStr">
        <is>
          <t>market for metal working factory</t>
        </is>
      </c>
      <c r="B743" s="13">
        <f>4.6*10^-10</f>
        <v>4.5999999999999996E-10</v>
      </c>
      <c r="C743" t="inlineStr">
        <is>
          <t>unit</t>
        </is>
      </c>
      <c r="E743" t="inlineStr">
        <is>
          <t>GLO</t>
        </is>
      </c>
      <c r="F743" t="inlineStr">
        <is>
          <t>technosphere</t>
        </is>
      </c>
      <c r="G743" t="inlineStr">
        <is>
          <t>metal working factory</t>
        </is>
      </c>
    </row>
    <row r="744">
      <c r="A744" t="inlineStr">
        <is>
          <t>market for metal working, average for steel product manufacturing</t>
        </is>
      </c>
      <c r="B744" s="30" t="n">
        <v>1</v>
      </c>
      <c r="C744" t="inlineStr">
        <is>
          <t>kilogram</t>
        </is>
      </c>
      <c r="E744" t="inlineStr">
        <is>
          <t>GLO</t>
        </is>
      </c>
      <c r="F744" t="inlineStr">
        <is>
          <t>technosphere</t>
        </is>
      </c>
      <c r="G744" t="inlineStr">
        <is>
          <t>metal working, average for steel product manufacturing</t>
        </is>
      </c>
    </row>
    <row r="745">
      <c r="A745" t="inlineStr">
        <is>
          <t>market for steel, low-alloyed</t>
        </is>
      </c>
      <c r="B745" s="30" t="n">
        <v>1</v>
      </c>
      <c r="C745" t="inlineStr">
        <is>
          <t>kilogram</t>
        </is>
      </c>
      <c r="E745" t="inlineStr">
        <is>
          <t>GLO</t>
        </is>
      </c>
      <c r="F745" t="inlineStr">
        <is>
          <t>technosphere</t>
        </is>
      </c>
      <c r="G745" t="inlineStr">
        <is>
          <t>steel, low-alloyed</t>
        </is>
      </c>
    </row>
    <row r="746">
      <c r="B746" s="29" t="n"/>
    </row>
    <row r="747">
      <c r="B747" s="29" t="n"/>
    </row>
    <row r="748"/>
    <row r="749" ht="16" customHeight="1">
      <c r="A749" s="1" t="inlineStr">
        <is>
          <t>Activity</t>
        </is>
      </c>
      <c r="B749" s="1" t="inlineStr">
        <is>
          <t>battery rack production, for LiS battery</t>
        </is>
      </c>
    </row>
    <row r="750" ht="16" customHeight="1">
      <c r="A750" s="16" t="inlineStr">
        <is>
          <t>comment</t>
        </is>
      </c>
      <c r="B750" s="16" t="inlineStr">
        <is>
          <t>Source: Wickerts et al. (2023). Prospective Life Cycle Assessment of Lithium-Sulfur Batteries for Stationary Energy Storage. ACS Sustainable Chemistry &amp; Engineering. https://doi.org/10.1021/acssuschemeng.3c00141</t>
        </is>
      </c>
    </row>
    <row r="751">
      <c r="A751" t="inlineStr">
        <is>
          <t>location</t>
        </is>
      </c>
      <c r="B751" t="inlineStr">
        <is>
          <t>GLO</t>
        </is>
      </c>
    </row>
    <row r="752">
      <c r="A752" t="inlineStr">
        <is>
          <t>production amount</t>
        </is>
      </c>
      <c r="B752" t="n">
        <v>1</v>
      </c>
    </row>
    <row r="753">
      <c r="A753" t="inlineStr">
        <is>
          <t>reference product</t>
        </is>
      </c>
      <c r="B753" t="inlineStr">
        <is>
          <t>battery rack</t>
        </is>
      </c>
    </row>
    <row r="754">
      <c r="A754" t="inlineStr">
        <is>
          <t>unit</t>
        </is>
      </c>
      <c r="B754" t="inlineStr">
        <is>
          <t>unit</t>
        </is>
      </c>
    </row>
    <row r="755">
      <c r="A755" t="inlineStr">
        <is>
          <t>source</t>
        </is>
      </c>
      <c r="B755" t="inlineStr">
        <is>
          <t>Originally from  Wickerts et al. (2023). Prospective Life Cycle Assessment of Lithium-Sulfur Batteries for Stationary Energy Storage. ACS Sustainable Chemistry &amp; Engineering. Based on data from Peters and Weil (2017), Ainsworth (2016), Ellingsen et al. (2014), Pellow et al. (2020)</t>
        </is>
      </c>
    </row>
    <row r="756" ht="16" customHeight="1">
      <c r="A756" s="1" t="inlineStr">
        <is>
          <t>Exchanges</t>
        </is>
      </c>
    </row>
    <row r="757">
      <c r="A757" t="inlineStr">
        <is>
          <t>name</t>
        </is>
      </c>
      <c r="B757" t="inlineStr">
        <is>
          <t>amount</t>
        </is>
      </c>
      <c r="C757" t="inlineStr">
        <is>
          <t>unit</t>
        </is>
      </c>
      <c r="D757" t="inlineStr">
        <is>
          <t>location</t>
        </is>
      </c>
      <c r="E757" t="inlineStr">
        <is>
          <t>type</t>
        </is>
      </c>
      <c r="F757" t="inlineStr">
        <is>
          <t>reference product</t>
        </is>
      </c>
      <c r="G757" t="inlineStr">
        <is>
          <t>comment</t>
        </is>
      </c>
    </row>
    <row r="758" ht="16" customHeight="1">
      <c r="A758" s="16" t="inlineStr">
        <is>
          <t>battery rack production, for LiS battery</t>
        </is>
      </c>
      <c r="B758" t="n">
        <v>1</v>
      </c>
      <c r="C758" t="inlineStr">
        <is>
          <t>unit</t>
        </is>
      </c>
      <c r="D758" t="inlineStr">
        <is>
          <t>GLO</t>
        </is>
      </c>
      <c r="E758" t="inlineStr">
        <is>
          <t>production</t>
        </is>
      </c>
      <c r="F758" t="inlineStr">
        <is>
          <t>battery rack</t>
        </is>
      </c>
    </row>
    <row r="759">
      <c r="A759" t="inlineStr">
        <is>
          <t>battery module production, for LiS battery</t>
        </is>
      </c>
      <c r="B759">
        <f>16*24.971</f>
        <v>399.536</v>
      </c>
      <c r="C759" t="inlineStr">
        <is>
          <t>kilogram</t>
        </is>
      </c>
      <c r="D759" t="inlineStr">
        <is>
          <t>GLO</t>
        </is>
      </c>
      <c r="E759" t="inlineStr">
        <is>
          <t>technosphere</t>
        </is>
      </c>
      <c r="F759" t="inlineStr">
        <is>
          <t>battery, LiS module</t>
        </is>
      </c>
      <c r="G759" t="inlineStr">
        <is>
          <t>converted from unit to kilogram</t>
        </is>
      </c>
    </row>
    <row r="760">
      <c r="A760" t="inlineStr">
        <is>
          <t>BMS production, for LiS battery</t>
        </is>
      </c>
      <c r="B760" t="n">
        <v>1</v>
      </c>
      <c r="C760" t="inlineStr">
        <is>
          <t>unit</t>
        </is>
      </c>
      <c r="D760" t="inlineStr">
        <is>
          <t>GLO</t>
        </is>
      </c>
      <c r="E760" t="inlineStr">
        <is>
          <t>technosphere</t>
        </is>
      </c>
      <c r="F760" t="inlineStr">
        <is>
          <t>BMS</t>
        </is>
      </c>
    </row>
    <row r="761">
      <c r="A761" t="inlineStr">
        <is>
          <t>market for cable, unspecified</t>
        </is>
      </c>
      <c r="B761" t="n">
        <v>1.8</v>
      </c>
      <c r="C761" t="inlineStr">
        <is>
          <t>kilogram</t>
        </is>
      </c>
      <c r="D761" t="inlineStr">
        <is>
          <t>GLO</t>
        </is>
      </c>
      <c r="E761" t="inlineStr">
        <is>
          <t>technosphere</t>
        </is>
      </c>
      <c r="F761" t="inlineStr">
        <is>
          <t>cable, unspecified</t>
        </is>
      </c>
    </row>
    <row r="762">
      <c r="A762" t="inlineStr">
        <is>
          <t>rack housing production, for LiS battery</t>
        </is>
      </c>
      <c r="B762" t="n">
        <v>50</v>
      </c>
      <c r="C762" t="inlineStr">
        <is>
          <t>kilogram</t>
        </is>
      </c>
      <c r="D762" t="inlineStr">
        <is>
          <t>GLO</t>
        </is>
      </c>
      <c r="E762" t="inlineStr">
        <is>
          <t>technosphere</t>
        </is>
      </c>
      <c r="F762" t="inlineStr">
        <is>
          <t>rack housing</t>
        </is>
      </c>
    </row>
    <row r="763">
      <c r="A763" t="inlineStr">
        <is>
          <t>market for fan, for power supply unit, desktop computer</t>
        </is>
      </c>
      <c r="B763" t="n">
        <v>17</v>
      </c>
      <c r="C763" t="inlineStr">
        <is>
          <t>kilogram</t>
        </is>
      </c>
      <c r="D763" t="inlineStr">
        <is>
          <t>GLO</t>
        </is>
      </c>
      <c r="E763" t="inlineStr">
        <is>
          <t>technosphere</t>
        </is>
      </c>
      <c r="F763" t="inlineStr">
        <is>
          <t>fan, for power supply unit, desktop computer</t>
        </is>
      </c>
    </row>
    <row r="764">
      <c r="A764" t="inlineStr">
        <is>
          <t>market for metal working factory</t>
        </is>
      </c>
      <c r="B764" s="13" t="n">
        <v>2.1e-07</v>
      </c>
      <c r="C764" t="inlineStr">
        <is>
          <t>unit</t>
        </is>
      </c>
      <c r="D764" t="inlineStr">
        <is>
          <t>GLO</t>
        </is>
      </c>
      <c r="E764" t="inlineStr">
        <is>
          <t>technosphere</t>
        </is>
      </c>
      <c r="F764" t="inlineStr">
        <is>
          <t>metal working factory</t>
        </is>
      </c>
    </row>
    <row r="765"/>
    <row r="766">
      <c r="C766" s="31" t="n"/>
    </row>
    <row r="767"/>
    <row r="768" ht="16" customHeight="1">
      <c r="A768" s="1" t="inlineStr">
        <is>
          <t>Activity</t>
        </is>
      </c>
      <c r="B768" s="1" t="inlineStr">
        <is>
          <t>rack housing production, for LiS battery</t>
        </is>
      </c>
    </row>
    <row r="769" ht="16" customHeight="1">
      <c r="A769" s="16" t="inlineStr">
        <is>
          <t>comment</t>
        </is>
      </c>
      <c r="B769" s="16" t="inlineStr">
        <is>
          <t>Source: Wickerts et al. (2023). Prospective Life Cycle Assessment of Lithium-Sulfur Batteries for Stationary Energy Storage. ACS Sustainable Chemistry &amp; Engineering. https://doi.org/10.1021/acssuschemeng.3c00141</t>
        </is>
      </c>
    </row>
    <row r="770">
      <c r="A770" t="inlineStr">
        <is>
          <t>location</t>
        </is>
      </c>
      <c r="B770" t="inlineStr">
        <is>
          <t>GLO</t>
        </is>
      </c>
    </row>
    <row r="771">
      <c r="A771" t="inlineStr">
        <is>
          <t>production amount</t>
        </is>
      </c>
      <c r="B771" t="n">
        <v>1</v>
      </c>
    </row>
    <row r="772">
      <c r="A772" t="inlineStr">
        <is>
          <t>reference product</t>
        </is>
      </c>
      <c r="B772" t="inlineStr">
        <is>
          <t>rack housing</t>
        </is>
      </c>
    </row>
    <row r="773">
      <c r="A773" t="inlineStr">
        <is>
          <t>unit</t>
        </is>
      </c>
      <c r="B773" t="inlineStr">
        <is>
          <t>kilogram</t>
        </is>
      </c>
    </row>
    <row r="774">
      <c r="A774" t="inlineStr">
        <is>
          <t>source</t>
        </is>
      </c>
      <c r="B774" t="inlineStr">
        <is>
          <t>Originally from  Wickerts et al. (2023). Prospective Life Cycle Assessment of Lithium-Sulfur Batteries for Stationary Energy Storage. ACS Sustainable Chemistry &amp; Engineering. Based on data from Peters and Weil (2017)</t>
        </is>
      </c>
    </row>
    <row r="775" ht="16" customHeight="1">
      <c r="A775" s="1" t="inlineStr">
        <is>
          <t>Exchanges</t>
        </is>
      </c>
    </row>
    <row r="776">
      <c r="A776" t="inlineStr">
        <is>
          <t>name</t>
        </is>
      </c>
      <c r="B776" t="inlineStr">
        <is>
          <t>amount</t>
        </is>
      </c>
      <c r="C776" t="inlineStr">
        <is>
          <t>unit</t>
        </is>
      </c>
      <c r="D776" t="inlineStr">
        <is>
          <t>location</t>
        </is>
      </c>
      <c r="E776" t="inlineStr">
        <is>
          <t>type</t>
        </is>
      </c>
      <c r="F776" t="inlineStr">
        <is>
          <t>reference product</t>
        </is>
      </c>
    </row>
    <row r="777">
      <c r="A777" t="inlineStr">
        <is>
          <t>rack housing production, for LiS battery</t>
        </is>
      </c>
      <c r="B777" t="n">
        <v>1</v>
      </c>
      <c r="C777" t="inlineStr">
        <is>
          <t>kilogram</t>
        </is>
      </c>
      <c r="D777" t="inlineStr">
        <is>
          <t>GLO</t>
        </is>
      </c>
      <c r="E777" t="inlineStr">
        <is>
          <t>production</t>
        </is>
      </c>
      <c r="F777" t="inlineStr">
        <is>
          <t>rack housing</t>
        </is>
      </c>
    </row>
    <row r="778">
      <c r="A778" t="inlineStr">
        <is>
          <t>market for metal working factory</t>
        </is>
      </c>
      <c r="B778" s="13">
        <f>4.58*10^-10</f>
        <v>4.5800000000000002E-10</v>
      </c>
      <c r="C778" t="inlineStr">
        <is>
          <t>unit</t>
        </is>
      </c>
      <c r="D778" t="inlineStr">
        <is>
          <t>GLO</t>
        </is>
      </c>
      <c r="E778" t="inlineStr">
        <is>
          <t>technosphere</t>
        </is>
      </c>
      <c r="F778" t="inlineStr">
        <is>
          <t>metal working factory</t>
        </is>
      </c>
    </row>
    <row r="779">
      <c r="A779" t="inlineStr">
        <is>
          <t>market for metal working, average for steel product manufacturing</t>
        </is>
      </c>
      <c r="B779" t="n">
        <v>1</v>
      </c>
      <c r="C779" t="inlineStr">
        <is>
          <t>kilogram</t>
        </is>
      </c>
      <c r="D779" t="inlineStr">
        <is>
          <t>GLO</t>
        </is>
      </c>
      <c r="E779" t="inlineStr">
        <is>
          <t>technosphere</t>
        </is>
      </c>
      <c r="F779" t="inlineStr">
        <is>
          <t>metal working, average for steel product manufacturing</t>
        </is>
      </c>
    </row>
    <row r="780">
      <c r="A780" t="inlineStr">
        <is>
          <t>market for powder coat, steel</t>
        </is>
      </c>
      <c r="B780" t="n">
        <v>0.055</v>
      </c>
      <c r="C780" t="inlineStr">
        <is>
          <t>square meter</t>
        </is>
      </c>
      <c r="D780" t="inlineStr">
        <is>
          <t>GLO</t>
        </is>
      </c>
      <c r="E780" t="inlineStr">
        <is>
          <t>technosphere</t>
        </is>
      </c>
      <c r="F780" t="inlineStr">
        <is>
          <t>powder coat, steel</t>
        </is>
      </c>
    </row>
    <row r="781">
      <c r="A781" t="inlineStr">
        <is>
          <t>market for steel, low-alloyed</t>
        </is>
      </c>
      <c r="B781" t="n">
        <v>1</v>
      </c>
      <c r="C781" t="inlineStr">
        <is>
          <t>kilogram</t>
        </is>
      </c>
      <c r="D781" t="inlineStr">
        <is>
          <t>GLO</t>
        </is>
      </c>
      <c r="E781" t="inlineStr">
        <is>
          <t>technosphere</t>
        </is>
      </c>
      <c r="F781" t="inlineStr">
        <is>
          <t>steel, low-alloyed</t>
        </is>
      </c>
    </row>
    <row r="782"/>
    <row r="783"/>
    <row r="784"/>
    <row r="785" ht="16" customHeight="1">
      <c r="A785" s="1" t="inlineStr">
        <is>
          <t>Activity</t>
        </is>
      </c>
      <c r="B785" s="1" t="inlineStr">
        <is>
          <t>fire suppression system production, for LiS battery</t>
        </is>
      </c>
    </row>
    <row r="786" ht="16" customHeight="1">
      <c r="A786" s="16" t="inlineStr">
        <is>
          <t>comment</t>
        </is>
      </c>
      <c r="B786" s="16" t="inlineStr">
        <is>
          <t>Source: Wickerts et al. (2023). Prospective Life Cycle Assessment of Lithium-Sulfur Batteries for Stationary Energy Storage. ACS Sustainable Chemistry &amp; Engineering. https://doi.org/10.1021/acssuschemeng.3c00141</t>
        </is>
      </c>
    </row>
    <row r="787">
      <c r="A787" t="inlineStr">
        <is>
          <t>location</t>
        </is>
      </c>
      <c r="B787" t="inlineStr">
        <is>
          <t>GLO</t>
        </is>
      </c>
    </row>
    <row r="788">
      <c r="A788" t="inlineStr">
        <is>
          <t>production amount</t>
        </is>
      </c>
      <c r="B788" t="n">
        <v>1</v>
      </c>
    </row>
    <row r="789">
      <c r="A789" t="inlineStr">
        <is>
          <t>reference product</t>
        </is>
      </c>
      <c r="B789" t="inlineStr">
        <is>
          <t>fire suppression system</t>
        </is>
      </c>
    </row>
    <row r="790">
      <c r="A790" t="inlineStr">
        <is>
          <t>unit</t>
        </is>
      </c>
      <c r="B790" t="inlineStr">
        <is>
          <t>kilogram</t>
        </is>
      </c>
    </row>
    <row r="791">
      <c r="A791" t="inlineStr">
        <is>
          <t>source</t>
        </is>
      </c>
      <c r="B791" t="inlineStr">
        <is>
          <t>Originally from  Wickerts et al. (2023). Prospective Life Cycle Assessment of Lithium-Sulfur Batteries for Stationary Energy Storage. ACS Sustainable Chemistry &amp; Engineering. Based on data from Pellow et al. (2020)</t>
        </is>
      </c>
    </row>
    <row r="792" ht="16" customHeight="1">
      <c r="A792" s="1" t="inlineStr">
        <is>
          <t>Exchanges</t>
        </is>
      </c>
    </row>
    <row r="793">
      <c r="A793" t="inlineStr">
        <is>
          <t>name</t>
        </is>
      </c>
      <c r="B793" t="inlineStr">
        <is>
          <t>amount</t>
        </is>
      </c>
      <c r="C793" t="inlineStr">
        <is>
          <t>unit</t>
        </is>
      </c>
      <c r="D793" t="inlineStr">
        <is>
          <t>location</t>
        </is>
      </c>
      <c r="E793" t="inlineStr">
        <is>
          <t>type</t>
        </is>
      </c>
      <c r="F793" t="inlineStr">
        <is>
          <t>reference product</t>
        </is>
      </c>
    </row>
    <row r="794">
      <c r="A794" t="inlineStr">
        <is>
          <t>fire suppression system production, for LiS battery</t>
        </is>
      </c>
      <c r="B794" t="n">
        <v>1</v>
      </c>
      <c r="C794" t="inlineStr">
        <is>
          <t>kilogram</t>
        </is>
      </c>
      <c r="D794" t="inlineStr">
        <is>
          <t>GLO</t>
        </is>
      </c>
      <c r="E794" t="inlineStr">
        <is>
          <t>production</t>
        </is>
      </c>
      <c r="F794" t="inlineStr">
        <is>
          <t>fire suppression system</t>
        </is>
      </c>
    </row>
    <row r="795">
      <c r="A795" t="inlineStr">
        <is>
          <t>market for steel, low-alloyed</t>
        </is>
      </c>
      <c r="B795" t="n">
        <v>0.78</v>
      </c>
      <c r="C795" t="inlineStr">
        <is>
          <t>kilogram</t>
        </is>
      </c>
      <c r="D795" t="inlineStr">
        <is>
          <t>GLO</t>
        </is>
      </c>
      <c r="E795" t="inlineStr">
        <is>
          <t>technosphere</t>
        </is>
      </c>
      <c r="F795" t="inlineStr">
        <is>
          <t>steel, low-alloyed</t>
        </is>
      </c>
    </row>
    <row r="796">
      <c r="A796" t="inlineStr">
        <is>
          <t>market for carbon dioxide, liquid</t>
        </is>
      </c>
      <c r="B796" t="n">
        <v>0.22</v>
      </c>
      <c r="C796" t="inlineStr">
        <is>
          <t>kilogram</t>
        </is>
      </c>
      <c r="D796" t="inlineStr">
        <is>
          <t>RoW</t>
        </is>
      </c>
      <c r="E796" t="inlineStr">
        <is>
          <t>technosphere</t>
        </is>
      </c>
      <c r="F796" t="inlineStr">
        <is>
          <t>carbon dioxide, liquid</t>
        </is>
      </c>
    </row>
    <row r="797"/>
    <row r="798"/>
    <row r="799"/>
    <row r="800" ht="16" customHeight="1">
      <c r="A800" s="1" t="inlineStr">
        <is>
          <t>Activity</t>
        </is>
      </c>
      <c r="B800" s="1" t="inlineStr">
        <is>
          <t>installation production, for LiS battery</t>
        </is>
      </c>
    </row>
    <row r="801" ht="16" customHeight="1">
      <c r="A801" s="16" t="inlineStr">
        <is>
          <t>comment</t>
        </is>
      </c>
      <c r="B801" s="16" t="inlineStr">
        <is>
          <t>Source: Wickerts et al. (2023). Prospective Life Cycle Assessment of Lithium-Sulfur Batteries for Stationary Energy Storage. ACS Sustainable Chemistry &amp; Engineering. https://doi.org/10.1021/acssuschemeng.3c00141</t>
        </is>
      </c>
    </row>
    <row r="802">
      <c r="A802" t="inlineStr">
        <is>
          <t>location</t>
        </is>
      </c>
      <c r="B802" t="inlineStr">
        <is>
          <t>GLO</t>
        </is>
      </c>
    </row>
    <row r="803">
      <c r="A803" t="inlineStr">
        <is>
          <t>production amount</t>
        </is>
      </c>
      <c r="B803" t="n">
        <v>1</v>
      </c>
    </row>
    <row r="804">
      <c r="A804" t="inlineStr">
        <is>
          <t>reference product</t>
        </is>
      </c>
      <c r="B804" t="inlineStr">
        <is>
          <t>installation</t>
        </is>
      </c>
    </row>
    <row r="805">
      <c r="A805" t="inlineStr">
        <is>
          <t>unit</t>
        </is>
      </c>
      <c r="B805" t="inlineStr">
        <is>
          <t>unit</t>
        </is>
      </c>
    </row>
    <row r="806">
      <c r="A806" t="inlineStr">
        <is>
          <t>source</t>
        </is>
      </c>
      <c r="B806" t="inlineStr">
        <is>
          <t>Originally from  Wickerts et al. (2023). Prospective Life Cycle Assessment of Lithium-Sulfur Batteries for Stationary Energy Storage. ACS Sustainable Chemistry &amp; Engineering. Based on proxies from Pellow et al. (2020)</t>
        </is>
      </c>
    </row>
    <row r="807" ht="16" customHeight="1">
      <c r="A807" s="1" t="inlineStr">
        <is>
          <t>Exchanges</t>
        </is>
      </c>
    </row>
    <row r="808">
      <c r="A808" t="inlineStr">
        <is>
          <t>name</t>
        </is>
      </c>
      <c r="B808" t="inlineStr">
        <is>
          <t>amount</t>
        </is>
      </c>
      <c r="C808" t="inlineStr">
        <is>
          <t>unit</t>
        </is>
      </c>
      <c r="D808" t="inlineStr">
        <is>
          <t>location</t>
        </is>
      </c>
      <c r="E808" t="inlineStr">
        <is>
          <t>type</t>
        </is>
      </c>
      <c r="F808" t="inlineStr">
        <is>
          <t>reference product</t>
        </is>
      </c>
      <c r="G808" t="inlineStr">
        <is>
          <t>comment</t>
        </is>
      </c>
    </row>
    <row r="809">
      <c r="A809" t="inlineStr">
        <is>
          <t>installation production, for LiS battery</t>
        </is>
      </c>
      <c r="B809" t="n">
        <v>1</v>
      </c>
      <c r="C809" t="inlineStr">
        <is>
          <t>unit</t>
        </is>
      </c>
      <c r="D809" t="inlineStr">
        <is>
          <t>GLO</t>
        </is>
      </c>
      <c r="E809" t="inlineStr">
        <is>
          <t>production</t>
        </is>
      </c>
      <c r="F809" t="inlineStr">
        <is>
          <t>installation</t>
        </is>
      </c>
    </row>
    <row r="810">
      <c r="A810" t="inlineStr">
        <is>
          <t>battery rack production, for LiS battery</t>
        </is>
      </c>
      <c r="B810" t="n">
        <v>40</v>
      </c>
      <c r="C810" t="inlineStr">
        <is>
          <t>unit</t>
        </is>
      </c>
      <c r="D810" t="inlineStr">
        <is>
          <t>GLO</t>
        </is>
      </c>
      <c r="E810" t="inlineStr">
        <is>
          <t>technosphere</t>
        </is>
      </c>
      <c r="F810" t="inlineStr">
        <is>
          <t>battery rack</t>
        </is>
      </c>
    </row>
    <row r="811">
      <c r="A811" t="inlineStr">
        <is>
          <t>battery module production, for LiS battery</t>
        </is>
      </c>
      <c r="B811">
        <f>640*24.971</f>
        <v>15981.44</v>
      </c>
      <c r="C811" t="inlineStr">
        <is>
          <t>kilogram</t>
        </is>
      </c>
      <c r="D811" t="inlineStr">
        <is>
          <t>GLO</t>
        </is>
      </c>
      <c r="E811" t="inlineStr">
        <is>
          <t>technosphere</t>
        </is>
      </c>
      <c r="F811" t="inlineStr">
        <is>
          <t>battery, LiS module</t>
        </is>
      </c>
      <c r="G811" t="inlineStr">
        <is>
          <t>converted from 'unit' to 'kilogram'</t>
        </is>
      </c>
    </row>
    <row r="812">
      <c r="A812" t="inlineStr">
        <is>
          <t>market for concrete, normal strength</t>
        </is>
      </c>
      <c r="B812" t="n">
        <v>15</v>
      </c>
      <c r="C812" t="inlineStr">
        <is>
          <t>cubic meter</t>
        </is>
      </c>
      <c r="D812" t="inlineStr">
        <is>
          <t>RoW</t>
        </is>
      </c>
      <c r="E812" t="inlineStr">
        <is>
          <t>technosphere</t>
        </is>
      </c>
      <c r="F812" t="inlineStr">
        <is>
          <t>concrete, normal strength</t>
        </is>
      </c>
      <c r="G812" t="inlineStr">
        <is>
          <t>Added 'strength' to match EI</t>
        </is>
      </c>
    </row>
    <row r="813">
      <c r="A813" t="inlineStr">
        <is>
          <t>fire suppression system production, for LiS battery</t>
        </is>
      </c>
      <c r="B813" t="n">
        <v>480</v>
      </c>
      <c r="C813" t="inlineStr">
        <is>
          <t>kilogram</t>
        </is>
      </c>
      <c r="D813" t="inlineStr">
        <is>
          <t>GLO</t>
        </is>
      </c>
      <c r="E813" t="inlineStr">
        <is>
          <t>technosphere</t>
        </is>
      </c>
      <c r="F813" t="inlineStr">
        <is>
          <t>fire suppression system</t>
        </is>
      </c>
    </row>
    <row r="814">
      <c r="A814" t="inlineStr">
        <is>
          <t>market for intermodal shipping container, 40-foot</t>
        </is>
      </c>
      <c r="B814" t="n">
        <v>1</v>
      </c>
      <c r="C814" t="inlineStr">
        <is>
          <t>unit</t>
        </is>
      </c>
      <c r="D814" t="inlineStr">
        <is>
          <t>GLO</t>
        </is>
      </c>
      <c r="E814" t="inlineStr">
        <is>
          <t>technosphere</t>
        </is>
      </c>
      <c r="F814" t="inlineStr">
        <is>
          <t>intermodal shipping container, 40-foot</t>
        </is>
      </c>
    </row>
    <row r="815">
      <c r="A815" t="inlineStr">
        <is>
          <t>market for inverter, 500kW</t>
        </is>
      </c>
      <c r="B815" t="n">
        <v>1.2</v>
      </c>
      <c r="C815" t="inlineStr">
        <is>
          <t>unit</t>
        </is>
      </c>
      <c r="D815" t="inlineStr">
        <is>
          <t>GLO</t>
        </is>
      </c>
      <c r="E815" t="inlineStr">
        <is>
          <t>technosphere</t>
        </is>
      </c>
      <c r="F815" t="inlineStr">
        <is>
          <t>inverter, 500kW</t>
        </is>
      </c>
    </row>
    <row r="816"/>
    <row r="817"/>
    <row r="818"/>
    <row r="819" ht="16" customHeight="1">
      <c r="A819" s="1" t="inlineStr">
        <is>
          <t>Activity</t>
        </is>
      </c>
      <c r="B819" s="1" t="inlineStr">
        <is>
          <t>use phase, for LiS battery</t>
        </is>
      </c>
    </row>
    <row r="820">
      <c r="A820" t="inlineStr">
        <is>
          <t>comment</t>
        </is>
      </c>
      <c r="B820" t="inlineStr">
        <is>
          <t>This is the functional unit for the cradle-to-grave boundary. Note that we have modified  "market for electricity, medium voltage". The upstream processes are provided below. See more details in the SI of the published paper. Source: Wickerts et al. (2023). Prospective Life Cycle Assessment of Lithium-Sulfur Batteries for Stationary Energy Storage. ACS Sustainable Chemistry &amp; Engineering. https://doi.org/10.1021/acssuschemeng.3c00141</t>
        </is>
      </c>
    </row>
    <row r="821">
      <c r="A821" t="inlineStr">
        <is>
          <t>location</t>
        </is>
      </c>
      <c r="B821" t="inlineStr">
        <is>
          <t>GLO</t>
        </is>
      </c>
    </row>
    <row r="822">
      <c r="A822" t="inlineStr">
        <is>
          <t>production amount</t>
        </is>
      </c>
      <c r="B822" t="n">
        <v>1</v>
      </c>
    </row>
    <row r="823">
      <c r="A823" t="inlineStr">
        <is>
          <t>reference product</t>
        </is>
      </c>
      <c r="B823" t="inlineStr">
        <is>
          <t>delivered electricity to the grid</t>
        </is>
      </c>
    </row>
    <row r="824">
      <c r="A824" t="inlineStr">
        <is>
          <t>unit</t>
        </is>
      </c>
      <c r="B824" t="inlineStr">
        <is>
          <t>kilowatt hour</t>
        </is>
      </c>
    </row>
    <row r="825">
      <c r="A825" t="inlineStr">
        <is>
          <t>source</t>
        </is>
      </c>
      <c r="B825" t="inlineStr">
        <is>
          <t>Originally from  Wickerts et al. (2023). Prospective Life Cycle Assessment of Lithium-Sulfur Batteries for Stationary Energy Storage. ACS Sustainable Chemistry &amp; Engineering.</t>
        </is>
      </c>
    </row>
    <row r="826" ht="16" customHeight="1">
      <c r="A826" s="1" t="inlineStr">
        <is>
          <t>Exchanges</t>
        </is>
      </c>
    </row>
    <row r="827">
      <c r="A827" t="inlineStr">
        <is>
          <t>name</t>
        </is>
      </c>
      <c r="B827" t="inlineStr">
        <is>
          <t>amount</t>
        </is>
      </c>
      <c r="C827" t="inlineStr">
        <is>
          <t>unit</t>
        </is>
      </c>
      <c r="D827" t="inlineStr">
        <is>
          <t>location</t>
        </is>
      </c>
      <c r="E827" t="inlineStr">
        <is>
          <t>type</t>
        </is>
      </c>
      <c r="F827" t="inlineStr">
        <is>
          <t>reference product</t>
        </is>
      </c>
      <c r="G827" t="inlineStr">
        <is>
          <t>Comment</t>
        </is>
      </c>
    </row>
    <row r="828">
      <c r="A828" t="inlineStr">
        <is>
          <t>use phase, for LiS battery</t>
        </is>
      </c>
      <c r="B828" t="n">
        <v>1</v>
      </c>
      <c r="C828" t="inlineStr">
        <is>
          <t>kilowatt hour</t>
        </is>
      </c>
      <c r="D828" t="inlineStr">
        <is>
          <t>GLO</t>
        </is>
      </c>
      <c r="E828" t="inlineStr">
        <is>
          <t>production</t>
        </is>
      </c>
      <c r="F828" t="inlineStr">
        <is>
          <t>delivered electricity to the grid</t>
        </is>
      </c>
    </row>
    <row r="829">
      <c r="A829" t="inlineStr">
        <is>
          <t>installation production, for LiS battery</t>
        </is>
      </c>
      <c r="B829" s="13">
        <f>0.0000278/1000</f>
        <v>2.7800000000000001E-8</v>
      </c>
      <c r="C829" t="inlineStr">
        <is>
          <t>unit</t>
        </is>
      </c>
      <c r="D829" t="inlineStr">
        <is>
          <t>GLO</t>
        </is>
      </c>
      <c r="E829" t="inlineStr">
        <is>
          <t>technosphere</t>
        </is>
      </c>
      <c r="F829" t="inlineStr">
        <is>
          <t>installation</t>
        </is>
      </c>
      <c r="G829" t="inlineStr">
        <is>
          <t>Original values in SI have been corrected. Additionally, unit changed from MWh to kWh</t>
        </is>
      </c>
    </row>
    <row r="830">
      <c r="A830" t="inlineStr">
        <is>
          <t>market group for electricity, medium voltage</t>
        </is>
      </c>
      <c r="B830">
        <f>0.122+0.313</f>
        <v>0.435</v>
      </c>
      <c r="C830" t="inlineStr">
        <is>
          <t>kilowatt hour</t>
        </is>
      </c>
      <c r="D830" t="inlineStr">
        <is>
          <t>Europe without Switzerland</t>
        </is>
      </c>
      <c r="E830" t="inlineStr">
        <is>
          <t>technosphere</t>
        </is>
      </c>
      <c r="F830" t="inlineStr">
        <is>
          <t>electricity, medium voltage</t>
        </is>
      </c>
      <c r="G830" t="inlineStr">
        <is>
          <t>Original values in SI have been corrected. The specific electricity market that was created for the paper has been deleted and unified under the conventional market in Ecoinvent</t>
        </is>
      </c>
    </row>
    <row r="831">
      <c r="A831" t="inlineStr">
        <is>
          <t>installation disassembly, for LiS battery</t>
        </is>
      </c>
      <c r="B831" s="13">
        <f>-B829</f>
        <v>-2.7800000000000001E-8</v>
      </c>
      <c r="C831" t="inlineStr">
        <is>
          <t>unit</t>
        </is>
      </c>
      <c r="D831" t="inlineStr">
        <is>
          <t>GLO</t>
        </is>
      </c>
      <c r="E831" t="inlineStr">
        <is>
          <t>technosphere</t>
        </is>
      </c>
      <c r="F831" t="inlineStr">
        <is>
          <t>disassembled installation</t>
        </is>
      </c>
      <c r="G831" t="inlineStr">
        <is>
          <t>EoL phase was not being considered</t>
        </is>
      </c>
    </row>
    <row r="832"/>
    <row r="833"/>
    <row r="834" ht="16" customHeight="1">
      <c r="A834" s="1" t="inlineStr">
        <is>
          <t>Activity</t>
        </is>
      </c>
      <c r="B834" s="1" t="inlineStr">
        <is>
          <t>market for electricity, medium voltage, for LiS battery</t>
        </is>
      </c>
    </row>
    <row r="835" ht="16" customHeight="1">
      <c r="A835" s="16" t="inlineStr">
        <is>
          <t>comment</t>
        </is>
      </c>
      <c r="B835" s="16" t="inlineStr">
        <is>
          <t>Source: Wickerts et al. (2023). Prospective Life Cycle Assessment of Lithium-Sulfur Batteries for Stationary Energy Storage. ACS Sustainable Chemistry &amp; Engineering. https://doi.org/10.1021/acssuschemeng.3c00141</t>
        </is>
      </c>
    </row>
    <row r="836">
      <c r="A836" t="inlineStr">
        <is>
          <t>location</t>
        </is>
      </c>
      <c r="B836" t="inlineStr">
        <is>
          <t>DE</t>
        </is>
      </c>
    </row>
    <row r="837">
      <c r="A837" t="inlineStr">
        <is>
          <t>production amount</t>
        </is>
      </c>
      <c r="B837" t="n">
        <v>1</v>
      </c>
    </row>
    <row r="838">
      <c r="A838" t="inlineStr">
        <is>
          <t>reference product</t>
        </is>
      </c>
      <c r="B838" t="inlineStr">
        <is>
          <t>electricity, medium voltage</t>
        </is>
      </c>
    </row>
    <row r="839">
      <c r="A839" t="inlineStr">
        <is>
          <t>unit</t>
        </is>
      </c>
      <c r="B839" t="inlineStr">
        <is>
          <t>kilowatt hour</t>
        </is>
      </c>
    </row>
    <row r="840">
      <c r="A840" t="inlineStr">
        <is>
          <t>source</t>
        </is>
      </c>
      <c r="B840" t="inlineStr">
        <is>
          <t>Originally from  Wickerts et al. (2023). Prospective Life Cycle Assessment of Lithium-Sulfur Batteries for Stationary Energy Storage. ACS Sustainable Chemistry &amp; Engineering.</t>
        </is>
      </c>
    </row>
    <row r="841" ht="16" customHeight="1">
      <c r="A841" s="1" t="inlineStr">
        <is>
          <t>Exchanges</t>
        </is>
      </c>
    </row>
    <row r="842">
      <c r="A842" t="inlineStr">
        <is>
          <t>name</t>
        </is>
      </c>
      <c r="B842" t="inlineStr">
        <is>
          <t>amount</t>
        </is>
      </c>
      <c r="C842" t="inlineStr">
        <is>
          <t>unit</t>
        </is>
      </c>
      <c r="D842" t="inlineStr">
        <is>
          <t>categories</t>
        </is>
      </c>
      <c r="E842" t="inlineStr">
        <is>
          <t>location</t>
        </is>
      </c>
      <c r="F842" t="inlineStr">
        <is>
          <t>type</t>
        </is>
      </c>
      <c r="G842" t="inlineStr">
        <is>
          <t>reference product</t>
        </is>
      </c>
    </row>
    <row r="843">
      <c r="A843" t="inlineStr">
        <is>
          <t>market for electricity, medium voltage, for LiS battery</t>
        </is>
      </c>
      <c r="B843" t="n">
        <v>1</v>
      </c>
      <c r="C843" t="inlineStr">
        <is>
          <t>kilowatt hour</t>
        </is>
      </c>
      <c r="E843" t="inlineStr">
        <is>
          <t>DE</t>
        </is>
      </c>
      <c r="F843" t="inlineStr">
        <is>
          <t>production</t>
        </is>
      </c>
      <c r="G843" t="inlineStr">
        <is>
          <t>electricity, medium voltage</t>
        </is>
      </c>
    </row>
    <row r="844">
      <c r="A844" t="inlineStr">
        <is>
          <t>electricity voltage transformation from high to medium voltage, for LiS battery</t>
        </is>
      </c>
      <c r="B844" t="n">
        <v>1</v>
      </c>
      <c r="C844" t="inlineStr">
        <is>
          <t>kilowatt hour</t>
        </is>
      </c>
      <c r="E844" t="inlineStr">
        <is>
          <t>DE</t>
        </is>
      </c>
      <c r="F844" t="inlineStr">
        <is>
          <t>technosphere</t>
        </is>
      </c>
      <c r="G844" t="inlineStr">
        <is>
          <t>electricity, medium voltage</t>
        </is>
      </c>
    </row>
    <row r="845">
      <c r="A845" t="inlineStr">
        <is>
          <t>market for sulfur hexafluoride, liquid</t>
        </is>
      </c>
      <c r="B845" s="13">
        <f>1.13*10^-7</f>
        <v>1.1299999999999998E-7</v>
      </c>
      <c r="C845" t="inlineStr">
        <is>
          <t>kilogram</t>
        </is>
      </c>
      <c r="E845" t="inlineStr">
        <is>
          <t>RER</t>
        </is>
      </c>
      <c r="F845" t="inlineStr">
        <is>
          <t>technosphere</t>
        </is>
      </c>
      <c r="G845" t="inlineStr">
        <is>
          <t>sulfur hexafluoride, liquid</t>
        </is>
      </c>
    </row>
    <row r="846">
      <c r="A846" t="inlineStr">
        <is>
          <t>market for transmission network, electricity, medium voltage</t>
        </is>
      </c>
      <c r="B846" s="13">
        <f>1.86278*10^-8</f>
        <v>1.8627800000000002E-8</v>
      </c>
      <c r="C846" t="inlineStr">
        <is>
          <t>kilometer</t>
        </is>
      </c>
      <c r="E846" t="inlineStr">
        <is>
          <t>GLO</t>
        </is>
      </c>
      <c r="F846" t="inlineStr">
        <is>
          <t>technosphere</t>
        </is>
      </c>
      <c r="G846" t="inlineStr">
        <is>
          <t>transmission network, electricity, medium voltage</t>
        </is>
      </c>
    </row>
    <row r="847">
      <c r="A847" t="inlineStr">
        <is>
          <t>Sulfur hexafluoride</t>
        </is>
      </c>
      <c r="B847" s="13">
        <f>1.13*10^-7</f>
        <v>1.1299999999999998E-7</v>
      </c>
      <c r="C847" t="inlineStr">
        <is>
          <t>kilogram</t>
        </is>
      </c>
      <c r="D847" t="inlineStr">
        <is>
          <t>air</t>
        </is>
      </c>
      <c r="F847" t="inlineStr">
        <is>
          <t>biosphere</t>
        </is>
      </c>
    </row>
    <row r="848">
      <c r="B848" s="3" t="n"/>
    </row>
    <row r="849">
      <c r="B849" s="3" t="n"/>
    </row>
    <row r="850"/>
    <row r="851" ht="16" customHeight="1">
      <c r="A851" s="1" t="inlineStr">
        <is>
          <t>Activity</t>
        </is>
      </c>
      <c r="B851" s="2" t="inlineStr">
        <is>
          <t>electricity voltage transformation from high to medium voltage, for LiS battery</t>
        </is>
      </c>
    </row>
    <row r="852" ht="16" customHeight="1">
      <c r="A852" s="16" t="inlineStr">
        <is>
          <t>comment</t>
        </is>
      </c>
      <c r="B852" t="inlineStr">
        <is>
          <t>Source: Wickerts et al. (2023). Prospective Life Cycle Assessment of Lithium-Sulfur Batteries for Stationary Energy Storage. ACS Sustainable Chemistry &amp; Engineering. https://doi.org/10.1021/acssuschemeng.3c00141</t>
        </is>
      </c>
    </row>
    <row r="853">
      <c r="A853" t="inlineStr">
        <is>
          <t>location</t>
        </is>
      </c>
      <c r="B853" t="inlineStr">
        <is>
          <t>DE</t>
        </is>
      </c>
    </row>
    <row r="854">
      <c r="A854" t="inlineStr">
        <is>
          <t>production amount</t>
        </is>
      </c>
      <c r="B854" t="n">
        <v>1</v>
      </c>
    </row>
    <row r="855">
      <c r="A855" t="inlineStr">
        <is>
          <t>reference product</t>
        </is>
      </c>
      <c r="B855" t="inlineStr">
        <is>
          <t>electricity, medium voltage</t>
        </is>
      </c>
    </row>
    <row r="856">
      <c r="A856" t="inlineStr">
        <is>
          <t>unit</t>
        </is>
      </c>
      <c r="B856" t="inlineStr">
        <is>
          <t>kilowatt hour</t>
        </is>
      </c>
    </row>
    <row r="857">
      <c r="A857" t="inlineStr">
        <is>
          <t>source</t>
        </is>
      </c>
      <c r="B857" t="inlineStr">
        <is>
          <t>Originally from  Wickerts et al. (2023). Prospective Life Cycle Assessment of Lithium-Sulfur Batteries for Stationary Energy Storage. ACS Sustainable Chemistry &amp; Engineering.</t>
        </is>
      </c>
    </row>
    <row r="858" ht="16" customHeight="1">
      <c r="A858" s="1" t="inlineStr">
        <is>
          <t>Exchanges</t>
        </is>
      </c>
    </row>
    <row r="859">
      <c r="A859" s="15" t="inlineStr">
        <is>
          <t>name</t>
        </is>
      </c>
      <c r="B859" s="15" t="inlineStr">
        <is>
          <t>amount</t>
        </is>
      </c>
      <c r="C859" s="15" t="inlineStr">
        <is>
          <t>unit</t>
        </is>
      </c>
      <c r="D859" s="15" t="inlineStr">
        <is>
          <t>categories</t>
        </is>
      </c>
      <c r="E859" s="15" t="inlineStr">
        <is>
          <t>location</t>
        </is>
      </c>
      <c r="F859" s="15" t="inlineStr">
        <is>
          <t>type</t>
        </is>
      </c>
      <c r="G859" s="15" t="inlineStr">
        <is>
          <t>reference product</t>
        </is>
      </c>
      <c r="H859" s="15" t="n"/>
    </row>
    <row r="860">
      <c r="A860" t="inlineStr">
        <is>
          <t>electricity voltage transformation from high to medium voltage, for LiS battery</t>
        </is>
      </c>
      <c r="B860" t="n">
        <v>1</v>
      </c>
      <c r="C860" t="inlineStr">
        <is>
          <t>kilowatt hour</t>
        </is>
      </c>
      <c r="E860" t="inlineStr">
        <is>
          <t>DE</t>
        </is>
      </c>
      <c r="F860" t="inlineStr">
        <is>
          <t>production</t>
        </is>
      </c>
      <c r="G860" t="inlineStr">
        <is>
          <t>electricity, medium voltage</t>
        </is>
      </c>
    </row>
    <row r="861">
      <c r="A861" t="inlineStr">
        <is>
          <t>electricity production, wind, 1-3MW turbine, onshore</t>
        </is>
      </c>
      <c r="B861" s="30" t="n">
        <v>1.0037</v>
      </c>
      <c r="C861" t="inlineStr">
        <is>
          <t>kilowatt hour</t>
        </is>
      </c>
      <c r="E861" t="inlineStr">
        <is>
          <t>DE</t>
        </is>
      </c>
      <c r="F861" t="inlineStr">
        <is>
          <t>technosphere</t>
        </is>
      </c>
      <c r="G861" t="inlineStr">
        <is>
          <t>electricity, high voltage</t>
        </is>
      </c>
    </row>
    <row r="862"/>
    <row r="863"/>
    <row r="864"/>
    <row r="865" ht="16" customHeight="1">
      <c r="A865" s="1" t="inlineStr">
        <is>
          <t>Activity</t>
        </is>
      </c>
      <c r="B865" s="1" t="inlineStr">
        <is>
          <t>installation disassembly, for LiS battery</t>
        </is>
      </c>
    </row>
    <row r="866" ht="16" customHeight="1">
      <c r="A866" s="16" t="inlineStr">
        <is>
          <t>comment</t>
        </is>
      </c>
      <c r="B866" s="16" t="inlineStr">
        <is>
          <t>Source: Wickerts et al. (2023). Prospective Life Cycle Assessment of Lithium-Sulfur Batteries for Stationary Energy Storage. ACS Sustainable Chemistry &amp; Engineering. https://doi.org/10.1021/acssuschemeng.3c00141</t>
        </is>
      </c>
    </row>
    <row r="867">
      <c r="A867" t="inlineStr">
        <is>
          <t>location</t>
        </is>
      </c>
      <c r="B867" t="inlineStr">
        <is>
          <t>GLO</t>
        </is>
      </c>
    </row>
    <row r="868">
      <c r="A868" t="inlineStr">
        <is>
          <t>production amount</t>
        </is>
      </c>
      <c r="B868" t="n">
        <v>1</v>
      </c>
    </row>
    <row r="869">
      <c r="A869" t="inlineStr">
        <is>
          <t>reference product</t>
        </is>
      </c>
      <c r="B869" t="inlineStr">
        <is>
          <t>disassembled installation</t>
        </is>
      </c>
    </row>
    <row r="870">
      <c r="A870" t="inlineStr">
        <is>
          <t>unit</t>
        </is>
      </c>
      <c r="B870" t="inlineStr">
        <is>
          <t>unit</t>
        </is>
      </c>
    </row>
    <row r="871">
      <c r="A871" t="inlineStr">
        <is>
          <t>source</t>
        </is>
      </c>
      <c r="B871" t="inlineStr">
        <is>
          <t>Originally from  Wickerts et al. (2023). Prospective Life Cycle Assessment of Lithium-Sulfur Batteries for Stationary Energy Storage. ACS Sustainable Chemistry &amp; Engineering.</t>
        </is>
      </c>
    </row>
    <row r="872" ht="16" customHeight="1">
      <c r="A872" s="1" t="inlineStr">
        <is>
          <t>Exchanges</t>
        </is>
      </c>
    </row>
    <row r="873">
      <c r="A873" s="15" t="inlineStr">
        <is>
          <t>name</t>
        </is>
      </c>
      <c r="B873" s="15" t="inlineStr">
        <is>
          <t>amount</t>
        </is>
      </c>
      <c r="C873" s="15" t="inlineStr">
        <is>
          <t>unit</t>
        </is>
      </c>
      <c r="D873" s="15" t="inlineStr">
        <is>
          <t>categories</t>
        </is>
      </c>
      <c r="E873" s="15" t="inlineStr">
        <is>
          <t>location</t>
        </is>
      </c>
      <c r="F873" s="15" t="inlineStr">
        <is>
          <t>type</t>
        </is>
      </c>
      <c r="G873" s="15" t="inlineStr">
        <is>
          <t>reference product</t>
        </is>
      </c>
      <c r="H873" s="15" t="inlineStr">
        <is>
          <t>comment</t>
        </is>
      </c>
    </row>
    <row r="874">
      <c r="A874" t="inlineStr">
        <is>
          <t>installation disassembly, for LiS battery</t>
        </is>
      </c>
      <c r="B874" t="n">
        <v>-1</v>
      </c>
      <c r="C874" t="inlineStr">
        <is>
          <t>unit</t>
        </is>
      </c>
      <c r="E874" t="inlineStr">
        <is>
          <t>GLO</t>
        </is>
      </c>
      <c r="F874" t="inlineStr">
        <is>
          <t>production</t>
        </is>
      </c>
      <c r="G874" t="inlineStr">
        <is>
          <t>disassembled installation</t>
        </is>
      </c>
      <c r="H874" t="inlineStr">
        <is>
          <t>Changed to negative</t>
        </is>
      </c>
    </row>
    <row r="875">
      <c r="A875" t="inlineStr">
        <is>
          <t>battery module disassembly, for LiS battery</t>
        </is>
      </c>
      <c r="B875" t="n">
        <v>-1300</v>
      </c>
      <c r="C875" t="inlineStr">
        <is>
          <t>unit</t>
        </is>
      </c>
      <c r="E875" t="inlineStr">
        <is>
          <t>GLO</t>
        </is>
      </c>
      <c r="F875" t="inlineStr">
        <is>
          <t>technosphere</t>
        </is>
      </c>
      <c r="G875" t="inlineStr">
        <is>
          <t>disassembled battery module</t>
        </is>
      </c>
    </row>
    <row r="876" ht="16" customHeight="1">
      <c r="A876" s="22" t="inlineStr">
        <is>
          <t>shredding and sorting, installation, for LiS battery</t>
        </is>
      </c>
      <c r="B876" t="n">
        <v>-9000</v>
      </c>
      <c r="C876" t="inlineStr">
        <is>
          <t>kilogram</t>
        </is>
      </c>
      <c r="E876" t="inlineStr">
        <is>
          <t>GLO</t>
        </is>
      </c>
      <c r="F876" t="inlineStr">
        <is>
          <t>technosphere</t>
        </is>
      </c>
      <c r="G876" s="15" t="inlineStr">
        <is>
          <t xml:space="preserve">shredded and sorted installation components </t>
        </is>
      </c>
    </row>
    <row r="877"/>
    <row r="878"/>
    <row r="879" ht="16" customHeight="1">
      <c r="A879" s="1" t="inlineStr">
        <is>
          <t>Activity</t>
        </is>
      </c>
      <c r="B879" s="1" t="inlineStr">
        <is>
          <t>battery module disassembly, for LiS battery</t>
        </is>
      </c>
    </row>
    <row r="880" ht="16" customHeight="1">
      <c r="A880" s="16" t="inlineStr">
        <is>
          <t>comment</t>
        </is>
      </c>
      <c r="B880" s="16" t="inlineStr">
        <is>
          <t>Source: Wickerts et al. (2023). Prospective Life Cycle Assessment of Lithium-Sulfur Batteries for Stationary Energy Storage. ACS Sustainable Chemistry &amp; Engineering. https://doi.org/10.1021/acssuschemeng.3c00141</t>
        </is>
      </c>
    </row>
    <row r="881">
      <c r="A881" t="inlineStr">
        <is>
          <t>location</t>
        </is>
      </c>
      <c r="B881" t="inlineStr">
        <is>
          <t>GLO</t>
        </is>
      </c>
    </row>
    <row r="882">
      <c r="A882" t="inlineStr">
        <is>
          <t>production amount</t>
        </is>
      </c>
      <c r="B882" t="n">
        <v>1</v>
      </c>
    </row>
    <row r="883">
      <c r="A883" t="inlineStr">
        <is>
          <t>reference product</t>
        </is>
      </c>
      <c r="B883" t="inlineStr">
        <is>
          <t>disassembled battery module</t>
        </is>
      </c>
    </row>
    <row r="884">
      <c r="A884" t="inlineStr">
        <is>
          <t>unit</t>
        </is>
      </c>
      <c r="B884" t="inlineStr">
        <is>
          <t>unit</t>
        </is>
      </c>
    </row>
    <row r="885">
      <c r="A885" t="inlineStr">
        <is>
          <t>source</t>
        </is>
      </c>
      <c r="B885" t="inlineStr">
        <is>
          <t>Originally from  Wickerts et al. (2023). Prospective Life Cycle Assessment of Lithium-Sulfur Batteries for Stationary Energy Storage. ACS Sustainable Chemistry &amp; Engineering.</t>
        </is>
      </c>
    </row>
    <row r="886" ht="16" customHeight="1">
      <c r="A886" s="1" t="inlineStr">
        <is>
          <t>Exchanges</t>
        </is>
      </c>
    </row>
    <row r="887">
      <c r="A887" s="15" t="inlineStr">
        <is>
          <t>name</t>
        </is>
      </c>
      <c r="B887" s="15" t="inlineStr">
        <is>
          <t>amount</t>
        </is>
      </c>
      <c r="C887" s="15" t="inlineStr">
        <is>
          <t>unit</t>
        </is>
      </c>
      <c r="D887" s="15" t="inlineStr">
        <is>
          <t>categories</t>
        </is>
      </c>
      <c r="E887" s="15" t="inlineStr">
        <is>
          <t>location</t>
        </is>
      </c>
      <c r="F887" s="15" t="inlineStr">
        <is>
          <t>type</t>
        </is>
      </c>
      <c r="G887" s="15" t="inlineStr">
        <is>
          <t>reference product</t>
        </is>
      </c>
      <c r="H887" s="15" t="inlineStr">
        <is>
          <t>comment</t>
        </is>
      </c>
    </row>
    <row r="888">
      <c r="A888" t="inlineStr">
        <is>
          <t>battery module disassembly, for LiS battery</t>
        </is>
      </c>
      <c r="B888" t="n">
        <v>-1</v>
      </c>
      <c r="C888" t="inlineStr">
        <is>
          <t>unit</t>
        </is>
      </c>
      <c r="E888" t="inlineStr">
        <is>
          <t>GLO</t>
        </is>
      </c>
      <c r="F888" t="inlineStr">
        <is>
          <t>production</t>
        </is>
      </c>
      <c r="G888" t="inlineStr">
        <is>
          <t>disassembled battery module</t>
        </is>
      </c>
      <c r="H888" t="inlineStr">
        <is>
          <t>Changed to negative</t>
        </is>
      </c>
    </row>
    <row r="889">
      <c r="A889" t="inlineStr">
        <is>
          <t>battery cell deactivation, for LiS battery</t>
        </is>
      </c>
      <c r="B889" t="n">
        <v>-18.77</v>
      </c>
      <c r="C889" t="inlineStr">
        <is>
          <t>kilogram</t>
        </is>
      </c>
      <c r="E889" t="inlineStr">
        <is>
          <t>GLO</t>
        </is>
      </c>
      <c r="F889" t="inlineStr">
        <is>
          <t>technosphere</t>
        </is>
      </c>
      <c r="G889" t="inlineStr">
        <is>
          <t>cells to deactivation</t>
        </is>
      </c>
    </row>
    <row r="890">
      <c r="A890" t="inlineStr">
        <is>
          <t>shredding and sorting, module, for LiS battery</t>
        </is>
      </c>
      <c r="B890" t="n">
        <v>-6.27</v>
      </c>
      <c r="C890" t="inlineStr">
        <is>
          <t>kilogram</t>
        </is>
      </c>
      <c r="E890" t="inlineStr">
        <is>
          <t>GLO</t>
        </is>
      </c>
      <c r="F890" t="inlineStr">
        <is>
          <t>technosphere</t>
        </is>
      </c>
      <c r="G890" t="inlineStr">
        <is>
          <t>shredded and sorted module components</t>
        </is>
      </c>
    </row>
    <row r="891"/>
    <row r="892"/>
    <row r="893"/>
    <row r="894" ht="16" customHeight="1">
      <c r="A894" s="1" t="inlineStr">
        <is>
          <t>Activity</t>
        </is>
      </c>
      <c r="B894" s="1" t="inlineStr">
        <is>
          <t>battery cell deactivation, for LiS battery</t>
        </is>
      </c>
    </row>
    <row r="895" ht="16" customHeight="1">
      <c r="A895" s="16" t="inlineStr">
        <is>
          <t>comment</t>
        </is>
      </c>
      <c r="B895" s="16" t="inlineStr">
        <is>
          <t>Source: Wickerts et al. (2023). Prospective Life Cycle Assessment of Lithium-Sulfur Batteries for Stationary Energy Storage. ACS Sustainable Chemistry &amp; Engineering. https://doi.org/10.1021/acssuschemeng.3c00141</t>
        </is>
      </c>
    </row>
    <row r="896">
      <c r="A896" t="inlineStr">
        <is>
          <t>location</t>
        </is>
      </c>
      <c r="B896" t="inlineStr">
        <is>
          <t>GLO</t>
        </is>
      </c>
    </row>
    <row r="897">
      <c r="A897" t="inlineStr">
        <is>
          <t>production amount</t>
        </is>
      </c>
      <c r="B897" t="n">
        <v>1</v>
      </c>
    </row>
    <row r="898">
      <c r="A898" t="inlineStr">
        <is>
          <t>reference product</t>
        </is>
      </c>
      <c r="B898" t="inlineStr">
        <is>
          <t>cells to deactivation</t>
        </is>
      </c>
    </row>
    <row r="899">
      <c r="A899" t="inlineStr">
        <is>
          <t>unit</t>
        </is>
      </c>
      <c r="B899" t="inlineStr">
        <is>
          <t>kilogram</t>
        </is>
      </c>
    </row>
    <row r="900">
      <c r="A900" t="inlineStr">
        <is>
          <t>source</t>
        </is>
      </c>
      <c r="B900" t="inlineStr">
        <is>
          <t>Originally from  Wickerts et al. (2023). Prospective Life Cycle Assessment of Lithium-Sulfur Batteries for Stationary Energy Storage. ACS Sustainable Chemistry &amp; Engineering.</t>
        </is>
      </c>
    </row>
    <row r="901" ht="16" customHeight="1">
      <c r="A901" s="1" t="inlineStr">
        <is>
          <t>Exchanges</t>
        </is>
      </c>
    </row>
    <row r="902">
      <c r="A902" s="15" t="inlineStr">
        <is>
          <t>name</t>
        </is>
      </c>
      <c r="B902" s="15" t="inlineStr">
        <is>
          <t>amount</t>
        </is>
      </c>
      <c r="C902" s="15" t="inlineStr">
        <is>
          <t>unit</t>
        </is>
      </c>
      <c r="D902" s="15" t="inlineStr">
        <is>
          <t>categories</t>
        </is>
      </c>
      <c r="E902" s="15" t="inlineStr">
        <is>
          <t>location</t>
        </is>
      </c>
      <c r="F902" s="15" t="inlineStr">
        <is>
          <t>type</t>
        </is>
      </c>
      <c r="G902" s="15" t="inlineStr">
        <is>
          <t>reference product</t>
        </is>
      </c>
      <c r="H902" s="15" t="inlineStr">
        <is>
          <t>Comment</t>
        </is>
      </c>
    </row>
    <row r="903">
      <c r="A903" s="15" t="inlineStr">
        <is>
          <t>battery cell deactivation, for LiS battery</t>
        </is>
      </c>
      <c r="B903" s="15" t="n">
        <v>-1</v>
      </c>
      <c r="C903" s="15" t="inlineStr">
        <is>
          <t>kilogram</t>
        </is>
      </c>
      <c r="D903" s="15" t="n"/>
      <c r="E903" s="15" t="inlineStr">
        <is>
          <t>GLO</t>
        </is>
      </c>
      <c r="F903" s="15" t="inlineStr">
        <is>
          <t>production</t>
        </is>
      </c>
      <c r="G903" s="15" t="inlineStr">
        <is>
          <t>cells to deactivation</t>
        </is>
      </c>
      <c r="H903" s="15" t="n"/>
    </row>
    <row r="904" ht="16" customHeight="1">
      <c r="A904" s="25" t="inlineStr">
        <is>
          <t>cell separation and grinding, for LiS battery</t>
        </is>
      </c>
      <c r="B904" t="n">
        <v>-0.72</v>
      </c>
      <c r="C904" t="inlineStr">
        <is>
          <t>kilogram</t>
        </is>
      </c>
      <c r="E904" t="inlineStr">
        <is>
          <t>GLO</t>
        </is>
      </c>
      <c r="F904" t="inlineStr">
        <is>
          <t>technosphere</t>
        </is>
      </c>
      <c r="G904" t="inlineStr">
        <is>
          <t>deactivated cell</t>
        </is>
      </c>
      <c r="H904" t="inlineStr">
        <is>
          <t>Changed to negative</t>
        </is>
      </c>
    </row>
    <row r="905">
      <c r="A905" t="inlineStr">
        <is>
          <t>market group for electricity, medium voltage</t>
        </is>
      </c>
      <c r="B905" t="n">
        <v>0.26</v>
      </c>
      <c r="C905" t="inlineStr">
        <is>
          <t>kilowatt hour</t>
        </is>
      </c>
      <c r="E905" t="inlineStr">
        <is>
          <t>Europe without Switzerland</t>
        </is>
      </c>
      <c r="F905" t="inlineStr">
        <is>
          <t>technosphere</t>
        </is>
      </c>
      <c r="G905" t="inlineStr">
        <is>
          <t>electricity, medium voltage</t>
        </is>
      </c>
    </row>
    <row r="906">
      <c r="A906" t="inlineStr">
        <is>
          <t>NMVOC, non-methane volatile organic compounds</t>
        </is>
      </c>
      <c r="B906" t="n">
        <v>0.28</v>
      </c>
      <c r="C906" t="inlineStr">
        <is>
          <t>kilogram</t>
        </is>
      </c>
      <c r="D906" t="inlineStr">
        <is>
          <t>air</t>
        </is>
      </c>
      <c r="F906" t="inlineStr">
        <is>
          <t>biosphere</t>
        </is>
      </c>
    </row>
    <row r="907"/>
    <row r="908"/>
    <row r="909"/>
    <row r="910" ht="16" customHeight="1">
      <c r="A910" s="1" t="inlineStr">
        <is>
          <t>Activity</t>
        </is>
      </c>
      <c r="B910" s="1" t="inlineStr">
        <is>
          <t>cell separation and grinding, for LiS battery</t>
        </is>
      </c>
    </row>
    <row r="911" ht="16" customHeight="1">
      <c r="A911" s="16" t="inlineStr">
        <is>
          <t>comment</t>
        </is>
      </c>
      <c r="B911" s="16" t="inlineStr">
        <is>
          <t>Source: Wickerts et al. (2023). Prospective Life Cycle Assessment of Lithium-Sulfur Batteries for Stationary Energy Storage. ACS Sustainable Chemistry &amp; Engineering. https://doi.org/10.1021/acssuschemeng.3c00141</t>
        </is>
      </c>
    </row>
    <row r="912">
      <c r="A912" t="inlineStr">
        <is>
          <t>location</t>
        </is>
      </c>
      <c r="B912" t="inlineStr">
        <is>
          <t>GLO</t>
        </is>
      </c>
    </row>
    <row r="913">
      <c r="A913" t="inlineStr">
        <is>
          <t>production amount</t>
        </is>
      </c>
      <c r="B913" t="n">
        <v>1</v>
      </c>
    </row>
    <row r="914">
      <c r="A914" t="inlineStr">
        <is>
          <t>reference product</t>
        </is>
      </c>
      <c r="B914" t="inlineStr">
        <is>
          <t>deactivated cell</t>
        </is>
      </c>
    </row>
    <row r="915">
      <c r="A915" t="inlineStr">
        <is>
          <t>unit</t>
        </is>
      </c>
      <c r="B915" t="inlineStr">
        <is>
          <t>kilogram</t>
        </is>
      </c>
    </row>
    <row r="916">
      <c r="A916" t="inlineStr">
        <is>
          <t>source</t>
        </is>
      </c>
      <c r="B916" t="inlineStr">
        <is>
          <t>Originally from  Wickerts et al. (2023). Prospective Life Cycle Assessment of Lithium-Sulfur Batteries for Stationary Energy Storage. ACS Sustainable Chemistry &amp; Engineering.</t>
        </is>
      </c>
    </row>
    <row r="917" ht="16" customHeight="1">
      <c r="A917" s="1" t="inlineStr">
        <is>
          <t>Exchanges</t>
        </is>
      </c>
    </row>
    <row r="918">
      <c r="A918" s="15" t="inlineStr">
        <is>
          <t>name</t>
        </is>
      </c>
      <c r="B918" s="15" t="inlineStr">
        <is>
          <t>amount</t>
        </is>
      </c>
      <c r="C918" s="15" t="inlineStr">
        <is>
          <t>unit</t>
        </is>
      </c>
      <c r="D918" s="15" t="inlineStr">
        <is>
          <t>categories</t>
        </is>
      </c>
      <c r="E918" s="15" t="inlineStr">
        <is>
          <t>location</t>
        </is>
      </c>
      <c r="F918" s="15" t="inlineStr">
        <is>
          <t>type</t>
        </is>
      </c>
      <c r="G918" s="15" t="inlineStr">
        <is>
          <t>reference product</t>
        </is>
      </c>
      <c r="H918" s="15" t="inlineStr">
        <is>
          <t>Comment</t>
        </is>
      </c>
    </row>
    <row r="919">
      <c r="A919" t="inlineStr">
        <is>
          <t>cell separation and grinding, for LiS battery</t>
        </is>
      </c>
      <c r="B919" s="30" t="n">
        <v>-1</v>
      </c>
      <c r="C919" t="inlineStr">
        <is>
          <t>kilogram</t>
        </is>
      </c>
      <c r="E919" t="inlineStr">
        <is>
          <t>GLO</t>
        </is>
      </c>
      <c r="F919" t="inlineStr">
        <is>
          <t>production</t>
        </is>
      </c>
      <c r="G919" t="inlineStr">
        <is>
          <t>deactivated cell</t>
        </is>
      </c>
    </row>
    <row r="920">
      <c r="A920" t="inlineStr">
        <is>
          <t>hydrometallurgical recycling, for LiS battery</t>
        </is>
      </c>
      <c r="B920" t="n">
        <v>-0.95</v>
      </c>
      <c r="C920" t="inlineStr">
        <is>
          <t>kilogram</t>
        </is>
      </c>
      <c r="E920" t="inlineStr">
        <is>
          <t>GLO</t>
        </is>
      </c>
      <c r="F920" t="inlineStr">
        <is>
          <t>technosphere</t>
        </is>
      </c>
      <c r="G920" t="inlineStr">
        <is>
          <t>lithium carbonate</t>
        </is>
      </c>
      <c r="H920" t="inlineStr">
        <is>
          <t>Changed to negative</t>
        </is>
      </c>
    </row>
    <row r="921">
      <c r="A921" t="inlineStr">
        <is>
          <t>market group for electricity, medium voltage</t>
        </is>
      </c>
      <c r="B921" s="30" t="n">
        <v>1.6</v>
      </c>
      <c r="C921" t="inlineStr">
        <is>
          <t>kilowatt hour</t>
        </is>
      </c>
      <c r="E921" t="inlineStr">
        <is>
          <t>GLO</t>
        </is>
      </c>
      <c r="F921" t="inlineStr">
        <is>
          <t>technosphere</t>
        </is>
      </c>
      <c r="G921" t="inlineStr">
        <is>
          <t>electricity, medium voltage</t>
        </is>
      </c>
    </row>
    <row r="922">
      <c r="A922" t="inlineStr">
        <is>
          <t>market for heat, district or industrial, natural gas</t>
        </is>
      </c>
      <c r="B922" t="n">
        <v>5</v>
      </c>
      <c r="C922" t="inlineStr">
        <is>
          <t>megajoule</t>
        </is>
      </c>
      <c r="E922" t="inlineStr">
        <is>
          <t>RoW</t>
        </is>
      </c>
      <c r="F922" t="inlineStr">
        <is>
          <t>technosphere</t>
        </is>
      </c>
      <c r="G922" t="inlineStr">
        <is>
          <t>heat, district or industrial, natural gas</t>
        </is>
      </c>
    </row>
    <row r="923">
      <c r="A923" t="inlineStr">
        <is>
          <t>market for cooling energy</t>
        </is>
      </c>
      <c r="B923" s="30" t="n">
        <v>4.2</v>
      </c>
      <c r="C923" t="inlineStr">
        <is>
          <t>megajoule</t>
        </is>
      </c>
      <c r="E923" t="inlineStr">
        <is>
          <t>GLO</t>
        </is>
      </c>
      <c r="F923" t="inlineStr">
        <is>
          <t>technosphere</t>
        </is>
      </c>
      <c r="G923" t="inlineStr">
        <is>
          <t>cooling energy</t>
        </is>
      </c>
    </row>
    <row r="924">
      <c r="A924" t="inlineStr">
        <is>
          <t>shredding and sorting, cell, for LiS battery</t>
        </is>
      </c>
      <c r="B924" t="n">
        <v>-0.047</v>
      </c>
      <c r="C924" t="inlineStr">
        <is>
          <t>kilogram</t>
        </is>
      </c>
      <c r="E924" t="inlineStr">
        <is>
          <t>GLO</t>
        </is>
      </c>
      <c r="F924" t="inlineStr">
        <is>
          <t>technosphere</t>
        </is>
      </c>
      <c r="G924" t="inlineStr">
        <is>
          <t>shredded and sorted cell components</t>
        </is>
      </c>
    </row>
    <row r="925"/>
    <row r="926" ht="16" customHeight="1">
      <c r="A926" s="1" t="inlineStr">
        <is>
          <t>Activity</t>
        </is>
      </c>
      <c r="B926" s="1" t="inlineStr">
        <is>
          <t>hydrometallurgical recycling, for LiS battery</t>
        </is>
      </c>
    </row>
    <row r="927" ht="16" customHeight="1">
      <c r="A927" s="16" t="inlineStr">
        <is>
          <t>comment</t>
        </is>
      </c>
      <c r="B927" s="16" t="inlineStr">
        <is>
          <t>Source: Wickerts et al. (2023). Prospective Life Cycle Assessment of Lithium-Sulfur Batteries for Stationary Energy Storage. ACS Sustainable Chemistry &amp; Engineering. https://doi.org/10.1021/acssuschemeng.3c00141</t>
        </is>
      </c>
    </row>
    <row r="928">
      <c r="A928" t="inlineStr">
        <is>
          <t>location</t>
        </is>
      </c>
      <c r="B928" t="inlineStr">
        <is>
          <t>GLO</t>
        </is>
      </c>
    </row>
    <row r="929">
      <c r="A929" t="inlineStr">
        <is>
          <t>production amount</t>
        </is>
      </c>
      <c r="B929" t="n">
        <v>1</v>
      </c>
    </row>
    <row r="930">
      <c r="A930" t="inlineStr">
        <is>
          <t>reference product</t>
        </is>
      </c>
      <c r="B930" t="inlineStr">
        <is>
          <t>lithium carbonate</t>
        </is>
      </c>
    </row>
    <row r="931">
      <c r="A931" t="inlineStr">
        <is>
          <t>unit</t>
        </is>
      </c>
      <c r="B931" t="inlineStr">
        <is>
          <t>kilogram</t>
        </is>
      </c>
    </row>
    <row r="932">
      <c r="A932" t="inlineStr">
        <is>
          <t>source</t>
        </is>
      </c>
      <c r="B932" t="inlineStr">
        <is>
          <t>Originally from  Wickerts et al. (2023). Prospective Life Cycle Assessment of Lithium-Sulfur Batteries for Stationary Energy Storage. ACS Sustainable Chemistry &amp; Engineering.</t>
        </is>
      </c>
    </row>
    <row r="933" ht="16" customHeight="1">
      <c r="A933" s="1" t="inlineStr">
        <is>
          <t>Exchanges</t>
        </is>
      </c>
    </row>
    <row r="934">
      <c r="A934" s="15" t="inlineStr">
        <is>
          <t>name</t>
        </is>
      </c>
      <c r="B934" s="15" t="inlineStr">
        <is>
          <t>amount</t>
        </is>
      </c>
      <c r="C934" s="15" t="inlineStr">
        <is>
          <t>unit</t>
        </is>
      </c>
      <c r="D934" s="15" t="inlineStr">
        <is>
          <t>categories</t>
        </is>
      </c>
      <c r="E934" s="15" t="inlineStr">
        <is>
          <t>location</t>
        </is>
      </c>
      <c r="F934" s="15" t="inlineStr">
        <is>
          <t>type</t>
        </is>
      </c>
      <c r="G934" s="15" t="inlineStr">
        <is>
          <t>reference product</t>
        </is>
      </c>
      <c r="H934" s="15" t="inlineStr">
        <is>
          <t>comment</t>
        </is>
      </c>
    </row>
    <row r="935">
      <c r="A935" t="inlineStr">
        <is>
          <t>hydrometallurgical recycling, for LiS battery</t>
        </is>
      </c>
      <c r="B935" t="n">
        <v>-1</v>
      </c>
      <c r="C935" t="inlineStr">
        <is>
          <t>kilogram</t>
        </is>
      </c>
      <c r="E935" t="inlineStr">
        <is>
          <t>GLO</t>
        </is>
      </c>
      <c r="F935" t="inlineStr">
        <is>
          <t>production</t>
        </is>
      </c>
      <c r="G935" t="inlineStr">
        <is>
          <t>lithium carbonate</t>
        </is>
      </c>
      <c r="H935" t="inlineStr">
        <is>
          <t>Changed to negative</t>
        </is>
      </c>
    </row>
    <row r="936">
      <c r="A936" t="inlineStr">
        <is>
          <t>market for sodium hydroxide, without water, in 50% solution state</t>
        </is>
      </c>
      <c r="B936" t="n">
        <v>6.4</v>
      </c>
      <c r="C936" t="inlineStr">
        <is>
          <t>kilogram</t>
        </is>
      </c>
      <c r="E936" t="inlineStr">
        <is>
          <t>GLO</t>
        </is>
      </c>
      <c r="F936" t="inlineStr">
        <is>
          <t>technosphere</t>
        </is>
      </c>
      <c r="G936" t="inlineStr">
        <is>
          <t>sodium hydroxide, without water, in 50% solution state</t>
        </is>
      </c>
    </row>
    <row r="937">
      <c r="A937" t="inlineStr">
        <is>
          <t>market for soda ash, dense</t>
        </is>
      </c>
      <c r="B937" t="n">
        <v>1.8</v>
      </c>
      <c r="C937" t="inlineStr">
        <is>
          <t>kilogram</t>
        </is>
      </c>
      <c r="E937" t="inlineStr">
        <is>
          <t>GLO</t>
        </is>
      </c>
      <c r="F937" t="inlineStr">
        <is>
          <t>technosphere</t>
        </is>
      </c>
      <c r="G937" t="inlineStr">
        <is>
          <t>soda ash, dense</t>
        </is>
      </c>
    </row>
    <row r="938">
      <c r="A938" t="inlineStr">
        <is>
          <t>market for nitric acid, without water, in 50% solution state</t>
        </is>
      </c>
      <c r="B938" t="n">
        <v>0.32</v>
      </c>
      <c r="C938" t="inlineStr">
        <is>
          <t>kilogram</t>
        </is>
      </c>
      <c r="E938" t="inlineStr">
        <is>
          <t>RoW</t>
        </is>
      </c>
      <c r="F938" t="inlineStr">
        <is>
          <t>technosphere</t>
        </is>
      </c>
      <c r="G938" t="inlineStr">
        <is>
          <t>nitric acid, without water, in 50% solution state</t>
        </is>
      </c>
    </row>
    <row r="939">
      <c r="A939" t="inlineStr">
        <is>
          <t>market for hydrogen peroxide, without water, in 50% solution state</t>
        </is>
      </c>
      <c r="B939" t="n">
        <v>0.18</v>
      </c>
      <c r="C939" t="inlineStr">
        <is>
          <t>kilogram</t>
        </is>
      </c>
      <c r="E939" t="inlineStr">
        <is>
          <t>RoW</t>
        </is>
      </c>
      <c r="F939" t="inlineStr">
        <is>
          <t>technosphere</t>
        </is>
      </c>
      <c r="G939" t="inlineStr">
        <is>
          <t>hydrogen peroxide, without water, in 50% solution state</t>
        </is>
      </c>
    </row>
    <row r="940">
      <c r="A940" t="inlineStr">
        <is>
          <t>market for carbon dioxide, in chemical industry</t>
        </is>
      </c>
      <c r="B940" t="n">
        <v>0.2</v>
      </c>
      <c r="C940" t="inlineStr">
        <is>
          <t>kilogram</t>
        </is>
      </c>
      <c r="E940" t="inlineStr">
        <is>
          <t>GLO</t>
        </is>
      </c>
      <c r="F940" t="inlineStr">
        <is>
          <t>technosphere</t>
        </is>
      </c>
      <c r="G940" t="inlineStr">
        <is>
          <t>carbon dioxide, in chemical industry</t>
        </is>
      </c>
    </row>
    <row r="941">
      <c r="A941" t="inlineStr">
        <is>
          <t>market for water, deionised</t>
        </is>
      </c>
      <c r="B941" t="n">
        <v>81</v>
      </c>
      <c r="C941" t="inlineStr">
        <is>
          <t>kilogram</t>
        </is>
      </c>
      <c r="E941" t="inlineStr">
        <is>
          <t>RoW</t>
        </is>
      </c>
      <c r="F941" t="inlineStr">
        <is>
          <t>technosphere</t>
        </is>
      </c>
      <c r="G941" t="inlineStr">
        <is>
          <t>water, deionised</t>
        </is>
      </c>
    </row>
    <row r="942">
      <c r="A942" t="inlineStr">
        <is>
          <t>market group for electricity, medium voltage</t>
        </is>
      </c>
      <c r="B942" t="n">
        <v>0.01</v>
      </c>
      <c r="C942" t="inlineStr">
        <is>
          <t>kilowatt hour</t>
        </is>
      </c>
      <c r="E942" t="inlineStr">
        <is>
          <t>Europe without Switzerland</t>
        </is>
      </c>
      <c r="F942" t="inlineStr">
        <is>
          <t>technosphere</t>
        </is>
      </c>
      <c r="G942" t="inlineStr">
        <is>
          <t>electricity, medium voltage</t>
        </is>
      </c>
    </row>
    <row r="943">
      <c r="A943" t="inlineStr">
        <is>
          <t>market for steam, in chemical industry</t>
        </is>
      </c>
      <c r="B943" t="n">
        <v>17</v>
      </c>
      <c r="C943" t="inlineStr">
        <is>
          <t>kilogram</t>
        </is>
      </c>
      <c r="E943" t="inlineStr">
        <is>
          <t>RoW</t>
        </is>
      </c>
      <c r="F943" t="inlineStr">
        <is>
          <t>technosphere</t>
        </is>
      </c>
      <c r="G943" t="inlineStr">
        <is>
          <t>steam, in chemical industry</t>
        </is>
      </c>
    </row>
    <row r="944">
      <c r="A944" t="inlineStr">
        <is>
          <t>market for wastewater, average</t>
        </is>
      </c>
      <c r="B944">
        <f>-0.087</f>
        <v>-8.6999999999999994E-2</v>
      </c>
      <c r="C944" t="inlineStr">
        <is>
          <t>cubic meter</t>
        </is>
      </c>
      <c r="E944" t="inlineStr">
        <is>
          <t>RoW</t>
        </is>
      </c>
      <c r="F944" t="inlineStr">
        <is>
          <t>technosphere</t>
        </is>
      </c>
      <c r="G944" t="inlineStr">
        <is>
          <t>wastewater, average</t>
        </is>
      </c>
      <c r="H944" t="inlineStr">
        <is>
          <t>Multiplied by 10e-3 to convert from kilogram to cubic meter</t>
        </is>
      </c>
    </row>
    <row r="945">
      <c r="A945" t="inlineStr">
        <is>
          <t>market for municipal solid waste</t>
        </is>
      </c>
      <c r="B945" t="n">
        <v>-0.4</v>
      </c>
      <c r="C945" t="inlineStr">
        <is>
          <t>kilogram</t>
        </is>
      </c>
      <c r="E945" t="inlineStr">
        <is>
          <t>RoW</t>
        </is>
      </c>
      <c r="F945" t="inlineStr">
        <is>
          <t>technosphere</t>
        </is>
      </c>
      <c r="G945" t="inlineStr">
        <is>
          <t>municipal solid waste</t>
        </is>
      </c>
    </row>
    <row r="946">
      <c r="A946" t="inlineStr">
        <is>
          <t>Carbon dioxide, fossil</t>
        </is>
      </c>
      <c r="B946" t="n">
        <v>0.2</v>
      </c>
      <c r="C946" t="inlineStr">
        <is>
          <t>kilogram</t>
        </is>
      </c>
      <c r="D946" t="inlineStr">
        <is>
          <t>air</t>
        </is>
      </c>
      <c r="F946" t="inlineStr">
        <is>
          <t>biosphere</t>
        </is>
      </c>
    </row>
    <row r="947"/>
    <row r="948"/>
    <row r="949" ht="16" customHeight="1">
      <c r="A949" s="1" t="n"/>
    </row>
    <row r="950" ht="16" customHeight="1">
      <c r="A950" s="1" t="inlineStr">
        <is>
          <t>Activity</t>
        </is>
      </c>
      <c r="B950" s="1" t="inlineStr">
        <is>
          <t>shredding and sorting, cell, for LiS battery</t>
        </is>
      </c>
    </row>
    <row r="951" ht="16" customHeight="1">
      <c r="A951" s="16" t="inlineStr">
        <is>
          <t>comment</t>
        </is>
      </c>
      <c r="B951" s="16" t="inlineStr">
        <is>
          <t>Source: Wickerts et al. (2023). Prospective Life Cycle Assessment of Lithium-Sulfur Batteries for Stationary Energy Storage. ACS Sustainable Chemistry &amp; Engineering. https://doi.org/10.1021/acssuschemeng.3c00141</t>
        </is>
      </c>
    </row>
    <row r="952">
      <c r="A952" t="inlineStr">
        <is>
          <t>location</t>
        </is>
      </c>
      <c r="B952" t="inlineStr">
        <is>
          <t>GLO</t>
        </is>
      </c>
    </row>
    <row r="953">
      <c r="A953" t="inlineStr">
        <is>
          <t>production amount</t>
        </is>
      </c>
      <c r="B953" t="n">
        <v>1</v>
      </c>
    </row>
    <row r="954">
      <c r="A954" t="inlineStr">
        <is>
          <t>reference product</t>
        </is>
      </c>
      <c r="B954" t="inlineStr">
        <is>
          <t xml:space="preserve">shredded and sorted cell components </t>
        </is>
      </c>
    </row>
    <row r="955">
      <c r="A955" t="inlineStr">
        <is>
          <t>unit</t>
        </is>
      </c>
      <c r="B955" t="inlineStr">
        <is>
          <t>kilogram</t>
        </is>
      </c>
    </row>
    <row r="956">
      <c r="A956" t="inlineStr">
        <is>
          <t>source</t>
        </is>
      </c>
      <c r="B956" t="inlineStr">
        <is>
          <t>Originally from  Wickerts et al. (2023). Prospective Life Cycle Assessment of Lithium-Sulfur Batteries for Stationary Energy Storage. ACS Sustainable Chemistry &amp; Engineering.</t>
        </is>
      </c>
    </row>
    <row r="957" ht="16" customHeight="1">
      <c r="A957" s="1" t="inlineStr">
        <is>
          <t>Exchanges</t>
        </is>
      </c>
      <c r="B957" s="15" t="n"/>
      <c r="C957" s="15" t="n"/>
      <c r="D957" s="15" t="n"/>
      <c r="E957" s="15" t="n"/>
      <c r="F957" s="15" t="n"/>
      <c r="G957" s="15" t="n"/>
      <c r="H957" s="15" t="n"/>
    </row>
    <row r="958">
      <c r="A958" s="15" t="inlineStr">
        <is>
          <t>name</t>
        </is>
      </c>
      <c r="B958" s="15" t="inlineStr">
        <is>
          <t>amount</t>
        </is>
      </c>
      <c r="C958" s="15" t="inlineStr">
        <is>
          <t>unit</t>
        </is>
      </c>
      <c r="D958" s="15" t="inlineStr">
        <is>
          <t>categories</t>
        </is>
      </c>
      <c r="E958" s="15" t="inlineStr">
        <is>
          <t>location</t>
        </is>
      </c>
      <c r="F958" s="15" t="inlineStr">
        <is>
          <t>type</t>
        </is>
      </c>
      <c r="G958" s="15" t="inlineStr">
        <is>
          <t>reference product</t>
        </is>
      </c>
      <c r="H958" s="15" t="inlineStr">
        <is>
          <t>comment</t>
        </is>
      </c>
    </row>
    <row r="959">
      <c r="A959" t="inlineStr">
        <is>
          <t>shredding and sorting, cell, for LiS battery</t>
        </is>
      </c>
      <c r="B959" t="n">
        <v>-1</v>
      </c>
      <c r="C959" t="inlineStr">
        <is>
          <t>kilogram</t>
        </is>
      </c>
      <c r="E959" t="inlineStr">
        <is>
          <t>GLO</t>
        </is>
      </c>
      <c r="F959" t="inlineStr">
        <is>
          <t>production</t>
        </is>
      </c>
      <c r="G959" t="inlineStr">
        <is>
          <t xml:space="preserve">shredded and sorted cell components </t>
        </is>
      </c>
      <c r="H959" t="inlineStr">
        <is>
          <t>Changed to negative</t>
        </is>
      </c>
    </row>
    <row r="960">
      <c r="A960" t="inlineStr">
        <is>
          <t>market group for electricity, medium voltage</t>
        </is>
      </c>
      <c r="B960" t="n">
        <v>0.054</v>
      </c>
      <c r="C960" t="inlineStr">
        <is>
          <t>kilowatt hour</t>
        </is>
      </c>
      <c r="E960" t="inlineStr">
        <is>
          <t>Europe without Switzerland</t>
        </is>
      </c>
      <c r="F960" t="inlineStr">
        <is>
          <t>technosphere</t>
        </is>
      </c>
      <c r="G960" t="inlineStr">
        <is>
          <t>electricity, medium voltage</t>
        </is>
      </c>
    </row>
    <row r="961">
      <c r="A961" t="inlineStr">
        <is>
          <t>market for heat, district or industrial, natural gas</t>
        </is>
      </c>
      <c r="B961" t="n">
        <v>0.032</v>
      </c>
      <c r="C961" t="inlineStr">
        <is>
          <t>megajoule</t>
        </is>
      </c>
      <c r="E961" t="inlineStr">
        <is>
          <t>RoW</t>
        </is>
      </c>
      <c r="F961" t="inlineStr">
        <is>
          <t>technosphere</t>
        </is>
      </c>
      <c r="G961" t="inlineStr">
        <is>
          <t>heat, district or industrial, natural gas</t>
        </is>
      </c>
    </row>
    <row r="962">
      <c r="A962" t="inlineStr">
        <is>
          <t>market for aluminium scrap, post-consumer</t>
        </is>
      </c>
      <c r="B962" s="5">
        <f>-0.9246</f>
        <v>-0.92459999999999998</v>
      </c>
      <c r="C962" t="inlineStr">
        <is>
          <t>kilogram</t>
        </is>
      </c>
      <c r="E962" t="inlineStr">
        <is>
          <t>GLO</t>
        </is>
      </c>
      <c r="F962" t="inlineStr">
        <is>
          <t>technosphere</t>
        </is>
      </c>
      <c r="G962" t="inlineStr">
        <is>
          <t>aluminium scrap, post-consumer</t>
        </is>
      </c>
    </row>
    <row r="963">
      <c r="A963" t="inlineStr">
        <is>
          <t>market for scrap copper</t>
        </is>
      </c>
      <c r="B963" s="31" t="n">
        <v>-0.075</v>
      </c>
      <c r="C963" t="inlineStr">
        <is>
          <t>kilogram</t>
        </is>
      </c>
      <c r="E963" t="inlineStr">
        <is>
          <t>RoW</t>
        </is>
      </c>
      <c r="F963" t="inlineStr">
        <is>
          <t>technosphere</t>
        </is>
      </c>
      <c r="G963" t="inlineStr">
        <is>
          <t>scrap copper</t>
        </is>
      </c>
    </row>
    <row r="964" ht="16" customHeight="1">
      <c r="B964" s="1" t="n"/>
    </row>
    <row r="965" ht="16" customHeight="1">
      <c r="A965" s="1" t="n"/>
    </row>
    <row r="966" ht="16" customHeight="1">
      <c r="A966" s="1" t="inlineStr">
        <is>
          <t>Activity</t>
        </is>
      </c>
      <c r="B966" s="1" t="inlineStr">
        <is>
          <t>shredding and sorting, module, for LiS battery</t>
        </is>
      </c>
    </row>
    <row r="967" ht="16" customHeight="1">
      <c r="A967" s="16" t="inlineStr">
        <is>
          <t>comment</t>
        </is>
      </c>
      <c r="B967" s="16" t="inlineStr">
        <is>
          <t>Source: Wickerts et al. (2023). Prospective Life Cycle Assessment of Lithium-Sulfur Batteries for Stationary Energy Storage. ACS Sustainable Chemistry &amp; Engineering. https://doi.org/10.1021/acssuschemeng.3c00141</t>
        </is>
      </c>
    </row>
    <row r="968">
      <c r="A968" t="inlineStr">
        <is>
          <t>location</t>
        </is>
      </c>
      <c r="B968" t="inlineStr">
        <is>
          <t>GLO</t>
        </is>
      </c>
    </row>
    <row r="969">
      <c r="A969" t="inlineStr">
        <is>
          <t>production amount</t>
        </is>
      </c>
      <c r="B969" t="n">
        <v>1</v>
      </c>
    </row>
    <row r="970">
      <c r="A970" t="inlineStr">
        <is>
          <t>reference product</t>
        </is>
      </c>
      <c r="B970" t="inlineStr">
        <is>
          <t xml:space="preserve">shredded and sorted module components </t>
        </is>
      </c>
    </row>
    <row r="971">
      <c r="A971" t="inlineStr">
        <is>
          <t>unit</t>
        </is>
      </c>
      <c r="B971" t="inlineStr">
        <is>
          <t>kilogram</t>
        </is>
      </c>
    </row>
    <row r="972">
      <c r="A972" t="inlineStr">
        <is>
          <t>source</t>
        </is>
      </c>
      <c r="B972" t="inlineStr">
        <is>
          <t>Originally from  Wickerts et al. (2023). Prospective Life Cycle Assessment of Lithium-Sulfur Batteries for Stationary Energy Storage. ACS Sustainable Chemistry &amp; Engineering.</t>
        </is>
      </c>
    </row>
    <row r="973" ht="16" customHeight="1">
      <c r="A973" s="1" t="inlineStr">
        <is>
          <t>Exchanges</t>
        </is>
      </c>
      <c r="B973" s="15" t="n"/>
      <c r="C973" s="15" t="n"/>
      <c r="D973" s="15" t="n"/>
      <c r="E973" s="15" t="n"/>
      <c r="F973" s="15" t="n"/>
      <c r="G973" s="15" t="n"/>
      <c r="H973" s="15" t="n"/>
    </row>
    <row r="974">
      <c r="A974" s="15" t="inlineStr">
        <is>
          <t>name</t>
        </is>
      </c>
      <c r="B974" s="15" t="inlineStr">
        <is>
          <t>amount</t>
        </is>
      </c>
      <c r="C974" s="15" t="inlineStr">
        <is>
          <t>unit</t>
        </is>
      </c>
      <c r="D974" s="15" t="inlineStr">
        <is>
          <t>categories</t>
        </is>
      </c>
      <c r="E974" s="15" t="inlineStr">
        <is>
          <t>location</t>
        </is>
      </c>
      <c r="F974" s="15" t="inlineStr">
        <is>
          <t>type</t>
        </is>
      </c>
      <c r="G974" s="15" t="inlineStr">
        <is>
          <t>reference product</t>
        </is>
      </c>
      <c r="H974" s="15" t="inlineStr">
        <is>
          <t>comment</t>
        </is>
      </c>
    </row>
    <row r="975">
      <c r="A975" t="inlineStr">
        <is>
          <t>shredding and sorting, module, for LiS battery</t>
        </is>
      </c>
      <c r="B975" t="n">
        <v>-1</v>
      </c>
      <c r="C975" t="inlineStr">
        <is>
          <t>kilogram</t>
        </is>
      </c>
      <c r="E975" t="inlineStr">
        <is>
          <t>GLO</t>
        </is>
      </c>
      <c r="F975" t="inlineStr">
        <is>
          <t>production</t>
        </is>
      </c>
      <c r="G975" t="inlineStr">
        <is>
          <t xml:space="preserve">shredded and sorted module components </t>
        </is>
      </c>
      <c r="H975" t="inlineStr">
        <is>
          <t>Changed to negative</t>
        </is>
      </c>
    </row>
    <row r="976">
      <c r="A976" t="inlineStr">
        <is>
          <t>market group for electricity, medium voltage</t>
        </is>
      </c>
      <c r="B976" t="n">
        <v>0.054</v>
      </c>
      <c r="C976" t="inlineStr">
        <is>
          <t>kilowatt hour</t>
        </is>
      </c>
      <c r="E976" t="inlineStr">
        <is>
          <t>Europe without Switzerland</t>
        </is>
      </c>
      <c r="F976" t="inlineStr">
        <is>
          <t>technosphere</t>
        </is>
      </c>
      <c r="G976" t="inlineStr">
        <is>
          <t>electricity, medium voltage</t>
        </is>
      </c>
    </row>
    <row r="977">
      <c r="A977" t="inlineStr">
        <is>
          <t>market for heat, district or industrial, natural gas</t>
        </is>
      </c>
      <c r="B977" t="n">
        <v>0.032</v>
      </c>
      <c r="C977" t="inlineStr">
        <is>
          <t>megajoule</t>
        </is>
      </c>
      <c r="E977" t="inlineStr">
        <is>
          <t>RoW</t>
        </is>
      </c>
      <c r="F977" t="inlineStr">
        <is>
          <t>technosphere</t>
        </is>
      </c>
      <c r="G977" t="inlineStr">
        <is>
          <t>heat, district or industrial, natural gas</t>
        </is>
      </c>
    </row>
    <row r="978">
      <c r="A978" t="inlineStr">
        <is>
          <t>market for aluminium scrap, post-consumer</t>
        </is>
      </c>
      <c r="B978" s="5">
        <f>-0.0635</f>
        <v>-6.3500000000000001E-2</v>
      </c>
      <c r="C978" t="inlineStr">
        <is>
          <t>kilogram</t>
        </is>
      </c>
      <c r="E978" t="inlineStr">
        <is>
          <t>GLO</t>
        </is>
      </c>
      <c r="F978" t="inlineStr">
        <is>
          <t>technosphere</t>
        </is>
      </c>
      <c r="G978" t="inlineStr">
        <is>
          <t>aluminium scrap, post-consumer</t>
        </is>
      </c>
    </row>
    <row r="979">
      <c r="A979" t="inlineStr">
        <is>
          <t>market for scrap copper</t>
        </is>
      </c>
      <c r="B979" s="31">
        <f>-0.0676</f>
        <v>-6.7599999999999993E-2</v>
      </c>
      <c r="C979" t="inlineStr">
        <is>
          <t>kilogram</t>
        </is>
      </c>
      <c r="E979" t="inlineStr">
        <is>
          <t>RoW</t>
        </is>
      </c>
      <c r="F979" t="inlineStr">
        <is>
          <t>technosphere</t>
        </is>
      </c>
      <c r="G979" t="inlineStr">
        <is>
          <t>scrap copper</t>
        </is>
      </c>
    </row>
    <row r="980">
      <c r="A980" t="inlineStr">
        <is>
          <t>market for scrap steel</t>
        </is>
      </c>
      <c r="B980" s="5" t="n">
        <v>-0.4</v>
      </c>
      <c r="C980" t="inlineStr">
        <is>
          <t>kilogram</t>
        </is>
      </c>
      <c r="E980" t="inlineStr">
        <is>
          <t>RoW</t>
        </is>
      </c>
      <c r="F980" t="inlineStr">
        <is>
          <t>technosphere</t>
        </is>
      </c>
      <c r="G980" t="inlineStr">
        <is>
          <t>scrap steel</t>
        </is>
      </c>
    </row>
    <row r="981">
      <c r="A981" t="inlineStr">
        <is>
          <t>market for electronics scrap</t>
        </is>
      </c>
      <c r="B981" s="31">
        <f>-0.011</f>
        <v>-1.0999999999999999E-2</v>
      </c>
      <c r="C981" t="inlineStr">
        <is>
          <t>kilogram</t>
        </is>
      </c>
      <c r="E981" t="inlineStr">
        <is>
          <t>GLO</t>
        </is>
      </c>
      <c r="F981" t="inlineStr">
        <is>
          <t>technosphere</t>
        </is>
      </c>
      <c r="G981" t="inlineStr">
        <is>
          <t>electronics scrap</t>
        </is>
      </c>
    </row>
    <row r="982">
      <c r="A982" t="inlineStr">
        <is>
          <t>market for waste plastic, consumer electronics</t>
        </is>
      </c>
      <c r="B982" t="n">
        <v>-0.46</v>
      </c>
      <c r="C982" t="inlineStr">
        <is>
          <t>kilogram</t>
        </is>
      </c>
      <c r="E982" t="inlineStr">
        <is>
          <t>RoW</t>
        </is>
      </c>
      <c r="F982" t="inlineStr">
        <is>
          <t>technosphere</t>
        </is>
      </c>
      <c r="G982" t="inlineStr">
        <is>
          <t>waste plastic, consumer electronics</t>
        </is>
      </c>
    </row>
    <row r="983"/>
    <row r="984" ht="16" customHeight="1">
      <c r="C984" s="11" t="n"/>
      <c r="D984" s="15" t="n"/>
      <c r="E984" s="15" t="n"/>
      <c r="F984" s="15" t="n"/>
      <c r="G984" s="15" t="n"/>
      <c r="H984" s="15" t="n"/>
      <c r="I984" s="15" t="n"/>
      <c r="J984" s="15" t="n"/>
    </row>
    <row r="985" ht="16" customHeight="1">
      <c r="A985" s="11" t="inlineStr">
        <is>
          <t>Activity</t>
        </is>
      </c>
      <c r="B985" s="11" t="inlineStr">
        <is>
          <t>shredding and sorting, installation, for LiS battery</t>
        </is>
      </c>
      <c r="C985" s="22" t="n"/>
      <c r="D985" s="22" t="n"/>
      <c r="E985" s="22" t="n"/>
      <c r="F985" s="22" t="n"/>
      <c r="G985" s="22" t="n"/>
      <c r="H985" s="22" t="n"/>
      <c r="I985" s="22" t="n"/>
      <c r="J985" s="22" t="n"/>
    </row>
    <row r="986" ht="16" customHeight="1">
      <c r="A986" s="22" t="inlineStr">
        <is>
          <t>comment</t>
        </is>
      </c>
      <c r="B986" s="22" t="inlineStr">
        <is>
          <t>Source: Wickerts et al. (2023). Prospective Life Cycle Assessment of Lithium-Sulfur Batteries for Stationary Energy Storage. ACS Sustainable Chemistry &amp; Engineering. https://doi.org/10.1021/acssuschemeng.3c00141</t>
        </is>
      </c>
      <c r="C986" s="15" t="n"/>
      <c r="D986" s="15" t="n"/>
      <c r="E986" s="15" t="n"/>
      <c r="F986" s="15" t="n"/>
      <c r="G986" s="15" t="n"/>
      <c r="H986" s="15" t="n"/>
      <c r="I986" s="15" t="n"/>
      <c r="J986" s="15" t="n"/>
    </row>
    <row r="987">
      <c r="A987" s="15" t="inlineStr">
        <is>
          <t>location</t>
        </is>
      </c>
      <c r="B987" s="15" t="inlineStr">
        <is>
          <t>GLO</t>
        </is>
      </c>
      <c r="C987" s="15" t="n"/>
      <c r="D987" s="15" t="n"/>
      <c r="E987" s="15" t="n"/>
      <c r="F987" s="15" t="n"/>
      <c r="G987" s="15" t="n"/>
      <c r="H987" s="15" t="n"/>
      <c r="I987" s="15" t="n"/>
      <c r="J987" s="15" t="n"/>
    </row>
    <row r="988">
      <c r="A988" s="15" t="inlineStr">
        <is>
          <t>production amount</t>
        </is>
      </c>
      <c r="B988" s="15" t="n">
        <v>1</v>
      </c>
      <c r="C988" s="15" t="n"/>
      <c r="D988" s="15" t="n"/>
      <c r="E988" s="15" t="n"/>
      <c r="F988" s="15" t="n"/>
      <c r="G988" s="15" t="n"/>
      <c r="H988" s="15" t="n"/>
      <c r="I988" s="15" t="n"/>
      <c r="J988" s="15" t="n"/>
    </row>
    <row r="989">
      <c r="A989" s="15" t="inlineStr">
        <is>
          <t>reference product</t>
        </is>
      </c>
      <c r="B989" s="15" t="inlineStr">
        <is>
          <t xml:space="preserve">shredded and sorted installation components </t>
        </is>
      </c>
      <c r="C989" s="15" t="n"/>
      <c r="D989" s="15" t="n"/>
      <c r="E989" s="15" t="n"/>
      <c r="F989" s="15" t="n"/>
      <c r="G989" s="15" t="n"/>
      <c r="H989" s="15" t="n"/>
      <c r="I989" s="15" t="n"/>
      <c r="J989" s="15" t="n"/>
    </row>
    <row r="990">
      <c r="A990" s="15" t="inlineStr">
        <is>
          <t>unit</t>
        </is>
      </c>
      <c r="B990" s="15" t="inlineStr">
        <is>
          <t>kilogram</t>
        </is>
      </c>
      <c r="C990" s="15" t="n"/>
      <c r="D990" s="15" t="n"/>
      <c r="E990" s="15" t="n"/>
      <c r="F990" s="15" t="n"/>
      <c r="G990" s="15" t="n"/>
      <c r="H990" s="15" t="n"/>
      <c r="I990" s="15" t="n"/>
      <c r="J990" s="15" t="n"/>
    </row>
    <row r="991">
      <c r="A991" s="15" t="inlineStr">
        <is>
          <t>source</t>
        </is>
      </c>
      <c r="B991" s="15" t="inlineStr">
        <is>
          <t>Originally from  Wickerts et al. (2023). Prospective Life Cycle Assessment of Lithium-Sulfur Batteries for Stationary Energy Storage. ACS Sustainable Chemistry &amp; Engineering.</t>
        </is>
      </c>
      <c r="C991" s="15" t="n"/>
      <c r="D991" s="15" t="n"/>
      <c r="E991" s="15" t="n"/>
      <c r="F991" s="15" t="n"/>
      <c r="G991" s="15" t="n"/>
      <c r="H991" s="15" t="n"/>
      <c r="I991" s="15" t="n"/>
      <c r="J991" s="15" t="n"/>
    </row>
    <row r="992" ht="16" customHeight="1">
      <c r="A992" s="11" t="inlineStr">
        <is>
          <t>Exchanges</t>
        </is>
      </c>
      <c r="B992" s="15" t="n"/>
      <c r="C992" s="15" t="n"/>
      <c r="D992" s="15" t="n"/>
      <c r="E992" s="15" t="n"/>
      <c r="F992" s="15" t="n"/>
      <c r="G992" s="15" t="n"/>
      <c r="H992" s="15" t="n"/>
      <c r="I992" s="15" t="n"/>
      <c r="J992" s="15" t="n"/>
    </row>
    <row r="993">
      <c r="A993" s="15" t="inlineStr">
        <is>
          <t>name</t>
        </is>
      </c>
      <c r="B993" s="15" t="inlineStr">
        <is>
          <t>amount</t>
        </is>
      </c>
      <c r="C993" s="15" t="inlineStr">
        <is>
          <t>unit</t>
        </is>
      </c>
      <c r="D993" s="15" t="inlineStr">
        <is>
          <t>categories</t>
        </is>
      </c>
      <c r="E993" s="15" t="inlineStr">
        <is>
          <t>location</t>
        </is>
      </c>
      <c r="F993" s="15" t="inlineStr">
        <is>
          <t>type</t>
        </is>
      </c>
      <c r="G993" s="15" t="inlineStr">
        <is>
          <t>reference product</t>
        </is>
      </c>
      <c r="H993" s="15" t="inlineStr">
        <is>
          <t>comment</t>
        </is>
      </c>
      <c r="I993" s="15" t="n"/>
      <c r="J993" s="15" t="n"/>
    </row>
    <row r="994">
      <c r="A994" s="15" t="inlineStr">
        <is>
          <t>shredding and sorting, installation, for LiS battery</t>
        </is>
      </c>
      <c r="B994" s="15" t="n">
        <v>-1</v>
      </c>
      <c r="C994" s="15" t="inlineStr">
        <is>
          <t>kilogram</t>
        </is>
      </c>
      <c r="D994" s="15" t="n"/>
      <c r="E994" s="15" t="inlineStr">
        <is>
          <t>GLO</t>
        </is>
      </c>
      <c r="F994" s="15" t="inlineStr">
        <is>
          <t>production</t>
        </is>
      </c>
      <c r="G994" s="15" t="inlineStr">
        <is>
          <t xml:space="preserve">shredded and sorted installation components </t>
        </is>
      </c>
      <c r="H994" s="15" t="inlineStr">
        <is>
          <t>Changed to negative</t>
        </is>
      </c>
      <c r="I994" s="15" t="n"/>
      <c r="J994" s="15" t="n"/>
    </row>
    <row r="995">
      <c r="A995" s="15" t="inlineStr">
        <is>
          <t>market group for electricity, medium voltage</t>
        </is>
      </c>
      <c r="B995" s="15" t="n">
        <v>0.054</v>
      </c>
      <c r="C995" s="15" t="inlineStr">
        <is>
          <t>kilowatt hour</t>
        </is>
      </c>
      <c r="D995" s="15" t="n"/>
      <c r="E995" s="15" t="inlineStr">
        <is>
          <t>Europe without Switzerland</t>
        </is>
      </c>
      <c r="F995" s="15" t="inlineStr">
        <is>
          <t>technosphere</t>
        </is>
      </c>
      <c r="G995" s="15" t="inlineStr">
        <is>
          <t>electricity, medium voltage</t>
        </is>
      </c>
      <c r="H995" s="15" t="n"/>
      <c r="I995" s="15" t="n"/>
      <c r="J995" s="15" t="n"/>
    </row>
    <row r="996">
      <c r="A996" s="15" t="inlineStr">
        <is>
          <t>market for heat, district or industrial, natural gas</t>
        </is>
      </c>
      <c r="B996" s="15" t="n">
        <v>0.032</v>
      </c>
      <c r="C996" s="15" t="inlineStr">
        <is>
          <t>megajoule</t>
        </is>
      </c>
      <c r="D996" s="15" t="n"/>
      <c r="E996" s="15" t="inlineStr">
        <is>
          <t>RoW</t>
        </is>
      </c>
      <c r="F996" s="15" t="inlineStr">
        <is>
          <t>technosphere</t>
        </is>
      </c>
      <c r="G996" s="15" t="inlineStr">
        <is>
          <t>heat, district or industrial, natural gas</t>
        </is>
      </c>
      <c r="H996" s="15" t="n"/>
      <c r="I996" s="15" t="n"/>
      <c r="J996" s="15" t="n"/>
    </row>
    <row r="997">
      <c r="A997" s="15" t="inlineStr">
        <is>
          <t>market for scrap steel</t>
        </is>
      </c>
      <c r="B997" s="20" t="n">
        <v>-0.68</v>
      </c>
      <c r="C997" s="15" t="inlineStr">
        <is>
          <t>kilogram</t>
        </is>
      </c>
      <c r="D997" s="15" t="n"/>
      <c r="E997" s="15" t="inlineStr">
        <is>
          <t>RoW</t>
        </is>
      </c>
      <c r="F997" s="15" t="inlineStr">
        <is>
          <t>technosphere</t>
        </is>
      </c>
      <c r="G997" t="inlineStr">
        <is>
          <t>scrap steel</t>
        </is>
      </c>
      <c r="H997" s="15" t="inlineStr">
        <is>
          <t>Market for aluminium or steel? Original inventory was not consistent</t>
        </is>
      </c>
      <c r="I997" s="15" t="n"/>
      <c r="J997" s="15" t="n"/>
    </row>
    <row r="998">
      <c r="A998" s="15" t="inlineStr">
        <is>
          <t>market for electronics scrap</t>
        </is>
      </c>
      <c r="B998" s="32" t="n">
        <v>-0.32</v>
      </c>
      <c r="C998" s="15" t="inlineStr">
        <is>
          <t>kilogram</t>
        </is>
      </c>
      <c r="D998" s="15" t="n"/>
      <c r="E998" s="15" t="inlineStr">
        <is>
          <t>GLO</t>
        </is>
      </c>
      <c r="F998" s="15" t="inlineStr">
        <is>
          <t>technosphere</t>
        </is>
      </c>
      <c r="G998" s="15" t="inlineStr">
        <is>
          <t>electronics scrap</t>
        </is>
      </c>
      <c r="H998" s="15" t="n"/>
    </row>
    <row r="999"/>
    <row r="1000" ht="16" customHeight="1">
      <c r="A1000" s="6" t="n"/>
      <c r="B1000" s="31" t="n"/>
    </row>
    <row r="1001">
      <c r="B1001" s="31" t="n"/>
    </row>
    <row r="1002" ht="16" customHeight="1">
      <c r="B1002" s="1" t="n"/>
    </row>
    <row r="1003" ht="16" customHeight="1">
      <c r="A1003" s="1" t="n"/>
    </row>
    <row r="1004"/>
    <row r="1005"/>
    <row r="1006"/>
    <row r="1007"/>
    <row r="1008"/>
    <row r="1009"/>
    <row r="1010" ht="16" customHeight="1">
      <c r="A1010" s="1" t="n"/>
      <c r="B1010" s="15" t="n"/>
      <c r="C1010" s="15" t="n"/>
      <c r="D1010" s="15" t="n"/>
      <c r="E1010" s="15" t="n"/>
      <c r="F1010" s="15" t="n"/>
      <c r="G1010" s="15" t="n"/>
    </row>
    <row r="1011">
      <c r="A1011" s="15" t="n"/>
      <c r="B1011" s="15" t="n"/>
      <c r="C1011" s="15" t="n"/>
      <c r="D1011" s="15" t="n"/>
      <c r="E1011" s="15" t="n"/>
      <c r="F1011" s="15" t="n"/>
      <c r="G1011" s="15" t="n"/>
    </row>
    <row r="1012">
      <c r="A1012" s="15" t="n"/>
    </row>
    <row r="1013"/>
    <row r="1014"/>
    <row r="1015"/>
    <row r="1016"/>
    <row r="1017"/>
    <row r="1018"/>
    <row r="1019"/>
    <row r="1020" ht="16" customHeight="1">
      <c r="A1020" s="1" t="n"/>
    </row>
    <row r="1021"/>
    <row r="1022"/>
    <row r="1023"/>
    <row r="1024"/>
    <row r="1025" ht="16" customHeight="1">
      <c r="B1025" s="1" t="n"/>
    </row>
    <row r="1026" ht="16" customHeight="1">
      <c r="A1026" s="1" t="n"/>
    </row>
    <row r="1027"/>
    <row r="1028"/>
    <row r="1029"/>
    <row r="1030"/>
    <row r="1031"/>
    <row r="1032"/>
    <row r="1033" ht="16" customHeight="1">
      <c r="A1033" s="1" t="n"/>
    </row>
    <row r="1034"/>
    <row r="1035"/>
    <row r="1036"/>
    <row r="1037"/>
    <row r="1038"/>
    <row r="1039"/>
    <row r="1040"/>
    <row r="1041"/>
    <row r="1042" ht="16" customHeight="1">
      <c r="B1042" s="1" t="n"/>
    </row>
    <row r="1043" ht="16" customHeight="1">
      <c r="A1043" s="1" t="n"/>
    </row>
    <row r="1044"/>
    <row r="1045"/>
    <row r="1046"/>
    <row r="1047"/>
    <row r="1048"/>
    <row r="1049"/>
    <row r="1050" ht="16" customHeight="1">
      <c r="A1050" s="1" t="n"/>
    </row>
    <row r="1051"/>
    <row r="1052"/>
    <row r="1053"/>
    <row r="1054"/>
    <row r="1055" ht="16" customHeight="1">
      <c r="B1055" s="1" t="n"/>
    </row>
    <row r="1056" ht="16" customHeight="1">
      <c r="A1056" s="1" t="n"/>
    </row>
    <row r="1057"/>
    <row r="1058"/>
    <row r="1059"/>
    <row r="1060"/>
    <row r="1061"/>
    <row r="1062"/>
    <row r="1063" ht="16" customHeight="1">
      <c r="A1063" s="1" t="n"/>
    </row>
    <row r="1064"/>
    <row r="1065"/>
    <row r="1066"/>
    <row r="1067"/>
    <row r="1068" ht="16" customHeight="1">
      <c r="B1068" s="1" t="n"/>
    </row>
    <row r="1069" ht="16" customHeight="1">
      <c r="A1069" s="1" t="n"/>
    </row>
    <row r="1070"/>
    <row r="1071"/>
    <row r="1072"/>
    <row r="1073"/>
    <row r="1074"/>
    <row r="1075" ht="16" customHeight="1">
      <c r="A1075" s="1" t="n"/>
      <c r="B1075" s="1" t="n"/>
      <c r="C1075" s="1" t="n"/>
      <c r="D1075" s="1" t="n"/>
      <c r="E1075" s="1" t="n"/>
      <c r="F1075" s="1" t="n"/>
      <c r="G1075" s="1" t="n"/>
      <c r="H1075" s="1" t="n"/>
    </row>
    <row r="1076" ht="16" customHeight="1">
      <c r="A1076" s="1" t="n"/>
    </row>
  </sheetData>
  <autoFilter ref="A1:O1081"/>
  <pageMargins left="0.7" right="0.7" top="0.75" bottom="0.75" header="0.3" footer="0.3"/>
  <pageSetup orientation="portrait" paperSize="9"/>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Sacchi Romain</dc:creator>
  <dcterms:created xmlns:dcterms="http://purl.org/dc/terms/" xmlns:xsi="http://www.w3.org/2001/XMLSchema-instance" xsi:type="dcterms:W3CDTF">2021-12-06T10:43:53Z</dcterms:created>
  <dcterms:modified xmlns:dcterms="http://purl.org/dc/terms/" xmlns:xsi="http://www.w3.org/2001/XMLSchema-instance" xsi:type="dcterms:W3CDTF">2026-07-07T14:16:26Z</dcterms:modified>
  <cp:lastModifiedBy>Sacchi, Romain</cp:lastModifiedBy>
</cp:coreProperties>
</file>