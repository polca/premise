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<sst xmlns="http://schemas.openxmlformats.org/spreadsheetml/2006/main" count="3170" uniqueCount="464">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</sst>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76"/>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s">
        <v>412</v>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1.5</v>
      </c>
      <c r="C177" t="s">
        <v>7</v>
      </c>
      <c r="E177" t="s">
        <v>3</v>
      </c>
      <c r="F177" t="s">
        <v>15</v>
      </c>
      <c r="G177" t="s">
        <v>96</v>
      </c>
    </row>
    <row r="178" spans="1:8" x14ac:dyDescent="0.2">
      <c r="A178" t="s">
        <v>395</v>
      </c>
      <c r="B178" s="5">
        <v>0.27</v>
      </c>
      <c r="C178" t="s">
        <v>7</v>
      </c>
      <c r="E178" t="s">
        <v>3</v>
      </c>
      <c r="F178" t="s">
        <v>15</v>
      </c>
      <c r="G178" t="s">
        <v>397</v>
      </c>
      <c r="H178" t="s">
        <v>396</v>
      </c>
    </row>
    <row r="179" spans="1:8" x14ac:dyDescent="0.2">
      <c r="A179" t="s">
        <v>51</v>
      </c>
      <c r="B179" s="18">
        <v>15</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5.5</v>
      </c>
      <c r="C181" t="s">
        <v>23</v>
      </c>
      <c r="E181" t="s">
        <v>54</v>
      </c>
      <c r="F181" t="s">
        <v>15</v>
      </c>
      <c r="G181" t="s">
        <v>24</v>
      </c>
    </row>
    <row r="182" spans="1:8" x14ac:dyDescent="0.2">
      <c r="A182" t="s">
        <v>86</v>
      </c>
      <c r="B182" s="7">
        <v>2.4</v>
      </c>
      <c r="C182" t="s">
        <v>7</v>
      </c>
      <c r="E182" t="s">
        <v>17</v>
      </c>
      <c r="F182" t="s">
        <v>15</v>
      </c>
      <c r="G182" t="s">
        <v>87</v>
      </c>
    </row>
    <row r="183" spans="1:8" x14ac:dyDescent="0.2">
      <c r="A183" t="s">
        <v>49</v>
      </c>
      <c r="B183" s="4">
        <v>-1.6E-2</v>
      </c>
      <c r="C183" t="s">
        <v>45</v>
      </c>
      <c r="E183" t="s">
        <v>17</v>
      </c>
      <c r="F183" t="s">
        <v>15</v>
      </c>
      <c r="G183" t="s">
        <v>50</v>
      </c>
      <c r="H183" t="s">
        <v>436</v>
      </c>
    </row>
    <row r="184" spans="1:8" x14ac:dyDescent="0.2">
      <c r="A184" t="s">
        <v>287</v>
      </c>
      <c r="B184" s="4">
        <v>7.6999999999999999E-2</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s">
        <v>408</v>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0.52</v>
      </c>
      <c r="C259" t="s">
        <v>7</v>
      </c>
      <c r="E259" t="s">
        <v>3</v>
      </c>
      <c r="F259" t="s">
        <v>15</v>
      </c>
      <c r="G259" t="s">
        <v>98</v>
      </c>
    </row>
    <row r="260" spans="1:7" x14ac:dyDescent="0.2">
      <c r="A260" s="14" t="s">
        <v>102</v>
      </c>
      <c r="B260" s="7">
        <v>1.1000000000000001</v>
      </c>
      <c r="C260" t="s">
        <v>7</v>
      </c>
      <c r="E260" t="s">
        <v>3</v>
      </c>
      <c r="F260" t="s">
        <v>15</v>
      </c>
      <c r="G260" t="s">
        <v>103</v>
      </c>
    </row>
    <row r="261" spans="1:7" x14ac:dyDescent="0.2">
      <c r="A261" t="s">
        <v>51</v>
      </c>
      <c r="B261" s="18">
        <v>18</v>
      </c>
      <c r="C261" t="s">
        <v>7</v>
      </c>
      <c r="E261" t="s">
        <v>17</v>
      </c>
      <c r="F261" t="s">
        <v>15</v>
      </c>
      <c r="G261" t="s">
        <v>52</v>
      </c>
    </row>
    <row r="262" spans="1:7" x14ac:dyDescent="0.2">
      <c r="A262" t="s">
        <v>104</v>
      </c>
      <c r="B262" s="7">
        <v>1.1000000000000001</v>
      </c>
      <c r="C262" t="s">
        <v>7</v>
      </c>
      <c r="E262" t="s">
        <v>17</v>
      </c>
      <c r="F262" t="s">
        <v>15</v>
      </c>
      <c r="G262" t="s">
        <v>105</v>
      </c>
    </row>
    <row r="263" spans="1:7" x14ac:dyDescent="0.2">
      <c r="A263" t="s">
        <v>38</v>
      </c>
      <c r="B263">
        <f>4*10^-10</f>
        <v>4.0000000000000001E-10</v>
      </c>
      <c r="C263" t="s">
        <v>6</v>
      </c>
      <c r="E263" t="s">
        <v>3</v>
      </c>
      <c r="F263" t="s">
        <v>15</v>
      </c>
      <c r="G263" t="s">
        <v>39</v>
      </c>
    </row>
    <row r="264" spans="1:7" x14ac:dyDescent="0.2">
      <c r="A264" t="s">
        <v>22</v>
      </c>
      <c r="B264" s="18">
        <v>17</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s">
        <v>408</v>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v>
      </c>
      <c r="C278" t="s">
        <v>7</v>
      </c>
      <c r="E278" t="s">
        <v>3</v>
      </c>
      <c r="F278" t="s">
        <v>15</v>
      </c>
      <c r="G278" t="s">
        <v>101</v>
      </c>
    </row>
    <row r="279" spans="1:7" x14ac:dyDescent="0.2">
      <c r="A279" t="s">
        <v>107</v>
      </c>
      <c r="B279" s="7">
        <v>2.1</v>
      </c>
      <c r="C279" t="s">
        <v>7</v>
      </c>
      <c r="E279" t="s">
        <v>3</v>
      </c>
      <c r="F279" t="s">
        <v>15</v>
      </c>
      <c r="G279" t="s">
        <v>108</v>
      </c>
    </row>
    <row r="280" spans="1:7" x14ac:dyDescent="0.2">
      <c r="A280" t="s">
        <v>56</v>
      </c>
      <c r="B280" s="5">
        <v>0.23</v>
      </c>
      <c r="C280" t="s">
        <v>7</v>
      </c>
      <c r="E280" t="s">
        <v>17</v>
      </c>
      <c r="F280" t="s">
        <v>15</v>
      </c>
      <c r="G280" t="s">
        <v>57</v>
      </c>
    </row>
    <row r="281" spans="1:7" x14ac:dyDescent="0.2">
      <c r="A281" t="s">
        <v>77</v>
      </c>
      <c r="B281" s="7">
        <v>1</v>
      </c>
      <c r="C281" t="s">
        <v>7</v>
      </c>
      <c r="E281" t="s">
        <v>17</v>
      </c>
      <c r="F281" t="s">
        <v>15</v>
      </c>
      <c r="G281" t="s">
        <v>78</v>
      </c>
    </row>
    <row r="282" spans="1:7" x14ac:dyDescent="0.2">
      <c r="A282" t="s">
        <v>51</v>
      </c>
      <c r="B282" s="18">
        <v>10</v>
      </c>
      <c r="C282" t="s">
        <v>7</v>
      </c>
      <c r="E282" t="s">
        <v>17</v>
      </c>
      <c r="F282" t="s">
        <v>15</v>
      </c>
      <c r="G282" t="s">
        <v>52</v>
      </c>
    </row>
    <row r="283" spans="1:7" x14ac:dyDescent="0.2">
      <c r="A283" t="s">
        <v>38</v>
      </c>
      <c r="B283">
        <f>4*10^-10</f>
        <v>4.0000000000000001E-10</v>
      </c>
      <c r="C283" t="s">
        <v>6</v>
      </c>
      <c r="E283" t="s">
        <v>3</v>
      </c>
      <c r="F283" t="s">
        <v>15</v>
      </c>
      <c r="G283" t="s">
        <v>39</v>
      </c>
    </row>
    <row r="284" spans="1:7" x14ac:dyDescent="0.2">
      <c r="A284" t="s">
        <v>22</v>
      </c>
      <c r="B284" s="18">
        <v>24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s">
        <v>408</v>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s">
        <v>21</v>
      </c>
      <c r="B299" s="5">
        <v>4.95</v>
      </c>
      <c r="C299" t="s">
        <v>7</v>
      </c>
      <c r="E299" t="s">
        <v>17</v>
      </c>
      <c r="F299" t="s">
        <v>15</v>
      </c>
      <c r="G299" t="s">
        <v>21</v>
      </c>
      <c r="H299" s="10" t="s">
        <v>376</v>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v>
      </c>
      <c r="C302" t="s">
        <v>7</v>
      </c>
      <c r="E302" t="s">
        <v>3</v>
      </c>
      <c r="F302" t="s">
        <v>15</v>
      </c>
      <c r="G302" t="s">
        <v>111</v>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s">
        <v>408</v>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0.68</v>
      </c>
      <c r="C356" t="s">
        <v>7</v>
      </c>
      <c r="E356" t="s">
        <v>3</v>
      </c>
      <c r="F356" t="s">
        <v>15</v>
      </c>
      <c r="G356" t="s">
        <v>117</v>
      </c>
    </row>
    <row r="357" spans="1:8" x14ac:dyDescent="0.2">
      <c r="A357" t="s">
        <v>40</v>
      </c>
      <c r="B357" s="5">
        <v>0.10199999999999999</v>
      </c>
      <c r="C357" t="s">
        <v>7</v>
      </c>
      <c r="E357" t="s">
        <v>3</v>
      </c>
      <c r="F357" t="s">
        <v>15</v>
      </c>
      <c r="G357" t="s">
        <v>41</v>
      </c>
    </row>
    <row r="358" spans="1:8" x14ac:dyDescent="0.2">
      <c r="A358" t="s">
        <v>118</v>
      </c>
      <c r="B358" s="4">
        <v>6.3E-2</v>
      </c>
      <c r="C358" t="s">
        <v>7</v>
      </c>
      <c r="E358" t="s">
        <v>3</v>
      </c>
      <c r="F358" t="s">
        <v>15</v>
      </c>
      <c r="G358" t="s">
        <v>119</v>
      </c>
    </row>
    <row r="359" spans="1:8" x14ac:dyDescent="0.2">
      <c r="A359" t="s">
        <v>336</v>
      </c>
      <c r="B359" s="5">
        <v>0.11600000000000001</v>
      </c>
      <c r="C359" t="s">
        <v>7</v>
      </c>
      <c r="E359" t="s">
        <v>3</v>
      </c>
      <c r="F359" t="s">
        <v>15</v>
      </c>
      <c r="G359" t="s">
        <v>120</v>
      </c>
    </row>
    <row r="360" spans="1:8" x14ac:dyDescent="0.2">
      <c r="A360" t="s">
        <v>333</v>
      </c>
      <c r="B360" s="5">
        <v>0.10199999999999999</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-6.3E-2</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s">
        <v>442</v>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7.4/1000*(1/0.046)</f>
        <v>0.16086956521739132</v>
      </c>
      <c r="C449" t="s">
        <v>7</v>
      </c>
      <c r="E449" t="s">
        <v>3</v>
      </c>
      <c r="F449" t="s">
        <v>15</v>
      </c>
      <c r="G449" t="s">
        <v>109</v>
      </c>
      <c r="H449" t="s">
        <v>406</v>
      </c>
    </row>
    <row r="450" spans="1:8" x14ac:dyDescent="0.2">
      <c r="A450" t="s">
        <v>335</v>
      </c>
      <c r="B450" s="3">
        <f>4.6/1000*(1/0.046)</f>
        <v>0.1</v>
      </c>
      <c r="C450" t="s">
        <v>7</v>
      </c>
      <c r="E450" t="s">
        <v>3</v>
      </c>
      <c r="F450" t="s">
        <v>15</v>
      </c>
      <c r="G450" t="s">
        <v>112</v>
      </c>
      <c r="H450" t="s">
        <v>406</v>
      </c>
    </row>
    <row r="451" spans="1:8" x14ac:dyDescent="0.2">
      <c r="A451" t="s">
        <v>337</v>
      </c>
      <c r="B451" s="3">
        <f>11/1000*(1/0.046)</f>
        <v>0.23913043478260868</v>
      </c>
      <c r="C451" t="s">
        <v>7</v>
      </c>
      <c r="E451" t="s">
        <v>3</v>
      </c>
      <c r="F451" t="s">
        <v>15</v>
      </c>
      <c r="G451" t="s">
        <v>115</v>
      </c>
      <c r="H451" t="s">
        <v>406</v>
      </c>
    </row>
    <row r="452" spans="1:8" x14ac:dyDescent="0.2">
      <c r="A452" t="s">
        <v>338</v>
      </c>
      <c r="B452" s="3">
        <f>20/1000*(1/0.046)</f>
        <v>0.43478260869565222</v>
      </c>
      <c r="C452" t="s">
        <v>7</v>
      </c>
      <c r="E452" t="s">
        <v>3</v>
      </c>
      <c r="F452" t="s">
        <v>15</v>
      </c>
      <c r="G452" t="s">
        <v>121</v>
      </c>
      <c r="H452" t="s">
        <v>406</v>
      </c>
    </row>
    <row r="453" spans="1:8" x14ac:dyDescent="0.2">
      <c r="A453" t="s">
        <v>339</v>
      </c>
      <c r="B453" s="3">
        <f>0.13/1000*(1/0.046)</f>
        <v>2.8260869565217396E-3</v>
      </c>
      <c r="C453" t="s">
        <v>7</v>
      </c>
      <c r="E453" t="s">
        <v>3</v>
      </c>
      <c r="F453" t="s">
        <v>15</v>
      </c>
      <c r="G453" t="s">
        <v>126</v>
      </c>
      <c r="H453" t="s">
        <v>406</v>
      </c>
    </row>
    <row r="454" spans="1:8" x14ac:dyDescent="0.2">
      <c r="A454" t="s">
        <v>341</v>
      </c>
      <c r="B454" s="3">
        <f>0.12/1000*(1/0.046)</f>
        <v>2.6086956521739128E-3</v>
      </c>
      <c r="C454" t="s">
        <v>7</v>
      </c>
      <c r="E454" t="s">
        <v>3</v>
      </c>
      <c r="F454" t="s">
        <v>15</v>
      </c>
      <c r="G454" t="s">
        <v>127</v>
      </c>
      <c r="H454" t="s">
        <v>406</v>
      </c>
    </row>
    <row r="455" spans="1:8" x14ac:dyDescent="0.2">
      <c r="A455" t="s">
        <v>340</v>
      </c>
      <c r="B455" s="3">
        <f>0.069/1000*(1/0.046)</f>
        <v>1.5000000000000002E-3</v>
      </c>
      <c r="C455" t="s">
        <v>7</v>
      </c>
      <c r="E455" t="s">
        <v>3</v>
      </c>
      <c r="F455" t="s">
        <v>15</v>
      </c>
      <c r="G455" t="s">
        <v>128</v>
      </c>
      <c r="H455" t="s">
        <v>406</v>
      </c>
    </row>
    <row r="456" spans="1:8" x14ac:dyDescent="0.2">
      <c r="A456" t="s">
        <v>51</v>
      </c>
      <c r="B456" s="3">
        <f>31/1000*(1/0.046)</f>
        <v>0.67391304347826086</v>
      </c>
      <c r="C456" t="s">
        <v>7</v>
      </c>
      <c r="E456" t="s">
        <v>17</v>
      </c>
      <c r="F456" t="s">
        <v>15</v>
      </c>
      <c r="G456" t="s">
        <v>52</v>
      </c>
      <c r="H456" t="s">
        <v>406</v>
      </c>
    </row>
    <row r="457" spans="1:8" x14ac:dyDescent="0.2">
      <c r="A457" t="s">
        <v>22</v>
      </c>
      <c r="B457" s="13">
        <f>0.046*(1/0.046)</f>
        <v>1</v>
      </c>
      <c r="C457" t="s">
        <v>23</v>
      </c>
      <c r="E457" t="s">
        <v>54</v>
      </c>
      <c r="F457" t="s">
        <v>15</v>
      </c>
      <c r="G457" t="s">
        <v>24</v>
      </c>
    </row>
    <row r="458" spans="1:8" x14ac:dyDescent="0.2">
      <c r="A458" t="s">
        <v>49</v>
      </c>
      <c r="B458" s="23">
        <f>-31/1000000*(1/0.046)</f>
        <v>-6.7391304347826086E-4</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s">
        <v>445</v>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0.225*(1/0.046)</f>
        <v>4.8913043478260869</v>
      </c>
      <c r="C471" t="s">
        <v>23</v>
      </c>
      <c r="D471" t="s">
        <v>54</v>
      </c>
      <c r="E471" t="s">
        <v>15</v>
      </c>
      <c r="F471" t="s">
        <v>24</v>
      </c>
      <c r="G471" t="s">
        <v>417</v>
      </c>
    </row>
    <row r="472" spans="1:7" x14ac:dyDescent="0.2">
      <c r="A472" t="s">
        <v>342</v>
      </c>
      <c r="B472" s="13">
        <f>0.0000000115*(1/0.046)</f>
        <v>2.5000000000000004E-7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408*0.046/24.971</f>
        <v>0.75159184654198874</v>
      </c>
      <c r="C500" t="s">
        <v>7</v>
      </c>
      <c r="E500" t="s">
        <v>3</v>
      </c>
      <c r="F500" t="s">
        <v>15</v>
      </c>
      <c r="G500" t="s">
        <v>407</v>
      </c>
      <c r="H500" t="s">
        <v>418</v>
      </c>
    </row>
    <row r="501" spans="1:11" x14ac:dyDescent="0.2">
      <c r="A501" t="s">
        <v>344</v>
      </c>
      <c r="B501" s="5">
        <f>0.275/24.971</f>
        <v>1.1012774818789798E-2</v>
      </c>
      <c r="C501" t="s">
        <v>7</v>
      </c>
      <c r="E501" t="s">
        <v>3</v>
      </c>
      <c r="F501" t="s">
        <v>15</v>
      </c>
      <c r="G501" t="s">
        <v>134</v>
      </c>
    </row>
    <row r="502" spans="1:11" x14ac:dyDescent="0.2">
      <c r="A502" t="s">
        <v>345</v>
      </c>
      <c r="B502" s="5">
        <f>0.593/24.971</f>
        <v>2.3747547154699448E-2</v>
      </c>
      <c r="C502" t="s">
        <v>7</v>
      </c>
      <c r="E502" t="s">
        <v>3</v>
      </c>
      <c r="F502" t="s">
        <v>15</v>
      </c>
      <c r="G502" t="s">
        <v>135</v>
      </c>
    </row>
    <row r="503" spans="1:11" ht="16" x14ac:dyDescent="0.2">
      <c r="A503" s="16" t="s">
        <v>346</v>
      </c>
      <c r="B503" s="4">
        <f>0.085/24.971</f>
        <v>3.4039485803532099E-3</v>
      </c>
      <c r="C503" t="s">
        <v>7</v>
      </c>
      <c r="E503" t="s">
        <v>3</v>
      </c>
      <c r="F503" t="s">
        <v>15</v>
      </c>
      <c r="G503" t="s">
        <v>136</v>
      </c>
    </row>
    <row r="504" spans="1:11" x14ac:dyDescent="0.2">
      <c r="A504" t="s">
        <v>36</v>
      </c>
      <c r="B504" s="7">
        <f>2.75/24.971</f>
        <v>0.11012774818789796</v>
      </c>
      <c r="C504" t="s">
        <v>7</v>
      </c>
      <c r="E504" t="s">
        <v>3</v>
      </c>
      <c r="F504" t="s">
        <v>15</v>
      </c>
      <c r="G504" t="s">
        <v>37</v>
      </c>
      <c r="I504" s="23"/>
      <c r="J504" s="18"/>
      <c r="K504" s="18"/>
    </row>
    <row r="505" spans="1:11" x14ac:dyDescent="0.2">
      <c r="A505" t="s">
        <v>137</v>
      </c>
      <c r="B505" s="7">
        <f>2.5/24.971</f>
        <v>0.10011613471627087</v>
      </c>
      <c r="C505" t="s">
        <v>7</v>
      </c>
      <c r="E505" t="s">
        <v>3</v>
      </c>
      <c r="F505" t="s">
        <v>15</v>
      </c>
      <c r="G505" t="s">
        <v>138</v>
      </c>
    </row>
    <row r="506" spans="1:11" x14ac:dyDescent="0.2">
      <c r="A506" t="s">
        <v>18</v>
      </c>
      <c r="B506" s="7">
        <f>2.75/24.971</f>
        <v>0.11012774818789796</v>
      </c>
      <c r="C506" t="s">
        <v>7</v>
      </c>
      <c r="E506" t="s">
        <v>3</v>
      </c>
      <c r="F506" t="s">
        <v>15</v>
      </c>
      <c r="G506" t="s">
        <v>19</v>
      </c>
    </row>
    <row r="507" spans="1:11" x14ac:dyDescent="0.2">
      <c r="A507" t="s">
        <v>139</v>
      </c>
      <c r="B507" s="13">
        <f>2.5/24.971</f>
        <v>0.10011613471627087</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Reference output: 1 kg battery module supplied by this market. The implemented cell reference is 150 Wh/kg cell; at 0.7515918465419887 kg cell/kg module this corresponds to 112.7387769812983 Wh/kg module. The former 321 kg system statement was copied from Li-O2 and is not a Li-S source basis. Quantities and density trajectory unchanged; source-design and equipment-coverage gaps remain unresolved.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s">
        <v>410</v>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s">
        <v>408</v>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16*24.971</f>
        <v>399.536</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