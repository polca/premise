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440" yWindow="1400" windowWidth="30240" windowHeight="18880" tabRatio="600" firstSheet="0" activeTab="0" autoFilterDateGrouping="1"/>
  </bookViews>
  <sheets>
    <sheet xmlns:r="http://schemas.openxmlformats.org/officeDocument/2006/relationships" name="Sheet1" sheetId="1" state="visible" r:id="rId1"/>
  </sheets>
  <definedNames>
    <definedName name="_xlnm._FilterDatabase" localSheetId="0" hidden="1">'Sheet1'!$A$1:$J$2</definedName>
  </definedNames>
  <calcPr calcId="19102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name val="Calibri"/>
      <family val="2"/>
      <color theme="1"/>
      <sz val="12"/>
      <scheme val="minor"/>
    </font>
    <font>
      <name val="Calibri"/>
      <family val="2"/>
      <b val="1"/>
      <color theme="1"/>
      <sz val="12"/>
      <scheme val="minor"/>
    </font>
    <font>
      <name val="Calibri"/>
      <family val="2"/>
      <color theme="1"/>
      <sz val="12"/>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0" fontId="2" fillId="0" borderId="0" pivotButton="0" quotePrefix="0" xfId="0"/>
    <xf numFmtId="0" fontId="3" fillId="0" borderId="0" pivotButton="0" quotePrefix="0" xfId="0"/>
    <xf numFmtId="11" fontId="0" fillId="0" borderId="0" pivotButton="0" quotePrefix="0" xfId="0"/>
    <xf numFmtId="0" fontId="4" fillId="0" borderId="0" pivotButton="0" quotePrefix="0" xfId="0"/>
    <xf numFmtId="164" fontId="0" fillId="0" borderId="0" pivotButton="0" quotePrefix="0" xfId="0"/>
    <xf numFmtId="0" fontId="1"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I70"/>
  <sheetViews>
    <sheetView tabSelected="1" topLeftCell="A6" zoomScale="115" zoomScaleNormal="115" workbookViewId="0">
      <selection activeCell="I24" sqref="I24"/>
    </sheetView>
  </sheetViews>
  <sheetFormatPr baseColWidth="10" defaultColWidth="8.83203125" defaultRowHeight="15"/>
  <cols>
    <col width="54.5" customWidth="1" min="1" max="1"/>
    <col width="9.1640625" bestFit="1" customWidth="1" min="2" max="2"/>
    <col width="47.1640625" bestFit="1" customWidth="1" min="5" max="5"/>
    <col width="12.83203125" bestFit="1" customWidth="1" min="6" max="6"/>
    <col width="23.6640625" customWidth="1" min="7" max="7"/>
    <col width="27.33203125" customWidth="1" min="9" max="9"/>
  </cols>
  <sheetData>
    <row r="1" ht="16" customHeight="1">
      <c r="A1" s="1" t="inlineStr">
        <is>
          <t>Database</t>
        </is>
      </c>
      <c r="B1" s="1" t="inlineStr">
        <is>
          <t>Hydrogen from coal Gasification with CCS</t>
        </is>
      </c>
    </row>
    <row r="2"/>
    <row r="3" ht="16" customHeight="1">
      <c r="A3" s="1" t="inlineStr">
        <is>
          <t>Activity</t>
        </is>
      </c>
      <c r="B3" s="1" t="inlineStr">
        <is>
          <t>hydrogen production, coal gasification, with CCS</t>
        </is>
      </c>
    </row>
    <row r="4">
      <c r="A4" t="inlineStr">
        <is>
          <t>production amount</t>
        </is>
      </c>
      <c r="B4" t="n">
        <v>1</v>
      </c>
    </row>
    <row r="5" ht="16" customHeight="1">
      <c r="A5" t="inlineStr">
        <is>
          <t>reference product</t>
        </is>
      </c>
      <c r="B5" s="6" t="inlineStr">
        <is>
          <t>hydrogen, gaseous, low pressure</t>
        </is>
      </c>
    </row>
    <row r="6">
      <c r="A6" t="inlineStr">
        <is>
          <t>type</t>
        </is>
      </c>
      <c r="B6" t="inlineStr">
        <is>
          <t>process</t>
        </is>
      </c>
    </row>
    <row r="7">
      <c r="A7" t="inlineStr">
        <is>
          <t>unit</t>
        </is>
      </c>
      <c r="B7" t="inlineStr">
        <is>
          <t>kilogram</t>
        </is>
      </c>
    </row>
    <row r="8">
      <c r="A8" t="inlineStr">
        <is>
          <t>location</t>
        </is>
      </c>
      <c r="B8" t="inlineStr">
        <is>
          <t>RoW</t>
        </is>
      </c>
    </row>
    <row r="9">
      <c r="A9" t="inlineStr">
        <is>
          <t>comment</t>
        </is>
      </c>
      <c r="B9" t="inlineStr">
        <is>
          <t>Originally in megajoule. LHV: 120 MJ/kg. Originally: Wokaun A, Wilhelm E, Schenler W, Simons A, Bauer C, Bond S, et al. Transition to hydrogen - pathways toward clean transportation. New York: Cambridge University Press; 2011. Updated with: Jiaquan Li, Yi-Ming Wei, Lancui Liu, Xiaoyu Li, Rui Yan, The carbon footprint and cost of coal-based hydrogen production with and without carbon capture and storage technology in China, Journal of Cleaner Production, 2022, https://doi.org/10.1016/j.jclepro.2022.132514. Li et al., 2022, is based on an existing plant in China, and an existing CCS project in China. CO2 transport and storage is from Volkart et al., 2013.</t>
        </is>
      </c>
    </row>
    <row r="10">
      <c r="A10" t="inlineStr">
        <is>
          <t>source</t>
        </is>
      </c>
      <c r="B10" t="inlineStr">
        <is>
          <t>Originally: Wokaun A, Wilhelm E, Schenler W, Simons A, Bauer C, Bond S, et al. Transition to hydrogen - pathways toward clean transportation. New York: Cambridge University Press; 2011
Updated with: Jiaquan Li, Yi-Ming Wei, Lancui Liu, Xiaoyu Li, Rui Yan, The carbon footprint and cost of coal-based hydrogen production with and without carbon capture and storage technology in China, Journal of Cleaner Production, 2022, https://doi.org/10.1016/j.jclepro.2022.132514.</t>
        </is>
      </c>
    </row>
    <row r="11" ht="16" customHeight="1">
      <c r="A11" s="1" t="inlineStr">
        <is>
          <t>Exchanges</t>
        </is>
      </c>
    </row>
    <row r="12">
      <c r="A12" t="inlineStr">
        <is>
          <t>name</t>
        </is>
      </c>
      <c r="B12" t="inlineStr">
        <is>
          <t>amount</t>
        </is>
      </c>
      <c r="C12" t="inlineStr">
        <is>
          <t>location</t>
        </is>
      </c>
      <c r="D12" t="inlineStr">
        <is>
          <t>unit</t>
        </is>
      </c>
      <c r="E12" t="inlineStr">
        <is>
          <t>categories</t>
        </is>
      </c>
      <c r="F12" t="inlineStr">
        <is>
          <t>type</t>
        </is>
      </c>
      <c r="G12" t="inlineStr">
        <is>
          <t>comment</t>
        </is>
      </c>
      <c r="H12" t="inlineStr">
        <is>
          <t>reference product</t>
        </is>
      </c>
    </row>
    <row r="13" ht="16" customHeight="1">
      <c r="A13" s="6" t="inlineStr">
        <is>
          <t>hydrogen production, coal gasification, with CCS</t>
        </is>
      </c>
      <c r="B13" t="n">
        <v>1</v>
      </c>
      <c r="C13" t="inlineStr">
        <is>
          <t>RoW</t>
        </is>
      </c>
      <c r="D13" t="inlineStr">
        <is>
          <t>kilogram</t>
        </is>
      </c>
      <c r="F13" t="inlineStr">
        <is>
          <t>production</t>
        </is>
      </c>
      <c r="G13" t="inlineStr">
        <is>
          <t>LHV</t>
        </is>
      </c>
      <c r="H13" s="6" t="inlineStr">
        <is>
          <t>hydrogen, gaseous, low pressure</t>
        </is>
      </c>
    </row>
    <row r="14"/>
    <row r="15"/>
    <row r="16"/>
    <row r="17">
      <c r="A17" t="inlineStr">
        <is>
          <t>chemical factory construction, organics</t>
        </is>
      </c>
      <c r="B17" t="n">
        <v>6.997199999999999e-10</v>
      </c>
      <c r="C17" t="inlineStr">
        <is>
          <t>RoW</t>
        </is>
      </c>
      <c r="D17" t="inlineStr">
        <is>
          <t>unit</t>
        </is>
      </c>
      <c r="F17" t="inlineStr">
        <is>
          <t>technosphere</t>
        </is>
      </c>
      <c r="G17" t="inlineStr">
        <is>
          <t>Tab J-26</t>
        </is>
      </c>
      <c r="H17" t="inlineStr">
        <is>
          <t>chemical factory, organics</t>
        </is>
      </c>
    </row>
    <row r="18">
      <c r="A18" t="inlineStr">
        <is>
          <t>lime production, milled, packed</t>
        </is>
      </c>
      <c r="B18" t="n">
        <v>0.16752</v>
      </c>
      <c r="C18" t="inlineStr">
        <is>
          <t>RoW</t>
        </is>
      </c>
      <c r="D18" t="inlineStr">
        <is>
          <t>kilogram</t>
        </is>
      </c>
      <c r="F18" t="inlineStr">
        <is>
          <t>technosphere</t>
        </is>
      </c>
      <c r="G18" t="inlineStr">
        <is>
          <t>From Wokaun et al., 2011.</t>
        </is>
      </c>
      <c r="H18" t="inlineStr">
        <is>
          <t>lime, packed</t>
        </is>
      </c>
    </row>
    <row r="19">
      <c r="A19" t="inlineStr">
        <is>
          <t>liquid storage tank production, chemicals, organics</t>
        </is>
      </c>
      <c r="B19" t="n">
        <v>3.9744e-09</v>
      </c>
      <c r="C19" t="inlineStr">
        <is>
          <t>RoW</t>
        </is>
      </c>
      <c r="D19" t="inlineStr">
        <is>
          <t>unit</t>
        </is>
      </c>
      <c r="F19" t="inlineStr">
        <is>
          <t>technosphere</t>
        </is>
      </c>
      <c r="G19" t="inlineStr">
        <is>
          <t>3.5*8.01e-12 (Tab C-21 and section J.10.2)</t>
        </is>
      </c>
      <c r="H19" t="inlineStr">
        <is>
          <t>liquid storage tank, chemicals, organics</t>
        </is>
      </c>
    </row>
    <row r="20">
      <c r="A20" t="inlineStr">
        <is>
          <t>market for hard coal</t>
        </is>
      </c>
      <c r="B20" t="n">
        <v>6.771</v>
      </c>
      <c r="C20" t="inlineStr">
        <is>
          <t>RoW</t>
        </is>
      </c>
      <c r="D20" t="inlineStr">
        <is>
          <t>kilogram</t>
        </is>
      </c>
      <c r="F20" t="inlineStr">
        <is>
          <t>technosphere</t>
        </is>
      </c>
      <c r="G20" t="inlineStr">
        <is>
          <t>Originally 8.99 kg coal/kg H2 in Li et al., 2022, we remove the supply chain losses to match the stoichiometric CO2 emissions of the process, since coal losses are already included in the upstream coal mining and supply datasets.</t>
        </is>
      </c>
      <c r="H20" t="inlineStr">
        <is>
          <t>hard coal</t>
        </is>
      </c>
    </row>
    <row r="21">
      <c r="A21" t="inlineStr">
        <is>
          <t>market for transport, freight train</t>
        </is>
      </c>
      <c r="B21" t="n">
        <v>1.13976</v>
      </c>
      <c r="C21" t="inlineStr">
        <is>
          <t>RoW</t>
        </is>
      </c>
      <c r="D21" t="inlineStr">
        <is>
          <t>ton kilometer</t>
        </is>
      </c>
      <c r="F21" t="inlineStr">
        <is>
          <t>technosphere</t>
        </is>
      </c>
      <c r="G21" t="inlineStr">
        <is>
          <t>From Wokaun et al., 2011.</t>
        </is>
      </c>
      <c r="H21" t="inlineStr">
        <is>
          <t>transport, freight train</t>
        </is>
      </c>
    </row>
    <row r="22">
      <c r="A22" t="inlineStr">
        <is>
          <t>market group for electricity, medium voltage</t>
        </is>
      </c>
      <c r="B22" t="n">
        <v>4.39</v>
      </c>
      <c r="C22" t="inlineStr">
        <is>
          <t>GLO</t>
        </is>
      </c>
      <c r="D22" t="inlineStr">
        <is>
          <t>kilowatt hour</t>
        </is>
      </c>
      <c r="F22" t="inlineStr">
        <is>
          <t>technosphere</t>
        </is>
      </c>
      <c r="G22" t="inlineStr">
        <is>
          <t>From Li et al., 2022.</t>
        </is>
      </c>
      <c r="H22" t="inlineStr">
        <is>
          <t>electricity, medium voltage</t>
        </is>
      </c>
    </row>
    <row r="23">
      <c r="A23" t="inlineStr">
        <is>
          <t>market for aluminium oxide, metallurgical</t>
        </is>
      </c>
      <c r="B23">
        <f>0.98/1000</f>
        <v>9.7999999999999997E-4</v>
      </c>
      <c r="C23" t="inlineStr">
        <is>
          <t>RoW</t>
        </is>
      </c>
      <c r="D23" t="inlineStr">
        <is>
          <t>kilogram</t>
        </is>
      </c>
      <c r="F23" t="inlineStr">
        <is>
          <t>technosphere</t>
        </is>
      </c>
      <c r="G23" t="inlineStr">
        <is>
          <t>From Li et al., 2022.</t>
        </is>
      </c>
      <c r="H23" t="inlineStr">
        <is>
          <t>aluminium oxide, metallurgical</t>
        </is>
      </c>
    </row>
    <row r="24">
      <c r="A24" t="inlineStr">
        <is>
          <t>methanol production, coal gasification</t>
        </is>
      </c>
      <c r="B24">
        <f>4.44/1000</f>
        <v>4.4400000000000004E-3</v>
      </c>
      <c r="C24" t="inlineStr">
        <is>
          <t>RoW</t>
        </is>
      </c>
      <c r="D24" t="inlineStr">
        <is>
          <t>kilogram</t>
        </is>
      </c>
      <c r="F24" t="inlineStr">
        <is>
          <t>technosphere</t>
        </is>
      </c>
      <c r="G24" t="inlineStr">
        <is>
          <t>From Li et al., 2022.</t>
        </is>
      </c>
      <c r="H24" t="inlineStr">
        <is>
          <t>methanol</t>
        </is>
      </c>
    </row>
    <row r="25">
      <c r="A25" t="inlineStr">
        <is>
          <t>transport, freight, inland waterways, barge</t>
        </is>
      </c>
      <c r="B25" t="n">
        <v>0.42432</v>
      </c>
      <c r="C25" t="inlineStr">
        <is>
          <t>RoW</t>
        </is>
      </c>
      <c r="D25" t="inlineStr">
        <is>
          <t>ton kilometer</t>
        </is>
      </c>
      <c r="F25" t="inlineStr">
        <is>
          <t>technosphere</t>
        </is>
      </c>
      <c r="G25" t="inlineStr">
        <is>
          <t>From Wokaun et al., 2011.</t>
        </is>
      </c>
      <c r="H25" t="inlineStr">
        <is>
          <t>transport, freight, inland waterways, barge</t>
        </is>
      </c>
    </row>
    <row r="26">
      <c r="A26" t="inlineStr">
        <is>
          <t>treatment of hard coal ash, residual material landfill</t>
        </is>
      </c>
      <c r="B26" t="n">
        <v>-0.50532</v>
      </c>
      <c r="C26" t="inlineStr">
        <is>
          <t>RoW</t>
        </is>
      </c>
      <c r="D26" t="inlineStr">
        <is>
          <t>kilogram</t>
        </is>
      </c>
      <c r="F26" t="inlineStr">
        <is>
          <t>technosphere</t>
        </is>
      </c>
      <c r="G26" t="inlineStr">
        <is>
          <t>From Wokaun et al., 2011.</t>
        </is>
      </c>
      <c r="H26" t="inlineStr">
        <is>
          <t>hard coal ash</t>
        </is>
      </c>
    </row>
    <row r="27">
      <c r="A27" t="inlineStr">
        <is>
          <t>treatment of waste gypsum, inert material landfill</t>
        </is>
      </c>
      <c r="B27" t="n">
        <v>-0.22848</v>
      </c>
      <c r="C27" t="inlineStr">
        <is>
          <t>RoW</t>
        </is>
      </c>
      <c r="D27" t="inlineStr">
        <is>
          <t>kilogram</t>
        </is>
      </c>
      <c r="F27" t="inlineStr">
        <is>
          <t>technosphere</t>
        </is>
      </c>
      <c r="G27" t="inlineStr">
        <is>
          <t>From Wokaun et al., 2011.</t>
        </is>
      </c>
      <c r="H27" t="inlineStr">
        <is>
          <t>waste gypsum</t>
        </is>
      </c>
    </row>
    <row r="28">
      <c r="A28" t="inlineStr">
        <is>
          <t>treatment of wastewater, average, capacity 1E9l/year</t>
        </is>
      </c>
      <c r="B28" s="3">
        <f>(-B35/1000)</f>
        <v>-1.0240000000000001E-2</v>
      </c>
      <c r="C28" t="inlineStr">
        <is>
          <t>RoW</t>
        </is>
      </c>
      <c r="D28" t="inlineStr">
        <is>
          <t>cubic meter</t>
        </is>
      </c>
      <c r="F28" t="inlineStr">
        <is>
          <t>technosphere</t>
        </is>
      </c>
      <c r="G28" t="inlineStr">
        <is>
          <t>From Li et al., 2022. For CCS.</t>
        </is>
      </c>
      <c r="H28" t="inlineStr">
        <is>
          <t>wastewater, average</t>
        </is>
      </c>
    </row>
    <row r="29">
      <c r="A29" t="inlineStr">
        <is>
          <t>Ammonia</t>
        </is>
      </c>
      <c r="B29" t="n">
        <v>0.0069264</v>
      </c>
      <c r="D29" t="inlineStr">
        <is>
          <t>kilogram</t>
        </is>
      </c>
      <c r="E29" t="inlineStr">
        <is>
          <t>air::non-urban air or from high stacks</t>
        </is>
      </c>
      <c r="F29" t="inlineStr">
        <is>
          <t>biosphere</t>
        </is>
      </c>
      <c r="G29" t="inlineStr">
        <is>
          <t>From Wokaun et al., 2011.</t>
        </is>
      </c>
    </row>
    <row r="30">
      <c r="A30" t="inlineStr">
        <is>
          <t>Carbon dioxide, fossil</t>
        </is>
      </c>
      <c r="B30" t="n">
        <v>2.48</v>
      </c>
      <c r="D30" t="inlineStr">
        <is>
          <t>kilogram</t>
        </is>
      </c>
      <c r="E30" t="inlineStr">
        <is>
          <t>air::non-urban air or from high stacks</t>
        </is>
      </c>
      <c r="F30" t="inlineStr">
        <is>
          <t>biosphere</t>
        </is>
      </c>
      <c r="G30" t="inlineStr">
        <is>
          <t>From Li et al., 2022.</t>
        </is>
      </c>
    </row>
    <row r="31">
      <c r="A31" t="inlineStr">
        <is>
          <t>Hydrogen chloride</t>
        </is>
      </c>
      <c r="B31" t="n">
        <v>0.0103752</v>
      </c>
      <c r="D31" t="inlineStr">
        <is>
          <t>kilogram</t>
        </is>
      </c>
      <c r="E31" t="inlineStr">
        <is>
          <t>air::non-urban air or from high stacks</t>
        </is>
      </c>
      <c r="F31" t="inlineStr">
        <is>
          <t>biosphere</t>
        </is>
      </c>
      <c r="G31" t="inlineStr">
        <is>
          <t>From Wokaun et al., 2011.</t>
        </is>
      </c>
    </row>
    <row r="32">
      <c r="A32" t="inlineStr">
        <is>
          <t>carbon dioxide, captured at hydrogen production plant, pre, pipeline 200km, storage 1000m</t>
        </is>
      </c>
      <c r="B32">
        <f>17.77-B30</f>
        <v>15.29</v>
      </c>
      <c r="C32" t="inlineStr">
        <is>
          <t>RER</t>
        </is>
      </c>
      <c r="D32" t="inlineStr">
        <is>
          <t>kilogram</t>
        </is>
      </c>
      <c r="F32" t="inlineStr">
        <is>
          <t>technosphere</t>
        </is>
      </c>
      <c r="G32" t="inlineStr">
        <is>
          <t>Volkart et al., 2013</t>
        </is>
      </c>
      <c r="H32" t="inlineStr">
        <is>
          <t>carbon dioxide, captured at hydrogen production plant, pre, pipeline 200km, storage 1000m</t>
        </is>
      </c>
    </row>
    <row r="33">
      <c r="A33" t="inlineStr">
        <is>
          <t>market group for electricity, medium voltage</t>
        </is>
      </c>
      <c r="B33" t="n">
        <v>3.36</v>
      </c>
      <c r="C33" t="inlineStr">
        <is>
          <t>GLO</t>
        </is>
      </c>
      <c r="D33" t="inlineStr">
        <is>
          <t>kilowatt hour</t>
        </is>
      </c>
      <c r="F33" t="inlineStr">
        <is>
          <t>technosphere</t>
        </is>
      </c>
      <c r="G33" t="inlineStr">
        <is>
          <t>From Li et al., 2022. Electricity for CCS.</t>
        </is>
      </c>
      <c r="H33" t="inlineStr">
        <is>
          <t>electricity, medium voltage</t>
        </is>
      </c>
    </row>
    <row r="34">
      <c r="A34" t="inlineStr">
        <is>
          <t>Water, cooling, unspecified natural origin</t>
        </is>
      </c>
      <c r="B34">
        <f>32/1000</f>
        <v>3.2000000000000001E-2</v>
      </c>
      <c r="D34" t="inlineStr">
        <is>
          <t>cubic meter</t>
        </is>
      </c>
      <c r="E34" t="inlineStr">
        <is>
          <t>natural resource::in water</t>
        </is>
      </c>
      <c r="F34" t="inlineStr">
        <is>
          <t>biosphere</t>
        </is>
      </c>
      <c r="G34" t="inlineStr">
        <is>
          <t>From Li et al., 2022. For CCS. Amount of freshwater consumed per kg CO2 captured for cooling.</t>
        </is>
      </c>
      <c r="I34" t="inlineStr"/>
    </row>
    <row r="35">
      <c r="A35" t="inlineStr">
        <is>
          <t>water production, deionised</t>
        </is>
      </c>
      <c r="B35" t="n">
        <v>10.24</v>
      </c>
      <c r="C35" t="inlineStr">
        <is>
          <t>RoW</t>
        </is>
      </c>
      <c r="D35" t="inlineStr">
        <is>
          <t>kilogram</t>
        </is>
      </c>
      <c r="F35" t="inlineStr">
        <is>
          <t>technosphere</t>
        </is>
      </c>
      <c r="G35" t="inlineStr">
        <is>
          <t>From Li et al., 2022. For CCS. Listed as "desalted water".</t>
        </is>
      </c>
      <c r="H35" t="inlineStr">
        <is>
          <t>water, deionised</t>
        </is>
      </c>
    </row>
    <row r="36">
      <c r="A36" t="inlineStr">
        <is>
          <t>treatment of wastewater, average, capacity 1E9l/year</t>
        </is>
      </c>
      <c r="B36" s="5">
        <f>(((B34*1000)+B35-(600*3.78541/1000))/1000)*-1</f>
        <v>-3.9968754000000002E-2</v>
      </c>
      <c r="C36" t="inlineStr">
        <is>
          <t>RoW</t>
        </is>
      </c>
      <c r="D36" t="inlineStr">
        <is>
          <t>cubic meter</t>
        </is>
      </c>
      <c r="F36" t="inlineStr">
        <is>
          <t>technosphere</t>
        </is>
      </c>
      <c r="G36" t="inlineStr">
        <is>
          <t>From Li et al., 2022. For CCS. Treatment of freshwater. Amount of freshwater treated and released back to water per kg CO2 captured. Assumes the equivalent of 600 gallons of water evaporated/t CO2 captured, hence not treated.</t>
        </is>
      </c>
      <c r="H36" t="inlineStr">
        <is>
          <t>wastewater, average</t>
        </is>
      </c>
    </row>
    <row r="37">
      <c r="A37" t="inlineStr">
        <is>
          <t>market for nitrogen, liquid</t>
        </is>
      </c>
      <c r="B37">
        <f>0.008*1.2</f>
        <v>9.5999999999999992E-3</v>
      </c>
      <c r="C37" t="inlineStr">
        <is>
          <t>RoW</t>
        </is>
      </c>
      <c r="D37" t="inlineStr">
        <is>
          <t>kilogram</t>
        </is>
      </c>
      <c r="F37" t="inlineStr">
        <is>
          <t>technosphere</t>
        </is>
      </c>
      <c r="G37" t="inlineStr">
        <is>
          <t xml:space="preserve">From Li et al., 2022. For CCS. </t>
        </is>
      </c>
      <c r="H37" t="inlineStr">
        <is>
          <t>nitrogen, liquid</t>
        </is>
      </c>
    </row>
    <row r="38">
      <c r="A38" t="inlineStr">
        <is>
          <t>market for ammonia, anhydrous, liquid</t>
        </is>
      </c>
      <c r="B38">
        <f>0.057/1000</f>
        <v>5.7000000000000003E-5</v>
      </c>
      <c r="C38" t="inlineStr">
        <is>
          <t>RoW</t>
        </is>
      </c>
      <c r="D38" t="inlineStr">
        <is>
          <t>kilogram</t>
        </is>
      </c>
      <c r="F38" t="inlineStr">
        <is>
          <t>technosphere</t>
        </is>
      </c>
      <c r="G38" t="inlineStr">
        <is>
          <t>From Li et al., 2022. For CCS.</t>
        </is>
      </c>
      <c r="H38" t="inlineStr">
        <is>
          <t>ammonia, anhydrous, liquid</t>
        </is>
      </c>
    </row>
    <row r="39"/>
    <row r="40"/>
    <row r="41"/>
    <row r="42"/>
    <row r="43">
      <c r="A43" s="4" t="n"/>
    </row>
    <row r="44">
      <c r="A44" s="4" t="n"/>
      <c r="B44" s="4" t="n"/>
      <c r="C44" s="4" t="n"/>
      <c r="D44" s="4" t="n"/>
      <c r="E44" s="4" t="n"/>
      <c r="F44" s="4" t="n"/>
      <c r="G44" s="4" t="n"/>
      <c r="H44" s="4" t="n"/>
    </row>
    <row r="45"/>
    <row r="46"/>
    <row r="47"/>
    <row r="48"/>
    <row r="49"/>
    <row r="50"/>
    <row r="51"/>
    <row r="52" ht="16" customHeight="1">
      <c r="A52" s="1" t="n"/>
      <c r="B52" s="4" t="n"/>
    </row>
    <row r="53"/>
    <row r="54"/>
    <row r="55"/>
    <row r="56"/>
    <row r="57"/>
    <row r="58"/>
    <row r="59"/>
    <row r="60" ht="16" customHeight="1">
      <c r="A60" s="1" t="n"/>
    </row>
    <row r="61"/>
    <row r="62"/>
    <row r="63"/>
    <row r="64">
      <c r="B64" s="5" t="n"/>
    </row>
    <row r="65">
      <c r="B65" s="5" t="n"/>
    </row>
    <row r="66">
      <c r="B66" s="5" t="n"/>
    </row>
    <row r="67">
      <c r="B67" s="5" t="n"/>
    </row>
    <row r="68">
      <c r="B68" s="5" t="n"/>
    </row>
    <row r="69" ht="16" customHeight="1">
      <c r="A69" s="2" t="n"/>
      <c r="B69" s="5" t="n"/>
      <c r="G69" s="2" t="n"/>
    </row>
    <row r="70">
      <c r="B70" s="3" t="n"/>
    </row>
  </sheetData>
  <autoFilter ref="A1:J2"/>
  <pageMargins left="0.7" right="0.7" top="0.75" bottom="0.75" header="0.3" footer="0.3"/>
  <pageSetup orientation="portrait" paperSize="9" horizontalDpi="300" verticalDpi="300"/>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Zhang Xiaojin</dc:creator>
  <dcterms:created xmlns:dcterms="http://purl.org/dc/terms/" xmlns:xsi="http://www.w3.org/2001/XMLSchema-instance" xsi:type="dcterms:W3CDTF">2020-03-26T07:51:53Z</dcterms:created>
  <dcterms:modified xmlns:dcterms="http://purl.org/dc/terms/" xmlns:xsi="http://www.w3.org/2001/XMLSchema-instance" xsi:type="dcterms:W3CDTF">2026-07-07T13:56:48Z</dcterms:modified>
  <cp:lastModifiedBy>Romain Sacchi</cp:lastModifiedBy>
</cp:coreProperties>
</file>