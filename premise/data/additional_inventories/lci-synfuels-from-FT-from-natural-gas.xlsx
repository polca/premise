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8880" tabRatio="600" firstSheet="0" activeTab="1" autoFilterDateGrouping="1"/>
  </bookViews>
  <sheets>
    <sheet xmlns:r="http://schemas.openxmlformats.org/officeDocument/2006/relationships" name="FT Process description" sheetId="1" state="visible" r:id="rId1"/>
    <sheet xmlns:r="http://schemas.openxmlformats.org/officeDocument/2006/relationships" name="FT fuel - Diesel" sheetId="2" state="visible" r:id="rId2"/>
  </sheets>
  <definedNames>
    <definedName name="_xlnm._FilterDatabase" localSheetId="1" hidden="1">'FT fuel - Diesel'!$A$1:$K$515</definedName>
  </definedNames>
  <calcPr calcId="191029" calcMode="manual" fullCalcOnLoad="1"/>
</workbook>
</file>

<file path=xl/styles.xml><?xml version="1.0" encoding="utf-8"?>
<styleSheet xmlns="http://schemas.openxmlformats.org/spreadsheetml/2006/main">
  <numFmts count="4">
    <numFmt numFmtId="164" formatCode="_ * #,##0_ ;_ * \-#,##0_ ;_ * &quot;-&quot;??_ ;_ @_ "/>
    <numFmt numFmtId="165" formatCode="_ [$€-2]\ * #,##0.00_ ;_ [$€-2]\ * \-#,##0.00_ ;_ [$€-2]\ * &quot;-&quot;??_ ;_ @_ "/>
    <numFmt numFmtId="166" formatCode="_ * #,##0.00_ ;_ * \-#,##0.00_ ;_ * &quot;-&quot;??_ ;_ @_ "/>
    <numFmt numFmtId="167" formatCode="0.000"/>
  </numFmts>
  <fonts count="7">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theme="1"/>
      <sz val="12"/>
      <scheme val="minor"/>
    </font>
    <font>
      <name val="Calibri"/>
      <family val="2"/>
      <color rgb="FF000000"/>
      <sz val="10"/>
      <scheme val="minor"/>
    </font>
    <font>
      <name val="Calibri"/>
      <family val="2"/>
      <color theme="1"/>
      <sz val="11"/>
      <scheme val="minor"/>
    </font>
  </fonts>
  <fills count="4">
    <fill>
      <patternFill/>
    </fill>
    <fill>
      <patternFill patternType="gray125"/>
    </fill>
    <fill>
      <patternFill patternType="solid">
        <fgColor theme="8" tint="0.7999816888943144"/>
        <bgColor indexed="64"/>
      </patternFill>
    </fill>
    <fill>
      <patternFill patternType="solid">
        <fgColor theme="9" tint="0.7999816888943144"/>
        <bgColor indexed="64"/>
      </patternFill>
    </fill>
  </fills>
  <borders count="1">
    <border>
      <left/>
      <right/>
      <top/>
      <bottom/>
      <diagonal/>
    </border>
  </borders>
  <cellStyleXfs count="3">
    <xf numFmtId="0" fontId="6" fillId="0" borderId="0"/>
    <xf numFmtId="43" fontId="6" fillId="0" borderId="0"/>
    <xf numFmtId="9" fontId="6" fillId="0" borderId="0"/>
  </cellStyleXfs>
  <cellXfs count="24">
    <xf numFmtId="0" fontId="0" fillId="0" borderId="0" pivotButton="0" quotePrefix="0" xfId="0"/>
    <xf numFmtId="0" fontId="2" fillId="0" borderId="0" pivotButton="0" quotePrefix="0" xfId="0"/>
    <xf numFmtId="0" fontId="0" fillId="2" borderId="0" pivotButton="0" quotePrefix="0" xfId="0"/>
    <xf numFmtId="0" fontId="0" fillId="3" borderId="0" pivotButton="0" quotePrefix="0" xfId="0"/>
    <xf numFmtId="164" fontId="0" fillId="3" borderId="0" pivotButton="0" quotePrefix="0" xfId="1"/>
    <xf numFmtId="2" fontId="0" fillId="3" borderId="0" pivotButton="0" quotePrefix="0" xfId="0"/>
    <xf numFmtId="9" fontId="0" fillId="3" borderId="0" pivotButton="0" quotePrefix="0" xfId="2"/>
    <xf numFmtId="164" fontId="0" fillId="2" borderId="0" pivotButton="0" quotePrefix="0" xfId="1"/>
    <xf numFmtId="165" fontId="0" fillId="2" borderId="0" pivotButton="0" quotePrefix="0" xfId="0"/>
    <xf numFmtId="9" fontId="0" fillId="2" borderId="0" pivotButton="0" quotePrefix="0" xfId="2"/>
    <xf numFmtId="166" fontId="0" fillId="2" borderId="0" pivotButton="0" quotePrefix="0" xfId="1"/>
    <xf numFmtId="2" fontId="0" fillId="2" borderId="0" pivotButton="0" quotePrefix="0" xfId="0"/>
    <xf numFmtId="0" fontId="3" fillId="0" borderId="0" pivotButton="0" quotePrefix="0" xfId="0"/>
    <xf numFmtId="0" fontId="4" fillId="0" borderId="0" pivotButton="0" quotePrefix="0" xfId="0"/>
    <xf numFmtId="11" fontId="0" fillId="0" borderId="0" pivotButton="0" quotePrefix="0" xfId="0"/>
    <xf numFmtId="167" fontId="0" fillId="0" borderId="0" pivotButton="0" quotePrefix="0" xfId="0"/>
    <xf numFmtId="2" fontId="5" fillId="0" borderId="0" pivotButton="0" quotePrefix="0" xfId="0"/>
    <xf numFmtId="11" fontId="5" fillId="0" borderId="0" pivotButton="0" quotePrefix="0" xfId="0"/>
    <xf numFmtId="0" fontId="1" fillId="0" borderId="0" pivotButton="0" quotePrefix="0" xfId="0"/>
    <xf numFmtId="164" fontId="0" fillId="3" borderId="0" pivotButton="0" quotePrefix="0" xfId="1"/>
    <xf numFmtId="164" fontId="0" fillId="2" borderId="0" pivotButton="0" quotePrefix="0" xfId="1"/>
    <xf numFmtId="165" fontId="0" fillId="2" borderId="0" pivotButton="0" quotePrefix="0" xfId="0"/>
    <xf numFmtId="166" fontId="0" fillId="2" borderId="0" pivotButton="0" quotePrefix="0" xfId="1"/>
    <xf numFmtId="167" fontId="0" fillId="0" borderId="0" pivotButton="0" quotePrefix="0" xfId="0"/>
  </cellXfs>
  <cellStyles count="3">
    <cellStyle name="Normal" xfId="0" builtinId="0"/>
    <cellStyle name="Comma" xfId="1" builtinId="3"/>
    <cellStyle name="Per cent"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M24"/>
  <sheetViews>
    <sheetView workbookViewId="0">
      <selection activeCell="J20" sqref="J20"/>
    </sheetView>
  </sheetViews>
  <sheetFormatPr baseColWidth="10" defaultColWidth="8.83203125" defaultRowHeight="15"/>
  <cols>
    <col width="12.33203125" bestFit="1" customWidth="1" min="1" max="1"/>
    <col width="10.83203125" bestFit="1" customWidth="1" min="3" max="3"/>
    <col width="18.5" bestFit="1" customWidth="1" min="4" max="4"/>
    <col width="19.5" bestFit="1" customWidth="1" min="5" max="5"/>
    <col width="24.83203125" bestFit="1" customWidth="1" min="6" max="6"/>
    <col width="23.33203125" bestFit="1" customWidth="1" min="7" max="7"/>
    <col width="26" bestFit="1" customWidth="1" min="8" max="8"/>
    <col width="30.33203125" bestFit="1" customWidth="1" min="9" max="9"/>
    <col width="26" bestFit="1" customWidth="1" min="10" max="10"/>
    <col width="30.33203125" bestFit="1" customWidth="1" min="11" max="11"/>
    <col width="17.5" bestFit="1" customWidth="1" min="12" max="12"/>
    <col width="22.1640625" bestFit="1" customWidth="1" min="13" max="13"/>
  </cols>
  <sheetData>
    <row r="1">
      <c r="A1" t="inlineStr">
        <is>
          <t>skip</t>
        </is>
      </c>
    </row>
    <row r="2">
      <c r="A2" t="inlineStr">
        <is>
          <t>source</t>
        </is>
      </c>
      <c r="B2" t="inlineStr">
        <is>
          <t>Energy and Climate Impacts of Producing Synthetic Hydrocarbon Fuels from CO2, Coen van der Giesen, René Kleijn, and Gert Jan Kramer, Environmental Science &amp; Technology 2014 48 (12), 7111-7121, DOI: 10.1021/es500191g</t>
        </is>
      </c>
    </row>
    <row r="3"/>
    <row r="4">
      <c r="A4" s="1" t="inlineStr">
        <is>
          <t>Energy-based allocation</t>
        </is>
      </c>
    </row>
    <row r="5">
      <c r="A5" s="3" t="n"/>
      <c r="B5" s="3" t="n"/>
      <c r="C5" s="3" t="inlineStr">
        <is>
          <t>LHV [MJ/kg]</t>
        </is>
      </c>
      <c r="D5" s="3" t="inlineStr">
        <is>
          <t>Energy produced [GJ]</t>
        </is>
      </c>
      <c r="E5" s="3" t="inlineStr">
        <is>
          <t>Energy produced [%]</t>
        </is>
      </c>
      <c r="F5" s="3" t="inlineStr">
        <is>
          <t>Mass [kg]</t>
        </is>
      </c>
      <c r="G5" s="3" t="inlineStr">
        <is>
          <t>Mass syngas, allocated [kg]</t>
        </is>
      </c>
      <c r="H5" s="3" t="inlineStr">
        <is>
          <t>Mass syngas, allocated [kg/kg]</t>
        </is>
      </c>
      <c r="I5" s="3" t="inlineStr">
        <is>
          <t>Embedded CO2 from syngas [kg/kg]</t>
        </is>
      </c>
      <c r="J5" s="3" t="inlineStr">
        <is>
          <t>CO2 content [kg/kg]</t>
        </is>
      </c>
      <c r="K5" s="3" t="inlineStr">
        <is>
          <t>Carbon correction [kg/kg]</t>
        </is>
      </c>
    </row>
    <row r="6">
      <c r="A6" s="3" t="inlineStr">
        <is>
          <t>Syngas</t>
        </is>
      </c>
      <c r="B6" s="3" t="n"/>
      <c r="C6" s="3" t="n">
        <v>23.94</v>
      </c>
      <c r="D6" s="19" t="n">
        <v>980752</v>
      </c>
      <c r="E6" s="3" t="n">
        <v>100</v>
      </c>
      <c r="F6" s="19">
        <f>D6*1000/C6</f>
        <v>40967084.377610691</v>
      </c>
      <c r="G6" s="3" t="n"/>
      <c r="H6" s="3" t="n"/>
      <c r="I6" s="5">
        <f>0.875*1.57</f>
        <v>1.37375</v>
      </c>
      <c r="J6" s="3" t="n"/>
      <c r="K6" s="3" t="n"/>
    </row>
    <row r="7">
      <c r="A7" s="3" t="n"/>
      <c r="B7" s="3" t="n"/>
      <c r="C7" s="3" t="n"/>
      <c r="D7" s="19" t="n"/>
      <c r="E7" s="3" t="n"/>
      <c r="F7" s="19" t="n"/>
      <c r="G7" s="19" t="n"/>
      <c r="H7" s="3" t="n"/>
      <c r="I7" s="3" t="n"/>
      <c r="J7" s="3" t="n"/>
      <c r="K7" s="3" t="n"/>
    </row>
    <row r="8">
      <c r="A8" s="3" t="inlineStr">
        <is>
          <t>Naphtha</t>
        </is>
      </c>
      <c r="B8" s="3" t="n"/>
      <c r="C8" s="3" t="n">
        <v>44.5</v>
      </c>
      <c r="D8" s="19" t="n">
        <v>190189</v>
      </c>
      <c r="E8" s="6">
        <f>D8/SUM($D$8:$D$11)</f>
        <v>0.24240218913817341</v>
      </c>
      <c r="F8" s="19">
        <f>D8*1000/C8</f>
        <v>4273910.1123595508</v>
      </c>
      <c r="G8" s="19">
        <f>E8*$F$6</f>
        <v>9930510.9357410949</v>
      </c>
      <c r="H8" s="5">
        <f>G8/F8</f>
        <v>2.3235189029884942</v>
      </c>
      <c r="I8" s="5">
        <f>$I$6*H8</f>
        <v>3.1919340929804441</v>
      </c>
      <c r="J8" s="5">
        <f>0.9197*(44/12)</f>
        <v>3.372233333333333</v>
      </c>
      <c r="K8" s="5">
        <f>J8-I8</f>
        <v>0.18029924035288891</v>
      </c>
    </row>
    <row r="9">
      <c r="A9" s="3" t="inlineStr">
        <is>
          <t>Kerosene</t>
        </is>
      </c>
      <c r="B9" s="3" t="n"/>
      <c r="C9" s="3" t="n">
        <v>45</v>
      </c>
      <c r="D9" s="19" t="n">
        <v>143100</v>
      </c>
      <c r="E9" s="6">
        <f>D9/SUM($D$8:$D$11)</f>
        <v>0.18238569667894891</v>
      </c>
      <c r="F9" s="19">
        <f>D9*1000/C9</f>
        <v>3180000</v>
      </c>
      <c r="G9" s="19">
        <f>E9*$F$6</f>
        <v>7471810.2251158096</v>
      </c>
      <c r="H9" s="5">
        <f>G9/F9</f>
        <v>2.3496258569546571</v>
      </c>
      <c r="I9" s="5">
        <f>$I$6*H9</f>
        <v>3.2277985209914601</v>
      </c>
      <c r="J9" s="5" t="n">
        <v>3.14</v>
      </c>
      <c r="K9" s="5">
        <f>J9-I9</f>
        <v>-8.7798520991460016E-2</v>
      </c>
    </row>
    <row r="10">
      <c r="A10" s="3" t="inlineStr">
        <is>
          <t>Diesel</t>
        </is>
      </c>
      <c r="B10" s="3" t="n"/>
      <c r="C10" s="3" t="n">
        <v>43.3</v>
      </c>
      <c r="D10" s="19" t="n">
        <v>286404</v>
      </c>
      <c r="E10" s="6">
        <f>D10/SUM($D$8:$D$11)</f>
        <v>0.36503139812465191</v>
      </c>
      <c r="F10" s="19">
        <f>D10*1000/C10</f>
        <v>6614411.0854503466</v>
      </c>
      <c r="G10" s="19">
        <f>E10*$F$6</f>
        <v>14954272.087449815</v>
      </c>
      <c r="H10" s="5">
        <f>G10/F10</f>
        <v>2.2608622134697036</v>
      </c>
      <c r="I10" s="5">
        <f>$I$6*H10</f>
        <v>3.1058594657540053</v>
      </c>
      <c r="J10" s="5" t="n">
        <v>3.16</v>
      </c>
      <c r="K10" s="5">
        <f>J10-I10</f>
        <v>5.4140534245994854E-2</v>
      </c>
    </row>
    <row r="11">
      <c r="A11" s="3" t="inlineStr">
        <is>
          <t>Lubricating oil</t>
        </is>
      </c>
      <c r="B11" s="3" t="n"/>
      <c r="C11" s="3" t="n">
        <v>40.2</v>
      </c>
      <c r="D11" s="19" t="n">
        <v>164908</v>
      </c>
      <c r="E11" s="6">
        <f>D11/SUM($D$8:$D$11)</f>
        <v>0.21018071605822577</v>
      </c>
      <c r="F11" s="19">
        <f>D11*1000/C11</f>
        <v>4102189.0547263678</v>
      </c>
      <c r="G11" s="19">
        <f>E11*$F$6</f>
        <v>8610491.1293039694</v>
      </c>
      <c r="H11" s="5">
        <f>G11/F11</f>
        <v>2.098999098879494</v>
      </c>
      <c r="I11" s="5">
        <f>$I$6*H11</f>
        <v>2.8835000120857051</v>
      </c>
      <c r="J11" s="5">
        <f>0.75*(44/12)</f>
        <v>2.75</v>
      </c>
      <c r="K11" s="5">
        <f>J11-I11</f>
        <v>-0.13350001208570506</v>
      </c>
    </row>
    <row r="12">
      <c r="A12" s="3" t="n"/>
      <c r="B12" s="3" t="n"/>
      <c r="C12" s="3" t="n"/>
      <c r="D12" s="19" t="n"/>
      <c r="E12" s="3" t="n"/>
      <c r="F12" s="3" t="n"/>
      <c r="G12" s="3" t="n"/>
      <c r="H12" s="3" t="n"/>
      <c r="I12" s="3" t="n"/>
      <c r="J12" s="3" t="n"/>
      <c r="K12" s="3" t="n"/>
    </row>
    <row r="13">
      <c r="A13" s="3" t="inlineStr">
        <is>
          <t>Loss</t>
        </is>
      </c>
      <c r="B13" s="3" t="n"/>
      <c r="C13" s="3" t="n"/>
      <c r="D13" s="19">
        <f>D6-SUM(D8:D11)</f>
        <v>196151</v>
      </c>
      <c r="E13" s="3" t="n"/>
      <c r="F13" s="3" t="n"/>
      <c r="G13" s="3" t="n"/>
      <c r="H13" s="3" t="n"/>
      <c r="I13" s="3" t="n"/>
      <c r="J13" s="3" t="n"/>
      <c r="K13" s="3" t="n"/>
    </row>
    <row r="14"/>
    <row r="15">
      <c r="A15" s="1" t="inlineStr">
        <is>
          <t>Economic allocation</t>
        </is>
      </c>
    </row>
    <row r="16">
      <c r="A16" s="2" t="n"/>
      <c r="B16" s="2" t="n"/>
      <c r="C16" s="2" t="inlineStr">
        <is>
          <t>LHV [MJ/kg]</t>
        </is>
      </c>
      <c r="D16" s="2" t="inlineStr">
        <is>
          <t>Energy produced [GJ]</t>
        </is>
      </c>
      <c r="E16" s="2" t="inlineStr">
        <is>
          <t>Mass [kg]</t>
        </is>
      </c>
      <c r="F16" s="2" t="inlineStr">
        <is>
          <t>Unitary price [Euro_2005/kg]</t>
        </is>
      </c>
      <c r="G16" s="2" t="inlineStr">
        <is>
          <t>Turnover [Euro_2005]</t>
        </is>
      </c>
      <c r="H16" s="2" t="inlineStr">
        <is>
          <t>Revenue produced [%]</t>
        </is>
      </c>
      <c r="I16" s="2" t="inlineStr">
        <is>
          <t>Mass syngas, allocated [kg]</t>
        </is>
      </c>
      <c r="J16" s="2" t="inlineStr">
        <is>
          <t>Mass syngas, allocated [kg/kg]</t>
        </is>
      </c>
      <c r="K16" s="2" t="inlineStr">
        <is>
          <t>Embedded CO2 from syngas [kg/kg]</t>
        </is>
      </c>
      <c r="L16" s="2" t="inlineStr">
        <is>
          <t>CO2 content [kg/kg]</t>
        </is>
      </c>
      <c r="M16" s="2" t="inlineStr">
        <is>
          <t>Carbon correction [kg/kg]</t>
        </is>
      </c>
    </row>
    <row r="17">
      <c r="A17" s="2" t="inlineStr">
        <is>
          <t>Syngas</t>
        </is>
      </c>
      <c r="B17" s="2" t="n"/>
      <c r="C17" s="2" t="n">
        <v>23.94</v>
      </c>
      <c r="D17" s="20" t="n">
        <v>980752</v>
      </c>
      <c r="E17" s="20">
        <f>D17*1000/C17</f>
        <v>40967084.377610691</v>
      </c>
      <c r="F17" s="2" t="n"/>
      <c r="G17" s="2" t="n"/>
      <c r="H17" s="2" t="n">
        <v>100</v>
      </c>
      <c r="I17" s="2" t="n"/>
      <c r="J17" s="2" t="n"/>
      <c r="K17" s="2" t="n">
        <v>1.37</v>
      </c>
      <c r="L17" s="2" t="n"/>
      <c r="M17" s="2" t="n"/>
    </row>
    <row r="18">
      <c r="A18" s="2" t="n"/>
      <c r="B18" s="2" t="n"/>
      <c r="C18" s="2" t="n"/>
      <c r="D18" s="20" t="n"/>
      <c r="E18" s="20" t="n"/>
      <c r="F18" s="2" t="n"/>
      <c r="G18" s="2" t="n"/>
      <c r="H18" s="2" t="n"/>
      <c r="I18" s="2" t="n"/>
      <c r="J18" s="2" t="n"/>
      <c r="K18" s="2" t="n"/>
      <c r="L18" s="2" t="n"/>
      <c r="M18" s="2" t="n"/>
    </row>
    <row r="19">
      <c r="A19" s="2" t="inlineStr">
        <is>
          <t>Naphtha</t>
        </is>
      </c>
      <c r="B19" s="2" t="n"/>
      <c r="C19" s="2" t="n">
        <v>44.5</v>
      </c>
      <c r="D19" s="20" t="n">
        <v>190189</v>
      </c>
      <c r="E19" s="20">
        <f>D19*1000/C19</f>
        <v>4273910.1123595508</v>
      </c>
      <c r="F19" s="21" t="n">
        <v>0.265</v>
      </c>
      <c r="G19" s="21">
        <f>F19*E19</f>
        <v>1132586.1797752811</v>
      </c>
      <c r="H19" s="9">
        <f>G19/SUM($G$19:$G$22)</f>
        <v>6.7814648037968772E-2</v>
      </c>
      <c r="I19" s="22">
        <f>H19*$E$17</f>
        <v>2778168.408209438</v>
      </c>
      <c r="J19" s="11">
        <f>I19/E19</f>
        <v>0.65002967661284294</v>
      </c>
      <c r="K19" s="11">
        <f>$K$17*J19</f>
        <v>0.89054065695959495</v>
      </c>
      <c r="L19" s="11">
        <f>0.9197*(44/12)</f>
        <v>3.372233333333333</v>
      </c>
      <c r="M19" s="11">
        <f>L19-K19</f>
        <v>2.4816926763737381</v>
      </c>
    </row>
    <row r="20">
      <c r="A20" s="2" t="inlineStr">
        <is>
          <t>Kerosene</t>
        </is>
      </c>
      <c r="B20" s="2" t="n"/>
      <c r="C20" s="2" t="n">
        <v>45</v>
      </c>
      <c r="D20" s="20" t="n">
        <v>143100</v>
      </c>
      <c r="E20" s="20">
        <f>D20*1000/C20</f>
        <v>3180000</v>
      </c>
      <c r="F20" s="21" t="n">
        <v>0.297</v>
      </c>
      <c r="G20" s="21">
        <f>F20*E20</f>
        <v>944460</v>
      </c>
      <c r="H20" s="9">
        <f>G20/SUM($G$19:$G$22)</f>
        <v>5.6550418528546698E-2</v>
      </c>
      <c r="I20" s="20">
        <f>H20*$E$17</f>
        <v>2316705.7674481715</v>
      </c>
      <c r="J20" s="11">
        <f>I20/E20</f>
        <v>0.72852382624156342</v>
      </c>
      <c r="K20" s="11">
        <f>$K$17*J20</f>
        <v>0.99807764195094195</v>
      </c>
      <c r="L20" s="11" t="n">
        <v>3.14</v>
      </c>
      <c r="M20" s="11">
        <f>L20-K20</f>
        <v>2.1419223580490581</v>
      </c>
    </row>
    <row r="21">
      <c r="A21" s="2" t="inlineStr">
        <is>
          <t>Diesel</t>
        </is>
      </c>
      <c r="B21" s="2" t="n"/>
      <c r="C21" s="2" t="n">
        <v>43.3</v>
      </c>
      <c r="D21" s="20" t="n">
        <v>286404</v>
      </c>
      <c r="E21" s="20">
        <f>D21*1000/C21</f>
        <v>6614411.0854503466</v>
      </c>
      <c r="F21" s="21" t="n">
        <v>0.4</v>
      </c>
      <c r="G21" s="21">
        <f>F21*E21</f>
        <v>2645764.4341801386</v>
      </c>
      <c r="H21" s="9">
        <f>G21/SUM($G$19:$G$22)</f>
        <v>0.15841759956041587</v>
      </c>
      <c r="I21" s="20">
        <f>H21*$E$17</f>
        <v>6489907.1680900995</v>
      </c>
      <c r="J21" s="11">
        <f>I21/E21</f>
        <v>0.98117687035900791</v>
      </c>
      <c r="K21" s="11">
        <f>$K$17*J21</f>
        <v>1.344212312391841</v>
      </c>
      <c r="L21" s="11" t="n">
        <v>3.16</v>
      </c>
      <c r="M21" s="11">
        <f>L21-K21</f>
        <v>1.8157876876081591</v>
      </c>
    </row>
    <row r="22">
      <c r="A22" s="2" t="inlineStr">
        <is>
          <t>Lubricating oil</t>
        </is>
      </c>
      <c r="B22" s="2" t="n"/>
      <c r="C22" s="2" t="n">
        <v>40.2</v>
      </c>
      <c r="D22" s="20" t="n">
        <v>164908</v>
      </c>
      <c r="E22" s="20">
        <f>D22*1000/C22</f>
        <v>4102189.0547263678</v>
      </c>
      <c r="F22" s="21" t="n">
        <v>2.92</v>
      </c>
      <c r="G22" s="21">
        <f>F22*E22</f>
        <v>11978392.039800994</v>
      </c>
      <c r="H22" s="9">
        <f>G22/SUM($G$19:$G$22)</f>
        <v>0.71721733387306863</v>
      </c>
      <c r="I22" s="20">
        <f>H22*$E$17</f>
        <v>29382303.033862982</v>
      </c>
      <c r="J22" s="11">
        <f>I22/E22</f>
        <v>7.1625911536207578</v>
      </c>
      <c r="K22" s="11">
        <f>$K$17*J22</f>
        <v>9.8127498804604389</v>
      </c>
      <c r="L22" s="11">
        <f>0.75*(44/12)</f>
        <v>2.75</v>
      </c>
      <c r="M22" s="11">
        <f>L22-K22</f>
        <v>-7.0627498804604389</v>
      </c>
    </row>
    <row r="23">
      <c r="A23" s="2" t="n"/>
      <c r="B23" s="2" t="n"/>
      <c r="C23" s="2" t="n"/>
      <c r="D23" s="20" t="n"/>
      <c r="E23" s="2" t="n"/>
      <c r="F23" s="2" t="n"/>
      <c r="G23" s="2" t="n"/>
      <c r="H23" s="2" t="n"/>
      <c r="I23" s="2" t="n"/>
      <c r="J23" s="2" t="n"/>
      <c r="K23" s="2" t="n"/>
      <c r="L23" s="2" t="n"/>
      <c r="M23" s="2" t="n"/>
    </row>
    <row r="24">
      <c r="A24" s="2" t="inlineStr">
        <is>
          <t>Loss</t>
        </is>
      </c>
      <c r="B24" s="2" t="n"/>
      <c r="C24" s="2" t="n"/>
      <c r="D24" s="20">
        <f>D17-SUM(D19:D22)</f>
        <v>196151</v>
      </c>
      <c r="E24" s="2" t="n"/>
      <c r="F24" s="2" t="n"/>
      <c r="G24" s="2" t="n"/>
      <c r="H24" s="2" t="n"/>
      <c r="I24" s="2" t="n"/>
      <c r="J24" s="2" t="n"/>
      <c r="K24" s="2" t="n"/>
      <c r="L24" s="2" t="n"/>
      <c r="M24" s="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515"/>
  <sheetViews>
    <sheetView tabSelected="1" topLeftCell="A189" workbookViewId="0">
      <selection activeCell="C209" sqref="C209"/>
    </sheetView>
  </sheetViews>
  <sheetFormatPr baseColWidth="10" defaultColWidth="8.83203125" defaultRowHeight="15"/>
  <cols>
    <col width="91.83203125" customWidth="1" min="1" max="1"/>
    <col width="32.5" customWidth="1" min="2" max="2"/>
    <col width="24.1640625" bestFit="1" customWidth="1" min="3" max="3"/>
  </cols>
  <sheetData>
    <row r="1">
      <c r="A1" s="1" t="inlineStr">
        <is>
          <t>database</t>
        </is>
      </c>
      <c r="B1" t="inlineStr">
        <is>
          <t>synfuel from electrolysis</t>
        </is>
      </c>
    </row>
    <row r="2">
      <c r="A2" s="1" t="n"/>
    </row>
    <row r="3" ht="16" customHeight="1">
      <c r="A3" s="12" t="inlineStr">
        <is>
          <t>Activity</t>
        </is>
      </c>
      <c r="B3" s="1" t="inlineStr">
        <is>
          <t>lubricating oil production, synthetic, Fischer Tropsch process, from natural gas, energy allocation</t>
        </is>
      </c>
    </row>
    <row r="4">
      <c r="A4" t="inlineStr">
        <is>
          <t>production amount</t>
        </is>
      </c>
      <c r="B4" t="n">
        <v>1</v>
      </c>
    </row>
    <row r="5">
      <c r="A5" t="inlineStr">
        <is>
          <t>reference product</t>
        </is>
      </c>
      <c r="B5" t="inlineStr">
        <is>
          <t>lubricating oil, synthetic</t>
        </is>
      </c>
    </row>
    <row r="6">
      <c r="A6" t="inlineStr">
        <is>
          <t>type</t>
        </is>
      </c>
      <c r="B6" t="inlineStr">
        <is>
          <t>process</t>
        </is>
      </c>
    </row>
    <row r="7">
      <c r="A7" t="inlineStr">
        <is>
          <t>unit</t>
        </is>
      </c>
      <c r="B7" t="inlineStr">
        <is>
          <t>kilogram</t>
        </is>
      </c>
    </row>
    <row r="8">
      <c r="A8" t="inlineStr">
        <is>
          <t>location</t>
        </is>
      </c>
      <c r="B8" t="inlineStr">
        <is>
          <t>RER</t>
        </is>
      </c>
    </row>
    <row r="9">
      <c r="A9" t="inlineStr">
        <is>
          <t>comment</t>
        </is>
      </c>
      <c r="B9" t="inlineStr">
        <is>
          <t>Adapted from van der Giesen et al. 2014. LHV: 40.2 MJ/kg, Formula: C13H18, Density: 7551 kg/m3. Energy-based allocation between 3 other co-products. Allocation key for this co-product: 21%.</t>
        </is>
      </c>
    </row>
    <row r="10">
      <c r="A10" t="inlineStr">
        <is>
          <t>source</t>
        </is>
      </c>
      <c r="B10" t="inlineStr">
        <is>
          <t>Energy and Climate Impacts of Producing Synthetic Hydrocarbon Fuels from CO2, Coen van der Giesen, René Kleijn, and Gert Jan Kramer, Environmental Science &amp; Technology 2014 48 (12), 7111-7121, DOI: 10.1021/es500191g</t>
        </is>
      </c>
    </row>
    <row r="11" ht="16" customHeight="1">
      <c r="A11" s="12" t="inlineStr">
        <is>
          <t>Exchanges</t>
        </is>
      </c>
    </row>
    <row r="12">
      <c r="A12" t="inlineStr">
        <is>
          <t>name</t>
        </is>
      </c>
      <c r="B12" t="inlineStr">
        <is>
          <t>amount</t>
        </is>
      </c>
      <c r="C12" t="inlineStr">
        <is>
          <t>location</t>
        </is>
      </c>
      <c r="D12" t="inlineStr">
        <is>
          <t>unit</t>
        </is>
      </c>
      <c r="E12" t="inlineStr">
        <is>
          <t>categories</t>
        </is>
      </c>
      <c r="F12" t="inlineStr">
        <is>
          <t>type</t>
        </is>
      </c>
      <c r="G12" t="inlineStr">
        <is>
          <t>reference product</t>
        </is>
      </c>
    </row>
    <row r="13">
      <c r="A13" t="inlineStr">
        <is>
          <t>lubricating oil production, synthetic, Fischer Tropsch process, from natural gas, energy allocation</t>
        </is>
      </c>
      <c r="B13" t="n">
        <v>1</v>
      </c>
      <c r="C13" t="inlineStr">
        <is>
          <t>RER</t>
        </is>
      </c>
      <c r="D13" t="inlineStr">
        <is>
          <t>kilogram</t>
        </is>
      </c>
      <c r="F13" t="inlineStr">
        <is>
          <t>production</t>
        </is>
      </c>
      <c r="G13" t="inlineStr">
        <is>
          <t>lubricating oil production, synthetic, Fischer Tropsch process, from natural gas, energy allocation</t>
        </is>
      </c>
    </row>
    <row r="14">
      <c r="A14" t="inlineStr">
        <is>
          <t>syngas production, from natural gas</t>
        </is>
      </c>
      <c r="B14" t="n">
        <v>2.1</v>
      </c>
      <c r="C14" t="inlineStr">
        <is>
          <t>RER</t>
        </is>
      </c>
      <c r="D14" t="inlineStr">
        <is>
          <t>kilogram</t>
        </is>
      </c>
      <c r="F14" t="inlineStr">
        <is>
          <t>technosphere</t>
        </is>
      </c>
      <c r="G14" t="inlineStr">
        <is>
          <t>syngas, from natural gas</t>
        </is>
      </c>
    </row>
    <row r="15">
      <c r="A15" t="inlineStr">
        <is>
          <t>Heat, waste</t>
        </is>
      </c>
      <c r="B15">
        <f>3.64160231884058*0.21</f>
        <v>0.76473648695652174</v>
      </c>
      <c r="D15" t="inlineStr">
        <is>
          <t>megajoule</t>
        </is>
      </c>
      <c r="E15" t="inlineStr">
        <is>
          <t>air</t>
        </is>
      </c>
      <c r="F15" t="inlineStr">
        <is>
          <t>biosphere</t>
        </is>
      </c>
    </row>
    <row r="16">
      <c r="A16" t="inlineStr">
        <is>
          <t>Water</t>
        </is>
      </c>
      <c r="B16">
        <f>0.00107549913043478*0.21</f>
        <v>2.2585481739130381E-4</v>
      </c>
      <c r="D16" t="inlineStr">
        <is>
          <t>cubic meter</t>
        </is>
      </c>
      <c r="E16" t="inlineStr">
        <is>
          <t>water</t>
        </is>
      </c>
      <c r="F16" t="inlineStr">
        <is>
          <t>biosphere</t>
        </is>
      </c>
    </row>
    <row r="17">
      <c r="A17" t="inlineStr">
        <is>
          <t>Gas-to-liquid plant construction</t>
        </is>
      </c>
      <c r="B17" s="14" t="n">
        <v>6.7e-12</v>
      </c>
      <c r="C17" t="inlineStr">
        <is>
          <t>GLO</t>
        </is>
      </c>
      <c r="D17" t="inlineStr">
        <is>
          <t>unit</t>
        </is>
      </c>
      <c r="F17" t="inlineStr">
        <is>
          <t>technosphere</t>
        </is>
      </c>
      <c r="G17" t="inlineStr">
        <is>
          <t>Gas-to-liquid plant</t>
        </is>
      </c>
    </row>
    <row r="18">
      <c r="A18" t="inlineStr">
        <is>
          <t>Carbon dioxide, non-fossil</t>
        </is>
      </c>
      <c r="B18" t="n">
        <v>0.13</v>
      </c>
      <c r="D18" t="inlineStr">
        <is>
          <t>kilogram</t>
        </is>
      </c>
      <c r="E18" t="inlineStr">
        <is>
          <t>air</t>
        </is>
      </c>
      <c r="F18" t="inlineStr">
        <is>
          <t>biosphere</t>
        </is>
      </c>
    </row>
    <row r="19">
      <c r="A19" t="inlineStr">
        <is>
          <t>market group for electricity, low voltage</t>
        </is>
      </c>
      <c r="B19" s="14">
        <f>0.0872420618556701*0.21</f>
        <v>1.832083298969072E-2</v>
      </c>
      <c r="C19" t="inlineStr">
        <is>
          <t>RER</t>
        </is>
      </c>
      <c r="D19" t="inlineStr">
        <is>
          <t>kilowatt hour</t>
        </is>
      </c>
      <c r="F19" t="inlineStr">
        <is>
          <t>technosphere</t>
        </is>
      </c>
      <c r="G19" t="inlineStr">
        <is>
          <t>electricity, low voltage</t>
        </is>
      </c>
    </row>
    <row r="20">
      <c r="B20" s="14" t="n"/>
    </row>
    <row r="21" ht="16" customHeight="1">
      <c r="A21" s="12" t="inlineStr">
        <is>
          <t>Activity</t>
        </is>
      </c>
      <c r="B21" s="1" t="inlineStr">
        <is>
          <t>kerosene production, synthetic, Fischer Tropsch process, from natural gas, energy allocation</t>
        </is>
      </c>
    </row>
    <row r="22">
      <c r="A22" t="inlineStr">
        <is>
          <t>production amount</t>
        </is>
      </c>
      <c r="B22" t="n">
        <v>1</v>
      </c>
    </row>
    <row r="23">
      <c r="A23" t="inlineStr">
        <is>
          <t>reference product</t>
        </is>
      </c>
      <c r="B23" t="inlineStr">
        <is>
          <t>kerosene, synthetic</t>
        </is>
      </c>
    </row>
    <row r="24">
      <c r="A24" t="inlineStr">
        <is>
          <t>type</t>
        </is>
      </c>
      <c r="B24" t="inlineStr">
        <is>
          <t>process</t>
        </is>
      </c>
    </row>
    <row r="25">
      <c r="A25" t="inlineStr">
        <is>
          <t>unit</t>
        </is>
      </c>
      <c r="B25" t="inlineStr">
        <is>
          <t>kilogram</t>
        </is>
      </c>
    </row>
    <row r="26">
      <c r="A26" t="inlineStr">
        <is>
          <t>location</t>
        </is>
      </c>
      <c r="B26" t="inlineStr">
        <is>
          <t>RER</t>
        </is>
      </c>
    </row>
    <row r="27">
      <c r="A27" t="inlineStr">
        <is>
          <t>comment</t>
        </is>
      </c>
      <c r="B27" t="inlineStr">
        <is>
          <t>Adapted from van der Giesen et al. 2014. LHV: 45 MJ/kg, Formula: C13H18, Density: 7551 kg/m3. Energy-based allocation between 3 other co-products. Allocation key for this co-product: 18%.</t>
        </is>
      </c>
    </row>
    <row r="28">
      <c r="A28" t="inlineStr">
        <is>
          <t>source</t>
        </is>
      </c>
      <c r="B28" t="inlineStr">
        <is>
          <t>Energy and Climate Impacts of Producing Synthetic Hydrocarbon Fuels from CO2, Coen van der Giesen, René Kleijn, and Gert Jan Kramer, Environmental Science &amp; Technology 2014 48 (12), 7111-7121, DOI: 10.1021/es500191g</t>
        </is>
      </c>
    </row>
    <row r="29" ht="16" customHeight="1">
      <c r="A29" s="12" t="inlineStr">
        <is>
          <t>Exchanges</t>
        </is>
      </c>
    </row>
    <row r="30">
      <c r="A30" t="inlineStr">
        <is>
          <t>name</t>
        </is>
      </c>
      <c r="B30" t="inlineStr">
        <is>
          <t>amount</t>
        </is>
      </c>
      <c r="C30" t="inlineStr">
        <is>
          <t>location</t>
        </is>
      </c>
      <c r="D30" t="inlineStr">
        <is>
          <t>unit</t>
        </is>
      </c>
      <c r="E30" t="inlineStr">
        <is>
          <t>categories</t>
        </is>
      </c>
      <c r="F30" t="inlineStr">
        <is>
          <t>type</t>
        </is>
      </c>
      <c r="G30" t="inlineStr">
        <is>
          <t>reference product</t>
        </is>
      </c>
    </row>
    <row r="31">
      <c r="A31" t="inlineStr">
        <is>
          <t>kerosene production, synthetic, Fischer Tropsch process, from natural gas, energy allocation</t>
        </is>
      </c>
      <c r="B31" t="n">
        <v>1</v>
      </c>
      <c r="C31" t="inlineStr">
        <is>
          <t>RER</t>
        </is>
      </c>
      <c r="D31" t="inlineStr">
        <is>
          <t>kilogram</t>
        </is>
      </c>
      <c r="F31" t="inlineStr">
        <is>
          <t>production</t>
        </is>
      </c>
      <c r="G31" t="inlineStr">
        <is>
          <t>kerosene, synthetic</t>
        </is>
      </c>
    </row>
    <row r="32">
      <c r="A32" t="inlineStr">
        <is>
          <t>syngas production, from natural gas</t>
        </is>
      </c>
      <c r="B32" t="n">
        <v>2.35</v>
      </c>
      <c r="C32" t="inlineStr">
        <is>
          <t>RER</t>
        </is>
      </c>
      <c r="D32" t="inlineStr">
        <is>
          <t>kilogram</t>
        </is>
      </c>
      <c r="F32" t="inlineStr">
        <is>
          <t>technosphere</t>
        </is>
      </c>
      <c r="G32" t="inlineStr">
        <is>
          <t>syngas, from natural gas</t>
        </is>
      </c>
    </row>
    <row r="33">
      <c r="A33" t="inlineStr">
        <is>
          <t>Heat, waste</t>
        </is>
      </c>
      <c r="B33">
        <f>3.64160231884058*0.18</f>
        <v>0.65548841739130437</v>
      </c>
      <c r="D33" t="inlineStr">
        <is>
          <t>megajoule</t>
        </is>
      </c>
      <c r="E33" t="inlineStr">
        <is>
          <t>air</t>
        </is>
      </c>
      <c r="F33" t="inlineStr">
        <is>
          <t>biosphere</t>
        </is>
      </c>
    </row>
    <row r="34">
      <c r="A34" t="inlineStr">
        <is>
          <t>Water</t>
        </is>
      </c>
      <c r="B34">
        <f>0.00107549913043478*0.18</f>
        <v>1.9358984347826041E-4</v>
      </c>
      <c r="D34" t="inlineStr">
        <is>
          <t>cubic meter</t>
        </is>
      </c>
      <c r="E34" t="inlineStr">
        <is>
          <t>water</t>
        </is>
      </c>
      <c r="F34" t="inlineStr">
        <is>
          <t>biosphere</t>
        </is>
      </c>
    </row>
    <row r="35">
      <c r="A35" t="inlineStr">
        <is>
          <t>Gas-to-liquid plant construction</t>
        </is>
      </c>
      <c r="B35" s="14" t="n">
        <v>6.7e-12</v>
      </c>
      <c r="C35" t="inlineStr">
        <is>
          <t>GLO</t>
        </is>
      </c>
      <c r="D35" t="inlineStr">
        <is>
          <t>unit</t>
        </is>
      </c>
      <c r="F35" t="inlineStr">
        <is>
          <t>technosphere</t>
        </is>
      </c>
      <c r="G35" t="inlineStr">
        <is>
          <t>Gas-to-liquid plant</t>
        </is>
      </c>
    </row>
    <row r="36">
      <c r="A36" t="inlineStr">
        <is>
          <t>Carbon dioxide, non-fossil</t>
        </is>
      </c>
      <c r="B36" t="n">
        <v>0.22</v>
      </c>
      <c r="D36" t="inlineStr">
        <is>
          <t>kilogram</t>
        </is>
      </c>
      <c r="E36" t="inlineStr">
        <is>
          <t>air</t>
        </is>
      </c>
      <c r="F36" t="inlineStr">
        <is>
          <t>biosphere</t>
        </is>
      </c>
    </row>
    <row r="37">
      <c r="A37" t="inlineStr">
        <is>
          <t>market group for electricity, low voltage</t>
        </is>
      </c>
      <c r="B37" s="14">
        <f>0.0872420618556701*0.18</f>
        <v>1.5703571134020617E-2</v>
      </c>
      <c r="C37" t="inlineStr">
        <is>
          <t>RER</t>
        </is>
      </c>
      <c r="D37" t="inlineStr">
        <is>
          <t>kilowatt hour</t>
        </is>
      </c>
      <c r="F37" t="inlineStr">
        <is>
          <t>technosphere</t>
        </is>
      </c>
      <c r="G37" t="inlineStr">
        <is>
          <t>electricity, low voltage</t>
        </is>
      </c>
    </row>
    <row r="38"/>
    <row r="39" ht="16" customHeight="1">
      <c r="A39" s="12" t="inlineStr">
        <is>
          <t>Activity</t>
        </is>
      </c>
      <c r="B39" s="1" t="inlineStr">
        <is>
          <t>naphtha production, synthetic, Fischer Tropsch process, from natural gas, energy allocation</t>
        </is>
      </c>
    </row>
    <row r="40">
      <c r="A40" t="inlineStr">
        <is>
          <t>production amount</t>
        </is>
      </c>
      <c r="B40" t="n">
        <v>1</v>
      </c>
    </row>
    <row r="41">
      <c r="A41" t="inlineStr">
        <is>
          <t>reference product</t>
        </is>
      </c>
      <c r="B41" t="inlineStr">
        <is>
          <t>naphtha, synthetic</t>
        </is>
      </c>
    </row>
    <row r="42">
      <c r="A42" t="inlineStr">
        <is>
          <t>type</t>
        </is>
      </c>
      <c r="B42" t="inlineStr">
        <is>
          <t>process</t>
        </is>
      </c>
    </row>
    <row r="43">
      <c r="A43" t="inlineStr">
        <is>
          <t>unit</t>
        </is>
      </c>
      <c r="B43" t="inlineStr">
        <is>
          <t>kilogram</t>
        </is>
      </c>
    </row>
    <row r="44">
      <c r="A44" t="inlineStr">
        <is>
          <t>location</t>
        </is>
      </c>
      <c r="B44" t="inlineStr">
        <is>
          <t>RER</t>
        </is>
      </c>
    </row>
    <row r="45">
      <c r="A45" t="inlineStr">
        <is>
          <t>comment</t>
        </is>
      </c>
      <c r="B45" t="inlineStr">
        <is>
          <t>Adapted from van der Giesen et al. 2014. LHV: 44.5 MJ/kg, Formula: C13H18, Density: 7551 kg/m3. Energy-based allocation between 3 other co-products. Allocation key for this co-product: 24%.</t>
        </is>
      </c>
    </row>
    <row r="46">
      <c r="A46" t="inlineStr">
        <is>
          <t>source</t>
        </is>
      </c>
      <c r="B46" t="inlineStr">
        <is>
          <t>Energy and Climate Impacts of Producing Synthetic Hydrocarbon Fuels from CO2, Coen van der Giesen, René Kleijn, and Gert Jan Kramer, Environmental Science &amp; Technology 2014 48 (12), 7111-7121, DOI: 10.1021/es500191g</t>
        </is>
      </c>
    </row>
    <row r="47" ht="16" customHeight="1">
      <c r="A47" s="12" t="inlineStr">
        <is>
          <t>Exchanges</t>
        </is>
      </c>
    </row>
    <row r="48">
      <c r="A48" t="inlineStr">
        <is>
          <t>name</t>
        </is>
      </c>
      <c r="B48" t="inlineStr">
        <is>
          <t>amount</t>
        </is>
      </c>
      <c r="C48" t="inlineStr">
        <is>
          <t>location</t>
        </is>
      </c>
      <c r="D48" t="inlineStr">
        <is>
          <t>unit</t>
        </is>
      </c>
      <c r="E48" t="inlineStr">
        <is>
          <t>categories</t>
        </is>
      </c>
      <c r="F48" t="inlineStr">
        <is>
          <t>type</t>
        </is>
      </c>
      <c r="G48" t="inlineStr">
        <is>
          <t>reference product</t>
        </is>
      </c>
    </row>
    <row r="49">
      <c r="A49" t="inlineStr">
        <is>
          <t>naphtha production, synthetic, Fischer Tropsch process, from natural gas, energy allocation</t>
        </is>
      </c>
      <c r="B49" t="n">
        <v>1</v>
      </c>
      <c r="C49" t="inlineStr">
        <is>
          <t>RER</t>
        </is>
      </c>
      <c r="D49" t="inlineStr">
        <is>
          <t>kilogram</t>
        </is>
      </c>
      <c r="F49" t="inlineStr">
        <is>
          <t>production</t>
        </is>
      </c>
      <c r="G49" t="inlineStr">
        <is>
          <t>naphtha production, synthetic, Fischer Tropsch process, from natural gas, energy allocation</t>
        </is>
      </c>
    </row>
    <row r="50">
      <c r="A50" t="inlineStr">
        <is>
          <t>syngas production, from natural gas</t>
        </is>
      </c>
      <c r="B50" t="n">
        <v>2.32</v>
      </c>
      <c r="C50" t="inlineStr">
        <is>
          <t>RER</t>
        </is>
      </c>
      <c r="D50" t="inlineStr">
        <is>
          <t>kilogram</t>
        </is>
      </c>
      <c r="F50" t="inlineStr">
        <is>
          <t>technosphere</t>
        </is>
      </c>
      <c r="G50" t="inlineStr">
        <is>
          <t>syngas, from natural gas</t>
        </is>
      </c>
    </row>
    <row r="51">
      <c r="A51" t="inlineStr">
        <is>
          <t>Heat, waste</t>
        </is>
      </c>
      <c r="B51">
        <f>3.64160231884058*0.24</f>
        <v>0.87398455652173912</v>
      </c>
      <c r="D51" t="inlineStr">
        <is>
          <t>megajoule</t>
        </is>
      </c>
      <c r="E51" t="inlineStr">
        <is>
          <t>air</t>
        </is>
      </c>
      <c r="F51" t="inlineStr">
        <is>
          <t>biosphere</t>
        </is>
      </c>
    </row>
    <row r="52">
      <c r="A52" t="inlineStr">
        <is>
          <t>Water</t>
        </is>
      </c>
      <c r="B52">
        <f>0.00107549913043478*0.24</f>
        <v>2.581197913043472E-4</v>
      </c>
      <c r="D52" t="inlineStr">
        <is>
          <t>cubic meter</t>
        </is>
      </c>
      <c r="E52" t="inlineStr">
        <is>
          <t>water</t>
        </is>
      </c>
      <c r="F52" t="inlineStr">
        <is>
          <t>biosphere</t>
        </is>
      </c>
    </row>
    <row r="53">
      <c r="A53" t="inlineStr">
        <is>
          <t>Gas-to-liquid plant construction</t>
        </is>
      </c>
      <c r="B53" s="14" t="n">
        <v>6.7e-12</v>
      </c>
      <c r="C53" t="inlineStr">
        <is>
          <t>GLO</t>
        </is>
      </c>
      <c r="D53" t="inlineStr">
        <is>
          <t>unit</t>
        </is>
      </c>
      <c r="F53" t="inlineStr">
        <is>
          <t>technosphere</t>
        </is>
      </c>
      <c r="G53" t="inlineStr">
        <is>
          <t>Gas-to-liquid plant</t>
        </is>
      </c>
    </row>
    <row r="54">
      <c r="A54" t="inlineStr">
        <is>
          <t>Carbon dioxide, fossil</t>
        </is>
      </c>
      <c r="B54" t="n">
        <v>0.19</v>
      </c>
      <c r="D54" t="inlineStr">
        <is>
          <t>kilogram</t>
        </is>
      </c>
      <c r="E54" t="inlineStr">
        <is>
          <t>air</t>
        </is>
      </c>
      <c r="F54" t="inlineStr">
        <is>
          <t>biosphere</t>
        </is>
      </c>
    </row>
    <row r="55">
      <c r="A55" t="inlineStr">
        <is>
          <t>market group for electricity, low voltage</t>
        </is>
      </c>
      <c r="B55" s="14">
        <f>0.0872420618556701*0.24</f>
        <v>2.0938094845360824E-2</v>
      </c>
      <c r="C55" t="inlineStr">
        <is>
          <t>RER</t>
        </is>
      </c>
      <c r="D55" t="inlineStr">
        <is>
          <t>kilowatt hour</t>
        </is>
      </c>
      <c r="F55" t="inlineStr">
        <is>
          <t>technosphere</t>
        </is>
      </c>
      <c r="G55" t="inlineStr">
        <is>
          <t>electricity, low voltage</t>
        </is>
      </c>
    </row>
    <row r="56"/>
    <row r="57" ht="16" customHeight="1">
      <c r="A57" s="12" t="inlineStr">
        <is>
          <t>Activity</t>
        </is>
      </c>
      <c r="B57" s="1" t="inlineStr">
        <is>
          <t>diesel production, synthetic, Fischer Tropsch process, from natural gas, energy allocation</t>
        </is>
      </c>
    </row>
    <row r="58">
      <c r="A58" t="inlineStr">
        <is>
          <t>production amount</t>
        </is>
      </c>
      <c r="B58" t="n">
        <v>1</v>
      </c>
    </row>
    <row r="59">
      <c r="A59" t="inlineStr">
        <is>
          <t>reference product</t>
        </is>
      </c>
      <c r="B59" t="inlineStr">
        <is>
          <t>diesel, synthetic</t>
        </is>
      </c>
    </row>
    <row r="60">
      <c r="A60" t="inlineStr">
        <is>
          <t>type</t>
        </is>
      </c>
      <c r="B60" t="inlineStr">
        <is>
          <t>process</t>
        </is>
      </c>
    </row>
    <row r="61">
      <c r="A61" t="inlineStr">
        <is>
          <t>unit</t>
        </is>
      </c>
      <c r="B61" t="inlineStr">
        <is>
          <t>kilogram</t>
        </is>
      </c>
    </row>
    <row r="62">
      <c r="A62" t="inlineStr">
        <is>
          <t>location</t>
        </is>
      </c>
      <c r="B62" t="inlineStr">
        <is>
          <t>RER</t>
        </is>
      </c>
    </row>
    <row r="63">
      <c r="A63" t="inlineStr">
        <is>
          <t>comment</t>
        </is>
      </c>
      <c r="B63" t="inlineStr">
        <is>
          <t>Adapted from van der Giesen et al. 2014. LHV: 43.3 MJ/kg, Formula: C13H18, Density: 7551 kg/m3. Energy-based allocation between 3 other co-products. Allocation key for this co-product: 37%. Post corrected to preserve carbon balance.</t>
        </is>
      </c>
    </row>
    <row r="64">
      <c r="A64" t="inlineStr">
        <is>
          <t>source</t>
        </is>
      </c>
      <c r="B64" t="inlineStr">
        <is>
          <t>Energy and Climate Impacts of Producing Synthetic Hydrocarbon Fuels from CO2, Coen van der Giesen, René Kleijn, and Gert Jan Kramer, Environmental Science &amp; Technology 2014 48 (12), 7111-7121, DOI: 10.1021/es500191g</t>
        </is>
      </c>
    </row>
    <row r="65" ht="16" customHeight="1">
      <c r="A65" s="12" t="inlineStr">
        <is>
          <t>Exchanges</t>
        </is>
      </c>
    </row>
    <row r="66">
      <c r="A66" t="inlineStr">
        <is>
          <t>name</t>
        </is>
      </c>
      <c r="B66" t="inlineStr">
        <is>
          <t>amount</t>
        </is>
      </c>
      <c r="C66" t="inlineStr">
        <is>
          <t>location</t>
        </is>
      </c>
      <c r="D66" t="inlineStr">
        <is>
          <t>unit</t>
        </is>
      </c>
      <c r="E66" t="inlineStr">
        <is>
          <t>categories</t>
        </is>
      </c>
      <c r="F66" t="inlineStr">
        <is>
          <t>type</t>
        </is>
      </c>
      <c r="G66" t="inlineStr">
        <is>
          <t>reference product</t>
        </is>
      </c>
    </row>
    <row r="67">
      <c r="A67" t="inlineStr">
        <is>
          <t>diesel production, synthetic, Fischer Tropsch process, from natural gas, energy allocation</t>
        </is>
      </c>
      <c r="B67" t="n">
        <v>1</v>
      </c>
      <c r="C67" t="inlineStr">
        <is>
          <t>RER</t>
        </is>
      </c>
      <c r="D67" t="inlineStr">
        <is>
          <t>kilogram</t>
        </is>
      </c>
      <c r="F67" t="inlineStr">
        <is>
          <t>production</t>
        </is>
      </c>
      <c r="G67" t="inlineStr">
        <is>
          <t>diesel, synthetic</t>
        </is>
      </c>
    </row>
    <row r="68">
      <c r="A68" t="inlineStr">
        <is>
          <t>syngas production, from natural gas</t>
        </is>
      </c>
      <c r="B68" t="n">
        <v>2.26</v>
      </c>
      <c r="C68" t="inlineStr">
        <is>
          <t>RER</t>
        </is>
      </c>
      <c r="D68" t="inlineStr">
        <is>
          <t>kilogram</t>
        </is>
      </c>
      <c r="F68" t="inlineStr">
        <is>
          <t>technosphere</t>
        </is>
      </c>
      <c r="G68" t="inlineStr">
        <is>
          <t>syngas, from natural gas</t>
        </is>
      </c>
    </row>
    <row r="69">
      <c r="A69" t="inlineStr">
        <is>
          <t>Heat, waste</t>
        </is>
      </c>
      <c r="B69">
        <f>3.64160231884058*0.37</f>
        <v>1.3473928579710146</v>
      </c>
      <c r="D69" t="inlineStr">
        <is>
          <t>megajoule</t>
        </is>
      </c>
      <c r="E69" t="inlineStr">
        <is>
          <t>air</t>
        </is>
      </c>
      <c r="F69" t="inlineStr">
        <is>
          <t>biosphere</t>
        </is>
      </c>
    </row>
    <row r="70">
      <c r="A70" t="inlineStr">
        <is>
          <t>Water</t>
        </is>
      </c>
      <c r="B70">
        <f>0.00107549913043478*0.37</f>
        <v>3.9793467826086865E-4</v>
      </c>
      <c r="D70" t="inlineStr">
        <is>
          <t>cubic meter</t>
        </is>
      </c>
      <c r="E70" t="inlineStr">
        <is>
          <t>water</t>
        </is>
      </c>
      <c r="F70" t="inlineStr">
        <is>
          <t>biosphere</t>
        </is>
      </c>
    </row>
    <row r="71">
      <c r="A71" t="inlineStr">
        <is>
          <t>Gas-to-liquid plant construction</t>
        </is>
      </c>
      <c r="B71" s="14" t="n">
        <v>6.7e-12</v>
      </c>
      <c r="C71" t="inlineStr">
        <is>
          <t>GLO</t>
        </is>
      </c>
      <c r="D71" t="inlineStr">
        <is>
          <t>unit</t>
        </is>
      </c>
      <c r="F71" t="inlineStr">
        <is>
          <t>technosphere</t>
        </is>
      </c>
      <c r="G71" t="inlineStr">
        <is>
          <t>Gas-to-liquid plant</t>
        </is>
      </c>
    </row>
    <row r="72">
      <c r="A72" t="inlineStr">
        <is>
          <t>Carbon dioxide, fossil</t>
        </is>
      </c>
      <c r="B72" t="n">
        <v>0.05</v>
      </c>
      <c r="D72" t="inlineStr">
        <is>
          <t>kilogram</t>
        </is>
      </c>
      <c r="E72" t="inlineStr">
        <is>
          <t>air</t>
        </is>
      </c>
      <c r="F72" t="inlineStr">
        <is>
          <t>biosphere</t>
        </is>
      </c>
    </row>
    <row r="73">
      <c r="A73" t="inlineStr">
        <is>
          <t>market group for electricity, low voltage</t>
        </is>
      </c>
      <c r="B73" s="14">
        <f>0.0872420618556701*0.37</f>
        <v>3.2279562886597939E-2</v>
      </c>
      <c r="C73" t="inlineStr">
        <is>
          <t>RER</t>
        </is>
      </c>
      <c r="D73" t="inlineStr">
        <is>
          <t>kilowatt hour</t>
        </is>
      </c>
      <c r="F73" t="inlineStr">
        <is>
          <t>technosphere</t>
        </is>
      </c>
      <c r="G73" t="inlineStr">
        <is>
          <t>electricity, low voltage</t>
        </is>
      </c>
    </row>
    <row r="74"/>
    <row r="75" ht="16" customHeight="1">
      <c r="A75" s="12" t="inlineStr">
        <is>
          <t>Activity</t>
        </is>
      </c>
      <c r="B75" s="1" t="inlineStr">
        <is>
          <t>liquefied petroleum gas production, synthetic, Fischer Tropsch process, from natural gas, energy allocation</t>
        </is>
      </c>
    </row>
    <row r="76">
      <c r="A76" t="inlineStr">
        <is>
          <t>production amount</t>
        </is>
      </c>
      <c r="B76" t="n">
        <v>1</v>
      </c>
    </row>
    <row r="77">
      <c r="A77" t="inlineStr">
        <is>
          <t>reference product</t>
        </is>
      </c>
      <c r="B77" t="inlineStr">
        <is>
          <t>liquefied petroleum gas, synthetic</t>
        </is>
      </c>
    </row>
    <row r="78">
      <c r="A78" t="inlineStr">
        <is>
          <t>type</t>
        </is>
      </c>
      <c r="B78" t="inlineStr">
        <is>
          <t>process</t>
        </is>
      </c>
    </row>
    <row r="79">
      <c r="A79" t="inlineStr">
        <is>
          <t>unit</t>
        </is>
      </c>
      <c r="B79" t="inlineStr">
        <is>
          <t>kilogram</t>
        </is>
      </c>
    </row>
    <row r="80">
      <c r="A80" t="inlineStr">
        <is>
          <t>location</t>
        </is>
      </c>
      <c r="B80" t="inlineStr">
        <is>
          <t>RER</t>
        </is>
      </c>
    </row>
    <row r="81">
      <c r="A81" t="inlineStr">
        <is>
          <t>comment</t>
        </is>
      </c>
      <c r="B81" t="inlineStr">
        <is>
          <t>Adapted from A.E.M. van den Oever, D. Costa, M. Messagie, Prospective life cycle assessment of alternatively fueled heavy-duty trucks, Applied Energy, 2023, https://doi.org/10.1016/j.apenergy.2023.120834. Energy-based allocation between 3 other co-products (diesel, wax and C5-C10 olefins). Allocation key for this co-product: 11%. Post corrected to preserve carbon balance.</t>
        </is>
      </c>
    </row>
    <row r="82">
      <c r="A82" t="inlineStr">
        <is>
          <t>source</t>
        </is>
      </c>
      <c r="B82" t="inlineStr">
        <is>
          <t xml:space="preserve"> A.E.M. van den Oever, D. Costa, M. Messagie, Prospective life cycle assessment of alternatively fueled heavy-duty trucks, Applied Energy, 2023, https://doi.org/10.1016/j.apenergy.2023.120834</t>
        </is>
      </c>
    </row>
    <row r="83" ht="16" customHeight="1">
      <c r="A83" s="12" t="inlineStr">
        <is>
          <t>Exchanges</t>
        </is>
      </c>
    </row>
    <row r="84">
      <c r="A84" t="inlineStr">
        <is>
          <t>name</t>
        </is>
      </c>
      <c r="B84" t="inlineStr">
        <is>
          <t>amount</t>
        </is>
      </c>
      <c r="C84" t="inlineStr">
        <is>
          <t>location</t>
        </is>
      </c>
      <c r="D84" t="inlineStr">
        <is>
          <t>unit</t>
        </is>
      </c>
      <c r="E84" t="inlineStr">
        <is>
          <t>categories</t>
        </is>
      </c>
      <c r="F84" t="inlineStr">
        <is>
          <t>type</t>
        </is>
      </c>
      <c r="G84" t="inlineStr">
        <is>
          <t>reference product</t>
        </is>
      </c>
      <c r="H84" t="inlineStr">
        <is>
          <t>comment</t>
        </is>
      </c>
    </row>
    <row r="85">
      <c r="A85" t="inlineStr">
        <is>
          <t>liquefied petroleum gas production, synthetic, Fischer Tropsch process, from natural gas, energy allocation</t>
        </is>
      </c>
      <c r="B85" t="n">
        <v>1</v>
      </c>
      <c r="C85" t="inlineStr">
        <is>
          <t>RER</t>
        </is>
      </c>
      <c r="D85" t="inlineStr">
        <is>
          <t>kilogram</t>
        </is>
      </c>
      <c r="F85" t="inlineStr">
        <is>
          <t>production</t>
        </is>
      </c>
      <c r="G85" t="inlineStr">
        <is>
          <t>liquefied petroleum gas production, synthetic, Fischer Tropsch process, from natural gas, energy allocation</t>
        </is>
      </c>
      <c r="H85" t="inlineStr">
        <is>
          <t>From PEM electrolysis</t>
        </is>
      </c>
    </row>
    <row r="86">
      <c r="A86" t="inlineStr">
        <is>
          <t>syngas production, from natural gas</t>
        </is>
      </c>
      <c r="B86" t="n">
        <v>2.28</v>
      </c>
      <c r="C86" t="inlineStr">
        <is>
          <t>RER</t>
        </is>
      </c>
      <c r="D86" t="inlineStr">
        <is>
          <t>kilogram</t>
        </is>
      </c>
      <c r="F86" t="inlineStr">
        <is>
          <t>technosphere</t>
        </is>
      </c>
      <c r="G86" t="inlineStr">
        <is>
          <t>syngas, from natural gas</t>
        </is>
      </c>
    </row>
    <row r="87">
      <c r="A87" t="inlineStr">
        <is>
          <t>Heat, waste</t>
        </is>
      </c>
      <c r="B87">
        <f>3.64160231884058*0.11</f>
        <v>0.4005762550724638</v>
      </c>
      <c r="D87" t="inlineStr">
        <is>
          <t>megajoule</t>
        </is>
      </c>
      <c r="E87" t="inlineStr">
        <is>
          <t>air</t>
        </is>
      </c>
      <c r="F87" t="inlineStr">
        <is>
          <t>biosphere</t>
        </is>
      </c>
    </row>
    <row r="88">
      <c r="A88" t="inlineStr">
        <is>
          <t>Water</t>
        </is>
      </c>
      <c r="B88">
        <f>0.00107549913043478*0.11</f>
        <v>1.1830490434782582E-4</v>
      </c>
      <c r="D88" t="inlineStr">
        <is>
          <t>cubic meter</t>
        </is>
      </c>
      <c r="E88" t="inlineStr">
        <is>
          <t>water</t>
        </is>
      </c>
      <c r="F88" t="inlineStr">
        <is>
          <t>biosphere</t>
        </is>
      </c>
    </row>
    <row r="89">
      <c r="A89" t="inlineStr">
        <is>
          <t>Gas-to-liquid plant construction</t>
        </is>
      </c>
      <c r="B89" s="14" t="n">
        <v>6.7e-12</v>
      </c>
      <c r="C89" t="inlineStr">
        <is>
          <t>GLO</t>
        </is>
      </c>
      <c r="D89" t="inlineStr">
        <is>
          <t>unit</t>
        </is>
      </c>
      <c r="F89" t="inlineStr">
        <is>
          <t>technosphere</t>
        </is>
      </c>
      <c r="G89" t="inlineStr">
        <is>
          <t>Gas-to-liquid plant</t>
        </is>
      </c>
    </row>
    <row r="90">
      <c r="A90" t="inlineStr">
        <is>
          <t>Carbon dioxide, fossil</t>
        </is>
      </c>
      <c r="B90" t="n">
        <v>0.13</v>
      </c>
      <c r="D90" t="inlineStr">
        <is>
          <t>kilogram</t>
        </is>
      </c>
      <c r="E90" t="inlineStr">
        <is>
          <t>air</t>
        </is>
      </c>
      <c r="F90" t="inlineStr">
        <is>
          <t>biosphere</t>
        </is>
      </c>
    </row>
    <row r="91">
      <c r="A91" t="inlineStr">
        <is>
          <t>market group for electricity, low voltage</t>
        </is>
      </c>
      <c r="B91" s="14">
        <f>0.0872420618556701*0.11</f>
        <v>9.5966268041237108E-3</v>
      </c>
      <c r="C91" t="inlineStr">
        <is>
          <t>RER</t>
        </is>
      </c>
      <c r="D91" t="inlineStr">
        <is>
          <t>kilowatt hour</t>
        </is>
      </c>
      <c r="F91" t="inlineStr">
        <is>
          <t>technosphere</t>
        </is>
      </c>
      <c r="G91" t="inlineStr">
        <is>
          <t>electricity, low voltage</t>
        </is>
      </c>
    </row>
    <row r="92"/>
    <row r="93" ht="16" customHeight="1">
      <c r="A93" s="12" t="inlineStr">
        <is>
          <t>Activity</t>
        </is>
      </c>
      <c r="B93" s="1" t="inlineStr">
        <is>
          <t>syngas production, from natural gas</t>
        </is>
      </c>
    </row>
    <row r="94">
      <c r="A94" t="inlineStr">
        <is>
          <t>production amount</t>
        </is>
      </c>
      <c r="B94" t="n">
        <v>1</v>
      </c>
    </row>
    <row r="95">
      <c r="A95" t="inlineStr">
        <is>
          <t>reference product</t>
        </is>
      </c>
      <c r="B95" t="inlineStr">
        <is>
          <t>syngas, from natural gas</t>
        </is>
      </c>
    </row>
    <row r="96">
      <c r="A96" t="inlineStr">
        <is>
          <t>type</t>
        </is>
      </c>
      <c r="B96" t="inlineStr">
        <is>
          <t>process</t>
        </is>
      </c>
    </row>
    <row r="97">
      <c r="A97" t="inlineStr">
        <is>
          <t>unit</t>
        </is>
      </c>
      <c r="B97" t="inlineStr">
        <is>
          <t>kilogram</t>
        </is>
      </c>
    </row>
    <row r="98">
      <c r="A98" t="inlineStr">
        <is>
          <t>location</t>
        </is>
      </c>
      <c r="B98" t="inlineStr">
        <is>
          <t>RER</t>
        </is>
      </c>
    </row>
    <row r="99">
      <c r="A99" t="inlineStr">
        <is>
          <t>comment</t>
        </is>
      </c>
      <c r="B99" t="inlineStr">
        <is>
          <t>ASU, steam reformer, shift converter. Efficiency of 56% from https://iea-etsap.org/E-TechDS/PDF/S02-CTL&amp;GTL-GS-gct.pdf (30000 GJ of CNG per 16800 GJ of syngas). Properties taken from van der Giesen et al. 2014. Density of syngas: 0.470kg/m3 @1 bar. LHV: 23.9 MJ/kg, producing 1 kg of syngas requires blending 0,125 kg hydrogen with 0,875 kg carbon monoxide, equalling to 1.375 kg of CO2 per kg of syngas. CO2 eimssions calculated based pm stoichiometry. ROUGH MODELLING, UNCERTAIN INPUTS.</t>
        </is>
      </c>
    </row>
    <row r="100">
      <c r="A100" t="inlineStr">
        <is>
          <t>source</t>
        </is>
      </c>
      <c r="B100" t="inlineStr">
        <is>
          <t>https://iea-etsap.org/E-TechDS/PDF/S02-CTL&amp;GTL-GS-gct.pdf</t>
        </is>
      </c>
    </row>
    <row r="101" ht="16" customHeight="1">
      <c r="A101" s="12" t="inlineStr">
        <is>
          <t>Exchanges</t>
        </is>
      </c>
    </row>
    <row r="102">
      <c r="A102" t="inlineStr">
        <is>
          <t>name</t>
        </is>
      </c>
      <c r="B102" t="inlineStr">
        <is>
          <t>amount</t>
        </is>
      </c>
      <c r="C102" t="inlineStr">
        <is>
          <t>location</t>
        </is>
      </c>
      <c r="D102" t="inlineStr">
        <is>
          <t>unit</t>
        </is>
      </c>
      <c r="E102" t="inlineStr">
        <is>
          <t>categories</t>
        </is>
      </c>
      <c r="F102" t="inlineStr">
        <is>
          <t>type</t>
        </is>
      </c>
      <c r="G102" t="inlineStr">
        <is>
          <t>reference product</t>
        </is>
      </c>
      <c r="H102" t="inlineStr">
        <is>
          <t>comment</t>
        </is>
      </c>
    </row>
    <row r="103">
      <c r="A103" t="inlineStr">
        <is>
          <t>syngas production, from natural gas</t>
        </is>
      </c>
      <c r="B103" t="n">
        <v>1</v>
      </c>
      <c r="C103" t="inlineStr">
        <is>
          <t>RER</t>
        </is>
      </c>
      <c r="D103" t="inlineStr">
        <is>
          <t>kilogram</t>
        </is>
      </c>
      <c r="F103" t="inlineStr">
        <is>
          <t>production</t>
        </is>
      </c>
      <c r="G103" t="inlineStr">
        <is>
          <t>syngas, from natural gas</t>
        </is>
      </c>
    </row>
    <row r="104">
      <c r="A104" t="inlineStr">
        <is>
          <t>market for natural gas, low pressure</t>
        </is>
      </c>
      <c r="B104" s="23">
        <f>1.49/0.735</f>
        <v>2.0272108843537415</v>
      </c>
      <c r="C104" t="inlineStr">
        <is>
          <t>RoW</t>
        </is>
      </c>
      <c r="D104" t="inlineStr">
        <is>
          <t>cubic meter</t>
        </is>
      </c>
      <c r="F104" t="inlineStr">
        <is>
          <t>technosphere</t>
        </is>
      </c>
      <c r="G104" t="inlineStr">
        <is>
          <t>natural gas, low pressure</t>
        </is>
      </c>
      <c r="H104" t="inlineStr">
        <is>
          <t>36 MJ/m3, 16800 GJ syngas per 30000 GJ CNG</t>
        </is>
      </c>
    </row>
    <row r="105">
      <c r="A105" t="inlineStr">
        <is>
          <t>Carbon dioxide, fossil</t>
        </is>
      </c>
      <c r="B105" s="16">
        <f>4.1-1.375</f>
        <v>2.7249999999999996</v>
      </c>
      <c r="D105" t="inlineStr">
        <is>
          <t>kilogram</t>
        </is>
      </c>
      <c r="E105" t="inlineStr">
        <is>
          <t>air</t>
        </is>
      </c>
      <c r="F105" t="inlineStr">
        <is>
          <t>biosphere</t>
        </is>
      </c>
      <c r="H105" t="inlineStr">
        <is>
          <t>4.1 kg CO2 per 1.49 kg of CNG. 1.375 kg of CO2 per kg of syngas. The difference is emitted</t>
        </is>
      </c>
    </row>
    <row r="106"/>
    <row r="107" ht="16" customHeight="1">
      <c r="A107" s="12" t="inlineStr">
        <is>
          <t>Activity</t>
        </is>
      </c>
      <c r="B107" s="1" t="inlineStr">
        <is>
          <t>lubricating oil production, synthetic, Fischer Tropsch process, from natural gas, energy allocation, with carbon capture and storage</t>
        </is>
      </c>
    </row>
    <row r="108">
      <c r="A108" t="inlineStr">
        <is>
          <t>production amount</t>
        </is>
      </c>
      <c r="B108" t="n">
        <v>1</v>
      </c>
    </row>
    <row r="109">
      <c r="A109" t="inlineStr">
        <is>
          <t>reference product</t>
        </is>
      </c>
      <c r="B109" t="inlineStr">
        <is>
          <t>lubricating oil, synthetic</t>
        </is>
      </c>
    </row>
    <row r="110">
      <c r="A110" t="inlineStr">
        <is>
          <t>type</t>
        </is>
      </c>
      <c r="B110" t="inlineStr">
        <is>
          <t>process</t>
        </is>
      </c>
    </row>
    <row r="111">
      <c r="A111" t="inlineStr">
        <is>
          <t>unit</t>
        </is>
      </c>
      <c r="B111" t="inlineStr">
        <is>
          <t>kilogram</t>
        </is>
      </c>
    </row>
    <row r="112">
      <c r="A112" t="inlineStr">
        <is>
          <t>location</t>
        </is>
      </c>
      <c r="B112" t="inlineStr">
        <is>
          <t>RER</t>
        </is>
      </c>
    </row>
    <row r="113">
      <c r="A113" t="inlineStr">
        <is>
          <t>comment</t>
        </is>
      </c>
      <c r="B113" t="inlineStr">
        <is>
          <t>Adapted from van der Giesen et al. 2014. LHV: 40.2 MJ/kg, Formula: C13H18, Density: 7551 kg/m3. Energy-based allocation between 3 other co-products. Allocation key for this co-product: 21%.</t>
        </is>
      </c>
    </row>
    <row r="114">
      <c r="A114" t="inlineStr">
        <is>
          <t>source</t>
        </is>
      </c>
      <c r="B114" t="inlineStr">
        <is>
          <t>Energy and Climate Impacts of Producing Synthetic Hydrocarbon Fuels from CO2, Coen van der Giesen, René Kleijn, and Gert Jan Kramer, Environmental Science &amp; Technology 2014 48 (12), 7111-7121, DOI: 10.1021/es500191g</t>
        </is>
      </c>
    </row>
    <row r="115" ht="16" customHeight="1">
      <c r="A115" s="12" t="inlineStr">
        <is>
          <t>Exchanges</t>
        </is>
      </c>
    </row>
    <row r="116">
      <c r="A116" t="inlineStr">
        <is>
          <t>name</t>
        </is>
      </c>
      <c r="B116" t="inlineStr">
        <is>
          <t>amount</t>
        </is>
      </c>
      <c r="C116" t="inlineStr">
        <is>
          <t>location</t>
        </is>
      </c>
      <c r="D116" t="inlineStr">
        <is>
          <t>unit</t>
        </is>
      </c>
      <c r="E116" t="inlineStr">
        <is>
          <t>categories</t>
        </is>
      </c>
      <c r="F116" t="inlineStr">
        <is>
          <t>type</t>
        </is>
      </c>
      <c r="G116" t="inlineStr">
        <is>
          <t>reference product</t>
        </is>
      </c>
    </row>
    <row r="117">
      <c r="A117" t="inlineStr">
        <is>
          <t>lubricating oil production, synthetic, Fischer Tropsch process, from natural gas, energy allocation, with carbon capture and storage</t>
        </is>
      </c>
      <c r="B117" t="n">
        <v>1</v>
      </c>
      <c r="C117" t="inlineStr">
        <is>
          <t>RER</t>
        </is>
      </c>
      <c r="D117" t="inlineStr">
        <is>
          <t>kilogram</t>
        </is>
      </c>
      <c r="F117" t="inlineStr">
        <is>
          <t>production</t>
        </is>
      </c>
      <c r="G117" t="inlineStr">
        <is>
          <t>lubricating oil production, synthetic, Fischer Tropsch process, from natural gas, energy allocation, with carbon capture and storage</t>
        </is>
      </c>
    </row>
    <row r="118">
      <c r="A118" t="inlineStr">
        <is>
          <t>syngas production, from natural gas, with carbon capture and storage</t>
        </is>
      </c>
      <c r="B118" t="n">
        <v>2.1</v>
      </c>
      <c r="C118" t="inlineStr">
        <is>
          <t>RER</t>
        </is>
      </c>
      <c r="D118" t="inlineStr">
        <is>
          <t>kilogram</t>
        </is>
      </c>
      <c r="F118" t="inlineStr">
        <is>
          <t>technosphere</t>
        </is>
      </c>
      <c r="G118" t="inlineStr">
        <is>
          <t>syngas, from natural gas</t>
        </is>
      </c>
    </row>
    <row r="119">
      <c r="A119" t="inlineStr">
        <is>
          <t>Heat, waste</t>
        </is>
      </c>
      <c r="B119">
        <f>3.64160231884058*0.21</f>
        <v>0.76473648695652174</v>
      </c>
      <c r="D119" t="inlineStr">
        <is>
          <t>megajoule</t>
        </is>
      </c>
      <c r="E119" t="inlineStr">
        <is>
          <t>air</t>
        </is>
      </c>
      <c r="F119" t="inlineStr">
        <is>
          <t>biosphere</t>
        </is>
      </c>
    </row>
    <row r="120">
      <c r="A120" t="inlineStr">
        <is>
          <t>Water</t>
        </is>
      </c>
      <c r="B120">
        <f>0.00107549913043478*0.21</f>
        <v>2.2585481739130381E-4</v>
      </c>
      <c r="D120" t="inlineStr">
        <is>
          <t>cubic meter</t>
        </is>
      </c>
      <c r="E120" t="inlineStr">
        <is>
          <t>water</t>
        </is>
      </c>
      <c r="F120" t="inlineStr">
        <is>
          <t>biosphere</t>
        </is>
      </c>
    </row>
    <row r="121">
      <c r="A121" t="inlineStr">
        <is>
          <t>Gas-to-liquid plant construction</t>
        </is>
      </c>
      <c r="B121" s="14" t="n">
        <v>6.7e-12</v>
      </c>
      <c r="C121" t="inlineStr">
        <is>
          <t>GLO</t>
        </is>
      </c>
      <c r="D121" t="inlineStr">
        <is>
          <t>unit</t>
        </is>
      </c>
      <c r="F121" t="inlineStr">
        <is>
          <t>technosphere</t>
        </is>
      </c>
      <c r="G121" t="inlineStr">
        <is>
          <t>Gas-to-liquid plant</t>
        </is>
      </c>
    </row>
    <row r="122">
      <c r="A122" t="inlineStr">
        <is>
          <t>Carbon dioxide, non-fossil</t>
        </is>
      </c>
      <c r="B122" t="n">
        <v>0.13</v>
      </c>
      <c r="D122" t="inlineStr">
        <is>
          <t>kilogram</t>
        </is>
      </c>
      <c r="E122" t="inlineStr">
        <is>
          <t>air</t>
        </is>
      </c>
      <c r="F122" t="inlineStr">
        <is>
          <t>biosphere</t>
        </is>
      </c>
    </row>
    <row r="123">
      <c r="A123" t="inlineStr">
        <is>
          <t>market group for electricity, low voltage</t>
        </is>
      </c>
      <c r="B123" s="14">
        <f>0.0872420618556701*0.21</f>
        <v>1.832083298969072E-2</v>
      </c>
      <c r="C123" t="inlineStr">
        <is>
          <t>RER</t>
        </is>
      </c>
      <c r="D123" t="inlineStr">
        <is>
          <t>kilowatt hour</t>
        </is>
      </c>
      <c r="F123" t="inlineStr">
        <is>
          <t>technosphere</t>
        </is>
      </c>
      <c r="G123" t="inlineStr">
        <is>
          <t>electricity, low voltage</t>
        </is>
      </c>
    </row>
    <row r="124">
      <c r="B124" s="14" t="n"/>
    </row>
    <row r="125" ht="16" customHeight="1">
      <c r="A125" s="12" t="inlineStr">
        <is>
          <t>Activity</t>
        </is>
      </c>
      <c r="B125" s="1" t="inlineStr">
        <is>
          <t>kerosene production, synthetic, Fischer Tropsch process, from natural gas, energy allocation, with carbon capture and storage</t>
        </is>
      </c>
    </row>
    <row r="126">
      <c r="A126" t="inlineStr">
        <is>
          <t>production amount</t>
        </is>
      </c>
      <c r="B126" t="n">
        <v>1</v>
      </c>
    </row>
    <row r="127">
      <c r="A127" t="inlineStr">
        <is>
          <t>reference product</t>
        </is>
      </c>
      <c r="B127" t="inlineStr">
        <is>
          <t>kerosene, synthetic</t>
        </is>
      </c>
    </row>
    <row r="128">
      <c r="A128" t="inlineStr">
        <is>
          <t>type</t>
        </is>
      </c>
      <c r="B128" t="inlineStr">
        <is>
          <t>process</t>
        </is>
      </c>
    </row>
    <row r="129">
      <c r="A129" t="inlineStr">
        <is>
          <t>unit</t>
        </is>
      </c>
      <c r="B129" t="inlineStr">
        <is>
          <t>kilogram</t>
        </is>
      </c>
    </row>
    <row r="130">
      <c r="A130" t="inlineStr">
        <is>
          <t>location</t>
        </is>
      </c>
      <c r="B130" t="inlineStr">
        <is>
          <t>RER</t>
        </is>
      </c>
    </row>
    <row r="131">
      <c r="A131" t="inlineStr">
        <is>
          <t>comment</t>
        </is>
      </c>
      <c r="B131" t="inlineStr">
        <is>
          <t>Adapted from van der Giesen et al. 2014. LHV: 45 MJ/kg, Formula: C13H18, Density: 7551 kg/m3. Energy-based allocation between 3 other co-products. Allocation key for this co-product: 18%.</t>
        </is>
      </c>
    </row>
    <row r="132">
      <c r="A132" t="inlineStr">
        <is>
          <t>source</t>
        </is>
      </c>
      <c r="B132" t="inlineStr">
        <is>
          <t>Energy and Climate Impacts of Producing Synthetic Hydrocarbon Fuels from CO2, Coen van der Giesen, René Kleijn, and Gert Jan Kramer, Environmental Science &amp; Technology 2014 48 (12), 7111-7121, DOI: 10.1021/es500191g</t>
        </is>
      </c>
    </row>
    <row r="133" ht="16" customHeight="1">
      <c r="A133" s="12" t="inlineStr">
        <is>
          <t>Exchanges</t>
        </is>
      </c>
    </row>
    <row r="134">
      <c r="A134" t="inlineStr">
        <is>
          <t>name</t>
        </is>
      </c>
      <c r="B134" t="inlineStr">
        <is>
          <t>amount</t>
        </is>
      </c>
      <c r="C134" t="inlineStr">
        <is>
          <t>location</t>
        </is>
      </c>
      <c r="D134" t="inlineStr">
        <is>
          <t>unit</t>
        </is>
      </c>
      <c r="E134" t="inlineStr">
        <is>
          <t>categories</t>
        </is>
      </c>
      <c r="F134" t="inlineStr">
        <is>
          <t>type</t>
        </is>
      </c>
      <c r="G134" t="inlineStr">
        <is>
          <t>reference product</t>
        </is>
      </c>
    </row>
    <row r="135">
      <c r="A135" t="inlineStr">
        <is>
          <t>kerosene production, synthetic, Fischer Tropsch process, from natural gas, energy allocation, with carbon capture and storage</t>
        </is>
      </c>
      <c r="B135" t="n">
        <v>1</v>
      </c>
      <c r="C135" t="inlineStr">
        <is>
          <t>RER</t>
        </is>
      </c>
      <c r="D135" t="inlineStr">
        <is>
          <t>kilogram</t>
        </is>
      </c>
      <c r="F135" t="inlineStr">
        <is>
          <t>production</t>
        </is>
      </c>
      <c r="G135" t="inlineStr">
        <is>
          <t>kerosene, synthetic</t>
        </is>
      </c>
    </row>
    <row r="136">
      <c r="A136" t="inlineStr">
        <is>
          <t>syngas production, from natural gas, with carbon capture and storage</t>
        </is>
      </c>
      <c r="B136" t="n">
        <v>2.35</v>
      </c>
      <c r="C136" t="inlineStr">
        <is>
          <t>RER</t>
        </is>
      </c>
      <c r="D136" t="inlineStr">
        <is>
          <t>kilogram</t>
        </is>
      </c>
      <c r="F136" t="inlineStr">
        <is>
          <t>technosphere</t>
        </is>
      </c>
      <c r="G136" t="inlineStr">
        <is>
          <t>syngas, from natural gas</t>
        </is>
      </c>
    </row>
    <row r="137">
      <c r="A137" t="inlineStr">
        <is>
          <t>Heat, waste</t>
        </is>
      </c>
      <c r="B137">
        <f>3.64160231884058*0.18</f>
        <v>0.65548841739130437</v>
      </c>
      <c r="D137" t="inlineStr">
        <is>
          <t>megajoule</t>
        </is>
      </c>
      <c r="E137" t="inlineStr">
        <is>
          <t>air</t>
        </is>
      </c>
      <c r="F137" t="inlineStr">
        <is>
          <t>biosphere</t>
        </is>
      </c>
    </row>
    <row r="138">
      <c r="A138" t="inlineStr">
        <is>
          <t>Water</t>
        </is>
      </c>
      <c r="B138">
        <f>0.00107549913043478*0.18</f>
        <v>1.9358984347826041E-4</v>
      </c>
      <c r="D138" t="inlineStr">
        <is>
          <t>cubic meter</t>
        </is>
      </c>
      <c r="E138" t="inlineStr">
        <is>
          <t>water</t>
        </is>
      </c>
      <c r="F138" t="inlineStr">
        <is>
          <t>biosphere</t>
        </is>
      </c>
    </row>
    <row r="139">
      <c r="A139" t="inlineStr">
        <is>
          <t>Gas-to-liquid plant construction</t>
        </is>
      </c>
      <c r="B139" s="14" t="n">
        <v>6.7e-12</v>
      </c>
      <c r="C139" t="inlineStr">
        <is>
          <t>GLO</t>
        </is>
      </c>
      <c r="D139" t="inlineStr">
        <is>
          <t>unit</t>
        </is>
      </c>
      <c r="F139" t="inlineStr">
        <is>
          <t>technosphere</t>
        </is>
      </c>
      <c r="G139" t="inlineStr">
        <is>
          <t>Gas-to-liquid plant</t>
        </is>
      </c>
    </row>
    <row r="140">
      <c r="A140" t="inlineStr">
        <is>
          <t>Carbon dioxide, non-fossil</t>
        </is>
      </c>
      <c r="B140" t="n">
        <v>0.22</v>
      </c>
      <c r="D140" t="inlineStr">
        <is>
          <t>kilogram</t>
        </is>
      </c>
      <c r="E140" t="inlineStr">
        <is>
          <t>air</t>
        </is>
      </c>
      <c r="F140" t="inlineStr">
        <is>
          <t>biosphere</t>
        </is>
      </c>
    </row>
    <row r="141">
      <c r="A141" t="inlineStr">
        <is>
          <t>market group for electricity, low voltage</t>
        </is>
      </c>
      <c r="B141" s="14">
        <f>0.0872420618556701*0.18</f>
        <v>1.5703571134020617E-2</v>
      </c>
      <c r="C141" t="inlineStr">
        <is>
          <t>RER</t>
        </is>
      </c>
      <c r="D141" t="inlineStr">
        <is>
          <t>kilowatt hour</t>
        </is>
      </c>
      <c r="F141" t="inlineStr">
        <is>
          <t>technosphere</t>
        </is>
      </c>
      <c r="G141" t="inlineStr">
        <is>
          <t>electricity, low voltage</t>
        </is>
      </c>
    </row>
    <row r="142"/>
    <row r="143" ht="16" customHeight="1">
      <c r="A143" s="12" t="inlineStr">
        <is>
          <t>Activity</t>
        </is>
      </c>
      <c r="B143" s="1" t="inlineStr">
        <is>
          <t>naphtha production, synthetic, Fischer Tropsch process, from natural gas, energy allocation, with carbon capture and storage</t>
        </is>
      </c>
    </row>
    <row r="144">
      <c r="A144" t="inlineStr">
        <is>
          <t>production amount</t>
        </is>
      </c>
      <c r="B144" t="n">
        <v>1</v>
      </c>
    </row>
    <row r="145">
      <c r="A145" t="inlineStr">
        <is>
          <t>reference product</t>
        </is>
      </c>
      <c r="B145" t="inlineStr">
        <is>
          <t>naphtha, synthetic</t>
        </is>
      </c>
    </row>
    <row r="146">
      <c r="A146" t="inlineStr">
        <is>
          <t>type</t>
        </is>
      </c>
      <c r="B146" t="inlineStr">
        <is>
          <t>process</t>
        </is>
      </c>
    </row>
    <row r="147">
      <c r="A147" t="inlineStr">
        <is>
          <t>unit</t>
        </is>
      </c>
      <c r="B147" t="inlineStr">
        <is>
          <t>kilogram</t>
        </is>
      </c>
    </row>
    <row r="148">
      <c r="A148" t="inlineStr">
        <is>
          <t>location</t>
        </is>
      </c>
      <c r="B148" t="inlineStr">
        <is>
          <t>RER</t>
        </is>
      </c>
    </row>
    <row r="149">
      <c r="A149" t="inlineStr">
        <is>
          <t>comment</t>
        </is>
      </c>
      <c r="B149" t="inlineStr">
        <is>
          <t>Adapted from van der Giesen et al. 2014. LHV: 44.5 MJ/kg, Formula: C13H18, Density: 7551 kg/m3. Energy-based allocation between 3 other co-products. Allocation key for this co-product: 24%.</t>
        </is>
      </c>
    </row>
    <row r="150">
      <c r="A150" t="inlineStr">
        <is>
          <t>source</t>
        </is>
      </c>
      <c r="B150" t="inlineStr">
        <is>
          <t>Energy and Climate Impacts of Producing Synthetic Hydrocarbon Fuels from CO2, Coen van der Giesen, René Kleijn, and Gert Jan Kramer, Environmental Science &amp; Technology 2014 48 (12), 7111-7121, DOI: 10.1021/es500191g</t>
        </is>
      </c>
    </row>
    <row r="151" ht="16" customHeight="1">
      <c r="A151" s="12" t="inlineStr">
        <is>
          <t>Exchanges</t>
        </is>
      </c>
    </row>
    <row r="152">
      <c r="A152" t="inlineStr">
        <is>
          <t>name</t>
        </is>
      </c>
      <c r="B152" t="inlineStr">
        <is>
          <t>amount</t>
        </is>
      </c>
      <c r="C152" t="inlineStr">
        <is>
          <t>location</t>
        </is>
      </c>
      <c r="D152" t="inlineStr">
        <is>
          <t>unit</t>
        </is>
      </c>
      <c r="E152" t="inlineStr">
        <is>
          <t>categories</t>
        </is>
      </c>
      <c r="F152" t="inlineStr">
        <is>
          <t>type</t>
        </is>
      </c>
      <c r="G152" t="inlineStr">
        <is>
          <t>reference product</t>
        </is>
      </c>
    </row>
    <row r="153">
      <c r="A153" t="inlineStr">
        <is>
          <t>naphtha production, synthetic, Fischer Tropsch process, from natural gas, energy allocation, with carbon capture and storage</t>
        </is>
      </c>
      <c r="B153" t="n">
        <v>1</v>
      </c>
      <c r="C153" t="inlineStr">
        <is>
          <t>RER</t>
        </is>
      </c>
      <c r="D153" t="inlineStr">
        <is>
          <t>kilogram</t>
        </is>
      </c>
      <c r="F153" t="inlineStr">
        <is>
          <t>production</t>
        </is>
      </c>
      <c r="G153" t="inlineStr">
        <is>
          <t>naphtha production, synthetic, Fischer Tropsch process, from natural gas, energy allocation, with carbon capture and storage</t>
        </is>
      </c>
    </row>
    <row r="154">
      <c r="A154" t="inlineStr">
        <is>
          <t>syngas production, from natural gas, with carbon capture and storage</t>
        </is>
      </c>
      <c r="B154" t="n">
        <v>2.32</v>
      </c>
      <c r="C154" t="inlineStr">
        <is>
          <t>RER</t>
        </is>
      </c>
      <c r="D154" t="inlineStr">
        <is>
          <t>kilogram</t>
        </is>
      </c>
      <c r="F154" t="inlineStr">
        <is>
          <t>technosphere</t>
        </is>
      </c>
      <c r="G154" t="inlineStr">
        <is>
          <t>syngas, from natural gas</t>
        </is>
      </c>
    </row>
    <row r="155">
      <c r="A155" t="inlineStr">
        <is>
          <t>Heat, waste</t>
        </is>
      </c>
      <c r="B155">
        <f>3.64160231884058*0.24</f>
        <v>0.87398455652173912</v>
      </c>
      <c r="D155" t="inlineStr">
        <is>
          <t>megajoule</t>
        </is>
      </c>
      <c r="E155" t="inlineStr">
        <is>
          <t>air</t>
        </is>
      </c>
      <c r="F155" t="inlineStr">
        <is>
          <t>biosphere</t>
        </is>
      </c>
    </row>
    <row r="156">
      <c r="A156" t="inlineStr">
        <is>
          <t>Water</t>
        </is>
      </c>
      <c r="B156">
        <f>0.00107549913043478*0.24</f>
        <v>2.581197913043472E-4</v>
      </c>
      <c r="D156" t="inlineStr">
        <is>
          <t>cubic meter</t>
        </is>
      </c>
      <c r="E156" t="inlineStr">
        <is>
          <t>water</t>
        </is>
      </c>
      <c r="F156" t="inlineStr">
        <is>
          <t>biosphere</t>
        </is>
      </c>
    </row>
    <row r="157">
      <c r="A157" t="inlineStr">
        <is>
          <t>Gas-to-liquid plant construction</t>
        </is>
      </c>
      <c r="B157" s="14" t="n">
        <v>6.7e-12</v>
      </c>
      <c r="C157" t="inlineStr">
        <is>
          <t>GLO</t>
        </is>
      </c>
      <c r="D157" t="inlineStr">
        <is>
          <t>unit</t>
        </is>
      </c>
      <c r="F157" t="inlineStr">
        <is>
          <t>technosphere</t>
        </is>
      </c>
      <c r="G157" t="inlineStr">
        <is>
          <t>Gas-to-liquid plant</t>
        </is>
      </c>
    </row>
    <row r="158">
      <c r="A158" t="inlineStr">
        <is>
          <t>Carbon dioxide, fossil</t>
        </is>
      </c>
      <c r="B158" t="n">
        <v>0.19</v>
      </c>
      <c r="D158" t="inlineStr">
        <is>
          <t>kilogram</t>
        </is>
      </c>
      <c r="E158" t="inlineStr">
        <is>
          <t>air</t>
        </is>
      </c>
      <c r="F158" t="inlineStr">
        <is>
          <t>biosphere</t>
        </is>
      </c>
    </row>
    <row r="159">
      <c r="A159" t="inlineStr">
        <is>
          <t>market group for electricity, low voltage</t>
        </is>
      </c>
      <c r="B159" s="14">
        <f>0.0872420618556701*0.24</f>
        <v>2.0938094845360824E-2</v>
      </c>
      <c r="C159" t="inlineStr">
        <is>
          <t>RER</t>
        </is>
      </c>
      <c r="D159" t="inlineStr">
        <is>
          <t>kilowatt hour</t>
        </is>
      </c>
      <c r="F159" t="inlineStr">
        <is>
          <t>technosphere</t>
        </is>
      </c>
      <c r="G159" t="inlineStr">
        <is>
          <t>electricity, low voltage</t>
        </is>
      </c>
    </row>
    <row r="160"/>
    <row r="161" ht="16" customHeight="1">
      <c r="A161" s="12" t="inlineStr">
        <is>
          <t>Activity</t>
        </is>
      </c>
      <c r="B161" s="1" t="inlineStr">
        <is>
          <t>diesel production, synthetic, Fischer Tropsch process, from natural gas, energy allocation, with carbon capture and storage</t>
        </is>
      </c>
    </row>
    <row r="162">
      <c r="A162" t="inlineStr">
        <is>
          <t>production amount</t>
        </is>
      </c>
      <c r="B162" t="n">
        <v>1</v>
      </c>
    </row>
    <row r="163">
      <c r="A163" t="inlineStr">
        <is>
          <t>reference product</t>
        </is>
      </c>
      <c r="B163" t="inlineStr">
        <is>
          <t>diesel, synthetic</t>
        </is>
      </c>
    </row>
    <row r="164">
      <c r="A164" t="inlineStr">
        <is>
          <t>type</t>
        </is>
      </c>
      <c r="B164" t="inlineStr">
        <is>
          <t>process</t>
        </is>
      </c>
    </row>
    <row r="165">
      <c r="A165" t="inlineStr">
        <is>
          <t>unit</t>
        </is>
      </c>
      <c r="B165" t="inlineStr">
        <is>
          <t>kilogram</t>
        </is>
      </c>
    </row>
    <row r="166">
      <c r="A166" t="inlineStr">
        <is>
          <t>location</t>
        </is>
      </c>
      <c r="B166" t="inlineStr">
        <is>
          <t>RER</t>
        </is>
      </c>
    </row>
    <row r="167">
      <c r="A167" t="inlineStr">
        <is>
          <t>comment</t>
        </is>
      </c>
      <c r="B167" t="inlineStr">
        <is>
          <t>Adapted from van der Giesen et al. 2014. LHV: 43.3 MJ/kg, Formula: C13H18, Density: 7551 kg/m3. Energy-based allocation between 3 other co-products. Allocation key for this co-product: 37%. Post corrected to preserve carbon balance.</t>
        </is>
      </c>
    </row>
    <row r="168">
      <c r="A168" t="inlineStr">
        <is>
          <t>source</t>
        </is>
      </c>
      <c r="B168" t="inlineStr">
        <is>
          <t>Energy and Climate Impacts of Producing Synthetic Hydrocarbon Fuels from CO2, Coen van der Giesen, René Kleijn, and Gert Jan Kramer, Environmental Science &amp; Technology 2014 48 (12), 7111-7121, DOI: 10.1021/es500191g</t>
        </is>
      </c>
    </row>
    <row r="169" ht="16" customHeight="1">
      <c r="A169" s="12" t="inlineStr">
        <is>
          <t>Exchanges</t>
        </is>
      </c>
    </row>
    <row r="170">
      <c r="A170" t="inlineStr">
        <is>
          <t>name</t>
        </is>
      </c>
      <c r="B170" t="inlineStr">
        <is>
          <t>amount</t>
        </is>
      </c>
      <c r="C170" t="inlineStr">
        <is>
          <t>location</t>
        </is>
      </c>
      <c r="D170" t="inlineStr">
        <is>
          <t>unit</t>
        </is>
      </c>
      <c r="E170" t="inlineStr">
        <is>
          <t>categories</t>
        </is>
      </c>
      <c r="F170" t="inlineStr">
        <is>
          <t>type</t>
        </is>
      </c>
      <c r="G170" t="inlineStr">
        <is>
          <t>reference product</t>
        </is>
      </c>
    </row>
    <row r="171">
      <c r="A171" t="inlineStr">
        <is>
          <t>diesel production, synthetic, Fischer Tropsch process, from natural gas, energy allocation, with carbon capture and storage</t>
        </is>
      </c>
      <c r="B171" t="n">
        <v>1</v>
      </c>
      <c r="C171" t="inlineStr">
        <is>
          <t>RER</t>
        </is>
      </c>
      <c r="D171" t="inlineStr">
        <is>
          <t>kilogram</t>
        </is>
      </c>
      <c r="F171" t="inlineStr">
        <is>
          <t>production</t>
        </is>
      </c>
      <c r="G171" t="inlineStr">
        <is>
          <t>diesel, synthetic</t>
        </is>
      </c>
    </row>
    <row r="172">
      <c r="A172" t="inlineStr">
        <is>
          <t>syngas production, from natural gas, with carbon capture and storage</t>
        </is>
      </c>
      <c r="B172" t="n">
        <v>2.26</v>
      </c>
      <c r="C172" t="inlineStr">
        <is>
          <t>RER</t>
        </is>
      </c>
      <c r="D172" t="inlineStr">
        <is>
          <t>kilogram</t>
        </is>
      </c>
      <c r="F172" t="inlineStr">
        <is>
          <t>technosphere</t>
        </is>
      </c>
      <c r="G172" t="inlineStr">
        <is>
          <t>syngas, from natural gas</t>
        </is>
      </c>
    </row>
    <row r="173">
      <c r="A173" t="inlineStr">
        <is>
          <t>Heat, waste</t>
        </is>
      </c>
      <c r="B173">
        <f>3.64160231884058*0.37</f>
        <v>1.3473928579710146</v>
      </c>
      <c r="D173" t="inlineStr">
        <is>
          <t>megajoule</t>
        </is>
      </c>
      <c r="E173" t="inlineStr">
        <is>
          <t>air</t>
        </is>
      </c>
      <c r="F173" t="inlineStr">
        <is>
          <t>biosphere</t>
        </is>
      </c>
    </row>
    <row r="174">
      <c r="A174" t="inlineStr">
        <is>
          <t>Water</t>
        </is>
      </c>
      <c r="B174">
        <f>0.00107549913043478*0.37</f>
        <v>3.9793467826086865E-4</v>
      </c>
      <c r="D174" t="inlineStr">
        <is>
          <t>cubic meter</t>
        </is>
      </c>
      <c r="E174" t="inlineStr">
        <is>
          <t>water</t>
        </is>
      </c>
      <c r="F174" t="inlineStr">
        <is>
          <t>biosphere</t>
        </is>
      </c>
    </row>
    <row r="175">
      <c r="A175" t="inlineStr">
        <is>
          <t>Gas-to-liquid plant construction</t>
        </is>
      </c>
      <c r="B175" s="14" t="n">
        <v>6.7e-12</v>
      </c>
      <c r="C175" t="inlineStr">
        <is>
          <t>GLO</t>
        </is>
      </c>
      <c r="D175" t="inlineStr">
        <is>
          <t>unit</t>
        </is>
      </c>
      <c r="F175" t="inlineStr">
        <is>
          <t>technosphere</t>
        </is>
      </c>
      <c r="G175" t="inlineStr">
        <is>
          <t>Gas-to-liquid plant</t>
        </is>
      </c>
    </row>
    <row r="176">
      <c r="A176" t="inlineStr">
        <is>
          <t>Carbon dioxide, fossil</t>
        </is>
      </c>
      <c r="B176" t="n">
        <v>0.05</v>
      </c>
      <c r="D176" t="inlineStr">
        <is>
          <t>kilogram</t>
        </is>
      </c>
      <c r="E176" t="inlineStr">
        <is>
          <t>air</t>
        </is>
      </c>
      <c r="F176" t="inlineStr">
        <is>
          <t>biosphere</t>
        </is>
      </c>
    </row>
    <row r="177">
      <c r="A177" t="inlineStr">
        <is>
          <t>market group for electricity, low voltage</t>
        </is>
      </c>
      <c r="B177" s="14">
        <f>0.0872420618556701*0.37</f>
        <v>3.2279562886597939E-2</v>
      </c>
      <c r="C177" t="inlineStr">
        <is>
          <t>RER</t>
        </is>
      </c>
      <c r="D177" t="inlineStr">
        <is>
          <t>kilowatt hour</t>
        </is>
      </c>
      <c r="F177" t="inlineStr">
        <is>
          <t>technosphere</t>
        </is>
      </c>
      <c r="G177" t="inlineStr">
        <is>
          <t>electricity, low voltage</t>
        </is>
      </c>
    </row>
    <row r="178"/>
    <row r="179" ht="16" customHeight="1">
      <c r="A179" s="12" t="inlineStr">
        <is>
          <t>Activity</t>
        </is>
      </c>
      <c r="B179" s="1" t="inlineStr">
        <is>
          <t>liquefied petroleum gas production, synthetic, Fischer Tropsch process, from natural gas, energy allocation, with carbon capture and storage</t>
        </is>
      </c>
    </row>
    <row r="180">
      <c r="A180" t="inlineStr">
        <is>
          <t>production amount</t>
        </is>
      </c>
      <c r="B180" t="n">
        <v>1</v>
      </c>
    </row>
    <row r="181">
      <c r="A181" t="inlineStr">
        <is>
          <t>reference product</t>
        </is>
      </c>
      <c r="B181" t="inlineStr">
        <is>
          <t>liquefied petroleum gas, synthetic</t>
        </is>
      </c>
    </row>
    <row r="182">
      <c r="A182" t="inlineStr">
        <is>
          <t>type</t>
        </is>
      </c>
      <c r="B182" t="inlineStr">
        <is>
          <t>process</t>
        </is>
      </c>
    </row>
    <row r="183">
      <c r="A183" t="inlineStr">
        <is>
          <t>unit</t>
        </is>
      </c>
      <c r="B183" t="inlineStr">
        <is>
          <t>kilogram</t>
        </is>
      </c>
    </row>
    <row r="184">
      <c r="A184" t="inlineStr">
        <is>
          <t>location</t>
        </is>
      </c>
      <c r="B184" t="inlineStr">
        <is>
          <t>RER</t>
        </is>
      </c>
    </row>
    <row r="185">
      <c r="A185" t="inlineStr">
        <is>
          <t>comment</t>
        </is>
      </c>
      <c r="B185" t="inlineStr">
        <is>
          <t>Adapted from A.E.M. van den Oever, D. Costa, M. Messagie, Prospective life cycle assessment of alternatively fueled heavy-duty trucks, Applied Energy, 2023, https://doi.org/10.1016/j.apenergy.2023.120834. Energy-based allocation between 3 other co-products (diesel, wax and C5-C10 olefins). Allocation key for this co-product: 11%. Post corrected to preserve carbon balance.</t>
        </is>
      </c>
    </row>
    <row r="186">
      <c r="A186" t="inlineStr">
        <is>
          <t>source</t>
        </is>
      </c>
      <c r="B186" t="inlineStr">
        <is>
          <t xml:space="preserve"> A.E.M. van den Oever, D. Costa, M. Messagie, Prospective life cycle assessment of alternatively fueled heavy-duty trucks, Applied Energy, 2023, https://doi.org/10.1016/j.apenergy.2023.120834</t>
        </is>
      </c>
    </row>
    <row r="187" ht="16" customHeight="1">
      <c r="A187" s="12" t="inlineStr">
        <is>
          <t>Exchanges</t>
        </is>
      </c>
    </row>
    <row r="188">
      <c r="A188" t="inlineStr">
        <is>
          <t>name</t>
        </is>
      </c>
      <c r="B188" t="inlineStr">
        <is>
          <t>amount</t>
        </is>
      </c>
      <c r="C188" t="inlineStr">
        <is>
          <t>location</t>
        </is>
      </c>
      <c r="D188" t="inlineStr">
        <is>
          <t>unit</t>
        </is>
      </c>
      <c r="E188" t="inlineStr">
        <is>
          <t>categories</t>
        </is>
      </c>
      <c r="F188" t="inlineStr">
        <is>
          <t>type</t>
        </is>
      </c>
      <c r="G188" t="inlineStr">
        <is>
          <t>reference product</t>
        </is>
      </c>
      <c r="H188" t="inlineStr">
        <is>
          <t>comment</t>
        </is>
      </c>
    </row>
    <row r="189">
      <c r="A189" t="inlineStr">
        <is>
          <t>liquefied petroleum gas production, synthetic, Fischer Tropsch process, from natural gas, energy allocation, with carbon capture and storage</t>
        </is>
      </c>
      <c r="B189" t="n">
        <v>1</v>
      </c>
      <c r="C189" t="inlineStr">
        <is>
          <t>RER</t>
        </is>
      </c>
      <c r="D189" t="inlineStr">
        <is>
          <t>kilogram</t>
        </is>
      </c>
      <c r="F189" t="inlineStr">
        <is>
          <t>production</t>
        </is>
      </c>
      <c r="G189" t="inlineStr">
        <is>
          <t>liquefied petroleum gas production, synthetic, Fischer Tropsch process, from natural gas, energy allocation, with carbon capture and storage</t>
        </is>
      </c>
      <c r="H189" t="inlineStr">
        <is>
          <t>From PEM electrolysis</t>
        </is>
      </c>
    </row>
    <row r="190">
      <c r="A190" t="inlineStr">
        <is>
          <t>syngas production, from natural gas, with carbon capture and storage</t>
        </is>
      </c>
      <c r="B190" t="n">
        <v>2.28</v>
      </c>
      <c r="C190" t="inlineStr">
        <is>
          <t>RER</t>
        </is>
      </c>
      <c r="D190" t="inlineStr">
        <is>
          <t>kilogram</t>
        </is>
      </c>
      <c r="F190" t="inlineStr">
        <is>
          <t>technosphere</t>
        </is>
      </c>
      <c r="G190" t="inlineStr">
        <is>
          <t>syngas, from natural gas</t>
        </is>
      </c>
    </row>
    <row r="191">
      <c r="A191" t="inlineStr">
        <is>
          <t>Heat, waste</t>
        </is>
      </c>
      <c r="B191">
        <f>3.64160231884058*0.11</f>
        <v>0.4005762550724638</v>
      </c>
      <c r="D191" t="inlineStr">
        <is>
          <t>megajoule</t>
        </is>
      </c>
      <c r="E191" t="inlineStr">
        <is>
          <t>air</t>
        </is>
      </c>
      <c r="F191" t="inlineStr">
        <is>
          <t>biosphere</t>
        </is>
      </c>
    </row>
    <row r="192">
      <c r="A192" t="inlineStr">
        <is>
          <t>Water</t>
        </is>
      </c>
      <c r="B192">
        <f>0.00107549913043478*0.11</f>
        <v>1.1830490434782582E-4</v>
      </c>
      <c r="D192" t="inlineStr">
        <is>
          <t>cubic meter</t>
        </is>
      </c>
      <c r="E192" t="inlineStr">
        <is>
          <t>water</t>
        </is>
      </c>
      <c r="F192" t="inlineStr">
        <is>
          <t>biosphere</t>
        </is>
      </c>
    </row>
    <row r="193">
      <c r="A193" t="inlineStr">
        <is>
          <t>Gas-to-liquid plant construction</t>
        </is>
      </c>
      <c r="B193" s="14" t="n">
        <v>6.7e-12</v>
      </c>
      <c r="C193" t="inlineStr">
        <is>
          <t>GLO</t>
        </is>
      </c>
      <c r="D193" t="inlineStr">
        <is>
          <t>unit</t>
        </is>
      </c>
      <c r="F193" t="inlineStr">
        <is>
          <t>technosphere</t>
        </is>
      </c>
      <c r="G193" t="inlineStr">
        <is>
          <t>Gas-to-liquid plant</t>
        </is>
      </c>
    </row>
    <row r="194">
      <c r="A194" t="inlineStr">
        <is>
          <t>Carbon dioxide, fossil</t>
        </is>
      </c>
      <c r="B194" t="n">
        <v>0.13</v>
      </c>
      <c r="D194" t="inlineStr">
        <is>
          <t>kilogram</t>
        </is>
      </c>
      <c r="E194" t="inlineStr">
        <is>
          <t>air</t>
        </is>
      </c>
      <c r="F194" t="inlineStr">
        <is>
          <t>biosphere</t>
        </is>
      </c>
    </row>
    <row r="195">
      <c r="A195" t="inlineStr">
        <is>
          <t>market group for electricity, low voltage</t>
        </is>
      </c>
      <c r="B195" s="14">
        <f>0.0872420618556701*0.11</f>
        <v>9.5966268041237108E-3</v>
      </c>
      <c r="C195" t="inlineStr">
        <is>
          <t>RER</t>
        </is>
      </c>
      <c r="D195" t="inlineStr">
        <is>
          <t>kilowatt hour</t>
        </is>
      </c>
      <c r="F195" t="inlineStr">
        <is>
          <t>technosphere</t>
        </is>
      </c>
      <c r="G195" t="inlineStr">
        <is>
          <t>electricity, low voltage</t>
        </is>
      </c>
    </row>
    <row r="196"/>
    <row r="197" ht="16" customHeight="1">
      <c r="A197" s="12" t="inlineStr">
        <is>
          <t>Activity</t>
        </is>
      </c>
      <c r="B197" s="1" t="inlineStr">
        <is>
          <t>syngas production, from natural gas, with carbon capture and storage</t>
        </is>
      </c>
    </row>
    <row r="198">
      <c r="A198" t="inlineStr">
        <is>
          <t>production amount</t>
        </is>
      </c>
      <c r="B198" t="n">
        <v>1</v>
      </c>
    </row>
    <row r="199">
      <c r="A199" t="inlineStr">
        <is>
          <t>reference product</t>
        </is>
      </c>
      <c r="B199" t="inlineStr">
        <is>
          <t>syngas, from natural gas</t>
        </is>
      </c>
    </row>
    <row r="200">
      <c r="A200" t="inlineStr">
        <is>
          <t>type</t>
        </is>
      </c>
      <c r="B200" t="inlineStr">
        <is>
          <t>process</t>
        </is>
      </c>
    </row>
    <row r="201">
      <c r="A201" t="inlineStr">
        <is>
          <t>unit</t>
        </is>
      </c>
      <c r="B201" t="inlineStr">
        <is>
          <t>kilogram</t>
        </is>
      </c>
    </row>
    <row r="202">
      <c r="A202" t="inlineStr">
        <is>
          <t>location</t>
        </is>
      </c>
      <c r="B202" t="inlineStr">
        <is>
          <t>RER</t>
        </is>
      </c>
    </row>
    <row r="203">
      <c r="A203" t="inlineStr">
        <is>
          <t>comment</t>
        </is>
      </c>
      <c r="B203" t="inlineStr">
        <is>
          <t>ASU, steam reformer, shift converter. Efficiency of 56% from https://iea-etsap.org/E-TechDS/PDF/S02-CTL&amp;GTL-GS-gct.pdf (30000 GJ of CNG per 16800 GJ of syngas). Properties taken from van der Giesen et al. 2014. Density of syngas: 0.470kg/m3 @1 bar. LHV: 23.9 MJ/kg, producing 1 kg of syngas requires blending 0,125 kg hydrogen with 0,875 kg carbon monoxide, equalling to 1.375 kg of CO2 per kg of syngas. CO2 eimssions calculated based on stoichiometry. Because the CO2 stream is near pure, we only consider liquefaction and exclude separation: 230 kWh/t CO2 liquefied, taken from a case of CO2 capture from a biogas upgrading plant in Switzerland (see Tiefenthaler et al., 2021).  ROUGH MODELLING, UNCERTAIN INPUTS.</t>
        </is>
      </c>
    </row>
    <row r="204">
      <c r="A204" t="inlineStr">
        <is>
          <t>source</t>
        </is>
      </c>
      <c r="B204" t="inlineStr">
        <is>
          <t>https://iea-etsap.org/E-TechDS/PDF/S02-CTL&amp;GTL-GS-gct.pdf</t>
        </is>
      </c>
    </row>
    <row r="205" ht="16" customHeight="1">
      <c r="A205" s="12" t="inlineStr">
        <is>
          <t>Exchanges</t>
        </is>
      </c>
    </row>
    <row r="206">
      <c r="A206" t="inlineStr">
        <is>
          <t>name</t>
        </is>
      </c>
      <c r="B206" t="inlineStr">
        <is>
          <t>amount</t>
        </is>
      </c>
      <c r="C206" t="inlineStr">
        <is>
          <t>location</t>
        </is>
      </c>
      <c r="D206" t="inlineStr">
        <is>
          <t>unit</t>
        </is>
      </c>
      <c r="E206" t="inlineStr">
        <is>
          <t>categories</t>
        </is>
      </c>
      <c r="F206" t="inlineStr">
        <is>
          <t>type</t>
        </is>
      </c>
      <c r="G206" t="inlineStr">
        <is>
          <t>reference product</t>
        </is>
      </c>
      <c r="H206" t="inlineStr">
        <is>
          <t>comment</t>
        </is>
      </c>
    </row>
    <row r="207">
      <c r="A207" t="inlineStr">
        <is>
          <t>syngas production, from natural gas, with carbon capture and storage</t>
        </is>
      </c>
      <c r="B207" t="n">
        <v>1</v>
      </c>
      <c r="C207" t="inlineStr">
        <is>
          <t>RER</t>
        </is>
      </c>
      <c r="D207" t="inlineStr">
        <is>
          <t>kilogram</t>
        </is>
      </c>
      <c r="F207" t="inlineStr">
        <is>
          <t>production</t>
        </is>
      </c>
      <c r="G207" t="inlineStr">
        <is>
          <t>syngas, from natural gas</t>
        </is>
      </c>
    </row>
    <row r="208">
      <c r="A208" t="inlineStr">
        <is>
          <t>market for natural gas, low pressure</t>
        </is>
      </c>
      <c r="B208" s="23">
        <f>1.49/0.735</f>
        <v>2.0272108843537415</v>
      </c>
      <c r="C208" t="inlineStr">
        <is>
          <t>RoW</t>
        </is>
      </c>
      <c r="D208" t="inlineStr">
        <is>
          <t>cubic meter</t>
        </is>
      </c>
      <c r="F208" t="inlineStr">
        <is>
          <t>technosphere</t>
        </is>
      </c>
      <c r="G208" t="inlineStr">
        <is>
          <t>natural gas, low pressure</t>
        </is>
      </c>
      <c r="H208" t="inlineStr">
        <is>
          <t>36 MJ/m3, 16800 GJ syngas per 30000 GJ CNG, 56% efficiency -&gt; 1.49 kg CNG/kg syngas</t>
        </is>
      </c>
    </row>
    <row r="209">
      <c r="A209" t="inlineStr">
        <is>
          <t>Carbon dioxide, fossil</t>
        </is>
      </c>
      <c r="B209" s="16">
        <f>(4.1-1.375)*0.01</f>
        <v>2.7249999999999996E-2</v>
      </c>
      <c r="D209" t="inlineStr">
        <is>
          <t>kilogram</t>
        </is>
      </c>
      <c r="E209" t="inlineStr">
        <is>
          <t>air</t>
        </is>
      </c>
      <c r="F209" t="inlineStr">
        <is>
          <t>biosphere</t>
        </is>
      </c>
      <c r="H209" t="inlineStr">
        <is>
          <t>4.1 kg CO2 per 1.49 kg of CNG. 1.375 kg of CO2 per kg of syngas. The difference is emitted, considering 99% capture efficiency.</t>
        </is>
      </c>
    </row>
    <row r="210" ht="16" customHeight="1">
      <c r="A210" s="18" t="inlineStr">
        <is>
          <t>market group for electricity, low voltage</t>
        </is>
      </c>
      <c r="B210" s="23">
        <f>(230/1000)*B208</f>
        <v>0.46625850340136055</v>
      </c>
      <c r="C210" t="inlineStr">
        <is>
          <t>RER</t>
        </is>
      </c>
      <c r="D210" t="inlineStr">
        <is>
          <t>kilowatt hour</t>
        </is>
      </c>
      <c r="F210" t="inlineStr">
        <is>
          <t>technosphere</t>
        </is>
      </c>
      <c r="G210" t="inlineStr">
        <is>
          <t>electricity, low voltage</t>
        </is>
      </c>
      <c r="H210" t="inlineStr">
        <is>
          <t>230 kWh/t CO2</t>
        </is>
      </c>
    </row>
    <row r="211">
      <c r="A211" t="inlineStr">
        <is>
          <t>carbon dioxide compression, transport and storage</t>
        </is>
      </c>
      <c r="B211" s="16">
        <f>(4.1-1.375)*0.99</f>
        <v>2.6977499999999996</v>
      </c>
      <c r="C211" t="inlineStr">
        <is>
          <t>RER</t>
        </is>
      </c>
      <c r="D211" t="inlineStr">
        <is>
          <t>kilogram</t>
        </is>
      </c>
      <c r="F211" t="inlineStr">
        <is>
          <t>technosphere</t>
        </is>
      </c>
      <c r="G211" t="inlineStr">
        <is>
          <t>carbon dioxide, stored</t>
        </is>
      </c>
    </row>
    <row r="212"/>
    <row r="213"/>
    <row r="214"/>
    <row r="215"/>
    <row r="216"/>
    <row r="217" ht="16" customHeight="1">
      <c r="A217" s="12" t="n"/>
    </row>
    <row r="218"/>
    <row r="219"/>
    <row r="220" ht="16" customHeight="1">
      <c r="A220" s="13" t="n"/>
      <c r="G220" s="13" t="n"/>
    </row>
    <row r="221" ht="16" customHeight="1">
      <c r="A221" s="13" t="n"/>
      <c r="G221" s="13" t="n"/>
    </row>
    <row r="222"/>
    <row r="223"/>
    <row r="224" ht="16" customHeight="1">
      <c r="A224" s="12" t="n"/>
      <c r="B224" s="1" t="n"/>
    </row>
    <row r="225"/>
    <row r="226"/>
    <row r="227"/>
    <row r="228"/>
    <row r="229"/>
    <row r="230"/>
    <row r="231" ht="16" customHeight="1">
      <c r="A231" s="12" t="n"/>
    </row>
    <row r="232"/>
    <row r="233"/>
    <row r="234"/>
    <row r="235"/>
    <row r="236"/>
    <row r="237">
      <c r="B237" s="14" t="n"/>
    </row>
    <row r="238">
      <c r="B238" s="14" t="n"/>
    </row>
    <row r="239"/>
    <row r="240" ht="16" customHeight="1">
      <c r="A240" s="12" t="n"/>
      <c r="B240" s="1" t="n"/>
    </row>
    <row r="241"/>
    <row r="242"/>
    <row r="243"/>
    <row r="244"/>
    <row r="245"/>
    <row r="246"/>
    <row r="247" ht="16" customHeight="1">
      <c r="A247" s="12" t="n"/>
    </row>
    <row r="248"/>
    <row r="249"/>
    <row r="250" ht="16" customHeight="1">
      <c r="A250" s="13" t="n"/>
      <c r="G250" s="13" t="n"/>
    </row>
    <row r="251"/>
    <row r="252"/>
    <row r="253"/>
    <row r="254">
      <c r="B254" s="17" t="n"/>
    </row>
    <row r="255">
      <c r="B255" s="17" t="n"/>
    </row>
    <row r="256" ht="16" customHeight="1">
      <c r="A256" s="12" t="n"/>
      <c r="B256" s="1" t="n"/>
    </row>
    <row r="257"/>
    <row r="258"/>
    <row r="259"/>
    <row r="260"/>
    <row r="261"/>
    <row r="262"/>
    <row r="263" ht="16" customHeight="1">
      <c r="A263" s="12" t="n"/>
    </row>
    <row r="264"/>
    <row r="265"/>
    <row r="266" ht="16" customHeight="1">
      <c r="A266" s="13" t="n"/>
      <c r="G266" s="13" t="n"/>
    </row>
    <row r="267" ht="16" customHeight="1">
      <c r="A267" s="13" t="n"/>
      <c r="G267" s="13" t="n"/>
    </row>
    <row r="268"/>
    <row r="269"/>
    <row r="270" ht="16" customHeight="1">
      <c r="A270" s="12" t="n"/>
      <c r="B270" s="1" t="n"/>
    </row>
    <row r="271"/>
    <row r="272"/>
    <row r="273"/>
    <row r="274"/>
    <row r="275"/>
    <row r="276"/>
    <row r="277" ht="16" customHeight="1">
      <c r="A277" s="12" t="n"/>
    </row>
    <row r="278"/>
    <row r="279"/>
    <row r="280"/>
    <row r="281"/>
    <row r="282"/>
    <row r="283">
      <c r="B283" s="14" t="n"/>
    </row>
    <row r="284">
      <c r="B284" s="14" t="n"/>
    </row>
    <row r="285"/>
    <row r="286" ht="16" customHeight="1">
      <c r="A286" s="12" t="n"/>
      <c r="B286" s="1" t="n"/>
    </row>
    <row r="287"/>
    <row r="288"/>
    <row r="289"/>
    <row r="290"/>
    <row r="291"/>
    <row r="292"/>
    <row r="293" ht="16" customHeight="1">
      <c r="A293" s="12" t="n"/>
    </row>
    <row r="294"/>
    <row r="295"/>
    <row r="296" ht="16" customHeight="1">
      <c r="A296" s="13" t="n"/>
      <c r="G296" s="13" t="n"/>
    </row>
    <row r="297"/>
    <row r="298"/>
    <row r="299"/>
    <row r="300">
      <c r="B300" s="17" t="n"/>
    </row>
    <row r="301">
      <c r="B301" s="17" t="n"/>
    </row>
    <row r="302" ht="16" customHeight="1">
      <c r="A302" s="12" t="n"/>
      <c r="B302" s="1" t="n"/>
    </row>
    <row r="303"/>
    <row r="304"/>
    <row r="305"/>
    <row r="306"/>
    <row r="307"/>
    <row r="308"/>
    <row r="309" ht="16" customHeight="1">
      <c r="A309" s="12" t="n"/>
    </row>
    <row r="310"/>
    <row r="311"/>
    <row r="312" ht="16" customHeight="1">
      <c r="A312" s="13" t="n"/>
      <c r="G312" s="13" t="n"/>
    </row>
    <row r="313" ht="16" customHeight="1">
      <c r="A313" s="13" t="n"/>
      <c r="G313" s="13" t="n"/>
    </row>
    <row r="314"/>
    <row r="315"/>
    <row r="316" ht="16" customHeight="1">
      <c r="A316" s="12" t="n"/>
      <c r="B316" s="1" t="n"/>
    </row>
    <row r="317"/>
    <row r="318"/>
    <row r="319"/>
    <row r="320"/>
    <row r="321"/>
    <row r="322"/>
    <row r="323" ht="16" customHeight="1">
      <c r="A323" s="12" t="n"/>
    </row>
    <row r="324"/>
    <row r="325"/>
    <row r="326"/>
    <row r="327"/>
    <row r="328"/>
    <row r="329">
      <c r="B329" s="14" t="n"/>
    </row>
    <row r="330">
      <c r="B330" s="14" t="n"/>
    </row>
    <row r="331"/>
    <row r="332" ht="16" customHeight="1">
      <c r="A332" s="12" t="n"/>
      <c r="B332" s="1" t="n"/>
    </row>
    <row r="333"/>
    <row r="334"/>
    <row r="335"/>
    <row r="336"/>
    <row r="337"/>
    <row r="338"/>
    <row r="339" ht="16" customHeight="1">
      <c r="A339" s="12" t="n"/>
    </row>
    <row r="340"/>
    <row r="341"/>
    <row r="342" ht="16" customHeight="1">
      <c r="A342" s="13" t="n"/>
      <c r="G342" s="13" t="n"/>
    </row>
    <row r="343"/>
    <row r="344"/>
    <row r="345"/>
    <row r="346">
      <c r="B346" s="17" t="n"/>
    </row>
    <row r="347">
      <c r="B347" s="17" t="n"/>
    </row>
    <row r="348" ht="16" customHeight="1">
      <c r="A348" s="12" t="n"/>
      <c r="B348" s="1" t="n"/>
    </row>
    <row r="349"/>
    <row r="350"/>
    <row r="351"/>
    <row r="352"/>
    <row r="353"/>
    <row r="354"/>
    <row r="355" ht="16" customHeight="1">
      <c r="A355" s="12" t="n"/>
    </row>
    <row r="356"/>
    <row r="357"/>
    <row r="358" ht="16" customHeight="1">
      <c r="A358" s="13" t="n"/>
      <c r="G358" s="13" t="n"/>
    </row>
    <row r="359" ht="16" customHeight="1">
      <c r="A359" s="13" t="n"/>
      <c r="G359" s="13" t="n"/>
    </row>
    <row r="360"/>
    <row r="361"/>
    <row r="362" ht="16" customHeight="1">
      <c r="A362" s="12" t="n"/>
      <c r="B362" s="1" t="n"/>
    </row>
    <row r="363"/>
    <row r="364"/>
    <row r="365"/>
    <row r="366"/>
    <row r="367"/>
    <row r="368"/>
    <row r="369" ht="16" customHeight="1">
      <c r="A369" s="12" t="n"/>
    </row>
    <row r="370"/>
    <row r="371"/>
    <row r="372"/>
    <row r="373"/>
    <row r="374"/>
    <row r="375">
      <c r="B375" s="14" t="n"/>
    </row>
    <row r="376">
      <c r="B376" s="14" t="n"/>
    </row>
    <row r="377"/>
    <row r="378" ht="16" customHeight="1">
      <c r="A378" s="12" t="n"/>
      <c r="B378" s="1" t="n"/>
    </row>
    <row r="379"/>
    <row r="380"/>
    <row r="381"/>
    <row r="382"/>
    <row r="383"/>
    <row r="384"/>
    <row r="385" ht="16" customHeight="1">
      <c r="A385" s="12" t="n"/>
    </row>
    <row r="386"/>
    <row r="387"/>
    <row r="388" ht="16" customHeight="1">
      <c r="A388" s="13" t="n"/>
      <c r="G388" s="13" t="n"/>
    </row>
    <row r="389"/>
    <row r="390"/>
    <row r="391"/>
    <row r="392">
      <c r="B392" s="17" t="n"/>
    </row>
    <row r="393"/>
    <row r="394" ht="16" customHeight="1">
      <c r="A394" s="12" t="n"/>
      <c r="B394" s="1" t="n"/>
    </row>
    <row r="395"/>
    <row r="396"/>
    <row r="397"/>
    <row r="398"/>
    <row r="399"/>
    <row r="400"/>
    <row r="401" ht="16" customHeight="1">
      <c r="A401" s="12" t="n"/>
    </row>
    <row r="402"/>
    <row r="403"/>
    <row r="404" ht="16" customHeight="1">
      <c r="A404" s="13" t="n"/>
      <c r="G404" s="13" t="n"/>
    </row>
    <row r="405" ht="16" customHeight="1">
      <c r="A405" s="13" t="n"/>
      <c r="G405" s="13" t="n"/>
    </row>
    <row r="406"/>
    <row r="407" ht="16" customHeight="1">
      <c r="A407" s="12" t="n"/>
      <c r="B407" s="1" t="n"/>
    </row>
    <row r="408"/>
    <row r="409"/>
    <row r="410"/>
    <row r="411"/>
    <row r="412"/>
    <row r="413"/>
    <row r="414" ht="16" customHeight="1">
      <c r="A414" s="12" t="n"/>
    </row>
    <row r="415"/>
    <row r="416"/>
    <row r="417"/>
    <row r="418"/>
    <row r="419"/>
    <row r="420">
      <c r="B420" s="14" t="n"/>
    </row>
    <row r="421">
      <c r="B421" s="14" t="n"/>
    </row>
    <row r="422"/>
    <row r="423" ht="16" customHeight="1">
      <c r="A423" s="12" t="n"/>
      <c r="B423" s="1" t="n"/>
    </row>
    <row r="424"/>
    <row r="425"/>
    <row r="426"/>
    <row r="427"/>
    <row r="428"/>
    <row r="429"/>
    <row r="430" ht="16" customHeight="1">
      <c r="A430" s="12" t="n"/>
    </row>
    <row r="431"/>
    <row r="432"/>
    <row r="433" ht="16" customHeight="1">
      <c r="A433" s="13" t="n"/>
      <c r="G433" s="13" t="n"/>
    </row>
    <row r="434"/>
    <row r="435"/>
    <row r="436"/>
    <row r="437">
      <c r="B437" s="17" t="n"/>
    </row>
    <row r="438">
      <c r="B438" s="17" t="n"/>
    </row>
    <row r="439" ht="16" customHeight="1">
      <c r="A439" s="12" t="n"/>
      <c r="B439" s="1" t="n"/>
    </row>
    <row r="440"/>
    <row r="441"/>
    <row r="442"/>
    <row r="443"/>
    <row r="444"/>
    <row r="445"/>
    <row r="446" ht="16" customHeight="1">
      <c r="A446" s="12" t="n"/>
    </row>
    <row r="447"/>
    <row r="448"/>
    <row r="449" ht="16" customHeight="1">
      <c r="A449" s="13" t="n"/>
      <c r="G449" s="13" t="n"/>
    </row>
    <row r="450" ht="16" customHeight="1">
      <c r="A450" s="13" t="n"/>
      <c r="G450" s="13" t="n"/>
    </row>
    <row r="451"/>
    <row r="452"/>
    <row r="453" ht="16" customHeight="1">
      <c r="A453" s="12" t="n"/>
      <c r="B453" s="1" t="n"/>
    </row>
    <row r="454"/>
    <row r="455"/>
    <row r="456"/>
    <row r="457"/>
    <row r="458"/>
    <row r="459"/>
    <row r="460" ht="16" customHeight="1">
      <c r="A460" s="12" t="n"/>
    </row>
    <row r="461"/>
    <row r="462"/>
    <row r="463"/>
    <row r="464"/>
    <row r="465"/>
    <row r="466">
      <c r="B466" s="14" t="n"/>
    </row>
    <row r="467">
      <c r="B467" s="14" t="n"/>
    </row>
    <row r="468"/>
    <row r="469" ht="16" customHeight="1">
      <c r="A469" s="12" t="n"/>
      <c r="B469" s="1" t="n"/>
    </row>
    <row r="470"/>
    <row r="471"/>
    <row r="472"/>
    <row r="473"/>
    <row r="474"/>
    <row r="475"/>
    <row r="476" ht="16" customHeight="1">
      <c r="A476" s="12" t="n"/>
    </row>
    <row r="477"/>
    <row r="478"/>
    <row r="479" ht="16" customHeight="1">
      <c r="A479" s="13" t="n"/>
      <c r="G479" s="13" t="n"/>
    </row>
    <row r="480"/>
    <row r="481"/>
    <row r="482"/>
    <row r="483">
      <c r="B483" s="17" t="n"/>
    </row>
    <row r="484"/>
    <row r="485" ht="16" customHeight="1">
      <c r="A485" s="12" t="n"/>
      <c r="B485" s="1" t="n"/>
    </row>
    <row r="486"/>
    <row r="487"/>
    <row r="488"/>
    <row r="489"/>
    <row r="490"/>
    <row r="491"/>
    <row r="492" ht="16" customHeight="1">
      <c r="A492" s="12" t="n"/>
    </row>
    <row r="493"/>
    <row r="494"/>
    <row r="495" ht="16" customHeight="1">
      <c r="A495" s="13" t="n"/>
      <c r="G495" s="13" t="n"/>
    </row>
    <row r="496" ht="16" customHeight="1">
      <c r="A496" s="13" t="n"/>
      <c r="G496" s="13" t="n"/>
    </row>
    <row r="497"/>
    <row r="498" ht="16" customHeight="1">
      <c r="A498" s="12" t="n"/>
      <c r="B498" s="1" t="n"/>
    </row>
    <row r="499"/>
    <row r="500"/>
    <row r="501"/>
    <row r="502"/>
    <row r="503"/>
    <row r="504" ht="16" customHeight="1">
      <c r="A504" s="12" t="n"/>
    </row>
    <row r="505"/>
    <row r="506"/>
    <row r="507"/>
    <row r="508"/>
    <row r="509" ht="16" customHeight="1">
      <c r="A509" s="12" t="n"/>
      <c r="B509" s="1" t="n"/>
    </row>
    <row r="510"/>
    <row r="511"/>
    <row r="512"/>
    <row r="513"/>
    <row r="514"/>
    <row r="515" ht="16" customHeight="1">
      <c r="A515" s="12" t="n"/>
    </row>
  </sheetData>
  <autoFilter ref="A1:K515"/>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Romain Sacchi</dc:creator>
  <dcterms:created xmlns:dcterms="http://purl.org/dc/terms/" xmlns:xsi="http://www.w3.org/2001/XMLSchema-instance" xsi:type="dcterms:W3CDTF">2020-03-25T12:54:37Z</dcterms:created>
  <dcterms:modified xmlns:dcterms="http://purl.org/dc/terms/" xmlns:xsi="http://www.w3.org/2001/XMLSchema-instance" xsi:type="dcterms:W3CDTF">2026-07-07T14:16:35Z</dcterms:modified>
  <cp:lastModifiedBy>Romain Sacchi</cp:lastModifiedBy>
</cp:coreProperties>
</file>