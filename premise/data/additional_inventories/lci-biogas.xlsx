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60" yWindow="1080" windowWidth="30240" windowHeight="18880" tabRatio="600" firstSheet="0" activeTab="0" autoFilterDateGrouping="1"/>
  </bookViews>
  <sheets>
    <sheet xmlns:r="http://schemas.openxmlformats.org/officeDocument/2006/relationships" name="Biogas" sheetId="1" state="visible" r:id="rId1"/>
  </sheets>
  <definedNames/>
  <calcPr calcId="191029" fullCalcOnLoad="1"/>
</workbook>
</file>

<file path=xl/styles.xml><?xml version="1.0" encoding="utf-8"?>
<styleSheet xmlns="http://schemas.openxmlformats.org/spreadsheetml/2006/main">
  <numFmts count="2">
    <numFmt numFmtId="164" formatCode="0.00000"/>
    <numFmt numFmtId="165" formatCode="0.000"/>
  </numFmts>
  <fonts count="4">
    <font>
      <name val="Calibri"/>
      <family val="2"/>
      <color theme="1"/>
      <sz val="11"/>
      <scheme val="minor"/>
    </font>
    <font>
      <name val="Calibri"/>
      <family val="2"/>
      <b val="1"/>
      <color theme="1"/>
      <sz val="11"/>
      <scheme val="minor"/>
    </font>
    <font>
      <name val="Calibri"/>
      <family val="2"/>
      <b val="1"/>
      <color theme="1"/>
      <sz val="12"/>
      <scheme val="minor"/>
    </font>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0" fontId="2" fillId="0" borderId="0" pivotButton="0" quotePrefix="0" xfId="0"/>
    <xf numFmtId="11" fontId="0" fillId="0" borderId="0" pivotButton="0" quotePrefix="0" xfId="0"/>
    <xf numFmtId="0" fontId="1" fillId="0" borderId="0" pivotButton="0" quotePrefix="0" xfId="0"/>
    <xf numFmtId="0" fontId="3" fillId="0" borderId="0" pivotButton="0" quotePrefix="0" xfId="0"/>
    <xf numFmtId="164" fontId="0" fillId="0" borderId="0" pivotButton="0" quotePrefix="0" xfId="0"/>
    <xf numFmtId="165" fontId="0" fillId="0" borderId="0" pivotButton="0" quotePrefix="0" xfId="0"/>
    <xf numFmtId="165" fontId="0" fillId="0" borderId="0" pivotButton="0" quotePrefix="0" xfId="0"/>
    <xf numFmtId="164"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N107"/>
  <sheetViews>
    <sheetView tabSelected="1" topLeftCell="A28" workbookViewId="0">
      <selection activeCell="H44" sqref="H44"/>
    </sheetView>
  </sheetViews>
  <sheetFormatPr baseColWidth="10" defaultColWidth="8.83203125" defaultRowHeight="15"/>
  <cols>
    <col width="51.33203125" bestFit="1" customWidth="1" min="1" max="1"/>
    <col width="12" bestFit="1" customWidth="1" min="2" max="2"/>
    <col width="24.83203125" bestFit="1" customWidth="1" min="4" max="4"/>
    <col width="20.6640625" customWidth="1" min="5" max="5"/>
  </cols>
  <sheetData>
    <row r="1">
      <c r="A1" s="3" t="inlineStr">
        <is>
          <t>database</t>
        </is>
      </c>
      <c r="B1" t="inlineStr">
        <is>
          <t>biogas</t>
        </is>
      </c>
    </row>
    <row r="2">
      <c r="A2" s="3" t="n"/>
    </row>
    <row r="3" ht="16" customHeight="1">
      <c r="A3" s="1" t="inlineStr">
        <is>
          <t>Activity</t>
        </is>
      </c>
      <c r="B3" s="1" t="inlineStr">
        <is>
          <t>electricity production, at biomethane-fired combined cycle power plant</t>
        </is>
      </c>
    </row>
    <row r="4">
      <c r="A4" t="inlineStr">
        <is>
          <t>location</t>
        </is>
      </c>
      <c r="B4" t="inlineStr">
        <is>
          <t>RER</t>
        </is>
      </c>
    </row>
    <row r="5">
      <c r="A5" t="inlineStr">
        <is>
          <t>production amount</t>
        </is>
      </c>
      <c r="B5" t="n">
        <v>1</v>
      </c>
    </row>
    <row r="6">
      <c r="A6" t="inlineStr">
        <is>
          <t>comment</t>
        </is>
      </c>
      <c r="B6" t="inlineStr">
        <is>
          <t>Biomethane-fired, Combined Cycle. 420 MWel. 7500 full load hours per year. 25 years lifetime. 62% net electrical efficiency.</t>
        </is>
      </c>
    </row>
    <row r="7">
      <c r="A7" t="inlineStr">
        <is>
          <t>source</t>
        </is>
      </c>
      <c r="B7" t="inlineStr">
        <is>
          <t>Adapted from Kathrin Volkart, Christian Bauer, Céline Boulet, Life cycle assessment of carbon capture and storage in power generation and industry in Europe, International Journal of Greenhouse Gas Control, 2013, https://doi.org/10.1016/j.ijggc.2013.03.003.</t>
        </is>
      </c>
    </row>
    <row r="8">
      <c r="A8" t="inlineStr">
        <is>
          <t>reference product</t>
        </is>
      </c>
      <c r="B8" t="inlineStr">
        <is>
          <t>electricity, high voltage</t>
        </is>
      </c>
    </row>
    <row r="9">
      <c r="A9" t="inlineStr">
        <is>
          <t>type</t>
        </is>
      </c>
      <c r="B9" t="inlineStr">
        <is>
          <t>process</t>
        </is>
      </c>
    </row>
    <row r="10">
      <c r="A10" t="inlineStr">
        <is>
          <t>unit</t>
        </is>
      </c>
      <c r="B10" t="inlineStr">
        <is>
          <t>kilowatt hour</t>
        </is>
      </c>
    </row>
    <row r="11" ht="16" customHeight="1">
      <c r="A11" s="1" t="inlineStr">
        <is>
          <t>Exchanges</t>
        </is>
      </c>
    </row>
    <row r="12">
      <c r="A12" t="inlineStr">
        <is>
          <t>name</t>
        </is>
      </c>
      <c r="B12" t="inlineStr">
        <is>
          <t>amount</t>
        </is>
      </c>
      <c r="C12" t="inlineStr">
        <is>
          <t>location</t>
        </is>
      </c>
      <c r="D12" t="inlineStr">
        <is>
          <t>unit</t>
        </is>
      </c>
      <c r="E12" t="inlineStr">
        <is>
          <t>categories</t>
        </is>
      </c>
      <c r="F12" t="inlineStr">
        <is>
          <t>type</t>
        </is>
      </c>
      <c r="G12" t="inlineStr">
        <is>
          <t>uncertainty type</t>
        </is>
      </c>
      <c r="H12" t="inlineStr">
        <is>
          <t>loc</t>
        </is>
      </c>
      <c r="I12" t="inlineStr">
        <is>
          <t>scale</t>
        </is>
      </c>
      <c r="J12" t="inlineStr">
        <is>
          <t>allocation</t>
        </is>
      </c>
      <c r="K12" t="inlineStr">
        <is>
          <t>comment</t>
        </is>
      </c>
      <c r="L12" t="inlineStr">
        <is>
          <t>simapro name</t>
        </is>
      </c>
      <c r="M12" t="inlineStr">
        <is>
          <t>negative</t>
        </is>
      </c>
      <c r="N12" t="inlineStr">
        <is>
          <t>reference product</t>
        </is>
      </c>
    </row>
    <row r="13">
      <c r="A13" t="inlineStr">
        <is>
          <t>electricity production, at biomethane-fired combined cycle power plant</t>
        </is>
      </c>
      <c r="B13" t="n">
        <v>1</v>
      </c>
      <c r="C13" t="inlineStr">
        <is>
          <t>RER</t>
        </is>
      </c>
      <c r="D13" t="inlineStr">
        <is>
          <t>kilowatt hour</t>
        </is>
      </c>
      <c r="E13" t="inlineStr">
        <is>
          <t>CCS Europe 2025::Natural gas</t>
        </is>
      </c>
      <c r="F13" t="inlineStr">
        <is>
          <t>production</t>
        </is>
      </c>
      <c r="J13" t="n">
        <v>100</v>
      </c>
      <c r="L13" t="inlineStr">
        <is>
          <t>electricity production, at natural gas-fired power plant, NGCC U</t>
        </is>
      </c>
      <c r="N13" t="inlineStr">
        <is>
          <t>electricity, high voltage</t>
        </is>
      </c>
    </row>
    <row r="14">
      <c r="A14" t="inlineStr">
        <is>
          <t>Acenaphthene</t>
        </is>
      </c>
      <c r="B14" t="n">
        <v>4.607329999999999e-12</v>
      </c>
      <c r="D14" t="inlineStr">
        <is>
          <t>kilogram</t>
        </is>
      </c>
      <c r="E14" t="inlineStr">
        <is>
          <t>air::urban air close to ground</t>
        </is>
      </c>
      <c r="F14" t="inlineStr">
        <is>
          <t>biosphere</t>
        </is>
      </c>
      <c r="G14" t="n">
        <v>2</v>
      </c>
      <c r="H14" t="n">
        <v>-27.86295317327584</v>
      </c>
      <c r="I14">
        <f>LN(SQRT(EXP(
SQRT(
+POWER(LN(1.05),2)
+POWER(LN(1.2),2)
+POWER(LN(1),2)
+POWER(LN(1.01),2)
+POWER(LN(1.2),2)
+POWER(LN(1.2),2)
+POWER(LN(1.5),2)
)
)))</f>
        <v>0.25816898211842121</v>
      </c>
      <c r="J14" t="n">
        <v>0.8047189562170503</v>
      </c>
      <c r="L14" t="inlineStr">
        <is>
          <t>US EPA 1998, high uncertainty reported qulitatively therein</t>
        </is>
      </c>
    </row>
    <row r="15">
      <c r="A15" t="inlineStr">
        <is>
          <t>Acetaldehyde</t>
        </is>
      </c>
      <c r="B15" t="n">
        <v>4.648e-09</v>
      </c>
      <c r="D15" t="inlineStr">
        <is>
          <t>kilogram</t>
        </is>
      </c>
      <c r="E15" t="inlineStr">
        <is>
          <t>air::urban air close to ground</t>
        </is>
      </c>
      <c r="F15" t="inlineStr">
        <is>
          <t>biosphere</t>
        </is>
      </c>
      <c r="G15" t="n">
        <v>2</v>
      </c>
      <c r="H15" t="n">
        <v>-20.94640938826062</v>
      </c>
      <c r="I15">
        <f>LN(SQRT(EXP(
SQRT(
+POWER(LN(1.05),2)
+POWER(LN(1.2),2)
+POWER(LN(1),2)
+POWER(LN(1.01),2)
+POWER(LN(1.2),2)
+POWER(LN(1.2),2)
+POWER(LN(1.5),2)
)
)))</f>
        <v>0.25816898211842121</v>
      </c>
      <c r="J15" t="n">
        <v>1.039720770839918</v>
      </c>
      <c r="L15" t="inlineStr">
        <is>
          <t>rough estimate, high uncertainty</t>
        </is>
      </c>
    </row>
    <row r="16">
      <c r="A16" t="inlineStr">
        <is>
          <t>Acetic acid</t>
        </is>
      </c>
      <c r="B16" t="n">
        <v>7.0301e-07</v>
      </c>
      <c r="D16" t="inlineStr">
        <is>
          <t>kilogram</t>
        </is>
      </c>
      <c r="E16" t="inlineStr">
        <is>
          <t>air::urban air close to ground</t>
        </is>
      </c>
      <c r="F16" t="inlineStr">
        <is>
          <t>biosphere</t>
        </is>
      </c>
      <c r="G16" t="n">
        <v>2</v>
      </c>
      <c r="H16" t="n">
        <v>-15.92747529134967</v>
      </c>
      <c r="I16">
        <f>LN(SQRT(EXP(
SQRT(
+POWER(LN(1.05),2)
+POWER(LN(1.2),2)
+POWER(LN(1),2)
+POWER(LN(1.01),2)
+POWER(LN(1.2),2)
+POWER(LN(1.2),2)
+POWER(LN(1.5),2)
)
)))</f>
        <v>0.25816898211842121</v>
      </c>
      <c r="J16" t="n">
        <v>1.039720770839918</v>
      </c>
      <c r="L16" t="inlineStr">
        <is>
          <t>rough estimate, high uncertainty</t>
        </is>
      </c>
    </row>
    <row r="17">
      <c r="A17" t="inlineStr">
        <is>
          <t>Benzene</t>
        </is>
      </c>
      <c r="B17" t="n">
        <v>5.380059999999999e-09</v>
      </c>
      <c r="D17" t="inlineStr">
        <is>
          <t>kilogram</t>
        </is>
      </c>
      <c r="E17" t="inlineStr">
        <is>
          <t>air::urban air close to ground</t>
        </is>
      </c>
      <c r="F17" t="inlineStr">
        <is>
          <t>biosphere</t>
        </is>
      </c>
      <c r="G17" t="n">
        <v>2</v>
      </c>
      <c r="H17" t="n">
        <v>-20.80014688128237</v>
      </c>
      <c r="I17">
        <f>LN(SQRT(EXP(
SQRT(
+POWER(LN(1.05),2)
+POWER(LN(1.2),2)
+POWER(LN(1),2)
+POWER(LN(1.01),2)
+POWER(LN(1.2),2)
+POWER(LN(1.2),2)
+POWER(LN(1.5),2)
)
)))</f>
        <v>0.25816898211842121</v>
      </c>
      <c r="J17" t="n">
        <v>0.8047189562170503</v>
      </c>
      <c r="L17" t="inlineStr">
        <is>
          <t>US EPA 1998, high uncertainty reported qulitatively therein</t>
        </is>
      </c>
    </row>
    <row r="18">
      <c r="A18" t="inlineStr">
        <is>
          <t>Benzo(a)pyrene</t>
        </is>
      </c>
      <c r="B18" t="n">
        <v>3.07349e-12</v>
      </c>
      <c r="D18" t="inlineStr">
        <is>
          <t>kilogram</t>
        </is>
      </c>
      <c r="E18" t="inlineStr">
        <is>
          <t>air::urban air close to ground</t>
        </is>
      </c>
      <c r="F18" t="inlineStr">
        <is>
          <t>biosphere</t>
        </is>
      </c>
      <c r="G18" t="n">
        <v>2</v>
      </c>
      <c r="H18" t="n">
        <v>-28.26778796305238</v>
      </c>
      <c r="I18">
        <f>LN(SQRT(EXP(
SQRT(
+POWER(LN(1.05),2)
+POWER(LN(1.2),2)
+POWER(LN(1),2)
+POWER(LN(1.01),2)
+POWER(LN(1.2),2)
+POWER(LN(1.2),2)
+POWER(LN(1.5),2)
)
)))</f>
        <v>0.25816898211842121</v>
      </c>
      <c r="J18" t="n">
        <v>0.8047189562170503</v>
      </c>
      <c r="L18" t="inlineStr">
        <is>
          <t>US EPA 1998, high uncertainty reported qulitatively therein</t>
        </is>
      </c>
    </row>
    <row r="19">
      <c r="A19" t="inlineStr">
        <is>
          <t>Butane</t>
        </is>
      </c>
      <c r="B19" t="n">
        <v>5.380059999999999e-06</v>
      </c>
      <c r="D19" t="inlineStr">
        <is>
          <t>kilogram</t>
        </is>
      </c>
      <c r="E19" t="inlineStr">
        <is>
          <t>air::urban air close to ground</t>
        </is>
      </c>
      <c r="F19" t="inlineStr">
        <is>
          <t>biosphere</t>
        </is>
      </c>
      <c r="G19" t="n">
        <v>2</v>
      </c>
      <c r="H19" t="n">
        <v>-13.89239160230023</v>
      </c>
      <c r="I19">
        <f>LN(SQRT(EXP(
SQRT(
+POWER(LN(1.05),2)
+POWER(LN(1.2),2)
+POWER(LN(1),2)
+POWER(LN(1.01),2)
+POWER(LN(1.2),2)
+POWER(LN(1.2),2)
+POWER(LN(1.5),2)
)
)))</f>
        <v>0.25816898211842121</v>
      </c>
      <c r="J19" t="n">
        <v>0.8047189562170503</v>
      </c>
      <c r="L19" t="inlineStr">
        <is>
          <t>US EPA 1998, high uncertainty reported qulitatively therein</t>
        </is>
      </c>
    </row>
    <row r="20">
      <c r="A20" t="inlineStr">
        <is>
          <t>Carbon dioxide, non-fossil</t>
        </is>
      </c>
      <c r="B20" s="7">
        <f>2.65*B42</f>
        <v>0.3239388794567063</v>
      </c>
      <c r="D20" t="inlineStr">
        <is>
          <t>kilogram</t>
        </is>
      </c>
      <c r="E20" t="inlineStr">
        <is>
          <t>air::urban air close to ground</t>
        </is>
      </c>
      <c r="F20" t="inlineStr">
        <is>
          <t>biosphere</t>
        </is>
      </c>
      <c r="G20" t="n">
        <v>2</v>
      </c>
      <c r="H20" t="n">
        <v>-2.882403588246988</v>
      </c>
      <c r="I20">
        <f>LN(SQRT(EXP(
SQRT(
+POWER(LN(1.05),2)
+POWER(LN(1.2),2)
+POWER(LN(1),2)
+POWER(LN(1.01),2)
+POWER(LN(1.2),2)
+POWER(LN(1.2),2)
+POWER(LN(1.5),2)
)
)))</f>
        <v>0.25816898211842121</v>
      </c>
      <c r="J20" t="n">
        <v>0.02439508208471609</v>
      </c>
      <c r="L20" t="inlineStr">
        <is>
          <t>composition of natural gas</t>
        </is>
      </c>
    </row>
    <row r="21">
      <c r="A21" t="inlineStr">
        <is>
          <t>Carbon monoxide, non-fossil</t>
        </is>
      </c>
      <c r="B21" t="n">
        <v>1.2782e-05</v>
      </c>
      <c r="D21" t="inlineStr">
        <is>
          <t>kilogram</t>
        </is>
      </c>
      <c r="E21" t="inlineStr">
        <is>
          <t>air::urban air close to ground</t>
        </is>
      </c>
      <c r="F21" t="inlineStr">
        <is>
          <t>biosphere</t>
        </is>
      </c>
      <c r="G21" t="n">
        <v>2</v>
      </c>
      <c r="H21" t="n">
        <v>-13.0270531976</v>
      </c>
      <c r="I21">
        <f>LN(SQRT(EXP(
SQRT(
+POWER(LN(1.05),2)
+POWER(LN(1.2),2)
+POWER(LN(1),2)
+POWER(LN(1.01),2)
+POWER(LN(1.2),2)
+POWER(LN(1.2),2)
+POWER(LN(1.5),2)
)
)))</f>
        <v>0.25816898211842121</v>
      </c>
      <c r="J21" t="n">
        <v>0.2027325540540821</v>
      </c>
      <c r="L21" t="inlineStr">
        <is>
          <t>measurement, single combined cycle power plant</t>
        </is>
      </c>
    </row>
    <row r="22">
      <c r="A22" t="inlineStr">
        <is>
          <t>Dinitrogen monoxide</t>
        </is>
      </c>
      <c r="B22" t="n">
        <v>5.809999999999999e-06</v>
      </c>
      <c r="D22" t="inlineStr">
        <is>
          <t>kilogram</t>
        </is>
      </c>
      <c r="E22" t="inlineStr">
        <is>
          <t>air::urban air close to ground</t>
        </is>
      </c>
      <c r="F22" t="inlineStr">
        <is>
          <t>biosphere</t>
        </is>
      </c>
      <c r="G22" t="n">
        <v>2</v>
      </c>
      <c r="H22" t="n">
        <v>-13.81551055796427</v>
      </c>
      <c r="I22">
        <f>LN(SQRT(EXP(
SQRT(
+POWER(LN(1.05),2)
+POWER(LN(1.2),2)
+POWER(LN(1),2)
+POWER(LN(1.01),2)
+POWER(LN(1.2),2)
+POWER(LN(1.2),2)
+POWER(LN(1.5),2)
)
)))</f>
        <v>0.25816898211842121</v>
      </c>
      <c r="J22" t="n">
        <v>0.5493061443340548</v>
      </c>
      <c r="L22" t="inlineStr">
        <is>
          <t>estimate from range of values from different references</t>
        </is>
      </c>
    </row>
    <row r="23">
      <c r="A23" t="inlineStr">
        <is>
          <t>Dioxins, measured as 2,3,7,8-tetrachlorodibenzo-p-dioxin</t>
        </is>
      </c>
      <c r="B23" t="n">
        <v>1.6849e-16</v>
      </c>
      <c r="D23" t="inlineStr">
        <is>
          <t>kilogram</t>
        </is>
      </c>
      <c r="E23" t="inlineStr">
        <is>
          <t>air::urban air close to ground</t>
        </is>
      </c>
      <c r="F23" t="inlineStr">
        <is>
          <t>biosphere</t>
        </is>
      </c>
      <c r="G23" t="n">
        <v>2</v>
      </c>
      <c r="H23" t="n">
        <v>-38.07923584390635</v>
      </c>
      <c r="I23">
        <f>LN(SQRT(EXP(
SQRT(
+POWER(LN(1.05),2)
+POWER(LN(1.2),2)
+POWER(LN(1),2)
+POWER(LN(1.01),2)
+POWER(LN(1.2),2)
+POWER(LN(1.2),2)
+POWER(LN(1.5),2)
)
)))</f>
        <v>0.25816898211842121</v>
      </c>
      <c r="J23" t="n">
        <v>1.039720770839918</v>
      </c>
      <c r="L23" t="inlineStr">
        <is>
          <t>rough estimate, high uncertainty</t>
        </is>
      </c>
    </row>
    <row r="24">
      <c r="A24" t="inlineStr">
        <is>
          <t>Ethane</t>
        </is>
      </c>
      <c r="B24" t="n">
        <v>7.959699999999999e-06</v>
      </c>
      <c r="D24" t="inlineStr">
        <is>
          <t>kilogram</t>
        </is>
      </c>
      <c r="E24" t="inlineStr">
        <is>
          <t>air::urban air close to ground</t>
        </is>
      </c>
      <c r="F24" t="inlineStr">
        <is>
          <t>biosphere</t>
        </is>
      </c>
      <c r="G24" t="n">
        <v>2</v>
      </c>
      <c r="H24" t="n">
        <v>-13.50069981812424</v>
      </c>
      <c r="I24">
        <f>LN(SQRT(EXP(
SQRT(
+POWER(LN(1.05),2)
+POWER(LN(1.2),2)
+POWER(LN(1),2)
+POWER(LN(1.01),2)
+POWER(LN(1.2),2)
+POWER(LN(1.2),2)
+POWER(LN(1.5),2)
)
)))</f>
        <v>0.25816898211842121</v>
      </c>
      <c r="J24" t="n">
        <v>0.8047189562170503</v>
      </c>
      <c r="L24" t="inlineStr">
        <is>
          <t>US EPA 1998, high uncertainty reported qulitatively therein</t>
        </is>
      </c>
    </row>
    <row r="25">
      <c r="A25" t="inlineStr">
        <is>
          <t>Formaldehyde</t>
        </is>
      </c>
      <c r="B25" t="n">
        <v>1.92311e-07</v>
      </c>
      <c r="D25" t="inlineStr">
        <is>
          <t>kilogram</t>
        </is>
      </c>
      <c r="E25" t="inlineStr">
        <is>
          <t>air::urban air close to ground</t>
        </is>
      </c>
      <c r="F25" t="inlineStr">
        <is>
          <t>biosphere</t>
        </is>
      </c>
      <c r="G25" t="n">
        <v>2</v>
      </c>
      <c r="H25" t="n">
        <v>-17.22373255456339</v>
      </c>
      <c r="I25">
        <f>LN(SQRT(EXP(
SQRT(
+POWER(LN(1.05),2)
+POWER(LN(1.2),2)
+POWER(LN(1),2)
+POWER(LN(1.01),2)
+POWER(LN(1.2),2)
+POWER(LN(1.2),2)
+POWER(LN(1.5),2)
)
)))</f>
        <v>0.25816898211842121</v>
      </c>
      <c r="J25" t="n">
        <v>0.8047189562170503</v>
      </c>
      <c r="L25" t="inlineStr">
        <is>
          <t>US EPA 1998, high uncertainty reported qulitatively therein</t>
        </is>
      </c>
    </row>
    <row r="26">
      <c r="A26" t="inlineStr">
        <is>
          <t>Heat, waste</t>
        </is>
      </c>
      <c r="B26" t="n">
        <v>3.05025</v>
      </c>
      <c r="D26" t="inlineStr">
        <is>
          <t>megajoule</t>
        </is>
      </c>
      <c r="E26" t="inlineStr">
        <is>
          <t>air::urban air close to ground</t>
        </is>
      </c>
      <c r="F26" t="inlineStr">
        <is>
          <t>biosphere</t>
        </is>
      </c>
      <c r="G26" t="n">
        <v>2</v>
      </c>
      <c r="H26" t="n">
        <v>-0.6443570163905132</v>
      </c>
      <c r="I26">
        <f>LN(SQRT(EXP(
SQRT(
+POWER(LN(1.05),2)
+POWER(LN(1.2),2)
+POWER(LN(1),2)
+POWER(LN(1.01),2)
+POWER(LN(1.2),2)
+POWER(LN(1.2),2)
+POWER(LN(1.5),2)
)
)))</f>
        <v>0.25816898211842121</v>
      </c>
      <c r="J26" t="n">
        <v>0.02439508208471609</v>
      </c>
      <c r="L26" t="inlineStr">
        <is>
          <t>heating value and efficiency</t>
        </is>
      </c>
    </row>
    <row r="27">
      <c r="A27" t="inlineStr">
        <is>
          <t>Hexane</t>
        </is>
      </c>
      <c r="B27" t="n">
        <v>4.607329999999999e-06</v>
      </c>
      <c r="D27" t="inlineStr">
        <is>
          <t>kilogram</t>
        </is>
      </c>
      <c r="E27" t="inlineStr">
        <is>
          <t>air::urban air close to ground</t>
        </is>
      </c>
      <c r="F27" t="inlineStr">
        <is>
          <t>biosphere</t>
        </is>
      </c>
      <c r="G27" t="n">
        <v>2</v>
      </c>
      <c r="H27" t="n">
        <v>-14.04744261531156</v>
      </c>
      <c r="I27">
        <f>LN(SQRT(EXP(
SQRT(
+POWER(LN(1.05),2)
+POWER(LN(1.2),2)
+POWER(LN(1),2)
+POWER(LN(1.01),2)
+POWER(LN(1.2),2)
+POWER(LN(1.2),2)
+POWER(LN(1.5),2)
)
)))</f>
        <v>0.25816898211842121</v>
      </c>
      <c r="J27" t="n">
        <v>0.8047189562170503</v>
      </c>
      <c r="L27" t="inlineStr">
        <is>
          <t>US EPA 1998, high uncertainty reported qulitatively therein</t>
        </is>
      </c>
    </row>
    <row r="28">
      <c r="A28" t="inlineStr">
        <is>
          <t>Mercury</t>
        </is>
      </c>
      <c r="B28" t="n">
        <v>1.743e-10</v>
      </c>
      <c r="D28" t="inlineStr">
        <is>
          <t>kilogram</t>
        </is>
      </c>
      <c r="E28" t="inlineStr">
        <is>
          <t>air::urban air close to ground</t>
        </is>
      </c>
      <c r="F28" t="inlineStr">
        <is>
          <t>biosphere</t>
        </is>
      </c>
      <c r="G28" t="n">
        <v>2</v>
      </c>
      <c r="H28" t="n">
        <v>-24.22982373426639</v>
      </c>
      <c r="I28">
        <f>LN(SQRT(EXP(
SQRT(
+POWER(LN(1.05),2)
+POWER(LN(1.2),2)
+POWER(LN(1),2)
+POWER(LN(1.01),2)
+POWER(LN(1.2),2)
+POWER(LN(1.2),2)
+POWER(LN(1.5),2)
)
)))</f>
        <v>0.25816898211842121</v>
      </c>
      <c r="J28" t="n">
        <v>0.8047189562170503</v>
      </c>
      <c r="L28" t="inlineStr">
        <is>
          <t>basic uncertainty for heavy metal; trace element in natural gas</t>
        </is>
      </c>
    </row>
    <row r="29">
      <c r="A29" t="inlineStr">
        <is>
          <t>Methane, non-fossil</t>
        </is>
      </c>
      <c r="B29" t="n">
        <v>5.809999999999999e-06</v>
      </c>
      <c r="D29" t="inlineStr">
        <is>
          <t>kilogram</t>
        </is>
      </c>
      <c r="E29" t="inlineStr">
        <is>
          <t>air::urban air close to ground</t>
        </is>
      </c>
      <c r="F29" t="inlineStr">
        <is>
          <t>biosphere</t>
        </is>
      </c>
      <c r="G29" t="n">
        <v>2</v>
      </c>
      <c r="H29" t="n">
        <v>-13.81551055796427</v>
      </c>
      <c r="I29">
        <f>LN(SQRT(EXP(
SQRT(
+POWER(LN(1.05),2)
+POWER(LN(1.2),2)
+POWER(LN(1),2)
+POWER(LN(1.01),2)
+POWER(LN(1.2),2)
+POWER(LN(1.2),2)
+POWER(LN(1.5),2)
)
)))</f>
        <v>0.25816898211842121</v>
      </c>
      <c r="J29" t="n">
        <v>0.8047189562170503</v>
      </c>
      <c r="L29" t="inlineStr">
        <is>
          <t>range of values from different references</t>
        </is>
      </c>
    </row>
    <row r="30">
      <c r="A30" t="inlineStr">
        <is>
          <t>Nitrogen oxides</t>
        </is>
      </c>
      <c r="B30" t="n">
        <v>0.000158032</v>
      </c>
      <c r="D30" t="inlineStr">
        <is>
          <t>kilogram</t>
        </is>
      </c>
      <c r="E30" t="inlineStr">
        <is>
          <t>air::urban air close to ground</t>
        </is>
      </c>
      <c r="F30" t="inlineStr">
        <is>
          <t>biosphere</t>
        </is>
      </c>
      <c r="G30" t="n">
        <v>2</v>
      </c>
      <c r="H30" t="n">
        <v>-10.51229358466232</v>
      </c>
      <c r="I30">
        <f>LN(SQRT(EXP(
SQRT(
+POWER(LN(1.05),2)
+POWER(LN(1.2),2)
+POWER(LN(1),2)
+POWER(LN(1.01),2)
+POWER(LN(1.2),2)
+POWER(LN(1.2),2)
+POWER(LN(1.5),2)
)
)))</f>
        <v>0.25816898211842121</v>
      </c>
      <c r="J30" t="n">
        <v>0.2027325540540821</v>
      </c>
      <c r="L30" t="inlineStr">
        <is>
          <t>P. Jansohn: 15 ppm (industrial value)</t>
        </is>
      </c>
    </row>
    <row r="31">
      <c r="A31" t="inlineStr">
        <is>
          <t>PAH, polycyclic aromatic hydrocarbons</t>
        </is>
      </c>
      <c r="B31" t="n">
        <v>4.648e-08</v>
      </c>
      <c r="D31" t="inlineStr">
        <is>
          <t>kilogram</t>
        </is>
      </c>
      <c r="E31" t="inlineStr">
        <is>
          <t>air::urban air close to ground</t>
        </is>
      </c>
      <c r="F31" t="inlineStr">
        <is>
          <t>biosphere</t>
        </is>
      </c>
      <c r="G31" t="n">
        <v>2</v>
      </c>
      <c r="H31" t="n">
        <v>-18.64382429526658</v>
      </c>
      <c r="I31">
        <f>LN(SQRT(EXP(
SQRT(
+POWER(LN(1.05),2)
+POWER(LN(1.2),2)
+POWER(LN(1),2)
+POWER(LN(1.01),2)
+POWER(LN(1.2),2)
+POWER(LN(1.2),2)
+POWER(LN(1.5),2)
)
)))</f>
        <v>0.25816898211842121</v>
      </c>
      <c r="J31" t="n">
        <v>1.039720770839918</v>
      </c>
      <c r="L31" t="inlineStr">
        <is>
          <t>rough estimate, high uncertainty</t>
        </is>
      </c>
    </row>
    <row r="32">
      <c r="A32" t="inlineStr">
        <is>
          <t>Particulates, &lt; 2.5 um</t>
        </is>
      </c>
      <c r="B32" t="n">
        <v>2.905e-06</v>
      </c>
      <c r="D32" t="inlineStr">
        <is>
          <t>kilogram</t>
        </is>
      </c>
      <c r="E32" t="inlineStr">
        <is>
          <t>air::urban air close to ground</t>
        </is>
      </c>
      <c r="F32" t="inlineStr">
        <is>
          <t>biosphere</t>
        </is>
      </c>
      <c r="G32" t="n">
        <v>2</v>
      </c>
      <c r="H32" t="n">
        <v>-14.50865773852422</v>
      </c>
      <c r="I32">
        <f>LN(SQRT(EXP(
SQRT(
+POWER(LN(1.05),2)
+POWER(LN(1.2),2)
+POWER(LN(1),2)
+POWER(LN(1.01),2)
+POWER(LN(1.2),2)
+POWER(LN(1.2),2)
+POWER(LN(1.5),2)
)
)))</f>
        <v>0.25816898211842121</v>
      </c>
      <c r="J32" t="n">
        <v>0.5493061443340548</v>
      </c>
      <c r="L32" t="inlineStr">
        <is>
          <t>estimate from range of values from different references</t>
        </is>
      </c>
    </row>
    <row r="33">
      <c r="A33" t="inlineStr">
        <is>
          <t>Pentane</t>
        </is>
      </c>
      <c r="B33" t="n">
        <v>6.681499999999999e-06</v>
      </c>
      <c r="D33" t="inlineStr">
        <is>
          <t>kilogram</t>
        </is>
      </c>
      <c r="E33" t="inlineStr">
        <is>
          <t>air::urban air close to ground</t>
        </is>
      </c>
      <c r="F33" t="inlineStr">
        <is>
          <t>biosphere</t>
        </is>
      </c>
      <c r="G33" t="n">
        <v>2</v>
      </c>
      <c r="H33" t="n">
        <v>-13.67574861558912</v>
      </c>
      <c r="I33">
        <f>LN(SQRT(EXP(
SQRT(
+POWER(LN(1.05),2)
+POWER(LN(1.2),2)
+POWER(LN(1),2)
+POWER(LN(1.01),2)
+POWER(LN(1.2),2)
+POWER(LN(1.2),2)
+POWER(LN(1.5),2)
)
)))</f>
        <v>0.25816898211842121</v>
      </c>
      <c r="J33" t="n">
        <v>0.8047189562170503</v>
      </c>
      <c r="L33" t="inlineStr">
        <is>
          <t>US EPA 1998, high uncertainty reported qulitatively therein</t>
        </is>
      </c>
    </row>
    <row r="34">
      <c r="A34" t="inlineStr">
        <is>
          <t>Propane</t>
        </is>
      </c>
      <c r="B34" t="n">
        <v>4.09605e-06</v>
      </c>
      <c r="D34" t="inlineStr">
        <is>
          <t>kilogram</t>
        </is>
      </c>
      <c r="E34" t="inlineStr">
        <is>
          <t>air::urban air close to ground</t>
        </is>
      </c>
      <c r="F34" t="inlineStr">
        <is>
          <t>biosphere</t>
        </is>
      </c>
      <c r="G34" t="n">
        <v>2</v>
      </c>
      <c r="H34" t="n">
        <v>-14.16506803413414</v>
      </c>
      <c r="I34">
        <f>LN(SQRT(EXP(
SQRT(
+POWER(LN(1.05),2)
+POWER(LN(1.2),2)
+POWER(LN(1),2)
+POWER(LN(1.01),2)
+POWER(LN(1.2),2)
+POWER(LN(1.2),2)
+POWER(LN(1.5),2)
)
)))</f>
        <v>0.25816898211842121</v>
      </c>
      <c r="J34" t="n">
        <v>0.8047189562170503</v>
      </c>
      <c r="L34" t="inlineStr">
        <is>
          <t>US EPA 1998, high uncertainty reported qulitatively therein</t>
        </is>
      </c>
    </row>
    <row r="35">
      <c r="A35" t="inlineStr">
        <is>
          <t>Propionic acid</t>
        </is>
      </c>
      <c r="B35" t="n">
        <v>9.295999999999999e-08</v>
      </c>
      <c r="D35" t="inlineStr">
        <is>
          <t>kilogram</t>
        </is>
      </c>
      <c r="E35" t="inlineStr">
        <is>
          <t>air::urban air close to ground</t>
        </is>
      </c>
      <c r="F35" t="inlineStr">
        <is>
          <t>biosphere</t>
        </is>
      </c>
      <c r="G35" t="n">
        <v>2</v>
      </c>
      <c r="H35" t="n">
        <v>-17.95067711470663</v>
      </c>
      <c r="I35">
        <f>LN(SQRT(EXP(
SQRT(
+POWER(LN(1.05),2)
+POWER(LN(1.2),2)
+POWER(LN(1),2)
+POWER(LN(1.01),2)
+POWER(LN(1.2),2)
+POWER(LN(1.2),2)
+POWER(LN(1.5),2)
)
)))</f>
        <v>0.25816898211842121</v>
      </c>
      <c r="J35" t="n">
        <v>1.039720770839918</v>
      </c>
      <c r="L35" t="inlineStr">
        <is>
          <t>rough estimate, high uncertainty</t>
        </is>
      </c>
    </row>
    <row r="36">
      <c r="A36" t="inlineStr">
        <is>
          <t>Sulfur dioxide</t>
        </is>
      </c>
      <c r="B36" t="n">
        <v>2.905e-06</v>
      </c>
      <c r="D36" t="inlineStr">
        <is>
          <t>kilogram</t>
        </is>
      </c>
      <c r="E36" t="inlineStr">
        <is>
          <t>air::urban air close to ground</t>
        </is>
      </c>
      <c r="F36" t="inlineStr">
        <is>
          <t>biosphere</t>
        </is>
      </c>
      <c r="G36" t="n">
        <v>2</v>
      </c>
      <c r="H36" t="n">
        <v>-14.50865773852422</v>
      </c>
      <c r="I36">
        <f>LN(SQRT(EXP(
SQRT(
+POWER(LN(1.05),2)
+POWER(LN(1.2),2)
+POWER(LN(1),2)
+POWER(LN(1.01),2)
+POWER(LN(1.2),2)
+POWER(LN(1.2),2)
+POWER(LN(1.5),2)
)
)))</f>
        <v>0.25816898211842121</v>
      </c>
      <c r="J36" t="n">
        <v>0.04765508990216251</v>
      </c>
      <c r="L36" t="inlineStr">
        <is>
          <t>composition of natural gas</t>
        </is>
      </c>
    </row>
    <row r="37">
      <c r="A37" t="inlineStr">
        <is>
          <t>Toluene</t>
        </is>
      </c>
      <c r="B37" t="n">
        <v>8.714999999999999e-09</v>
      </c>
      <c r="D37" t="inlineStr">
        <is>
          <t>kilogram</t>
        </is>
      </c>
      <c r="E37" t="inlineStr">
        <is>
          <t>air::urban air close to ground</t>
        </is>
      </c>
      <c r="F37" t="inlineStr">
        <is>
          <t>biosphere</t>
        </is>
      </c>
      <c r="G37" t="n">
        <v>2</v>
      </c>
      <c r="H37" t="n">
        <v>-20.31780072883825</v>
      </c>
      <c r="I37">
        <f>LN(SQRT(EXP(
SQRT(
+POWER(LN(1.05),2)
+POWER(LN(1.2),2)
+POWER(LN(1),2)
+POWER(LN(1.01),2)
+POWER(LN(1.2),2)
+POWER(LN(1.2),2)
+POWER(LN(1.5),2)
)
)))</f>
        <v>0.25816898211842121</v>
      </c>
      <c r="J37" t="n">
        <v>0.8047189562170503</v>
      </c>
      <c r="L37" t="inlineStr">
        <is>
          <t>US EPA 1998, high uncertainty reported qulitatively therein</t>
        </is>
      </c>
    </row>
    <row r="38">
      <c r="A38" t="inlineStr">
        <is>
          <t>market for gas power plant, combined cycle, 400MW electrical</t>
        </is>
      </c>
      <c r="B38" t="n">
        <v>1.27239e-11</v>
      </c>
      <c r="C38" t="inlineStr">
        <is>
          <t>GLO</t>
        </is>
      </c>
      <c r="D38" t="inlineStr">
        <is>
          <t>unit</t>
        </is>
      </c>
      <c r="E38" t="inlineStr">
        <is>
          <t>Materials/fuels</t>
        </is>
      </c>
      <c r="F38" t="inlineStr">
        <is>
          <t>technosphere</t>
        </is>
      </c>
      <c r="G38" t="n">
        <v>2</v>
      </c>
      <c r="H38" t="n">
        <v>-26.84711957210014</v>
      </c>
      <c r="I38">
        <f>LN(SQRT(EXP(
SQRT(
+POWER(LN(1.05),2)
+POWER(LN(1.2),2)
+POWER(LN(1),2)
+POWER(LN(1.01),2)
+POWER(LN(1.2),2)
+POWER(LN(1.2),2)
+POWER(LN(3),2)
)
)))</f>
        <v>0.57209088006881903</v>
      </c>
      <c r="J38" t="n">
        <v>0.3465735902799727</v>
      </c>
      <c r="L38" t="inlineStr">
        <is>
          <t>n_plant = 1/(lifetime*annual fuel input)</t>
        </is>
      </c>
      <c r="N38" t="inlineStr">
        <is>
          <t>gas power plant, combined cycle, 400MW electrical</t>
        </is>
      </c>
    </row>
    <row r="39">
      <c r="A39" t="inlineStr">
        <is>
          <t>market for hydrochloric acid, without water, in 30% solution state</t>
        </is>
      </c>
      <c r="B39" t="n">
        <v>1.4525e-05</v>
      </c>
      <c r="C39" t="inlineStr">
        <is>
          <t>RER</t>
        </is>
      </c>
      <c r="D39" t="inlineStr">
        <is>
          <t>kilogram</t>
        </is>
      </c>
      <c r="E39" t="inlineStr">
        <is>
          <t>Materials/fuels</t>
        </is>
      </c>
      <c r="F39" t="inlineStr">
        <is>
          <t>technosphere</t>
        </is>
      </c>
      <c r="G39" t="n">
        <v>2</v>
      </c>
      <c r="H39" t="n">
        <v>-12.89921982609012</v>
      </c>
      <c r="I39">
        <f>LN(SQRT(EXP(
SQRT(
+POWER(LN(1.05),2)
+POWER(LN(1.2),2)
+POWER(LN(1),2)
+POWER(LN(1.01),2)
+POWER(LN(1.2),2)
+POWER(LN(1.2),2)
+POWER(LN(3),2)
)
)))</f>
        <v>0.57209088006881903</v>
      </c>
      <c r="J39" t="n">
        <v>0.1075556898084728</v>
      </c>
      <c r="L39" t="inlineStr">
        <is>
          <t>basic uncertainty:1.05;(4,na,3,1,1,na)</t>
        </is>
      </c>
      <c r="N39" t="inlineStr">
        <is>
          <t>hydrochloric acid, without water, in 30% solution state</t>
        </is>
      </c>
    </row>
    <row r="40">
      <c r="A40" t="inlineStr">
        <is>
          <t>market for sodium hydroxide, without water, in 50% solution state</t>
        </is>
      </c>
      <c r="B40" t="n">
        <v>1.162e-05</v>
      </c>
      <c r="C40" t="inlineStr">
        <is>
          <t>GLO</t>
        </is>
      </c>
      <c r="D40" t="inlineStr">
        <is>
          <t>kilogram</t>
        </is>
      </c>
      <c r="E40" t="inlineStr">
        <is>
          <t>Materials/fuels</t>
        </is>
      </c>
      <c r="F40" t="inlineStr">
        <is>
          <t>technosphere</t>
        </is>
      </c>
      <c r="G40" t="n">
        <v>2</v>
      </c>
      <c r="H40" t="n">
        <v>-13.12236337740433</v>
      </c>
      <c r="I40">
        <f>LN(SQRT(EXP(
SQRT(
+POWER(LN(1.05),2)
+POWER(LN(1.2),2)
+POWER(LN(1),2)
+POWER(LN(1.01),2)
+POWER(LN(1.2),2)
+POWER(LN(1.2),2)
+POWER(LN(3),2)
)
)))</f>
        <v>0.57209088006881903</v>
      </c>
      <c r="J40" t="n">
        <v>0.1075556898084728</v>
      </c>
      <c r="L40" t="inlineStr">
        <is>
          <t>basic uncertainty:1.05;(4,na,3,1,1,na)</t>
        </is>
      </c>
      <c r="N40" t="inlineStr">
        <is>
          <t>sodium hydroxide, without water, in 50% solution state</t>
        </is>
      </c>
    </row>
    <row r="41">
      <c r="A41" t="inlineStr">
        <is>
          <t>market for water, decarbonised</t>
        </is>
      </c>
      <c r="B41" t="n">
        <v>2.905</v>
      </c>
      <c r="C41" t="inlineStr">
        <is>
          <t>RoW</t>
        </is>
      </c>
      <c r="D41" t="inlineStr">
        <is>
          <t>kilogram</t>
        </is>
      </c>
      <c r="E41" t="inlineStr">
        <is>
          <t>Materials/fuels</t>
        </is>
      </c>
      <c r="F41" t="inlineStr">
        <is>
          <t>technosphere</t>
        </is>
      </c>
      <c r="G41" t="n">
        <v>2</v>
      </c>
      <c r="H41" t="n">
        <v>-0.6931471805599453</v>
      </c>
      <c r="I41">
        <f>LN(SQRT(EXP(
SQRT(
+POWER(LN(1.05),2)
+POWER(LN(1.2),2)
+POWER(LN(1),2)
+POWER(LN(1.01),2)
+POWER(LN(1.2),2)
+POWER(LN(1.2),2)
+POWER(LN(3),2)
)
)))</f>
        <v>0.57209088006881903</v>
      </c>
      <c r="J41" t="n">
        <v>0.4581453659370776</v>
      </c>
      <c r="L41" t="inlineStr">
        <is>
          <t>range of values from different references</t>
        </is>
      </c>
      <c r="N41" t="inlineStr">
        <is>
          <t>water, decarbonised</t>
        </is>
      </c>
    </row>
    <row r="42">
      <c r="A42" t="inlineStr">
        <is>
          <t>biomethane production, from biogas upgrading, using amine scrubbing</t>
        </is>
      </c>
      <c r="B42">
        <f>(3.6/47.5)/0.62</f>
        <v>0.12224108658743635</v>
      </c>
      <c r="C42" t="inlineStr">
        <is>
          <t>RER</t>
        </is>
      </c>
      <c r="D42" t="inlineStr">
        <is>
          <t>kilogram</t>
        </is>
      </c>
      <c r="E42" t="inlineStr">
        <is>
          <t>Materials/fuels</t>
        </is>
      </c>
      <c r="F42" t="inlineStr">
        <is>
          <t>technosphere</t>
        </is>
      </c>
      <c r="G42" t="n">
        <v>2</v>
      </c>
      <c r="H42" t="n">
        <v>0.02564102564102564</v>
      </c>
      <c r="I42">
        <f>LN(SQRT(EXP(
SQRT(
+POWER(LN(1.05),2)
+POWER(LN(1.2),2)
+POWER(LN(1),2)
+POWER(LN(1.01),2)
+POWER(LN(1.2),2)
+POWER(LN(1.2),2)
+POWER(LN(3),2)
)
)))</f>
        <v>0.57209088006881903</v>
      </c>
      <c r="J42" t="n">
        <v>0</v>
      </c>
      <c r="N42" t="inlineStr">
        <is>
          <t>biomethane, from biogas upgrading, using amine scrubbing</t>
        </is>
      </c>
    </row>
    <row r="43">
      <c r="A43" t="inlineStr">
        <is>
          <t>treatment of residue from cooling tower, sanitary landfill</t>
        </is>
      </c>
      <c r="B43" t="n">
        <v>-5.809999999999999e-06</v>
      </c>
      <c r="C43" t="inlineStr">
        <is>
          <t>CH</t>
        </is>
      </c>
      <c r="D43" t="inlineStr">
        <is>
          <t>kilogram</t>
        </is>
      </c>
      <c r="E43" t="inlineStr">
        <is>
          <t>Waste to treatment</t>
        </is>
      </c>
      <c r="F43" t="inlineStr">
        <is>
          <t>technosphere</t>
        </is>
      </c>
      <c r="G43" t="n">
        <v>2</v>
      </c>
      <c r="H43">
        <f>LN(B43*-1)</f>
        <v>-12.055929987100454</v>
      </c>
      <c r="I43">
        <f>LN(SQRT(EXP(
SQRT(
+POWER(LN(1.05),2)
+POWER(LN(1.2),2)
+POWER(LN(1),2)
+POWER(LN(1.01),2)
+POWER(LN(1.2),2)
+POWER(LN(1.2),2)
+POWER(LN(3),2)
)
)))</f>
        <v>0.57209088006881903</v>
      </c>
      <c r="J43" t="n">
        <v>1.039720770839918</v>
      </c>
      <c r="L43" t="inlineStr">
        <is>
          <t>rough estimate, high uncertainty</t>
        </is>
      </c>
      <c r="M43" t="b">
        <v>1</v>
      </c>
      <c r="N43" t="inlineStr">
        <is>
          <t>residue from cooling tower</t>
        </is>
      </c>
    </row>
    <row r="44"/>
    <row r="45" ht="16" customHeight="1">
      <c r="A45" s="1" t="inlineStr">
        <is>
          <t>Activity</t>
        </is>
      </c>
      <c r="B45" s="1" t="inlineStr">
        <is>
          <t>Biomethane, gaseous, 5 bar, from sewage sludge fermentation, at fuelling station</t>
        </is>
      </c>
    </row>
    <row r="46">
      <c r="A46" t="inlineStr">
        <is>
          <t>location</t>
        </is>
      </c>
      <c r="B46" t="inlineStr">
        <is>
          <t>RER</t>
        </is>
      </c>
    </row>
    <row r="47">
      <c r="A47" t="inlineStr">
        <is>
          <t>production amount</t>
        </is>
      </c>
      <c r="B47" t="n">
        <v>1</v>
      </c>
    </row>
    <row r="48">
      <c r="A48" t="inlineStr">
        <is>
          <t>reference product</t>
        </is>
      </c>
      <c r="B48" t="inlineStr">
        <is>
          <t>biomethane, high pressure</t>
        </is>
      </c>
    </row>
    <row r="49">
      <c r="A49" t="inlineStr">
        <is>
          <t>type</t>
        </is>
      </c>
      <c r="B49" t="inlineStr">
        <is>
          <t>process</t>
        </is>
      </c>
    </row>
    <row r="50">
      <c r="A50" t="inlineStr">
        <is>
          <t>unit</t>
        </is>
      </c>
      <c r="B50" t="inlineStr">
        <is>
          <t>kilogram</t>
        </is>
      </c>
    </row>
    <row r="51">
      <c r="A51" t="inlineStr">
        <is>
          <t>source</t>
        </is>
      </c>
      <c r="B51" t="inlineStr">
        <is>
          <t>Life cycle assessment of power-to-gas with biogas as the carbon source, Zhang et al., 2020, Sustainable Energy and Fuels, https://doi.org/10.1039/C9SE00986H</t>
        </is>
      </c>
    </row>
    <row r="52">
      <c r="A52" t="inlineStr">
        <is>
          <t>comment</t>
        </is>
      </c>
      <c r="B52" t="inlineStr">
        <is>
          <t>This includes the distribution to the fuelling station, the pipeline, the losses during distribution (assumed to be 2%), the fuelling station infrastructure, and the losses at the fuelling station, all taken and aggregated from ecoinvent.</t>
        </is>
      </c>
    </row>
    <row r="53" ht="16" customHeight="1">
      <c r="A53" s="1" t="inlineStr">
        <is>
          <t>Exchanges</t>
        </is>
      </c>
    </row>
    <row r="54">
      <c r="A54" t="inlineStr">
        <is>
          <t>name</t>
        </is>
      </c>
      <c r="B54" t="inlineStr">
        <is>
          <t>amount</t>
        </is>
      </c>
      <c r="C54" t="inlineStr">
        <is>
          <t>database</t>
        </is>
      </c>
      <c r="D54" t="inlineStr">
        <is>
          <t>location</t>
        </is>
      </c>
      <c r="E54" t="inlineStr">
        <is>
          <t>categories</t>
        </is>
      </c>
      <c r="F54" t="inlineStr">
        <is>
          <t>unit</t>
        </is>
      </c>
      <c r="G54" t="inlineStr">
        <is>
          <t>type</t>
        </is>
      </c>
      <c r="H54" t="inlineStr">
        <is>
          <t>reference product</t>
        </is>
      </c>
    </row>
    <row r="55">
      <c r="A55" t="inlineStr">
        <is>
          <t>Biomethane, gaseous, 5 bar, from sewage sludge fermentation, at fuelling station</t>
        </is>
      </c>
      <c r="B55" t="n">
        <v>1</v>
      </c>
      <c r="C55" t="inlineStr">
        <is>
          <t>biogas</t>
        </is>
      </c>
      <c r="D55" t="inlineStr">
        <is>
          <t>RER</t>
        </is>
      </c>
      <c r="F55" t="inlineStr">
        <is>
          <t>kilogram</t>
        </is>
      </c>
      <c r="G55" t="inlineStr">
        <is>
          <t>production</t>
        </is>
      </c>
      <c r="H55" t="inlineStr">
        <is>
          <t>biomethane, high pressure</t>
        </is>
      </c>
    </row>
    <row r="56">
      <c r="A56" t="inlineStr">
        <is>
          <t>biomethane production, from biogas upgrading, using amine scrubbing</t>
        </is>
      </c>
      <c r="B56" t="n">
        <v>1.02</v>
      </c>
      <c r="C56" t="inlineStr">
        <is>
          <t>biogas</t>
        </is>
      </c>
      <c r="D56" t="inlineStr">
        <is>
          <t>RER</t>
        </is>
      </c>
      <c r="F56" t="inlineStr">
        <is>
          <t>kilogram</t>
        </is>
      </c>
      <c r="G56" t="inlineStr">
        <is>
          <t>technosphere</t>
        </is>
      </c>
      <c r="H56" t="inlineStr">
        <is>
          <t>biomethane, from biogas upgrading, using amine scrubbing</t>
        </is>
      </c>
    </row>
    <row r="57" ht="16" customHeight="1">
      <c r="A57" s="4" t="inlineStr">
        <is>
          <t>market group for electricity, medium voltage</t>
        </is>
      </c>
      <c r="B57">
        <f>(0.0028236*0.669)+0.208</f>
        <v>0.2098889884</v>
      </c>
      <c r="C57" t="inlineStr">
        <is>
          <t>ecoinvent</t>
        </is>
      </c>
      <c r="D57" t="inlineStr">
        <is>
          <t>RER</t>
        </is>
      </c>
      <c r="F57" t="inlineStr">
        <is>
          <t>kilowatt hour</t>
        </is>
      </c>
      <c r="G57" t="inlineStr">
        <is>
          <t>technosphere</t>
        </is>
      </c>
      <c r="H57" s="4" t="inlineStr">
        <is>
          <t>electricity, medium voltage</t>
        </is>
      </c>
    </row>
    <row r="58">
      <c r="A58" t="inlineStr">
        <is>
          <t>heat and power co-generation, biogas, gas engine</t>
        </is>
      </c>
      <c r="B58">
        <f>0.061874*0.669</f>
        <v>4.1393706000000002E-2</v>
      </c>
      <c r="C58" t="inlineStr">
        <is>
          <t>ecoinvent</t>
        </is>
      </c>
      <c r="D58" t="inlineStr">
        <is>
          <t>CH</t>
        </is>
      </c>
      <c r="F58" t="inlineStr">
        <is>
          <t>megajoule</t>
        </is>
      </c>
      <c r="G58" t="inlineStr">
        <is>
          <t>technosphere</t>
        </is>
      </c>
      <c r="H58" t="inlineStr">
        <is>
          <t>heat, central or small-scale, other than natural gas</t>
        </is>
      </c>
    </row>
    <row r="59">
      <c r="A59" t="inlineStr">
        <is>
          <t>pipeline construction, natural gas, high pressure distribution network</t>
        </is>
      </c>
      <c r="B59">
        <f>0.000000034944*0.669</f>
        <v>2.3377536E-8</v>
      </c>
      <c r="C59" t="inlineStr">
        <is>
          <t>ecoinvent</t>
        </is>
      </c>
      <c r="D59" t="inlineStr">
        <is>
          <t>Europe without Switzerland</t>
        </is>
      </c>
      <c r="F59" t="inlineStr">
        <is>
          <t>kilometer</t>
        </is>
      </c>
      <c r="G59" t="inlineStr">
        <is>
          <t>technosphere</t>
        </is>
      </c>
      <c r="H59" t="inlineStr">
        <is>
          <t>pipeline, natural gas, high pressure distribution network</t>
        </is>
      </c>
    </row>
    <row r="60">
      <c r="A60" t="inlineStr">
        <is>
          <t>market for natural gas service station</t>
        </is>
      </c>
      <c r="B60" s="2" t="n">
        <v>8.48e-08</v>
      </c>
      <c r="C60" t="inlineStr">
        <is>
          <t>ecoinvent</t>
        </is>
      </c>
      <c r="D60" t="inlineStr">
        <is>
          <t>GLO</t>
        </is>
      </c>
      <c r="F60" t="inlineStr">
        <is>
          <t>unit</t>
        </is>
      </c>
      <c r="G60" t="inlineStr">
        <is>
          <t>technosphere</t>
        </is>
      </c>
      <c r="H60" t="inlineStr">
        <is>
          <t>natural gas service station</t>
        </is>
      </c>
    </row>
    <row r="61">
      <c r="A61" t="inlineStr">
        <is>
          <t>Carbon dioxide, non-fossil</t>
        </is>
      </c>
      <c r="B61">
        <f>(0.00000521*0.669)+0.000010376</f>
        <v>1.386149E-5</v>
      </c>
      <c r="C61" t="inlineStr">
        <is>
          <t>biosphere3</t>
        </is>
      </c>
      <c r="E61" t="inlineStr">
        <is>
          <t>air</t>
        </is>
      </c>
      <c r="F61" t="inlineStr">
        <is>
          <t>kilogram</t>
        </is>
      </c>
      <c r="G61" t="inlineStr">
        <is>
          <t>biosphere</t>
        </is>
      </c>
    </row>
    <row r="62">
      <c r="A62" t="inlineStr">
        <is>
          <t>Hydrogen sulfide</t>
        </is>
      </c>
      <c r="B62">
        <f>(0.000000000597*0.669)+0.000000004</f>
        <v>4.3993930000000006E-9</v>
      </c>
      <c r="C62" t="inlineStr">
        <is>
          <t>biosphere3</t>
        </is>
      </c>
      <c r="E62" t="inlineStr">
        <is>
          <t>air</t>
        </is>
      </c>
      <c r="F62" t="inlineStr">
        <is>
          <t>kilogram</t>
        </is>
      </c>
      <c r="G62" t="inlineStr">
        <is>
          <t>biosphere</t>
        </is>
      </c>
    </row>
    <row r="63">
      <c r="A63" t="inlineStr">
        <is>
          <t>Methane, non-fossil</t>
        </is>
      </c>
      <c r="B63">
        <f>(0.00018*0.669)+0.00018</f>
        <v>3.0042000000000003E-4</v>
      </c>
      <c r="C63" t="inlineStr">
        <is>
          <t>biosphere3</t>
        </is>
      </c>
      <c r="E63" t="inlineStr">
        <is>
          <t>air</t>
        </is>
      </c>
      <c r="F63" t="inlineStr">
        <is>
          <t>kilogram</t>
        </is>
      </c>
      <c r="G63" t="inlineStr">
        <is>
          <t>biosphere</t>
        </is>
      </c>
    </row>
    <row r="64">
      <c r="A64" t="inlineStr">
        <is>
          <t>Nitrogen</t>
        </is>
      </c>
      <c r="B64">
        <f>0.0000018*0.669</f>
        <v>1.2042E-6</v>
      </c>
      <c r="C64" t="inlineStr">
        <is>
          <t>biosphere3</t>
        </is>
      </c>
      <c r="E64" t="inlineStr">
        <is>
          <t>air</t>
        </is>
      </c>
      <c r="F64" t="inlineStr">
        <is>
          <t>kilogram</t>
        </is>
      </c>
      <c r="G64" t="inlineStr">
        <is>
          <t>biosphere</t>
        </is>
      </c>
    </row>
    <row r="65"/>
    <row r="66" ht="16" customHeight="1">
      <c r="A66" s="1" t="inlineStr">
        <is>
          <t>Activity</t>
        </is>
      </c>
      <c r="B66" s="1" t="inlineStr">
        <is>
          <t>biomethane production, from biogas upgrading, using amine scrubbing</t>
        </is>
      </c>
    </row>
    <row r="67">
      <c r="A67" t="inlineStr">
        <is>
          <t>comment</t>
        </is>
      </c>
      <c r="B67" t="inlineStr">
        <is>
          <t>Density: 0.669 kg/Nm3, LHV: 47.5 MJ/kg</t>
        </is>
      </c>
    </row>
    <row r="68">
      <c r="A68" t="inlineStr">
        <is>
          <t>location</t>
        </is>
      </c>
      <c r="B68" t="inlineStr">
        <is>
          <t>RER</t>
        </is>
      </c>
    </row>
    <row r="69">
      <c r="A69" t="inlineStr">
        <is>
          <t>production amount</t>
        </is>
      </c>
      <c r="B69" t="n">
        <v>1</v>
      </c>
    </row>
    <row r="70">
      <c r="A70" t="inlineStr">
        <is>
          <t>reference product</t>
        </is>
      </c>
      <c r="B70" t="inlineStr">
        <is>
          <t>biomethane, from biogas upgrading, using amine scrubbing</t>
        </is>
      </c>
    </row>
    <row r="71">
      <c r="A71" t="inlineStr">
        <is>
          <t>unit</t>
        </is>
      </c>
      <c r="B71" t="inlineStr">
        <is>
          <t>kilogram</t>
        </is>
      </c>
    </row>
    <row r="72">
      <c r="A72" t="inlineStr">
        <is>
          <t>source</t>
        </is>
      </c>
      <c r="B72" t="inlineStr">
        <is>
          <t>Life cycle assessment of power-to-gas with biogas as the carbon source, Zhang et al., 2020, Sustainable Energy and Fuels, https://doi.org/10.1039/C9SE00986H</t>
        </is>
      </c>
    </row>
    <row r="73" ht="16" customHeight="1">
      <c r="A73" s="1" t="inlineStr">
        <is>
          <t>Exchanges</t>
        </is>
      </c>
    </row>
    <row r="74">
      <c r="A74" t="inlineStr">
        <is>
          <t>name</t>
        </is>
      </c>
      <c r="B74" t="inlineStr">
        <is>
          <t>amount</t>
        </is>
      </c>
      <c r="C74" t="inlineStr">
        <is>
          <t>database</t>
        </is>
      </c>
      <c r="D74" t="inlineStr">
        <is>
          <t>location</t>
        </is>
      </c>
      <c r="E74" t="inlineStr">
        <is>
          <t>unit</t>
        </is>
      </c>
      <c r="F74" t="inlineStr">
        <is>
          <t>categories</t>
        </is>
      </c>
      <c r="G74" t="inlineStr">
        <is>
          <t>type</t>
        </is>
      </c>
      <c r="H74" t="inlineStr">
        <is>
          <t>formula</t>
        </is>
      </c>
      <c r="I74" t="inlineStr">
        <is>
          <t>comment</t>
        </is>
      </c>
      <c r="J74" t="inlineStr">
        <is>
          <t>reference product</t>
        </is>
      </c>
      <c r="K74" t="inlineStr">
        <is>
          <t>tag</t>
        </is>
      </c>
    </row>
    <row r="75">
      <c r="A75" t="inlineStr">
        <is>
          <t>Ammonia</t>
        </is>
      </c>
      <c r="B75" s="2" t="n">
        <v>0.0001838565022421525</v>
      </c>
      <c r="C75" t="inlineStr">
        <is>
          <t>biosphere3</t>
        </is>
      </c>
      <c r="E75" t="inlineStr">
        <is>
          <t>kilogram</t>
        </is>
      </c>
      <c r="F75" t="inlineStr">
        <is>
          <t>air</t>
        </is>
      </c>
      <c r="G75" t="inlineStr">
        <is>
          <t>biosphere</t>
        </is>
      </c>
      <c r="I75" t="inlineStr">
        <is>
          <t>as degradation product of MEA</t>
        </is>
      </c>
    </row>
    <row r="76">
      <c r="A76" t="inlineStr">
        <is>
          <t>Carbon dioxide, non-fossil</t>
        </is>
      </c>
      <c r="B76" s="8" t="n">
        <v>1.6816</v>
      </c>
      <c r="C76" t="inlineStr">
        <is>
          <t>biosphere3</t>
        </is>
      </c>
      <c r="E76" t="inlineStr">
        <is>
          <t>kilogram</t>
        </is>
      </c>
      <c r="F76" t="inlineStr">
        <is>
          <t>air</t>
        </is>
      </c>
      <c r="G76" t="inlineStr">
        <is>
          <t>biosphere</t>
        </is>
      </c>
      <c r="I76" t="inlineStr">
        <is>
          <t>assume 2% of carbon dioxide remains in product upgraded biogas (Jungbluth, 2007), and the rest is removed through upgrading</t>
        </is>
      </c>
    </row>
    <row r="77">
      <c r="A77" t="inlineStr">
        <is>
          <t>Hydrogen sulfide</t>
        </is>
      </c>
      <c r="B77" s="2" t="n">
        <v>5.213004484304932e-06</v>
      </c>
      <c r="C77" t="inlineStr">
        <is>
          <t>biosphere3</t>
        </is>
      </c>
      <c r="E77" t="inlineStr">
        <is>
          <t>kilogram</t>
        </is>
      </c>
      <c r="F77" t="inlineStr">
        <is>
          <t>air</t>
        </is>
      </c>
      <c r="G77" t="inlineStr">
        <is>
          <t>biosphere</t>
        </is>
      </c>
      <c r="I77" t="inlineStr">
        <is>
          <t>leak</t>
        </is>
      </c>
    </row>
    <row r="78">
      <c r="A78" t="inlineStr">
        <is>
          <t>Methane, non-fossil</t>
        </is>
      </c>
      <c r="B78" s="2" t="n">
        <v>0.0004286995515695066</v>
      </c>
      <c r="C78" t="inlineStr">
        <is>
          <t>biosphere3</t>
        </is>
      </c>
      <c r="E78" t="inlineStr">
        <is>
          <t>kilogram</t>
        </is>
      </c>
      <c r="F78" t="inlineStr">
        <is>
          <t>air</t>
        </is>
      </c>
      <c r="G78" t="inlineStr">
        <is>
          <t>biosphere</t>
        </is>
      </c>
      <c r="H78" t="inlineStr">
        <is>
          <t>AmineScrubbing_methane_leak</t>
        </is>
      </c>
      <c r="I78" t="inlineStr">
        <is>
          <t>leak</t>
        </is>
      </c>
    </row>
    <row r="79">
      <c r="A79" t="inlineStr">
        <is>
          <t>Monoethanolamine</t>
        </is>
      </c>
      <c r="B79" s="2" t="n">
        <v>8.968609865470851e-06</v>
      </c>
      <c r="C79" t="inlineStr">
        <is>
          <t>biosphere3</t>
        </is>
      </c>
      <c r="E79" t="inlineStr">
        <is>
          <t>kilogram</t>
        </is>
      </c>
      <c r="F79" t="inlineStr">
        <is>
          <t>air</t>
        </is>
      </c>
      <c r="G79" t="inlineStr">
        <is>
          <t>biosphere</t>
        </is>
      </c>
      <c r="I79" t="inlineStr">
        <is>
          <t>leak</t>
        </is>
      </c>
    </row>
    <row r="80">
      <c r="A80" t="inlineStr">
        <is>
          <t>Sulfur dioxide</t>
        </is>
      </c>
      <c r="B80" s="2" t="n">
        <v>0.0008244843049327353</v>
      </c>
      <c r="C80" t="inlineStr">
        <is>
          <t>biosphere3</t>
        </is>
      </c>
      <c r="E80" t="inlineStr">
        <is>
          <t>kilogram</t>
        </is>
      </c>
      <c r="F80" t="inlineStr">
        <is>
          <t>air</t>
        </is>
      </c>
      <c r="G80" t="inlineStr">
        <is>
          <t>biosphere</t>
        </is>
      </c>
      <c r="I80" t="inlineStr">
        <is>
          <t>H2S reacts with oxygen to produce S on activated carbon, assume S is further oxydized to SO2 to recover activated carbon</t>
        </is>
      </c>
    </row>
    <row r="81">
      <c r="A81" t="inlineStr">
        <is>
          <t>biomethane production, from biogas upgrading, using amine scrubbing</t>
        </is>
      </c>
      <c r="B81" t="n">
        <v>1</v>
      </c>
      <c r="C81" t="inlineStr">
        <is>
          <t>Car db</t>
        </is>
      </c>
      <c r="D81" t="inlineStr">
        <is>
          <t>RER</t>
        </is>
      </c>
      <c r="E81" t="inlineStr">
        <is>
          <t>kilogram</t>
        </is>
      </c>
      <c r="G81" t="inlineStr">
        <is>
          <t>production</t>
        </is>
      </c>
      <c r="I81" t="inlineStr">
        <is>
          <t>reference product</t>
        </is>
      </c>
      <c r="J81" t="inlineStr">
        <is>
          <t>biomethane, from biogas upgrading, using amine scrubbing</t>
        </is>
      </c>
    </row>
    <row r="82">
      <c r="A82" t="inlineStr">
        <is>
          <t>activated silica production</t>
        </is>
      </c>
      <c r="B82" s="2" t="n">
        <v>0.02816076567833478</v>
      </c>
      <c r="C82" t="inlineStr">
        <is>
          <t>ecoinvent</t>
        </is>
      </c>
      <c r="D82" t="inlineStr">
        <is>
          <t>GLO</t>
        </is>
      </c>
      <c r="E82" t="inlineStr">
        <is>
          <t>kilogram</t>
        </is>
      </c>
      <c r="G82" t="inlineStr">
        <is>
          <t>technosphere</t>
        </is>
      </c>
      <c r="I82" t="inlineStr">
        <is>
          <t>material used for water removal before biogas upgrading</t>
        </is>
      </c>
      <c r="J82" t="inlineStr">
        <is>
          <t>activated silica</t>
        </is>
      </c>
      <c r="K82" t="inlineStr">
        <is>
          <t>material during operation</t>
        </is>
      </c>
    </row>
    <row r="83">
      <c r="A83" t="inlineStr">
        <is>
          <t>market for activated carbon, granular</t>
        </is>
      </c>
      <c r="B83" s="2" t="n">
        <v>0.00110434375209156</v>
      </c>
      <c r="C83" t="inlineStr">
        <is>
          <t>ecoinvent</t>
        </is>
      </c>
      <c r="D83" t="inlineStr">
        <is>
          <t>GLO</t>
        </is>
      </c>
      <c r="E83" t="inlineStr">
        <is>
          <t>kilogram</t>
        </is>
      </c>
      <c r="G83" t="inlineStr">
        <is>
          <t>technosphere</t>
        </is>
      </c>
      <c r="I83" t="inlineStr">
        <is>
          <t>material consumption for desulphurisation</t>
        </is>
      </c>
      <c r="J83" t="inlineStr">
        <is>
          <t>activated carbon, granular</t>
        </is>
      </c>
      <c r="K83" t="inlineStr">
        <is>
          <t>material during operation</t>
        </is>
      </c>
    </row>
    <row r="84">
      <c r="A84" t="inlineStr">
        <is>
          <t>market for chemical factory, organics</t>
        </is>
      </c>
      <c r="B84" s="2" t="n">
        <v>5.979073243647235e-10</v>
      </c>
      <c r="C84" t="inlineStr">
        <is>
          <t>ecoinvent</t>
        </is>
      </c>
      <c r="D84" t="inlineStr">
        <is>
          <t>GLO</t>
        </is>
      </c>
      <c r="E84" t="inlineStr">
        <is>
          <t>unit</t>
        </is>
      </c>
      <c r="G84" t="inlineStr">
        <is>
          <t>technosphere</t>
        </is>
      </c>
      <c r="I84" t="inlineStr">
        <is>
          <t>conventional biogas upgrading facility; approximation based on ecoinvent background dataset for conventional biogas upgrading; including compressor, gas cleaning, upgrading, TSA</t>
        </is>
      </c>
      <c r="J84" t="inlineStr">
        <is>
          <t>chemical factory, organics</t>
        </is>
      </c>
      <c r="K84" t="inlineStr">
        <is>
          <t>facility</t>
        </is>
      </c>
    </row>
    <row r="85">
      <c r="A85" t="inlineStr">
        <is>
          <t>market for monoethanolamine</t>
        </is>
      </c>
      <c r="B85" s="2" t="n">
        <v>6.62606251254936e-05</v>
      </c>
      <c r="C85" t="inlineStr">
        <is>
          <t>ecoinvent</t>
        </is>
      </c>
      <c r="D85" t="inlineStr">
        <is>
          <t>GLO</t>
        </is>
      </c>
      <c r="E85" t="inlineStr">
        <is>
          <t>kilogram</t>
        </is>
      </c>
      <c r="G85" t="inlineStr">
        <is>
          <t>technosphere</t>
        </is>
      </c>
      <c r="I85" t="inlineStr">
        <is>
          <t>material consumption for gas upgrading</t>
        </is>
      </c>
      <c r="J85" t="inlineStr">
        <is>
          <t>monoethanolamine</t>
        </is>
      </c>
      <c r="K85" t="inlineStr">
        <is>
          <t>material during operation</t>
        </is>
      </c>
    </row>
    <row r="86">
      <c r="A86" t="inlineStr">
        <is>
          <t>market for water, deionised</t>
        </is>
      </c>
      <c r="B86" s="2" t="n">
        <v>0.06626062512549359</v>
      </c>
      <c r="C86" t="inlineStr">
        <is>
          <t>ecoinvent</t>
        </is>
      </c>
      <c r="D86" t="inlineStr">
        <is>
          <t>Europe without Switzerland</t>
        </is>
      </c>
      <c r="E86" t="inlineStr">
        <is>
          <t>kilogram</t>
        </is>
      </c>
      <c r="G86" t="inlineStr">
        <is>
          <t>technosphere</t>
        </is>
      </c>
      <c r="J86" t="inlineStr">
        <is>
          <t>water, deionised</t>
        </is>
      </c>
    </row>
    <row r="87">
      <c r="A87" t="inlineStr">
        <is>
          <t>market group for electricity, medium voltage</t>
        </is>
      </c>
      <c r="B87" s="2" t="n">
        <v>0.179372197309417</v>
      </c>
      <c r="C87" t="inlineStr">
        <is>
          <t>ecoinvent</t>
        </is>
      </c>
      <c r="D87" t="inlineStr">
        <is>
          <t>RER</t>
        </is>
      </c>
      <c r="E87" t="inlineStr">
        <is>
          <t>kilowatt hour</t>
        </is>
      </c>
      <c r="G87" t="inlineStr">
        <is>
          <t>technosphere</t>
        </is>
      </c>
      <c r="H87" t="inlineStr">
        <is>
          <t>AmineScrubbing_electricity_dmd</t>
        </is>
      </c>
      <c r="I87" t="inlineStr">
        <is>
          <t>electricity consumption required for compression of feed-in gas, conditioning, and product gas recovery</t>
        </is>
      </c>
      <c r="J87" t="inlineStr">
        <is>
          <t>electricity, medium voltage</t>
        </is>
      </c>
      <c r="K87" t="inlineStr">
        <is>
          <t>electricity</t>
        </is>
      </c>
    </row>
    <row r="88">
      <c r="A88" t="inlineStr">
        <is>
          <t>production of 2 wt-% potassium iodide solution</t>
        </is>
      </c>
      <c r="B88" s="2" t="n">
        <v>0.01145756642794993</v>
      </c>
      <c r="C88" t="inlineStr">
        <is>
          <t>Car db</t>
        </is>
      </c>
      <c r="D88" t="inlineStr">
        <is>
          <t>RER</t>
        </is>
      </c>
      <c r="E88" t="inlineStr">
        <is>
          <t>kilogram</t>
        </is>
      </c>
      <c r="G88" t="inlineStr">
        <is>
          <t>technosphere</t>
        </is>
      </c>
      <c r="I88" t="inlineStr">
        <is>
          <t>material consumption for desulphurisation, used together with activated carbon</t>
        </is>
      </c>
      <c r="J88" t="inlineStr">
        <is>
          <t>2 wt-% potassium iodide solution</t>
        </is>
      </c>
      <c r="K88" t="inlineStr">
        <is>
          <t>material during operation</t>
        </is>
      </c>
    </row>
    <row r="89">
      <c r="A89" t="inlineStr">
        <is>
          <t>treatment of sewage sludge by anaerobic digestion</t>
        </is>
      </c>
      <c r="B89" s="2" t="n">
        <v>2.20868750418312</v>
      </c>
      <c r="C89" t="inlineStr">
        <is>
          <t>ecoinvent</t>
        </is>
      </c>
      <c r="D89" t="inlineStr">
        <is>
          <t>CH</t>
        </is>
      </c>
      <c r="E89" t="inlineStr">
        <is>
          <t>cubic meter</t>
        </is>
      </c>
      <c r="G89" t="inlineStr">
        <is>
          <t>technosphere</t>
        </is>
      </c>
      <c r="J89" t="inlineStr">
        <is>
          <t>biogas</t>
        </is>
      </c>
    </row>
    <row r="90"/>
    <row r="91" ht="16" customHeight="1">
      <c r="A91" s="1" t="inlineStr">
        <is>
          <t>Activity</t>
        </is>
      </c>
      <c r="B91" s="1" t="inlineStr">
        <is>
          <t>production of 2 wt-% potassium iodide solution</t>
        </is>
      </c>
    </row>
    <row r="92">
      <c r="A92" t="inlineStr">
        <is>
          <t>code</t>
        </is>
      </c>
      <c r="B92" t="inlineStr">
        <is>
          <t>5baf9cc755ef7bd3bea235d9fb6e0cb8</t>
        </is>
      </c>
    </row>
    <row r="93">
      <c r="A93" t="inlineStr">
        <is>
          <t>location</t>
        </is>
      </c>
      <c r="B93" t="inlineStr">
        <is>
          <t>RER</t>
        </is>
      </c>
    </row>
    <row r="94">
      <c r="A94" t="inlineStr">
        <is>
          <t>production amount</t>
        </is>
      </c>
      <c r="B94" t="n">
        <v>1</v>
      </c>
    </row>
    <row r="95">
      <c r="A95" t="inlineStr">
        <is>
          <t>reference product</t>
        </is>
      </c>
      <c r="B95" t="inlineStr">
        <is>
          <t>2 wt-% potassium iodide solution</t>
        </is>
      </c>
    </row>
    <row r="96">
      <c r="A96" t="inlineStr">
        <is>
          <t>unit</t>
        </is>
      </c>
      <c r="B96" t="inlineStr">
        <is>
          <t>kilogram</t>
        </is>
      </c>
      <c r="M96" s="2" t="n"/>
    </row>
    <row r="97">
      <c r="A97" t="inlineStr">
        <is>
          <t>worksheet name</t>
        </is>
      </c>
      <c r="B97" t="inlineStr">
        <is>
          <t>Car db</t>
        </is>
      </c>
    </row>
    <row r="98">
      <c r="A98" t="inlineStr">
        <is>
          <t>source</t>
        </is>
      </c>
      <c r="B98" t="inlineStr">
        <is>
          <t>Life cycle assessment of power-to-gas with biogas as the carbon source, Zhang et al., 2020, Sustainable Energy and Fuels, https://doi.org/10.1039/C9SE00986H</t>
        </is>
      </c>
    </row>
    <row r="99" ht="16" customHeight="1">
      <c r="A99" s="1" t="inlineStr">
        <is>
          <t>Exchanges</t>
        </is>
      </c>
    </row>
    <row r="100">
      <c r="A100" t="inlineStr">
        <is>
          <t>name</t>
        </is>
      </c>
      <c r="B100" t="inlineStr">
        <is>
          <t>amount</t>
        </is>
      </c>
      <c r="C100" t="inlineStr">
        <is>
          <t>database</t>
        </is>
      </c>
      <c r="D100" t="inlineStr">
        <is>
          <t>location</t>
        </is>
      </c>
      <c r="E100" t="inlineStr">
        <is>
          <t>unit</t>
        </is>
      </c>
      <c r="F100" t="inlineStr">
        <is>
          <t>type</t>
        </is>
      </c>
      <c r="G100" t="inlineStr">
        <is>
          <t>Comment</t>
        </is>
      </c>
      <c r="H100" t="inlineStr">
        <is>
          <t>reference product</t>
        </is>
      </c>
    </row>
    <row r="101">
      <c r="A101" t="inlineStr">
        <is>
          <t>production of 2 wt-% potassium iodide solution</t>
        </is>
      </c>
      <c r="B101" t="n">
        <v>1</v>
      </c>
      <c r="C101" t="inlineStr">
        <is>
          <t>Car db</t>
        </is>
      </c>
      <c r="D101" t="inlineStr">
        <is>
          <t>RER</t>
        </is>
      </c>
      <c r="E101" t="inlineStr">
        <is>
          <t>kilogram</t>
        </is>
      </c>
      <c r="F101" t="inlineStr">
        <is>
          <t>production</t>
        </is>
      </c>
      <c r="H101" t="inlineStr">
        <is>
          <t>2 wt-% potassium iodide solution</t>
        </is>
      </c>
    </row>
    <row r="102">
      <c r="A102" t="inlineStr">
        <is>
          <t>heat production, natural gas, at boiler condensing modulating &gt;100kW</t>
        </is>
      </c>
      <c r="B102" t="n">
        <v>0.000238</v>
      </c>
      <c r="C102" t="inlineStr">
        <is>
          <t>ecoinvent</t>
        </is>
      </c>
      <c r="D102" t="inlineStr">
        <is>
          <t>Europe without Switzerland</t>
        </is>
      </c>
      <c r="E102" t="inlineStr">
        <is>
          <t>megajoule</t>
        </is>
      </c>
      <c r="F102" t="inlineStr">
        <is>
          <t>technosphere</t>
        </is>
      </c>
      <c r="H102" t="inlineStr">
        <is>
          <t>heat, district or industrial, natural gas</t>
        </is>
      </c>
    </row>
    <row r="103">
      <c r="A103" t="inlineStr">
        <is>
          <t>market for chemical factory</t>
        </is>
      </c>
      <c r="B103" t="n">
        <v>3.43396556480316e-10</v>
      </c>
      <c r="C103" t="inlineStr">
        <is>
          <t>ecoinvent</t>
        </is>
      </c>
      <c r="D103" t="inlineStr">
        <is>
          <t>GLO</t>
        </is>
      </c>
      <c r="E103" t="inlineStr">
        <is>
          <t>kilogram</t>
        </is>
      </c>
      <c r="F103" t="inlineStr">
        <is>
          <t>technosphere</t>
        </is>
      </c>
      <c r="G103" t="inlineStr">
        <is>
          <t>taken from process Sodium chloride electrolysis, RER</t>
        </is>
      </c>
      <c r="H103" t="inlineStr">
        <is>
          <t>chemical factory</t>
        </is>
      </c>
    </row>
    <row r="104">
      <c r="A104" t="inlineStr">
        <is>
          <t>market for iodine</t>
        </is>
      </c>
      <c r="B104" t="n">
        <v>0.01866</v>
      </c>
      <c r="C104" t="inlineStr">
        <is>
          <t>ecoinvent</t>
        </is>
      </c>
      <c r="D104" t="inlineStr">
        <is>
          <t>GLO</t>
        </is>
      </c>
      <c r="E104" t="inlineStr">
        <is>
          <t>kilogram</t>
        </is>
      </c>
      <c r="F104" t="inlineStr">
        <is>
          <t>technosphere</t>
        </is>
      </c>
      <c r="H104" t="inlineStr">
        <is>
          <t>iodine</t>
        </is>
      </c>
    </row>
    <row r="105">
      <c r="A105" t="inlineStr">
        <is>
          <t>market for potassium hydroxide</t>
        </is>
      </c>
      <c r="B105" t="n">
        <v>0.008100000000000001</v>
      </c>
      <c r="C105" t="inlineStr">
        <is>
          <t>ecoinvent</t>
        </is>
      </c>
      <c r="D105" t="inlineStr">
        <is>
          <t>GLO</t>
        </is>
      </c>
      <c r="E105" t="inlineStr">
        <is>
          <t>kilogram</t>
        </is>
      </c>
      <c r="F105" t="inlineStr">
        <is>
          <t>technosphere</t>
        </is>
      </c>
      <c r="H105" t="inlineStr">
        <is>
          <t>potassium hydroxide</t>
        </is>
      </c>
    </row>
    <row r="106">
      <c r="A106" t="inlineStr">
        <is>
          <t>market for water, deionised</t>
        </is>
      </c>
      <c r="B106" t="n">
        <v>0.996</v>
      </c>
      <c r="C106" t="inlineStr">
        <is>
          <t>ecoinvent</t>
        </is>
      </c>
      <c r="D106" t="inlineStr">
        <is>
          <t>Europe without Switzerland</t>
        </is>
      </c>
      <c r="E106" t="inlineStr">
        <is>
          <t>kilogram</t>
        </is>
      </c>
      <c r="F106" t="inlineStr">
        <is>
          <t>technosphere</t>
        </is>
      </c>
      <c r="H106" t="inlineStr">
        <is>
          <t>water, deionised</t>
        </is>
      </c>
    </row>
    <row r="107">
      <c r="A107" t="inlineStr">
        <is>
          <t>market group for electricity, medium voltage</t>
        </is>
      </c>
      <c r="B107" t="n">
        <v>0.0344</v>
      </c>
      <c r="C107" t="inlineStr">
        <is>
          <t>ecoinvent</t>
        </is>
      </c>
      <c r="D107" t="inlineStr">
        <is>
          <t>RER</t>
        </is>
      </c>
      <c r="E107" t="inlineStr">
        <is>
          <t>kilowatt hour</t>
        </is>
      </c>
      <c r="F107" t="inlineStr">
        <is>
          <t>technosphere</t>
        </is>
      </c>
      <c r="H107" t="inlineStr">
        <is>
          <t>electricity, medium voltage</t>
        </is>
      </c>
    </row>
  </sheetData>
  <pageMargins left="0.7" right="0.7" top="0.75" bottom="0.75" header="0.3" footer="0.3"/>
  <pageSetup orientation="portrait" paperSize="9" horizontalDpi="300" verticalDpi="30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Romain Sacchi</dc:creator>
  <dcterms:created xmlns:dcterms="http://purl.org/dc/terms/" xmlns:xsi="http://www.w3.org/2001/XMLSchema-instance" xsi:type="dcterms:W3CDTF">2020-03-25T12:48:26Z</dcterms:created>
  <dcterms:modified xmlns:dcterms="http://purl.org/dc/terms/" xmlns:xsi="http://www.w3.org/2001/XMLSchema-instance" xsi:type="dcterms:W3CDTF">2026-07-07T14:16:27Z</dcterms:modified>
  <cp:lastModifiedBy>Romain Sacchi</cp:lastModifiedBy>
</cp:coreProperties>
</file>