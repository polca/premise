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7FECC368-3476-44E1-804A-C45BE22211B6}"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06" i="1"/>
  <c r="B161" i="1"/>
  <c r="A165" i="1" s="1"/>
  <c r="B153" i="1"/>
  <c r="B154" i="1"/>
  <c r="G151" i="1"/>
  <c r="A151" i="1"/>
  <c r="G134" i="1" l="1"/>
  <c r="A134"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<sst xmlns="http://schemas.openxmlformats.org/spreadsheetml/2006/main" count="885" uniqueCount="208">
  <si>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</si>
  <si>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</si>
  <si>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</si>
  <si>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</si>
  <si>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</si>
  <si>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</si>
  <si>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</si>
  <si>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</si>
  <si>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</si>
  <si>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</si>
  <si>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</si>
  <si>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</si>
  <si>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</si>
  <si>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</si>
  <si>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</si>
  <si>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</si>
  <si>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</si>
  <si>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</si>
  <si>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</si>
  <si>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</si>
  <si>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</si>
  <si>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</si>
  <si>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</si>
  <si>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</si>
  <si>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</si>
  <si>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</si>
  <si>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</si>
  <si>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</si>
  <si>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</si>
  <si>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</si>
  <si>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</si>
  <si>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</si>
  <si>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</si>
  <si>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</si>
  <si>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</si>
  <si>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</si>
  <si>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</si>
  <si>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</si>
  <si>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</si>
  <si>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</si>
  <si>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</si>
  <si>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</si>
  <si>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</si>
  <si>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</si>
  <si>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</si>
  <si>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</si>
  <si>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</si>
  <si>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</si>
  <si>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</si>
  <si>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</si>
  <si>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</si>
  <si>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</si>
  <si>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</si>
  <si>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</si>
  <si>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</si>
  <si>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</si>
  <si>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</si>
  <si>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</si>
  <si>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</si>
  <si>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</si>
  <si>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</si>
  <si>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</si>
  <si>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</si>
  <si>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</si>
  <si>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</si>
  <si>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</si>
  <si>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</si>
  <si>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</si>
  <si>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</si>
  <si>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</si>
  <si>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</si>
  <si>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</si>
  <si>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</si>
  <si>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</si>
  <si>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</si>
  <si>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</si>
  <si>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</si>
  <si>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</si>
  <si>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</si>
  <si>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</si>
  <si>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</si>
  <si>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</si>
  <si>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</si>
  <si>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</si>
  <si>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</si>
  <si>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</si>
  <si>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</si>
  <si>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</si>
  <si>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</si>
  <si>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</si>
  <si>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</si>
  <si>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</si>
  <si>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</si>
  <si>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</si>
  <si>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</si>
  <si>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</si>
  <si>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</si>
  <si>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</si>
  <si>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</si>
  <si>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</si>
  <si>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</si>
  <si>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</si>
  <si>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</si>
  <si>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</si>
  <si>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</si>
  <si>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</si>
  <si>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</si>
  <si>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</si>
  <si>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</si>
  <si>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</si>
  <si>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</si>
  <si>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</si>
  <si>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</si>
  <si>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</si>
  <si>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</si>
  <si>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</si>
  <si>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</si>
  <si>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</si>
  <si>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</si>
  <si>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</si>
  <si>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</si>
  <si>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</si>
  <si>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</si>
  <si>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</si>
  <si>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</si>
  <si>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</si>
  <si>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</si>
  <si>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</si>
  <si>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</si>
  <si>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</si>
  <si>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</si>
  <si>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</si>
  <si>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</si>
  <si>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</si>
  <si>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</si>
  <si>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</si>
  <si>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</si>
  <si>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</si>
  <si>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</si>
  <si>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</si>
  <si>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</si>
  <si>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</si>
  <si>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</si>
  <si>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</si>
  <si>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</si>
  <si>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</si>
  <si>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</si>
  <si>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Production exchange added to match lci-ships workbook format. Original data in Table S22.</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</si>
  <si>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</si>
  <si>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</si>
  <si>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</si>
  <si>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</si>
  <si>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</si>
  <si>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</si>
  <si>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</si>
  <si>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</si>
  <si>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</si>
  <si>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</si>
  <si>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</si>
  <si>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</si>
  <si>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</si>
  <si>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</si>
  <si>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</si>
  <si>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</si>
  <si>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</si>
  <si>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</si>
  <si>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</si>
  <si>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</si>
  <si>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</si>
  <si>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</si>
  <si>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</si>
  <si>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Used as a proxy for compressor</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</si>
  <si>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</si>
  <si>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</si>
  <si>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</si>
  <si>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</si>
  <si>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</si>
  <si>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</si>
  <si>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</si>
  <si>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kg</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</si>
  <si>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</si>
  <si>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</si>
  <si>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</si>
  <si>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</si>
  <si>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</si>
  <si>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</si>
  <si>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</si>
  <si>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</si>
  <si>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</si>
  <si>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</si>
  <si>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</si>
  <si>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</si>
  <si>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</si>
  <si>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</si>
  <si>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</si>
  <si>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</si>
  <si>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</si>
  <si>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</si>
  <si>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</si>
  <si>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</si>
  <si>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</si>
  <si>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</si>
  <si>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</si>
  <si>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</si>
  <si>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</si>
  <si>
    <t>inert waste, for final disposal</t>
  </si>
  <si>
    <t>hydraulic lime</t>
  </si>
  <si>
    <t>market for hydraulic lime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</si>
</sst>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3"/>
  <sheetViews>
    <sheetView tabSelected="1" topLeftCell="A91" zoomScale="85" zoomScaleNormal="85" workbookViewId="0">
      <selection activeCell="B117" sqref="B117"/>
    </sheetView>
  </sheetViews>
  <sheetFormatPr baseColWidth="10" defaultColWidth="8.85546875" defaultRowHeight="15"/>
  <cols>
    <col min="1" max="1" width="82.7109375"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75">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75">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75">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75">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75">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75">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75">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75">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196</v>
      </c>
      <c r="C98" s="15"/>
      <c r="D98" s="15"/>
      <c r="E98" s="15"/>
      <c r="F98" s="15"/>
      <c r="G98" s="15"/>
      <c r="H98" s="15"/>
      <c r="I98" s="15"/>
      <c r="J98" s="15"/>
      <c r="K98" s="15"/>
      <c r="L98" s="15"/>
    </row>
    <row r="99" spans="1:12">
      <c r="A99" s="15" t="s">
        <v>53</v>
      </c>
      <c r="B99" s="15" t="s">
        <v>193</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75">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165</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197</v>
      </c>
      <c r="C112" s="15"/>
      <c r="D112" s="15"/>
      <c r="E112" s="15"/>
      <c r="F112" s="15"/>
      <c r="G112" s="15"/>
      <c r="H112" s="15"/>
      <c r="I112" s="15"/>
      <c r="J112" s="15"/>
      <c r="K112" s="15"/>
      <c r="L112" s="15"/>
    </row>
    <row r="113" spans="1:12">
      <c r="A113" s="15" t="s">
        <v>53</v>
      </c>
      <c r="B113" s="15" t="s">
        <v>194</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13</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13</v>
      </c>
      <c r="E119" s="15"/>
      <c r="F119" s="15" t="s">
        <v>16</v>
      </c>
      <c r="G119" s="15" t="s">
        <v>144</v>
      </c>
      <c r="H119" s="15" t="s">
        <v>147</v>
      </c>
      <c r="I119" s="15"/>
      <c r="J119" s="15"/>
      <c r="K119" s="15"/>
      <c r="L119" s="15"/>
    </row>
    <row r="120" spans="1:12">
      <c r="A120" s="15" t="s">
        <v>148</v>
      </c>
      <c r="B120" s="17">
        <v>595000</v>
      </c>
      <c r="C120" s="15" t="s">
        <v>8</v>
      </c>
      <c r="D120" s="15" t="s">
        <v>21</v>
      </c>
      <c r="E120" s="15"/>
      <c r="F120" s="15" t="s">
        <v>17</v>
      </c>
      <c r="G120" s="15" t="s">
        <v>161</v>
      </c>
      <c r="H120" s="15"/>
      <c r="I120" s="15"/>
      <c r="J120" s="15"/>
      <c r="K120" s="15"/>
      <c r="L120" s="15"/>
    </row>
    <row r="121" spans="1:12">
      <c r="A121" s="15" t="s">
        <v>149</v>
      </c>
      <c r="B121" s="17">
        <v>380000</v>
      </c>
      <c r="C121" s="15" t="s">
        <v>8</v>
      </c>
      <c r="D121" s="15" t="s">
        <v>21</v>
      </c>
      <c r="E121" s="15"/>
      <c r="F121" s="15" t="s">
        <v>17</v>
      </c>
      <c r="G121" s="15" t="s">
        <v>162</v>
      </c>
      <c r="H121" s="15"/>
      <c r="I121" s="15"/>
      <c r="J121" s="15"/>
      <c r="K121" s="15"/>
      <c r="L121" s="15"/>
    </row>
    <row r="122" spans="1:12">
      <c r="A122" s="15" t="s">
        <v>166</v>
      </c>
      <c r="B122" s="17">
        <v>20300</v>
      </c>
      <c r="C122" s="15" t="s">
        <v>8</v>
      </c>
      <c r="D122" s="15" t="s">
        <v>150</v>
      </c>
      <c r="E122" s="15"/>
      <c r="F122" s="15" t="s">
        <v>17</v>
      </c>
      <c r="G122" s="15" t="s">
        <v>167</v>
      </c>
      <c r="H122" s="15"/>
      <c r="I122" s="15"/>
      <c r="J122" s="15"/>
      <c r="K122" s="15"/>
      <c r="L122" s="15"/>
    </row>
    <row r="123" spans="1:12">
      <c r="A123" s="15" t="s">
        <v>151</v>
      </c>
      <c r="B123" s="17">
        <v>150000</v>
      </c>
      <c r="C123" s="15" t="s">
        <v>8</v>
      </c>
      <c r="D123" s="15" t="s">
        <v>21</v>
      </c>
      <c r="E123" s="15"/>
      <c r="F123" s="15" t="s">
        <v>17</v>
      </c>
      <c r="G123" s="15" t="s">
        <v>163</v>
      </c>
      <c r="H123" s="15"/>
      <c r="I123" s="15"/>
      <c r="J123" s="15"/>
      <c r="K123" s="15"/>
      <c r="L123" s="15"/>
    </row>
    <row r="124" spans="1:12">
      <c r="A124" s="15" t="s">
        <v>152</v>
      </c>
      <c r="B124" s="17">
        <v>140000</v>
      </c>
      <c r="C124" s="15" t="s">
        <v>8</v>
      </c>
      <c r="D124" s="15" t="s">
        <v>21</v>
      </c>
      <c r="E124" s="15"/>
      <c r="F124" s="15" t="s">
        <v>17</v>
      </c>
      <c r="G124" s="15" t="s">
        <v>164</v>
      </c>
      <c r="H124" s="15"/>
      <c r="I124" s="15"/>
      <c r="J124" s="15"/>
      <c r="K124" s="15"/>
      <c r="L124" s="15"/>
    </row>
    <row r="125" spans="1:12">
      <c r="A125" s="15"/>
      <c r="B125" s="12"/>
      <c r="C125" s="15"/>
      <c r="D125" s="15"/>
      <c r="E125" s="15"/>
      <c r="F125" s="15"/>
      <c r="G125" s="15"/>
      <c r="H125" s="15"/>
      <c r="I125" s="15"/>
      <c r="J125" s="15"/>
      <c r="K125" s="15"/>
      <c r="L125" s="15"/>
    </row>
    <row r="126" spans="1:12">
      <c r="A126" s="15" t="s">
        <v>2</v>
      </c>
      <c r="B126" s="13" t="s">
        <v>153</v>
      </c>
      <c r="C126" s="15"/>
      <c r="D126" s="15"/>
      <c r="E126" s="15"/>
      <c r="F126" s="15"/>
      <c r="G126" s="15"/>
      <c r="H126" s="15"/>
      <c r="I126" s="15"/>
      <c r="J126" s="15"/>
      <c r="K126" s="15"/>
      <c r="L126" s="15"/>
    </row>
    <row r="127" spans="1:12">
      <c r="A127" s="15" t="s">
        <v>6</v>
      </c>
      <c r="B127" s="15" t="s">
        <v>195</v>
      </c>
      <c r="C127" s="15"/>
      <c r="D127" s="15"/>
      <c r="E127" s="15"/>
      <c r="F127" s="15"/>
      <c r="G127" s="15"/>
      <c r="H127" s="15"/>
      <c r="I127" s="15"/>
      <c r="J127" s="15"/>
      <c r="K127" s="15"/>
      <c r="L127" s="15"/>
    </row>
    <row r="128" spans="1:12">
      <c r="A128" s="15" t="s">
        <v>53</v>
      </c>
      <c r="B128" s="15" t="s">
        <v>193</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
        <v>153</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gaseous hydrogen production</v>
      </c>
      <c r="B134" s="16">
        <v>1</v>
      </c>
      <c r="C134" s="15" t="s">
        <v>8</v>
      </c>
      <c r="D134" s="15" t="s">
        <v>21</v>
      </c>
      <c r="E134" s="15"/>
      <c r="F134" s="15" t="s">
        <v>16</v>
      </c>
      <c r="G134" s="15" t="str">
        <f>B130</f>
        <v>gaseous hydrogen production</v>
      </c>
      <c r="H134" s="15" t="s">
        <v>143</v>
      </c>
      <c r="I134" s="15"/>
      <c r="J134" s="15"/>
      <c r="K134" s="15"/>
      <c r="L134" s="15"/>
    </row>
    <row r="135" spans="1:12" ht="15.75">
      <c r="A135" s="3" t="s">
        <v>66</v>
      </c>
      <c r="B135">
        <f>B138</f>
        <v>3.0000000000000001E-3</v>
      </c>
      <c r="C135" t="s">
        <v>8</v>
      </c>
      <c r="D135" t="s">
        <v>21</v>
      </c>
      <c r="F135" t="s">
        <v>17</v>
      </c>
      <c r="G135" t="s">
        <v>67</v>
      </c>
      <c r="H135" t="s">
        <v>74</v>
      </c>
    </row>
    <row r="136" spans="1:12">
      <c r="A136" s="15" t="s">
        <v>144</v>
      </c>
      <c r="B136" s="17">
        <v>3.4299999999999999E-9</v>
      </c>
      <c r="C136" s="15" t="s">
        <v>8</v>
      </c>
      <c r="D136" s="15" t="s">
        <v>13</v>
      </c>
      <c r="E136" s="15"/>
      <c r="F136" s="15" t="s">
        <v>17</v>
      </c>
      <c r="G136" s="15" t="s">
        <v>144</v>
      </c>
      <c r="H136" s="15" t="s">
        <v>171</v>
      </c>
      <c r="I136" s="15"/>
      <c r="J136" s="15"/>
      <c r="K136" s="15"/>
      <c r="L136" s="15"/>
    </row>
    <row r="137" spans="1:12">
      <c r="A137" s="15" t="s">
        <v>146</v>
      </c>
      <c r="B137" s="16">
        <v>1.25</v>
      </c>
      <c r="C137" s="15" t="s">
        <v>8</v>
      </c>
      <c r="D137" s="15" t="s">
        <v>68</v>
      </c>
      <c r="E137" s="15"/>
      <c r="F137" s="15" t="s">
        <v>17</v>
      </c>
      <c r="G137" s="15" t="s">
        <v>165</v>
      </c>
      <c r="H137" s="15" t="s">
        <v>154</v>
      </c>
      <c r="I137" s="15"/>
      <c r="J137" s="15"/>
      <c r="K137" s="15"/>
      <c r="L137" s="15"/>
    </row>
    <row r="138" spans="1:12">
      <c r="A138" s="15" t="s">
        <v>71</v>
      </c>
      <c r="B138" s="16">
        <v>3.0000000000000001E-3</v>
      </c>
      <c r="C138" s="15"/>
      <c r="D138" s="15" t="s">
        <v>21</v>
      </c>
      <c r="E138" s="12" t="s">
        <v>30</v>
      </c>
      <c r="F138" s="15" t="s">
        <v>22</v>
      </c>
      <c r="G138" s="15"/>
      <c r="H138" s="15" t="s">
        <v>154</v>
      </c>
      <c r="I138" s="15"/>
      <c r="J138" s="15"/>
      <c r="K138" s="15"/>
      <c r="L138" s="15"/>
    </row>
    <row r="139" spans="1:12">
      <c r="A139" s="15" t="s">
        <v>160</v>
      </c>
      <c r="B139" s="12">
        <v>3.8000000000000002E-4</v>
      </c>
      <c r="C139" s="15"/>
      <c r="D139" s="15" t="s">
        <v>150</v>
      </c>
      <c r="E139" s="15" t="s">
        <v>155</v>
      </c>
      <c r="F139" s="15" t="s">
        <v>22</v>
      </c>
      <c r="G139" s="15"/>
      <c r="H139" s="15" t="s">
        <v>154</v>
      </c>
      <c r="I139" s="15"/>
      <c r="J139" s="15"/>
      <c r="K139" s="15"/>
      <c r="L139" s="15"/>
    </row>
    <row r="140" spans="1:12">
      <c r="A140" s="15" t="s">
        <v>157</v>
      </c>
      <c r="B140" s="15">
        <v>9.4600000000000004E-2</v>
      </c>
      <c r="C140" s="15"/>
      <c r="D140" s="15" t="s">
        <v>150</v>
      </c>
      <c r="E140" s="15" t="s">
        <v>156</v>
      </c>
      <c r="F140" s="15" t="s">
        <v>22</v>
      </c>
      <c r="G140" s="15"/>
      <c r="H140" s="15" t="s">
        <v>154</v>
      </c>
      <c r="I140" s="15"/>
      <c r="J140" s="15"/>
      <c r="K140" s="15"/>
      <c r="L140" s="15"/>
    </row>
    <row r="141" spans="1:12">
      <c r="A141" s="15" t="s">
        <v>158</v>
      </c>
      <c r="B141" s="15">
        <v>9.5000000000000001E-2</v>
      </c>
      <c r="C141" s="15"/>
      <c r="D141" s="15" t="s">
        <v>150</v>
      </c>
      <c r="E141" s="15" t="s">
        <v>159</v>
      </c>
      <c r="F141" s="15" t="s">
        <v>22</v>
      </c>
      <c r="G141" s="15"/>
      <c r="H141" s="15" t="s">
        <v>154</v>
      </c>
      <c r="I141" s="15"/>
      <c r="J141" s="15"/>
      <c r="K141" s="15"/>
      <c r="L141" s="15"/>
    </row>
    <row r="142" spans="1:12">
      <c r="A142" s="15"/>
      <c r="B142" s="15"/>
      <c r="C142" s="15"/>
      <c r="D142" s="15"/>
      <c r="E142" s="15"/>
      <c r="F142" s="15"/>
      <c r="G142" s="15"/>
      <c r="H142" s="15"/>
      <c r="I142" s="15"/>
      <c r="J142" s="15"/>
      <c r="K142" s="15"/>
      <c r="L142" s="15"/>
    </row>
    <row r="143" spans="1:12">
      <c r="A143" s="15" t="s">
        <v>2</v>
      </c>
      <c r="B143" s="13" t="s">
        <v>168</v>
      </c>
      <c r="C143" s="15"/>
      <c r="D143" s="15"/>
      <c r="E143" s="15"/>
      <c r="F143" s="15"/>
      <c r="G143" s="15"/>
      <c r="H143" s="15"/>
      <c r="I143" s="15"/>
      <c r="J143" s="15"/>
      <c r="K143" s="15"/>
      <c r="L143" s="15"/>
    </row>
    <row r="144" spans="1:12">
      <c r="A144" s="15" t="s">
        <v>6</v>
      </c>
      <c r="B144" s="15" t="s">
        <v>176</v>
      </c>
      <c r="C144" s="15"/>
      <c r="D144" s="15"/>
      <c r="E144" s="15"/>
      <c r="F144" s="15"/>
      <c r="G144" s="15"/>
      <c r="H144" s="15"/>
      <c r="I144" s="15"/>
      <c r="J144" s="15"/>
      <c r="K144" s="15"/>
      <c r="L144" s="15"/>
    </row>
    <row r="145" spans="1:12">
      <c r="A145" s="15" t="s">
        <v>53</v>
      </c>
      <c r="B145" s="15" t="s">
        <v>193</v>
      </c>
      <c r="C145" s="15"/>
      <c r="D145" s="15"/>
      <c r="E145" s="15"/>
      <c r="F145" s="15"/>
      <c r="G145" s="15"/>
      <c r="H145" s="15"/>
      <c r="I145" s="15"/>
      <c r="J145" s="15"/>
      <c r="K145" s="15"/>
      <c r="L145" s="15"/>
    </row>
    <row r="146" spans="1:12">
      <c r="A146" s="15" t="s">
        <v>7</v>
      </c>
      <c r="B146" s="15" t="s">
        <v>8</v>
      </c>
      <c r="C146" s="15"/>
      <c r="D146" s="15"/>
      <c r="E146" s="15"/>
      <c r="F146" s="15"/>
      <c r="G146" s="15"/>
      <c r="H146" s="15"/>
      <c r="I146" s="15"/>
      <c r="J146" s="15"/>
      <c r="K146" s="15"/>
      <c r="L146" s="15"/>
    </row>
    <row r="147" spans="1:12">
      <c r="A147" s="15" t="s">
        <v>14</v>
      </c>
      <c r="B147" s="15" t="s">
        <v>168</v>
      </c>
      <c r="C147" s="15"/>
      <c r="D147" s="15"/>
      <c r="E147" s="15"/>
      <c r="F147" s="15"/>
      <c r="G147" s="15"/>
      <c r="H147" s="15"/>
      <c r="I147" s="15"/>
      <c r="J147" s="15"/>
      <c r="K147" s="15"/>
      <c r="L147" s="15"/>
    </row>
    <row r="148" spans="1:12">
      <c r="A148" s="15" t="s">
        <v>13</v>
      </c>
      <c r="B148" s="15" t="s">
        <v>13</v>
      </c>
      <c r="C148" s="15"/>
      <c r="D148" s="15"/>
      <c r="E148" s="15"/>
      <c r="F148" s="15"/>
      <c r="G148" s="15"/>
      <c r="H148" s="15"/>
      <c r="I148" s="15"/>
      <c r="J148" s="15"/>
      <c r="K148" s="15"/>
      <c r="L148" s="15"/>
    </row>
    <row r="149" spans="1:12">
      <c r="A149" s="15" t="s">
        <v>10</v>
      </c>
      <c r="B149" s="15"/>
      <c r="C149" s="15"/>
      <c r="D149" s="15"/>
      <c r="E149" s="15"/>
      <c r="F149" s="15"/>
      <c r="G149" s="15"/>
      <c r="H149" s="15"/>
      <c r="I149" s="15"/>
      <c r="J149" s="15"/>
      <c r="K149" s="15"/>
      <c r="L149" s="15"/>
    </row>
    <row r="150" spans="1:12">
      <c r="A150" s="15" t="s">
        <v>11</v>
      </c>
      <c r="B150" s="15" t="s">
        <v>12</v>
      </c>
      <c r="C150" s="15" t="s">
        <v>7</v>
      </c>
      <c r="D150" s="15" t="s">
        <v>13</v>
      </c>
      <c r="E150" s="15" t="s">
        <v>19</v>
      </c>
      <c r="F150" s="15" t="s">
        <v>9</v>
      </c>
      <c r="G150" s="15" t="s">
        <v>14</v>
      </c>
      <c r="H150" s="15" t="s">
        <v>6</v>
      </c>
      <c r="I150" s="15" t="s">
        <v>18</v>
      </c>
      <c r="J150" s="15" t="s">
        <v>140</v>
      </c>
      <c r="K150" s="15" t="s">
        <v>141</v>
      </c>
      <c r="L150" s="15" t="s">
        <v>142</v>
      </c>
    </row>
    <row r="151" spans="1:12">
      <c r="A151" s="15" t="str">
        <f>B147</f>
        <v>ammonia cracking</v>
      </c>
      <c r="B151" s="16">
        <v>1</v>
      </c>
      <c r="C151" s="15" t="s">
        <v>8</v>
      </c>
      <c r="D151" s="15" t="s">
        <v>13</v>
      </c>
      <c r="E151" s="15"/>
      <c r="F151" s="15" t="s">
        <v>16</v>
      </c>
      <c r="G151" s="15" t="str">
        <f>B147</f>
        <v>ammonia cracking</v>
      </c>
      <c r="H151" s="15" t="s">
        <v>143</v>
      </c>
      <c r="I151" s="15"/>
      <c r="J151" s="15"/>
      <c r="K151" s="15"/>
      <c r="L151" s="15"/>
    </row>
    <row r="152" spans="1:12" ht="15.75">
      <c r="A152" s="3" t="s">
        <v>66</v>
      </c>
      <c r="B152">
        <v>0.35</v>
      </c>
      <c r="C152" t="s">
        <v>69</v>
      </c>
      <c r="D152" t="s">
        <v>21</v>
      </c>
      <c r="F152" t="s">
        <v>17</v>
      </c>
      <c r="G152" t="s">
        <v>67</v>
      </c>
      <c r="H152" t="s">
        <v>204</v>
      </c>
    </row>
    <row r="153" spans="1:12">
      <c r="A153" s="15" t="s">
        <v>169</v>
      </c>
      <c r="B153" s="17">
        <f>1/(28*300*50)</f>
        <v>2.3809523809523808E-6</v>
      </c>
      <c r="C153" s="15" t="s">
        <v>8</v>
      </c>
      <c r="D153" s="15" t="s">
        <v>13</v>
      </c>
      <c r="E153" s="15"/>
      <c r="F153" s="15" t="s">
        <v>17</v>
      </c>
      <c r="G153" s="15" t="s">
        <v>170</v>
      </c>
      <c r="H153" s="15" t="s">
        <v>175</v>
      </c>
      <c r="I153" s="15"/>
      <c r="J153" s="15"/>
      <c r="K153" s="15"/>
      <c r="L153" s="15"/>
    </row>
    <row r="154" spans="1:12">
      <c r="A154" s="15" t="s">
        <v>172</v>
      </c>
      <c r="B154" s="17">
        <f>1/(28*300*50)</f>
        <v>2.3809523809523808E-6</v>
      </c>
      <c r="C154" s="15" t="s">
        <v>8</v>
      </c>
      <c r="D154" s="15" t="s">
        <v>13</v>
      </c>
      <c r="E154" s="15"/>
      <c r="F154" s="15" t="s">
        <v>17</v>
      </c>
      <c r="G154" s="15" t="s">
        <v>173</v>
      </c>
      <c r="H154" s="15" t="s">
        <v>174</v>
      </c>
      <c r="I154" s="15"/>
      <c r="J154" s="15"/>
      <c r="K154" s="15"/>
      <c r="L154" s="15"/>
    </row>
    <row r="155" spans="1:12">
      <c r="A155" s="15" t="s">
        <v>146</v>
      </c>
      <c r="B155" s="16">
        <v>0.6</v>
      </c>
      <c r="C155" s="15" t="s">
        <v>8</v>
      </c>
      <c r="D155" s="15" t="s">
        <v>68</v>
      </c>
      <c r="E155" s="15"/>
      <c r="F155" s="15" t="s">
        <v>17</v>
      </c>
      <c r="G155" s="15" t="s">
        <v>165</v>
      </c>
      <c r="H155" s="15" t="s">
        <v>154</v>
      </c>
      <c r="I155" s="15"/>
      <c r="J155" s="15"/>
      <c r="K155" s="15"/>
      <c r="L155" s="15"/>
    </row>
    <row r="157" spans="1:12">
      <c r="A157" t="s">
        <v>2</v>
      </c>
      <c r="B157" s="13" t="s">
        <v>177</v>
      </c>
    </row>
    <row r="158" spans="1:12">
      <c r="A158" t="s">
        <v>6</v>
      </c>
      <c r="B158" t="s">
        <v>191</v>
      </c>
    </row>
    <row r="159" spans="1:12">
      <c r="A159" t="s">
        <v>53</v>
      </c>
      <c r="B159" t="s">
        <v>192</v>
      </c>
    </row>
    <row r="160" spans="1:12">
      <c r="A160" t="s">
        <v>7</v>
      </c>
      <c r="B160" t="s">
        <v>8</v>
      </c>
    </row>
    <row r="161" spans="1:12">
      <c r="A161" t="s">
        <v>14</v>
      </c>
      <c r="B161" t="str">
        <f>B157</f>
        <v>liquid ammonia production</v>
      </c>
    </row>
    <row r="162" spans="1:12">
      <c r="A162" t="s">
        <v>13</v>
      </c>
      <c r="B162" t="s">
        <v>21</v>
      </c>
    </row>
    <row r="163" spans="1:12">
      <c r="A163" t="s">
        <v>10</v>
      </c>
    </row>
    <row r="164" spans="1:12">
      <c r="A164" t="s">
        <v>11</v>
      </c>
      <c r="B164" t="s">
        <v>12</v>
      </c>
      <c r="C164" t="s">
        <v>7</v>
      </c>
      <c r="D164" t="s">
        <v>13</v>
      </c>
      <c r="E164" t="s">
        <v>19</v>
      </c>
      <c r="F164" t="s">
        <v>9</v>
      </c>
      <c r="G164" t="s">
        <v>14</v>
      </c>
      <c r="H164" t="s">
        <v>6</v>
      </c>
      <c r="I164" t="s">
        <v>18</v>
      </c>
      <c r="J164" t="s">
        <v>140</v>
      </c>
      <c r="K164" t="s">
        <v>141</v>
      </c>
      <c r="L164" t="s">
        <v>142</v>
      </c>
    </row>
    <row r="165" spans="1:12">
      <c r="A165" t="str">
        <f>B161</f>
        <v>liquid ammonia production</v>
      </c>
      <c r="B165" s="18">
        <v>1</v>
      </c>
      <c r="C165" t="s">
        <v>8</v>
      </c>
      <c r="D165" t="s">
        <v>13</v>
      </c>
      <c r="F165" t="s">
        <v>16</v>
      </c>
      <c r="G165" t="s">
        <v>178</v>
      </c>
      <c r="H165" t="s">
        <v>180</v>
      </c>
    </row>
    <row r="166" spans="1:12">
      <c r="A166" t="s">
        <v>182</v>
      </c>
      <c r="B166" s="18">
        <v>0.81499999999999995</v>
      </c>
      <c r="C166" t="s">
        <v>8</v>
      </c>
      <c r="D166" t="s">
        <v>21</v>
      </c>
      <c r="F166" t="s">
        <v>17</v>
      </c>
      <c r="G166" t="s">
        <v>182</v>
      </c>
      <c r="H166" t="s">
        <v>145</v>
      </c>
    </row>
    <row r="167" spans="1:12">
      <c r="A167" t="s">
        <v>183</v>
      </c>
      <c r="B167" s="18">
        <v>5.1499999999999998E-5</v>
      </c>
      <c r="C167" t="s">
        <v>8</v>
      </c>
      <c r="D167" t="s">
        <v>21</v>
      </c>
      <c r="F167" t="s">
        <v>17</v>
      </c>
      <c r="G167" t="s">
        <v>183</v>
      </c>
      <c r="H167" t="s">
        <v>145</v>
      </c>
    </row>
    <row r="168" spans="1:12">
      <c r="A168" t="s">
        <v>172</v>
      </c>
      <c r="B168" s="18">
        <v>3.29E-10</v>
      </c>
      <c r="C168" t="s">
        <v>8</v>
      </c>
      <c r="D168" t="s">
        <v>13</v>
      </c>
      <c r="F168" t="s">
        <v>17</v>
      </c>
      <c r="G168" t="s">
        <v>173</v>
      </c>
    </row>
    <row r="169" spans="1:12">
      <c r="A169" t="s">
        <v>146</v>
      </c>
      <c r="B169" s="18">
        <v>1.44</v>
      </c>
      <c r="C169" t="s">
        <v>8</v>
      </c>
      <c r="D169" t="s">
        <v>68</v>
      </c>
      <c r="F169" t="s">
        <v>17</v>
      </c>
      <c r="G169" t="s">
        <v>165</v>
      </c>
    </row>
    <row r="170" spans="1:12">
      <c r="A170" t="s">
        <v>184</v>
      </c>
      <c r="B170" s="18">
        <v>5.1499999999999998E-5</v>
      </c>
      <c r="C170" t="s">
        <v>8</v>
      </c>
      <c r="D170" t="s">
        <v>21</v>
      </c>
      <c r="F170" t="s">
        <v>17</v>
      </c>
      <c r="G170" t="s">
        <v>205</v>
      </c>
    </row>
    <row r="171" spans="1:12">
      <c r="A171" t="s">
        <v>158</v>
      </c>
      <c r="B171" s="18">
        <v>0.14899999999999999</v>
      </c>
      <c r="D171" t="s">
        <v>150</v>
      </c>
      <c r="E171" s="15" t="s">
        <v>159</v>
      </c>
      <c r="F171" t="s">
        <v>22</v>
      </c>
    </row>
    <row r="172" spans="1:12">
      <c r="A172" t="s">
        <v>71</v>
      </c>
      <c r="B172" s="18">
        <v>7.67E-4</v>
      </c>
      <c r="D172" t="s">
        <v>21</v>
      </c>
      <c r="E172" s="12" t="s">
        <v>30</v>
      </c>
      <c r="F172" t="s">
        <v>22</v>
      </c>
    </row>
    <row r="173" spans="1:12">
      <c r="A173" t="s">
        <v>20</v>
      </c>
      <c r="B173" s="18">
        <v>1.6299999999999999E-3</v>
      </c>
      <c r="D173" t="s">
        <v>21</v>
      </c>
      <c r="E173" s="12" t="s">
        <v>30</v>
      </c>
      <c r="F173" t="s">
        <v>22</v>
      </c>
    </row>
    <row r="174" spans="1:12">
      <c r="A174" t="s">
        <v>25</v>
      </c>
      <c r="B174" s="18">
        <v>1E-3</v>
      </c>
      <c r="D174" t="s">
        <v>21</v>
      </c>
      <c r="E174" s="12" t="s">
        <v>30</v>
      </c>
      <c r="F174" t="s">
        <v>22</v>
      </c>
    </row>
    <row r="175" spans="1:12">
      <c r="A175" t="s">
        <v>157</v>
      </c>
      <c r="B175" s="18">
        <v>4.7600000000000003E-2</v>
      </c>
      <c r="D175" t="s">
        <v>150</v>
      </c>
      <c r="E175" s="12" t="s">
        <v>30</v>
      </c>
      <c r="F175" t="s">
        <v>22</v>
      </c>
    </row>
    <row r="176" spans="1:12">
      <c r="A176" t="s">
        <v>157</v>
      </c>
      <c r="B176" s="18">
        <v>0.10100000000000001</v>
      </c>
      <c r="D176" t="s">
        <v>150</v>
      </c>
      <c r="E176" s="15" t="s">
        <v>156</v>
      </c>
      <c r="F176" t="s">
        <v>22</v>
      </c>
    </row>
    <row r="178" spans="1:12">
      <c r="A178" t="s">
        <v>2</v>
      </c>
      <c r="B178" s="13" t="s">
        <v>182</v>
      </c>
    </row>
    <row r="179" spans="1:12">
      <c r="A179" t="s">
        <v>6</v>
      </c>
      <c r="B179" t="s">
        <v>198</v>
      </c>
    </row>
    <row r="180" spans="1:12">
      <c r="A180" t="s">
        <v>53</v>
      </c>
      <c r="B180" t="s">
        <v>202</v>
      </c>
    </row>
    <row r="181" spans="1:12">
      <c r="A181" t="s">
        <v>7</v>
      </c>
      <c r="B181" t="s">
        <v>8</v>
      </c>
    </row>
    <row r="182" spans="1:12">
      <c r="A182" t="s">
        <v>14</v>
      </c>
      <c r="B182" t="s">
        <v>182</v>
      </c>
    </row>
    <row r="183" spans="1:12">
      <c r="A183" t="s">
        <v>13</v>
      </c>
      <c r="B183" t="s">
        <v>21</v>
      </c>
    </row>
    <row r="184" spans="1:12">
      <c r="A184" t="s">
        <v>10</v>
      </c>
    </row>
    <row r="185" spans="1:12">
      <c r="A185" t="s">
        <v>11</v>
      </c>
      <c r="B185" t="s">
        <v>12</v>
      </c>
      <c r="C185" t="s">
        <v>7</v>
      </c>
      <c r="D185" t="s">
        <v>13</v>
      </c>
      <c r="E185" t="s">
        <v>19</v>
      </c>
      <c r="F185" t="s">
        <v>9</v>
      </c>
      <c r="G185" t="s">
        <v>14</v>
      </c>
      <c r="H185" t="s">
        <v>6</v>
      </c>
      <c r="I185" t="s">
        <v>18</v>
      </c>
      <c r="J185" t="s">
        <v>140</v>
      </c>
      <c r="K185" t="s">
        <v>141</v>
      </c>
      <c r="L185" t="s">
        <v>142</v>
      </c>
    </row>
    <row r="186" spans="1:12">
      <c r="A186" t="s">
        <v>182</v>
      </c>
      <c r="B186" s="18">
        <v>1</v>
      </c>
      <c r="C186" t="s">
        <v>8</v>
      </c>
      <c r="D186" t="s">
        <v>21</v>
      </c>
      <c r="F186" t="s">
        <v>16</v>
      </c>
      <c r="G186" t="s">
        <v>182</v>
      </c>
      <c r="H186" t="s">
        <v>185</v>
      </c>
    </row>
    <row r="187" spans="1:12">
      <c r="A187" t="s">
        <v>186</v>
      </c>
      <c r="B187" s="18">
        <v>4.4300000000000002E-10</v>
      </c>
      <c r="C187" t="s">
        <v>8</v>
      </c>
      <c r="D187" t="s">
        <v>13</v>
      </c>
      <c r="F187" t="s">
        <v>17</v>
      </c>
      <c r="G187" t="s">
        <v>201</v>
      </c>
    </row>
    <row r="188" spans="1:12">
      <c r="A188" t="s">
        <v>158</v>
      </c>
      <c r="B188" s="18">
        <v>4.0000000000000001E-3</v>
      </c>
      <c r="D188" t="s">
        <v>150</v>
      </c>
      <c r="E188" s="15" t="s">
        <v>159</v>
      </c>
      <c r="F188" t="s">
        <v>22</v>
      </c>
    </row>
    <row r="189" spans="1:12">
      <c r="A189" t="s">
        <v>157</v>
      </c>
      <c r="B189" s="18">
        <v>2.4499999999999999E-3</v>
      </c>
      <c r="D189" t="s">
        <v>150</v>
      </c>
      <c r="E189" s="15" t="s">
        <v>156</v>
      </c>
      <c r="F189" t="s">
        <v>22</v>
      </c>
    </row>
    <row r="191" spans="1:12">
      <c r="A191" t="s">
        <v>2</v>
      </c>
      <c r="B191" s="13" t="s">
        <v>183</v>
      </c>
    </row>
    <row r="192" spans="1:12">
      <c r="A192" t="s">
        <v>6</v>
      </c>
      <c r="B192" t="s">
        <v>187</v>
      </c>
    </row>
    <row r="193" spans="1:12">
      <c r="A193" t="s">
        <v>53</v>
      </c>
      <c r="B193" t="s">
        <v>203</v>
      </c>
    </row>
    <row r="194" spans="1:12">
      <c r="A194" t="s">
        <v>7</v>
      </c>
      <c r="B194" t="s">
        <v>8</v>
      </c>
    </row>
    <row r="195" spans="1:12">
      <c r="A195" t="s">
        <v>14</v>
      </c>
      <c r="B195" t="s">
        <v>183</v>
      </c>
    </row>
    <row r="196" spans="1:12">
      <c r="A196" t="s">
        <v>13</v>
      </c>
      <c r="B196" t="s">
        <v>179</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183</v>
      </c>
      <c r="B199" s="18">
        <v>1</v>
      </c>
      <c r="C199" t="s">
        <v>8</v>
      </c>
      <c r="D199" t="s">
        <v>21</v>
      </c>
      <c r="F199" t="s">
        <v>16</v>
      </c>
      <c r="G199" t="s">
        <v>183</v>
      </c>
      <c r="H199" t="s">
        <v>188</v>
      </c>
    </row>
    <row r="200" spans="1:12">
      <c r="A200" t="s">
        <v>189</v>
      </c>
      <c r="B200" s="18">
        <v>0.91700000000000004</v>
      </c>
      <c r="C200" t="s">
        <v>8</v>
      </c>
      <c r="D200" t="s">
        <v>21</v>
      </c>
      <c r="F200" t="s">
        <v>17</v>
      </c>
      <c r="G200" t="s">
        <v>199</v>
      </c>
    </row>
    <row r="201" spans="1:12">
      <c r="A201" t="s">
        <v>207</v>
      </c>
      <c r="B201" s="18">
        <v>0.03</v>
      </c>
      <c r="C201" t="s">
        <v>8</v>
      </c>
      <c r="D201" t="s">
        <v>21</v>
      </c>
      <c r="F201" t="s">
        <v>17</v>
      </c>
      <c r="G201" t="s">
        <v>206</v>
      </c>
    </row>
    <row r="202" spans="1:12">
      <c r="A202" t="s">
        <v>190</v>
      </c>
      <c r="B202" s="18">
        <v>5.2499999999999998E-2</v>
      </c>
      <c r="C202" t="s">
        <v>8</v>
      </c>
      <c r="D202" t="s">
        <v>21</v>
      </c>
      <c r="F202" t="s">
        <v>17</v>
      </c>
      <c r="G202" t="s">
        <v>200</v>
      </c>
    </row>
    <row r="203" spans="1:12">
      <c r="A203" t="s">
        <v>146</v>
      </c>
      <c r="B203" s="18">
        <v>1.78</v>
      </c>
      <c r="C203" t="s">
        <v>8</v>
      </c>
      <c r="D203" t="s">
        <v>68</v>
      </c>
      <c r="F203" t="s">
        <v>17</v>
      </c>
      <c r="G203" t="s">
        <v>165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5"/>
  <sheetData>
    <row r="1" spans="1:12">
      <c r="A1" t="s">
        <v>57</v>
      </c>
    </row>
    <row r="3" spans="1:12" ht="15.75">
      <c r="A3" s="3" t="s">
        <v>66</v>
      </c>
      <c r="B3">
        <v>200.74</v>
      </c>
      <c r="C3" t="s">
        <v>8</v>
      </c>
      <c r="D3" t="s">
        <v>21</v>
      </c>
      <c r="F3" t="s">
        <v>17</v>
      </c>
      <c r="G3" t="s">
        <v>135</v>
      </c>
    </row>
    <row r="4" spans="1:12" ht="15.75">
      <c r="A4" s="3" t="s">
        <v>66</v>
      </c>
      <c r="B4" s="14">
        <v>1.0162</v>
      </c>
      <c r="C4" s="2" t="s">
        <v>8</v>
      </c>
      <c r="D4" s="2" t="s">
        <v>21</v>
      </c>
      <c r="F4" s="2" t="s">
        <v>17</v>
      </c>
      <c r="G4" s="3" t="s">
        <v>66</v>
      </c>
      <c r="H4" s="2"/>
      <c r="I4" s="2"/>
      <c r="J4" s="2"/>
      <c r="K4" s="2"/>
      <c r="L4" s="2"/>
    </row>
    <row r="5" spans="1:12" ht="15.75">
      <c r="A5" s="3" t="s">
        <v>66</v>
      </c>
      <c r="B5" s="14">
        <v>1.0162</v>
      </c>
      <c r="C5" s="2" t="s">
        <v>8</v>
      </c>
      <c r="D5" s="2" t="s">
        <v>21</v>
      </c>
      <c r="F5" s="2" t="s">
        <v>17</v>
      </c>
      <c r="G5" s="3" t="s">
        <v>66</v>
      </c>
      <c r="H5" s="2"/>
      <c r="I5" s="2"/>
      <c r="J5" s="2"/>
      <c r="K5" s="2"/>
      <c r="L5" s="2"/>
    </row>
    <row r="6" spans="1:12">
      <c r="A6" t="s">
        <v>181</v>
      </c>
      <c r="B6" s="18">
        <v>0.17599999999999999</v>
      </c>
      <c r="C6" t="s">
        <v>8</v>
      </c>
      <c r="D6" t="s">
        <v>21</v>
      </c>
      <c r="F6" t="s">
        <v>17</v>
      </c>
      <c r="G6" t="s">
        <v>181</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5">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2026-08-13T14:48:55Z</dcterms:modified>
</cp:coreProperties>
</file>