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B9CE762F-1924-4B06-9DE6-7DBB6433CE37}"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99" i="1" l="1"/>
  <c r="A91" i="1" l="1"/>
  <c r="H91" i="1" s="1"/>
  <c r="B94" i="1"/>
  <c r="B101" i="1"/>
  <c r="B102" i="1"/>
  <c r="B103" i="1"/>
  <c r="B104" i="1"/>
  <c r="B105" i="1"/>
  <c r="B106" i="1"/>
  <c r="B107" i="1"/>
  <c r="B108" i="1"/>
  <c r="B109" i="1"/>
  <c r="B110" i="1"/>
  <c r="A59" i="1"/>
  <c r="H59" i="1" s="1"/>
  <c r="B60" i="1"/>
  <c r="B62" i="1"/>
  <c r="B67" i="1"/>
  <c r="B69" i="1"/>
  <c r="B70" i="1"/>
  <c r="B71" i="1"/>
  <c r="B72" i="1"/>
  <c r="B73" i="1"/>
  <c r="B74" i="1"/>
  <c r="B75" i="1"/>
  <c r="B76" i="1"/>
  <c r="B77" i="1"/>
  <c r="B78" i="1"/>
  <c r="C9" i="5" l="1"/>
  <c r="D9" i="5"/>
  <c r="B31" i="1" l="1"/>
  <c r="B44" i="1" l="1"/>
  <c r="B29" i="1"/>
  <c r="B14" i="1"/>
  <c r="B15" i="1" l="1"/>
  <c r="A12" i="1" l="1"/>
  <c r="B32" i="1"/>
  <c r="B30" i="1"/>
  <c r="B16" i="1"/>
  <c r="B43" i="1" l="1"/>
  <c r="A43" i="1"/>
  <c r="B27" i="1"/>
  <c r="A27" i="1"/>
  <c r="B12" i="1"/>
</calcChain>
</file>

<file path=xl/sharedStrings.xml><?xml version="1.0" encoding="utf-8"?>
<sst xmlns="http://schemas.openxmlformats.org/spreadsheetml/2006/main" count="514" uniqueCount="144">
  <si>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</si>
  <si>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</si>
  <si>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</si>
  <si>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</si>
  <si>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</si>
  <si>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</si>
  <si>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</si>
  <si>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</si>
  <si>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</si>
  <si>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</si>
  <si>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</si>
  <si>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</si>
  <si>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</si>
  <si>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</si>
  <si>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</si>
  <si>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</si>
  <si>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</si>
  <si>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</si>
  <si>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</si>
  <si>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</si>
  <si>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</si>
  <si>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</si>
  <si>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</si>
  <si>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</si>
  <si>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</si>
  <si>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</si>
  <si>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</si>
  <si>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</si>
  <si>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</si>
  <si>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</si>
  <si>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</si>
  <si>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</si>
  <si>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</si>
  <si>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</si>
  <si>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</si>
  <si>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</si>
  <si>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</si>
  <si>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</si>
  <si>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</si>
  <si>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</si>
  <si>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</si>
  <si>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</si>
  <si>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</si>
  <si>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</si>
  <si>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</si>
  <si>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</si>
  <si>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</si>
  <si>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</si>
  <si>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</si>
  <si>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</si>
  <si>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</si>
  <si>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</si>
  <si>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</si>
  <si>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</si>
  <si>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</si>
  <si>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</si>
  <si>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</si>
  <si>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</si>
  <si>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</si>
  <si>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</si>
  <si>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</si>
  <si>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</si>
  <si>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</si>
  <si>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</si>
  <si>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</si>
  <si>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</si>
  <si>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market for transport, freight, sea, tanker for liquefied natural gas, heavy fuel oil</t>
  </si>
  <si>
    <t>transport, freight, sea, tanker for liquefied natural gas, heavy fuel oil</t>
  </si>
  <si>
    <t>air</t>
  </si>
  <si>
    <t>market for hydrogen, gaseous, low pressure</t>
  </si>
  <si>
    <t>hydrogen, gaseous, low pressure</t>
  </si>
  <si>
    <t>LCI for liquid hydrogen transport for 1 tkm. Storage tank taken from the hydrogen-distribution dataset. Ship is market average. Boil-off losses are 3 % and 1.65 % during liquefaction (Reuß et al. 2019)</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</si>
  <si>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</si>
  <si>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</si>
  <si>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</si>
  <si>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</si>
  <si>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</si>
  <si>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</si>
  <si>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</si>
  <si>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</si>
  <si>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</si>
  <si>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</si>
  <si>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electricity needed for liquefaction, Stoltenberg et al; electricity needed for evaporation</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</si>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</sst>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6">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tabSelected="1" topLeftCell="A83" zoomScale="85" zoomScaleNormal="85" workbookViewId="0">
      <selection activeCell="C99" sqref="C99"/>
    </sheetView>
  </sheetViews>
  <sheetFormatPr baseColWidth="10" defaultColWidth="8.88671875" defaultRowHeight="14.4"/>
  <cols>
    <col min="1" max="1" width="82.6640625"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52</v>
      </c>
    </row>
    <row r="3" spans="1:9" ht="15.6">
      <c r="A3" s="1" t="s">
        <v>2</v>
      </c>
      <c r="B3" s="1" t="s">
        <v>74</v>
      </c>
    </row>
    <row r="4" spans="1:9">
      <c r="A4" t="s">
        <v>7</v>
      </c>
      <c r="B4" t="s">
        <v>8</v>
      </c>
    </row>
    <row r="5" spans="1:9">
      <c r="A5" t="s">
        <v>60</v>
      </c>
      <c r="B5">
        <v>1</v>
      </c>
    </row>
    <row r="6" spans="1:9">
      <c r="A6" t="s">
        <v>14</v>
      </c>
      <c r="B6" t="s">
        <v>74</v>
      </c>
    </row>
    <row r="7" spans="1:9">
      <c r="A7" t="s">
        <v>13</v>
      </c>
      <c r="B7" t="s">
        <v>15</v>
      </c>
    </row>
    <row r="8" spans="1:9">
      <c r="A8" t="s">
        <v>53</v>
      </c>
    </row>
    <row r="9" spans="1:9">
      <c r="A9" t="s">
        <v>6</v>
      </c>
      <c r="B9" t="s">
        <v>62</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74</v>
      </c>
    </row>
    <row r="13" spans="1:9" ht="15.6">
      <c r="A13" s="3" t="s">
        <v>80</v>
      </c>
      <c r="B13">
        <v>1</v>
      </c>
      <c r="C13" t="s">
        <v>73</v>
      </c>
      <c r="D13" t="s">
        <v>15</v>
      </c>
      <c r="F13" t="s">
        <v>17</v>
      </c>
      <c r="G13" t="s">
        <v>79</v>
      </c>
      <c r="I13" t="s">
        <v>76</v>
      </c>
    </row>
    <row r="14" spans="1:9">
      <c r="A14" t="s">
        <v>59</v>
      </c>
      <c r="B14">
        <f>1*1000/540000</f>
        <v>1.8518518518518519E-3</v>
      </c>
      <c r="C14" t="s">
        <v>8</v>
      </c>
      <c r="D14" t="s">
        <v>21</v>
      </c>
      <c r="F14" t="s">
        <v>17</v>
      </c>
      <c r="G14" t="s">
        <v>59</v>
      </c>
      <c r="I14" t="s">
        <v>61</v>
      </c>
    </row>
    <row r="15" spans="1:9" ht="15.6">
      <c r="A15" s="3" t="s">
        <v>69</v>
      </c>
      <c r="B15">
        <f>1000*0.005</f>
        <v>5</v>
      </c>
      <c r="C15" t="s">
        <v>73</v>
      </c>
      <c r="D15" t="s">
        <v>21</v>
      </c>
      <c r="F15" t="s">
        <v>17</v>
      </c>
      <c r="G15" t="s">
        <v>70</v>
      </c>
      <c r="I15" t="s">
        <v>78</v>
      </c>
    </row>
    <row r="16" spans="1:9">
      <c r="A16" t="s">
        <v>75</v>
      </c>
      <c r="B16">
        <f>1000*0.005</f>
        <v>5</v>
      </c>
      <c r="D16" t="s">
        <v>21</v>
      </c>
      <c r="E16" t="s">
        <v>68</v>
      </c>
      <c r="F16" t="s">
        <v>22</v>
      </c>
      <c r="I16" t="s">
        <v>77</v>
      </c>
    </row>
    <row r="18" spans="1:9" ht="15.6">
      <c r="A18" s="1" t="s">
        <v>2</v>
      </c>
      <c r="B18" s="1" t="s">
        <v>81</v>
      </c>
    </row>
    <row r="19" spans="1:9">
      <c r="A19" t="s">
        <v>7</v>
      </c>
      <c r="B19" t="s">
        <v>8</v>
      </c>
    </row>
    <row r="20" spans="1:9">
      <c r="A20" t="s">
        <v>60</v>
      </c>
      <c r="B20">
        <v>1</v>
      </c>
    </row>
    <row r="21" spans="1:9">
      <c r="A21" t="s">
        <v>14</v>
      </c>
      <c r="B21" t="s">
        <v>81</v>
      </c>
    </row>
    <row r="22" spans="1:9">
      <c r="A22" t="s">
        <v>13</v>
      </c>
      <c r="B22" t="s">
        <v>15</v>
      </c>
    </row>
    <row r="23" spans="1:9">
      <c r="A23" t="s">
        <v>53</v>
      </c>
    </row>
    <row r="24" spans="1:9">
      <c r="A24" t="s">
        <v>6</v>
      </c>
      <c r="B24" t="s">
        <v>63</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81</v>
      </c>
    </row>
    <row r="28" spans="1:9" ht="15.6">
      <c r="A28" s="3" t="s">
        <v>80</v>
      </c>
      <c r="B28">
        <v>1</v>
      </c>
      <c r="C28" t="s">
        <v>73</v>
      </c>
      <c r="D28" t="s">
        <v>15</v>
      </c>
      <c r="F28" t="s">
        <v>17</v>
      </c>
      <c r="G28" t="s">
        <v>79</v>
      </c>
      <c r="I28" t="s">
        <v>76</v>
      </c>
    </row>
    <row r="29" spans="1:9">
      <c r="A29" t="s">
        <v>59</v>
      </c>
      <c r="B29">
        <f>1*1000/540000</f>
        <v>1.8518518518518519E-3</v>
      </c>
      <c r="C29" t="s">
        <v>8</v>
      </c>
      <c r="D29" t="s">
        <v>21</v>
      </c>
      <c r="F29" t="s">
        <v>17</v>
      </c>
      <c r="G29" t="s">
        <v>59</v>
      </c>
      <c r="I29" t="s">
        <v>61</v>
      </c>
    </row>
    <row r="30" spans="1:9" ht="15.6">
      <c r="A30" s="3" t="s">
        <v>69</v>
      </c>
      <c r="B30">
        <f>1000*0.01625</f>
        <v>16.25</v>
      </c>
      <c r="C30" t="s">
        <v>73</v>
      </c>
      <c r="D30" t="s">
        <v>21</v>
      </c>
      <c r="F30" t="s">
        <v>17</v>
      </c>
      <c r="G30" t="s">
        <v>70</v>
      </c>
      <c r="I30" t="s">
        <v>78</v>
      </c>
    </row>
    <row r="31" spans="1:9">
      <c r="A31" t="s">
        <v>83</v>
      </c>
      <c r="B31">
        <f>1000*(6.78+0.6)</f>
        <v>7380</v>
      </c>
      <c r="C31" t="s">
        <v>73</v>
      </c>
      <c r="D31" t="s">
        <v>72</v>
      </c>
      <c r="F31" t="s">
        <v>17</v>
      </c>
      <c r="G31" t="s">
        <v>65</v>
      </c>
      <c r="I31" t="s">
        <v>82</v>
      </c>
    </row>
    <row r="32" spans="1:9">
      <c r="A32" t="s">
        <v>75</v>
      </c>
      <c r="B32">
        <f>1000*0.01625</f>
        <v>16.25</v>
      </c>
      <c r="D32" t="s">
        <v>21</v>
      </c>
      <c r="E32" t="s">
        <v>68</v>
      </c>
      <c r="F32" t="s">
        <v>22</v>
      </c>
      <c r="I32" t="s">
        <v>77</v>
      </c>
    </row>
    <row r="34" spans="1:9" ht="15.6">
      <c r="A34" s="1" t="s">
        <v>2</v>
      </c>
      <c r="B34" s="1" t="s">
        <v>64</v>
      </c>
    </row>
    <row r="35" spans="1:9">
      <c r="A35" t="s">
        <v>7</v>
      </c>
      <c r="B35" t="s">
        <v>8</v>
      </c>
    </row>
    <row r="36" spans="1:9">
      <c r="A36" t="s">
        <v>60</v>
      </c>
      <c r="B36">
        <v>1</v>
      </c>
    </row>
    <row r="37" spans="1:9">
      <c r="A37" t="s">
        <v>14</v>
      </c>
      <c r="B37" t="s">
        <v>64</v>
      </c>
    </row>
    <row r="38" spans="1:9">
      <c r="A38" t="s">
        <v>13</v>
      </c>
      <c r="B38" t="s">
        <v>15</v>
      </c>
    </row>
    <row r="39" spans="1:9">
      <c r="A39" t="s">
        <v>53</v>
      </c>
    </row>
    <row r="40" spans="1:9">
      <c r="A40" t="s">
        <v>6</v>
      </c>
      <c r="B40" t="s">
        <v>71</v>
      </c>
    </row>
    <row r="41" spans="1:9" ht="15.6">
      <c r="A41" s="1" t="s">
        <v>10</v>
      </c>
    </row>
    <row r="42" spans="1:9">
      <c r="A42" t="s">
        <v>11</v>
      </c>
      <c r="B42" t="s">
        <v>12</v>
      </c>
      <c r="C42" t="s">
        <v>7</v>
      </c>
      <c r="D42" t="s">
        <v>13</v>
      </c>
      <c r="E42" t="s">
        <v>19</v>
      </c>
      <c r="F42" t="s">
        <v>9</v>
      </c>
      <c r="G42" t="s">
        <v>14</v>
      </c>
      <c r="H42" t="s">
        <v>18</v>
      </c>
      <c r="I42" t="s">
        <v>6</v>
      </c>
    </row>
    <row r="43" spans="1:9">
      <c r="A43" t="str">
        <f>B37</f>
        <v>transport, freight, sea, tanker for liquefied hydrogen, heavy fuel oil</v>
      </c>
      <c r="B43">
        <f>B36</f>
        <v>1</v>
      </c>
      <c r="C43" t="s">
        <v>8</v>
      </c>
      <c r="D43" t="s">
        <v>15</v>
      </c>
      <c r="F43" t="s">
        <v>16</v>
      </c>
      <c r="G43" t="s">
        <v>64</v>
      </c>
    </row>
    <row r="44" spans="1:9">
      <c r="A44" t="s">
        <v>59</v>
      </c>
      <c r="B44">
        <f>1000*1/540000</f>
        <v>1.8518518518518519E-3</v>
      </c>
      <c r="C44" t="s">
        <v>8</v>
      </c>
      <c r="D44" t="s">
        <v>21</v>
      </c>
      <c r="F44" t="s">
        <v>17</v>
      </c>
      <c r="G44" t="s">
        <v>59</v>
      </c>
    </row>
    <row r="45" spans="1:9" ht="15.6">
      <c r="A45" s="3" t="s">
        <v>69</v>
      </c>
      <c r="B45">
        <v>5.0000000000000001E-3</v>
      </c>
      <c r="C45" t="s">
        <v>73</v>
      </c>
      <c r="D45" t="s">
        <v>21</v>
      </c>
      <c r="F45" t="s">
        <v>17</v>
      </c>
      <c r="G45" t="s">
        <v>70</v>
      </c>
    </row>
    <row r="46" spans="1:9">
      <c r="A46" t="s">
        <v>66</v>
      </c>
      <c r="B46">
        <v>1</v>
      </c>
      <c r="C46" t="s">
        <v>8</v>
      </c>
      <c r="D46" t="s">
        <v>15</v>
      </c>
      <c r="F46" t="s">
        <v>17</v>
      </c>
      <c r="G46" t="s">
        <v>67</v>
      </c>
    </row>
    <row r="48" spans="1:9" ht="15.6">
      <c r="A48" s="4" t="s">
        <v>2</v>
      </c>
      <c r="B48" s="4" t="s">
        <v>84</v>
      </c>
      <c r="C48" s="5"/>
      <c r="D48" s="5"/>
      <c r="E48" s="5"/>
      <c r="F48" s="5"/>
      <c r="G48" s="5"/>
      <c r="H48" s="5"/>
    </row>
    <row r="49" spans="1:8">
      <c r="A49" s="5" t="s">
        <v>3</v>
      </c>
      <c r="B49" s="5" t="s">
        <v>29</v>
      </c>
      <c r="C49" s="5"/>
      <c r="D49" s="5"/>
      <c r="E49" s="5"/>
      <c r="F49" s="5"/>
      <c r="G49" s="5"/>
      <c r="H49" s="5"/>
    </row>
    <row r="50" spans="1:8">
      <c r="A50" s="5" t="s">
        <v>4</v>
      </c>
      <c r="B50" s="5" t="s">
        <v>1</v>
      </c>
      <c r="C50" s="5"/>
      <c r="D50" s="5"/>
      <c r="E50" s="5"/>
      <c r="F50" s="5"/>
      <c r="G50" s="5"/>
      <c r="H50" s="5"/>
    </row>
    <row r="51" spans="1:8">
      <c r="A51" s="5" t="s">
        <v>5</v>
      </c>
      <c r="B51" s="5" t="s">
        <v>55</v>
      </c>
      <c r="C51" s="5"/>
      <c r="D51" s="5"/>
      <c r="E51" s="5"/>
      <c r="F51" s="5"/>
      <c r="G51" s="5"/>
      <c r="H51" s="5"/>
    </row>
    <row r="52" spans="1:8" ht="11.25" customHeight="1">
      <c r="A52" s="5" t="s">
        <v>6</v>
      </c>
      <c r="B52" s="11" t="s">
        <v>142</v>
      </c>
      <c r="C52" s="5"/>
      <c r="D52" s="5"/>
      <c r="E52" s="5"/>
      <c r="F52" s="5"/>
      <c r="G52" s="5"/>
      <c r="H52" s="5"/>
    </row>
    <row r="53" spans="1:8">
      <c r="A53" s="5" t="s">
        <v>53</v>
      </c>
      <c r="B53" s="5" t="s">
        <v>54</v>
      </c>
      <c r="C53" s="5"/>
      <c r="D53" s="5"/>
      <c r="E53" s="5"/>
      <c r="F53" s="5"/>
      <c r="G53" s="5"/>
      <c r="H53" s="5"/>
    </row>
    <row r="54" spans="1:8">
      <c r="A54" s="5" t="s">
        <v>7</v>
      </c>
      <c r="B54" s="5" t="s">
        <v>8</v>
      </c>
      <c r="C54" s="5"/>
      <c r="D54" s="5"/>
      <c r="E54" s="5"/>
      <c r="F54" s="5"/>
      <c r="G54" s="5"/>
      <c r="H54" s="5"/>
    </row>
    <row r="55" spans="1:8">
      <c r="A55" s="5" t="s">
        <v>14</v>
      </c>
      <c r="B55" s="12" t="s">
        <v>84</v>
      </c>
      <c r="C55" s="5"/>
      <c r="D55" s="5"/>
      <c r="E55" s="5"/>
      <c r="F55" s="5"/>
      <c r="G55" s="5"/>
      <c r="H55" s="5"/>
    </row>
    <row r="56" spans="1:8">
      <c r="A56" s="5" t="s">
        <v>13</v>
      </c>
      <c r="B56" s="5" t="s">
        <v>15</v>
      </c>
      <c r="C56" s="5"/>
      <c r="D56" s="5"/>
      <c r="E56" s="5"/>
      <c r="F56" s="5"/>
      <c r="G56" s="5"/>
      <c r="H56" s="5"/>
    </row>
    <row r="57" spans="1:8" ht="15.6">
      <c r="A57" s="4" t="s">
        <v>10</v>
      </c>
      <c r="B57" s="5"/>
      <c r="C57" s="5"/>
      <c r="D57" s="5"/>
      <c r="E57" s="5"/>
      <c r="F57" s="5"/>
      <c r="G57" s="5"/>
      <c r="H57" s="5"/>
    </row>
    <row r="58" spans="1:8">
      <c r="A58" s="5" t="s">
        <v>11</v>
      </c>
      <c r="B58" s="5" t="s">
        <v>12</v>
      </c>
      <c r="C58" s="5" t="s">
        <v>7</v>
      </c>
      <c r="D58" s="5" t="s">
        <v>13</v>
      </c>
      <c r="E58" s="5" t="s">
        <v>19</v>
      </c>
      <c r="F58" s="5" t="s">
        <v>9</v>
      </c>
      <c r="G58" s="5" t="s">
        <v>6</v>
      </c>
      <c r="H58" s="5" t="s">
        <v>14</v>
      </c>
    </row>
    <row r="59" spans="1:8">
      <c r="A59" s="6" t="str">
        <f>B55</f>
        <v>transport, freight, sea, tanker for liquefied ammonia, ammonia and mgo</v>
      </c>
      <c r="B59" s="5">
        <v>1</v>
      </c>
      <c r="C59" s="5" t="s">
        <v>8</v>
      </c>
      <c r="D59" s="5" t="s">
        <v>15</v>
      </c>
      <c r="E59" s="5"/>
      <c r="F59" s="5" t="s">
        <v>16</v>
      </c>
      <c r="G59" s="5"/>
      <c r="H59" s="5" t="str">
        <f>A59</f>
        <v>transport, freight, sea, tanker for liquefied ammonia, ammonia and mgo</v>
      </c>
    </row>
    <row r="60" spans="1:8">
      <c r="A60" s="5" t="s">
        <v>58</v>
      </c>
      <c r="B60" s="5">
        <f>parameters!D5/1000</f>
        <v>5.0618999999999994E-3</v>
      </c>
      <c r="C60" s="12" t="s">
        <v>143</v>
      </c>
      <c r="D60" s="5" t="s">
        <v>21</v>
      </c>
      <c r="E60" s="5"/>
      <c r="F60" s="5" t="s">
        <v>17</v>
      </c>
      <c r="G60" s="6" t="s">
        <v>85</v>
      </c>
      <c r="H60" s="5" t="s">
        <v>36</v>
      </c>
    </row>
    <row r="61" spans="1:8">
      <c r="A61" s="5" t="s">
        <v>37</v>
      </c>
      <c r="B61" s="5">
        <v>-1.2999999999999999E-5</v>
      </c>
      <c r="C61" s="12" t="s">
        <v>143</v>
      </c>
      <c r="D61" s="5" t="s">
        <v>21</v>
      </c>
      <c r="E61" s="5"/>
      <c r="F61" s="5" t="s">
        <v>17</v>
      </c>
      <c r="G61" s="5" t="s">
        <v>38</v>
      </c>
      <c r="H61" s="5" t="s">
        <v>39</v>
      </c>
    </row>
    <row r="62" spans="1:8">
      <c r="A62" s="5" t="s">
        <v>40</v>
      </c>
      <c r="B62" s="5">
        <f>parameters!D7/1000</f>
        <v>1.147E-4</v>
      </c>
      <c r="C62" s="12" t="s">
        <v>143</v>
      </c>
      <c r="D62" s="5" t="s">
        <v>21</v>
      </c>
      <c r="E62" s="5"/>
      <c r="F62" s="5" t="s">
        <v>17</v>
      </c>
      <c r="G62" s="6" t="s">
        <v>86</v>
      </c>
      <c r="H62" s="5" t="s">
        <v>41</v>
      </c>
    </row>
    <row r="63" spans="1:8">
      <c r="A63" s="5" t="s">
        <v>42</v>
      </c>
      <c r="B63" s="5">
        <v>1.0593999999999999E-11</v>
      </c>
      <c r="C63" s="5" t="s">
        <v>8</v>
      </c>
      <c r="D63" s="5" t="s">
        <v>13</v>
      </c>
      <c r="E63" s="5"/>
      <c r="F63" s="5" t="s">
        <v>17</v>
      </c>
      <c r="G63" s="5" t="s">
        <v>43</v>
      </c>
      <c r="H63" s="5" t="s">
        <v>44</v>
      </c>
    </row>
    <row r="64" spans="1:8">
      <c r="A64" s="5" t="s">
        <v>27</v>
      </c>
      <c r="B64" s="5">
        <v>1.3798099999999999E-16</v>
      </c>
      <c r="C64" s="5" t="s">
        <v>8</v>
      </c>
      <c r="D64" s="5" t="s">
        <v>13</v>
      </c>
      <c r="E64" s="5"/>
      <c r="F64" s="5" t="s">
        <v>17</v>
      </c>
      <c r="G64" s="5" t="s">
        <v>45</v>
      </c>
      <c r="H64" s="5" t="s">
        <v>28</v>
      </c>
    </row>
    <row r="65" spans="1:8">
      <c r="A65" s="5" t="s">
        <v>46</v>
      </c>
      <c r="B65" s="5">
        <v>1.0593999999999999E-11</v>
      </c>
      <c r="C65" s="5" t="s">
        <v>8</v>
      </c>
      <c r="D65" s="5" t="s">
        <v>13</v>
      </c>
      <c r="E65" s="5"/>
      <c r="F65" s="5" t="s">
        <v>17</v>
      </c>
      <c r="G65" s="5" t="s">
        <v>43</v>
      </c>
      <c r="H65" s="5" t="s">
        <v>47</v>
      </c>
    </row>
    <row r="66" spans="1:8">
      <c r="A66" s="5" t="s">
        <v>48</v>
      </c>
      <c r="B66" s="5">
        <v>0</v>
      </c>
      <c r="C66" s="12" t="s">
        <v>143</v>
      </c>
      <c r="D66" s="5" t="s">
        <v>21</v>
      </c>
      <c r="E66" s="5"/>
      <c r="F66" s="5" t="s">
        <v>17</v>
      </c>
      <c r="G66" s="5"/>
      <c r="H66" s="5" t="s">
        <v>49</v>
      </c>
    </row>
    <row r="67" spans="1:8">
      <c r="A67" s="5" t="s">
        <v>50</v>
      </c>
      <c r="B67" s="5">
        <f>(parameters!D10*parameters!D6/1000)*parameters!D9</f>
        <v>1.4850480349344979E-4</v>
      </c>
      <c r="C67" s="12" t="s">
        <v>143</v>
      </c>
      <c r="D67" s="5" t="s">
        <v>21</v>
      </c>
      <c r="E67" s="5"/>
      <c r="F67" s="5" t="s">
        <v>17</v>
      </c>
      <c r="G67" s="6" t="s">
        <v>87</v>
      </c>
      <c r="H67" s="5" t="s">
        <v>51</v>
      </c>
    </row>
    <row r="68" spans="1:8">
      <c r="A68" t="s">
        <v>83</v>
      </c>
      <c r="B68">
        <v>3.0859999999999999</v>
      </c>
      <c r="C68" t="s">
        <v>73</v>
      </c>
      <c r="D68" t="s">
        <v>72</v>
      </c>
      <c r="F68" t="s">
        <v>17</v>
      </c>
      <c r="G68" t="s">
        <v>139</v>
      </c>
      <c r="H68" t="s">
        <v>65</v>
      </c>
    </row>
    <row r="69" spans="1:8">
      <c r="A69" s="5" t="s">
        <v>20</v>
      </c>
      <c r="B69" s="5">
        <f>((parameters!D15*parameters!D6/1000)*parameters!D9)+((parameters!D16*parameters!D6/1000)*(1-parameters!D9))</f>
        <v>4.7617641921397384E-4</v>
      </c>
      <c r="C69" s="5"/>
      <c r="D69" s="5" t="s">
        <v>21</v>
      </c>
      <c r="E69" s="5" t="s">
        <v>30</v>
      </c>
      <c r="F69" s="5" t="s">
        <v>22</v>
      </c>
      <c r="G69" s="6" t="s">
        <v>88</v>
      </c>
      <c r="H69" s="5"/>
    </row>
    <row r="70" spans="1:8">
      <c r="A70" s="5" t="s">
        <v>31</v>
      </c>
      <c r="B70" s="5">
        <f>(parameters!D22/1000)*parameters!D8</f>
        <v>3.4876800000000001E-4</v>
      </c>
      <c r="C70" s="5"/>
      <c r="D70" s="5" t="s">
        <v>21</v>
      </c>
      <c r="E70" s="5" t="s">
        <v>30</v>
      </c>
      <c r="F70" s="5" t="s">
        <v>22</v>
      </c>
      <c r="G70" s="6" t="s">
        <v>89</v>
      </c>
      <c r="H70" s="5"/>
    </row>
    <row r="71" spans="1:8">
      <c r="A71" s="5" t="s">
        <v>32</v>
      </c>
      <c r="B71" s="5">
        <f>(parameters!D24/1000)*parameters!D8</f>
        <v>2.8000000000000002E-7</v>
      </c>
      <c r="C71" s="5"/>
      <c r="D71" s="5" t="s">
        <v>21</v>
      </c>
      <c r="E71" s="5" t="s">
        <v>30</v>
      </c>
      <c r="F71" s="5" t="s">
        <v>22</v>
      </c>
      <c r="G71" s="6" t="s">
        <v>89</v>
      </c>
      <c r="H71" s="5"/>
    </row>
    <row r="72" spans="1:8">
      <c r="A72" s="5" t="s">
        <v>23</v>
      </c>
      <c r="B72" s="5">
        <f>((parameters!D6*parameters!D12/1000)*parameters!D9)+((parameters!D6*parameters!D13/1000)*(1-parameters!D9))+((parameters!D8/1000)*parameters!D23)</f>
        <v>1.2346794829694324E-4</v>
      </c>
      <c r="C72" s="5"/>
      <c r="D72" s="5" t="s">
        <v>21</v>
      </c>
      <c r="E72" s="5" t="s">
        <v>30</v>
      </c>
      <c r="F72" s="5" t="s">
        <v>22</v>
      </c>
      <c r="G72" s="6" t="s">
        <v>90</v>
      </c>
      <c r="H72" s="5"/>
    </row>
    <row r="73" spans="1:8">
      <c r="A73" s="5" t="s">
        <v>33</v>
      </c>
      <c r="B73" s="5">
        <f>(parameters!D8/1000)*parameters!D25</f>
        <v>1.4E-8</v>
      </c>
      <c r="C73" s="5"/>
      <c r="D73" s="5" t="s">
        <v>21</v>
      </c>
      <c r="E73" s="5" t="s">
        <v>30</v>
      </c>
      <c r="F73" s="5" t="s">
        <v>22</v>
      </c>
      <c r="G73" s="5" t="s">
        <v>56</v>
      </c>
      <c r="H73" s="5"/>
    </row>
    <row r="74" spans="1:8">
      <c r="A74" s="5" t="s">
        <v>24</v>
      </c>
      <c r="B74" s="5">
        <f>parameters!D32*parameters!D8/1000</f>
        <v>1.4000000000000001E-7</v>
      </c>
      <c r="C74" s="5"/>
      <c r="D74" s="5" t="s">
        <v>21</v>
      </c>
      <c r="E74" s="5" t="s">
        <v>30</v>
      </c>
      <c r="F74" s="5" t="s">
        <v>22</v>
      </c>
      <c r="G74" s="5" t="s">
        <v>56</v>
      </c>
      <c r="H74" s="5"/>
    </row>
    <row r="75" spans="1:8">
      <c r="A75" s="5" t="s">
        <v>25</v>
      </c>
      <c r="B75" s="5">
        <f>((parameters!D6*parameters!D17/1000)*parameters!D9)+((parameters!D6*parameters!D18/1000)*(1-parameters!D9))+((parameters!D8/1000*parameters!D27)*(parameters!D9))+((parameters!D8/1000)*parameters!D28)*(1-parameters!D9)</f>
        <v>1.5558654148471616E-3</v>
      </c>
      <c r="C75" s="5"/>
      <c r="D75" s="5" t="s">
        <v>21</v>
      </c>
      <c r="E75" s="5" t="s">
        <v>30</v>
      </c>
      <c r="F75" s="5" t="s">
        <v>22</v>
      </c>
      <c r="G75" s="6" t="s">
        <v>90</v>
      </c>
      <c r="H75" s="5"/>
    </row>
    <row r="76" spans="1:8">
      <c r="A76" s="5" t="s">
        <v>26</v>
      </c>
      <c r="B76" s="5">
        <f>parameters!D8*parameters!D30/1000</f>
        <v>4.3399999999999998E-8</v>
      </c>
      <c r="C76" s="5"/>
      <c r="D76" s="5" t="s">
        <v>21</v>
      </c>
      <c r="E76" s="5" t="s">
        <v>30</v>
      </c>
      <c r="F76" s="5" t="s">
        <v>22</v>
      </c>
      <c r="G76" s="5" t="s">
        <v>56</v>
      </c>
      <c r="H76" s="5"/>
    </row>
    <row r="77" spans="1:8">
      <c r="A77" s="5" t="s">
        <v>34</v>
      </c>
      <c r="B77" s="5">
        <f>parameters!D31*parameters!D8/1000</f>
        <v>4.2000000000000004E-9</v>
      </c>
      <c r="C77" s="5"/>
      <c r="D77" s="5" t="s">
        <v>21</v>
      </c>
      <c r="E77" s="5" t="s">
        <v>30</v>
      </c>
      <c r="F77" s="5" t="s">
        <v>22</v>
      </c>
      <c r="G77" s="5" t="s">
        <v>56</v>
      </c>
      <c r="H77" s="5"/>
    </row>
    <row r="78" spans="1:8">
      <c r="A78" s="5" t="s">
        <v>35</v>
      </c>
      <c r="B78" s="5">
        <f>parameters!D8*parameters!D29/1000</f>
        <v>1.2599999999999999E-7</v>
      </c>
      <c r="C78" s="5"/>
      <c r="D78" s="5" t="s">
        <v>21</v>
      </c>
      <c r="E78" s="5" t="s">
        <v>30</v>
      </c>
      <c r="F78" s="5" t="s">
        <v>22</v>
      </c>
      <c r="G78" s="5" t="s">
        <v>56</v>
      </c>
      <c r="H78" s="5"/>
    </row>
    <row r="80" spans="1:8" ht="15.6">
      <c r="A80" s="4" t="s">
        <v>2</v>
      </c>
      <c r="B80" s="4" t="s">
        <v>133</v>
      </c>
      <c r="C80" s="5"/>
      <c r="D80" s="5"/>
      <c r="E80" s="5"/>
      <c r="F80" s="5"/>
      <c r="G80" s="5"/>
      <c r="H80" s="5"/>
    </row>
    <row r="81" spans="1:8">
      <c r="A81" s="5" t="s">
        <v>3</v>
      </c>
      <c r="B81" s="5" t="s">
        <v>29</v>
      </c>
      <c r="C81" s="5"/>
      <c r="D81" s="5"/>
      <c r="E81" s="5"/>
      <c r="F81" s="5"/>
      <c r="G81" s="5"/>
      <c r="H81" s="5"/>
    </row>
    <row r="82" spans="1:8">
      <c r="A82" s="5" t="s">
        <v>4</v>
      </c>
      <c r="B82" s="5" t="s">
        <v>1</v>
      </c>
      <c r="C82" s="5"/>
      <c r="D82" s="5"/>
      <c r="E82" s="5"/>
      <c r="F82" s="5"/>
      <c r="G82" s="5"/>
      <c r="H82" s="5"/>
    </row>
    <row r="83" spans="1:8">
      <c r="A83" s="5" t="s">
        <v>5</v>
      </c>
      <c r="B83" s="5" t="s">
        <v>55</v>
      </c>
      <c r="C83" s="5"/>
      <c r="D83" s="5"/>
      <c r="E83" s="5"/>
      <c r="F83" s="5"/>
      <c r="G83" s="5"/>
      <c r="H83" s="5"/>
    </row>
    <row r="84" spans="1:8" ht="21" customHeight="1">
      <c r="A84" s="5" t="s">
        <v>6</v>
      </c>
      <c r="B84" s="11" t="s">
        <v>141</v>
      </c>
      <c r="C84" s="5"/>
      <c r="D84" s="5"/>
      <c r="E84" s="5"/>
      <c r="F84" s="5"/>
      <c r="G84" s="5"/>
      <c r="H84" s="5"/>
    </row>
    <row r="85" spans="1:8">
      <c r="A85" s="5" t="s">
        <v>53</v>
      </c>
      <c r="B85" s="5" t="s">
        <v>54</v>
      </c>
      <c r="C85" s="5"/>
      <c r="D85" s="5"/>
      <c r="E85" s="5"/>
      <c r="F85" s="5"/>
      <c r="G85" s="5"/>
      <c r="H85" s="5"/>
    </row>
    <row r="86" spans="1:8">
      <c r="A86" s="5" t="s">
        <v>7</v>
      </c>
      <c r="B86" s="5" t="s">
        <v>8</v>
      </c>
      <c r="C86" s="5"/>
      <c r="D86" s="5"/>
      <c r="E86" s="5"/>
      <c r="F86" s="5"/>
      <c r="G86" s="5"/>
      <c r="H86" s="5"/>
    </row>
    <row r="87" spans="1:8">
      <c r="A87" s="5" t="s">
        <v>14</v>
      </c>
      <c r="B87" s="12" t="s">
        <v>133</v>
      </c>
      <c r="C87" s="5"/>
      <c r="D87" s="5"/>
      <c r="E87" s="5"/>
      <c r="F87" s="5"/>
      <c r="G87" s="5"/>
      <c r="H87" s="5"/>
    </row>
    <row r="88" spans="1:8">
      <c r="A88" s="5" t="s">
        <v>13</v>
      </c>
      <c r="B88" s="5" t="s">
        <v>15</v>
      </c>
      <c r="C88" s="5"/>
      <c r="D88" s="5"/>
      <c r="E88" s="5"/>
      <c r="F88" s="5"/>
      <c r="G88" s="5"/>
      <c r="H88" s="5"/>
    </row>
    <row r="89" spans="1:8" ht="15.6">
      <c r="A89" s="4" t="s">
        <v>10</v>
      </c>
      <c r="B89" s="5"/>
      <c r="C89" s="5"/>
      <c r="D89" s="5"/>
      <c r="E89" s="5"/>
      <c r="F89" s="5"/>
      <c r="G89" s="5"/>
      <c r="H89" s="5"/>
    </row>
    <row r="90" spans="1:8">
      <c r="A90" s="5" t="s">
        <v>11</v>
      </c>
      <c r="B90" s="5" t="s">
        <v>12</v>
      </c>
      <c r="C90" s="5" t="s">
        <v>7</v>
      </c>
      <c r="D90" s="5" t="s">
        <v>13</v>
      </c>
      <c r="E90" s="5" t="s">
        <v>19</v>
      </c>
      <c r="F90" s="5" t="s">
        <v>9</v>
      </c>
      <c r="G90" s="5" t="s">
        <v>6</v>
      </c>
      <c r="H90" s="5" t="s">
        <v>14</v>
      </c>
    </row>
    <row r="91" spans="1:8">
      <c r="A91" s="6" t="str">
        <f>B87</f>
        <v>transport, freight, sea, tanker for liquefied ammonia, mgo</v>
      </c>
      <c r="B91" s="5">
        <v>1</v>
      </c>
      <c r="C91" s="5" t="s">
        <v>8</v>
      </c>
      <c r="D91" s="5" t="s">
        <v>15</v>
      </c>
      <c r="E91" s="5"/>
      <c r="F91" s="5" t="s">
        <v>16</v>
      </c>
      <c r="G91" s="5"/>
      <c r="H91" s="5" t="str">
        <f>A91</f>
        <v>transport, freight, sea, tanker for liquefied ammonia, mgo</v>
      </c>
    </row>
    <row r="92" spans="1:8">
      <c r="A92" s="5" t="s">
        <v>58</v>
      </c>
      <c r="B92" s="5">
        <v>0</v>
      </c>
      <c r="C92" s="6" t="s">
        <v>73</v>
      </c>
      <c r="D92" s="5" t="s">
        <v>21</v>
      </c>
      <c r="E92" s="5"/>
      <c r="F92" s="5" t="s">
        <v>17</v>
      </c>
      <c r="G92" s="6" t="s">
        <v>85</v>
      </c>
      <c r="H92" s="5" t="s">
        <v>36</v>
      </c>
    </row>
    <row r="93" spans="1:8">
      <c r="A93" s="5" t="s">
        <v>37</v>
      </c>
      <c r="B93" s="5">
        <v>-1.2999999999999999E-5</v>
      </c>
      <c r="C93" s="12" t="s">
        <v>143</v>
      </c>
      <c r="D93" s="5" t="s">
        <v>21</v>
      </c>
      <c r="E93" s="5"/>
      <c r="F93" s="5" t="s">
        <v>17</v>
      </c>
      <c r="G93" s="5" t="s">
        <v>38</v>
      </c>
      <c r="H93" s="5" t="s">
        <v>39</v>
      </c>
    </row>
    <row r="94" spans="1:8">
      <c r="A94" s="5" t="s">
        <v>40</v>
      </c>
      <c r="B94" s="5">
        <f>(parameters!C7+parameters!C5)/1000</f>
        <v>2.3197999999999999E-3</v>
      </c>
      <c r="C94" s="12" t="s">
        <v>143</v>
      </c>
      <c r="D94" s="5" t="s">
        <v>21</v>
      </c>
      <c r="E94" s="5"/>
      <c r="F94" s="5" t="s">
        <v>17</v>
      </c>
      <c r="G94" s="6" t="s">
        <v>86</v>
      </c>
      <c r="H94" s="5" t="s">
        <v>41</v>
      </c>
    </row>
    <row r="95" spans="1:8">
      <c r="A95" s="5" t="s">
        <v>42</v>
      </c>
      <c r="B95" s="5">
        <v>1.0593999999999999E-11</v>
      </c>
      <c r="C95" s="5" t="s">
        <v>8</v>
      </c>
      <c r="D95" s="5" t="s">
        <v>13</v>
      </c>
      <c r="E95" s="5"/>
      <c r="F95" s="5" t="s">
        <v>17</v>
      </c>
      <c r="G95" s="5" t="s">
        <v>43</v>
      </c>
      <c r="H95" s="5" t="s">
        <v>44</v>
      </c>
    </row>
    <row r="96" spans="1:8">
      <c r="A96" s="5" t="s">
        <v>27</v>
      </c>
      <c r="B96" s="5">
        <v>1.3798099999999999E-16</v>
      </c>
      <c r="C96" s="5" t="s">
        <v>8</v>
      </c>
      <c r="D96" s="5" t="s">
        <v>13</v>
      </c>
      <c r="E96" s="5"/>
      <c r="F96" s="5" t="s">
        <v>17</v>
      </c>
      <c r="G96" s="5" t="s">
        <v>45</v>
      </c>
      <c r="H96" s="5" t="s">
        <v>28</v>
      </c>
    </row>
    <row r="97" spans="1:8">
      <c r="A97" s="5" t="s">
        <v>46</v>
      </c>
      <c r="B97" s="5">
        <v>1.0593999999999999E-11</v>
      </c>
      <c r="C97" s="5" t="s">
        <v>8</v>
      </c>
      <c r="D97" s="5" t="s">
        <v>13</v>
      </c>
      <c r="E97" s="5"/>
      <c r="F97" s="5" t="s">
        <v>17</v>
      </c>
      <c r="G97" s="5" t="s">
        <v>43</v>
      </c>
      <c r="H97" s="5" t="s">
        <v>47</v>
      </c>
    </row>
    <row r="98" spans="1:8">
      <c r="A98" s="5" t="s">
        <v>48</v>
      </c>
      <c r="B98" s="5">
        <v>0</v>
      </c>
      <c r="C98" s="12" t="s">
        <v>143</v>
      </c>
      <c r="D98" s="5" t="s">
        <v>21</v>
      </c>
      <c r="E98" s="5"/>
      <c r="F98" s="5" t="s">
        <v>17</v>
      </c>
      <c r="G98" s="5"/>
      <c r="H98" s="5" t="s">
        <v>49</v>
      </c>
    </row>
    <row r="99" spans="1:8">
      <c r="A99" s="5" t="s">
        <v>50</v>
      </c>
      <c r="B99" s="5">
        <f>(parameters!C10*parameters!C6/1000)*parameters!C9</f>
        <v>6.4616593886462886E-6</v>
      </c>
      <c r="C99" s="12" t="s">
        <v>143</v>
      </c>
      <c r="D99" s="5" t="s">
        <v>21</v>
      </c>
      <c r="E99" s="5"/>
      <c r="F99" s="5" t="s">
        <v>17</v>
      </c>
      <c r="G99" s="6" t="s">
        <v>87</v>
      </c>
      <c r="H99" s="5" t="s">
        <v>51</v>
      </c>
    </row>
    <row r="100" spans="1:8">
      <c r="A100" t="s">
        <v>83</v>
      </c>
      <c r="B100">
        <v>3.0859999999999999</v>
      </c>
      <c r="C100" t="s">
        <v>73</v>
      </c>
      <c r="D100" t="s">
        <v>72</v>
      </c>
      <c r="F100" t="s">
        <v>17</v>
      </c>
      <c r="G100" t="s">
        <v>139</v>
      </c>
      <c r="H100" t="s">
        <v>65</v>
      </c>
    </row>
    <row r="101" spans="1:8">
      <c r="A101" s="5" t="s">
        <v>20</v>
      </c>
      <c r="B101" s="5">
        <f>((parameters!C15*parameters!C6/1000)*parameters!C9)+((parameters!C16*parameters!C6/1000)*(1-parameters!C9))</f>
        <v>0</v>
      </c>
      <c r="C101" s="5"/>
      <c r="D101" s="5" t="s">
        <v>21</v>
      </c>
      <c r="E101" s="5" t="s">
        <v>30</v>
      </c>
      <c r="F101" s="5" t="s">
        <v>22</v>
      </c>
      <c r="G101" s="6" t="s">
        <v>88</v>
      </c>
      <c r="H101" s="5"/>
    </row>
    <row r="102" spans="1:8">
      <c r="A102" s="5" t="s">
        <v>31</v>
      </c>
      <c r="B102" s="5">
        <f>(parameters!C22/1000)*(parameters!C8+parameters!C6)</f>
        <v>3.1887360000000002E-3</v>
      </c>
      <c r="C102" s="5"/>
      <c r="D102" s="5" t="s">
        <v>21</v>
      </c>
      <c r="E102" s="5" t="s">
        <v>30</v>
      </c>
      <c r="F102" s="5" t="s">
        <v>22</v>
      </c>
      <c r="G102" s="6" t="s">
        <v>89</v>
      </c>
      <c r="H102" s="5"/>
    </row>
    <row r="103" spans="1:8">
      <c r="A103" s="5" t="s">
        <v>32</v>
      </c>
      <c r="B103" s="5">
        <f>(parameters!C24/1000)*(parameters!C8+parameters!C6)</f>
        <v>2.5600000000000001E-6</v>
      </c>
      <c r="C103" s="5"/>
      <c r="D103" s="5" t="s">
        <v>21</v>
      </c>
      <c r="E103" s="5" t="s">
        <v>30</v>
      </c>
      <c r="F103" s="5" t="s">
        <v>22</v>
      </c>
      <c r="G103" s="6" t="s">
        <v>89</v>
      </c>
      <c r="H103" s="5"/>
    </row>
    <row r="104" spans="1:8">
      <c r="A104" s="5" t="s">
        <v>23</v>
      </c>
      <c r="B104" s="5">
        <f>(((parameters!C6+parameters!C8)/1000)*parameters!C23)</f>
        <v>1.7408000000000001E-7</v>
      </c>
      <c r="C104" s="5"/>
      <c r="D104" s="5" t="s">
        <v>21</v>
      </c>
      <c r="E104" s="5" t="s">
        <v>30</v>
      </c>
      <c r="F104" s="5" t="s">
        <v>22</v>
      </c>
      <c r="G104" s="6" t="s">
        <v>90</v>
      </c>
      <c r="H104" s="5"/>
    </row>
    <row r="105" spans="1:8">
      <c r="A105" s="5" t="s">
        <v>33</v>
      </c>
      <c r="B105" s="5">
        <f>((parameters!C6+parameters!C8)/1000)*parameters!C25</f>
        <v>1.2800000000000001E-7</v>
      </c>
      <c r="C105" s="5"/>
      <c r="D105" s="5" t="s">
        <v>21</v>
      </c>
      <c r="E105" s="5" t="s">
        <v>30</v>
      </c>
      <c r="F105" s="5" t="s">
        <v>22</v>
      </c>
      <c r="G105" s="5" t="s">
        <v>56</v>
      </c>
      <c r="H105" s="5"/>
    </row>
    <row r="106" spans="1:8">
      <c r="A106" s="5" t="s">
        <v>24</v>
      </c>
      <c r="B106" s="5">
        <f>parameters!C32*(parameters!C8+parameters!C6)/1000</f>
        <v>1.28E-6</v>
      </c>
      <c r="C106" s="5"/>
      <c r="D106" s="5" t="s">
        <v>21</v>
      </c>
      <c r="E106" s="5" t="s">
        <v>30</v>
      </c>
      <c r="F106" s="5" t="s">
        <v>22</v>
      </c>
      <c r="G106" s="5" t="s">
        <v>56</v>
      </c>
      <c r="H106" s="5"/>
    </row>
    <row r="107" spans="1:8">
      <c r="A107" s="5" t="s">
        <v>25</v>
      </c>
      <c r="B107" s="5">
        <f>(((parameters!C8+parameters!C6)/1000)*parameters!C27)*(parameters!C9)+(((parameters!C8+parameters!C6)/1000)*parameters!C28)*(1-parameters!C9)</f>
        <v>1.7079336244541486E-4</v>
      </c>
      <c r="C107" s="5"/>
      <c r="D107" s="5" t="s">
        <v>21</v>
      </c>
      <c r="E107" s="5" t="s">
        <v>30</v>
      </c>
      <c r="F107" s="5" t="s">
        <v>22</v>
      </c>
      <c r="G107" s="6" t="s">
        <v>90</v>
      </c>
      <c r="H107" s="5"/>
    </row>
    <row r="108" spans="1:8">
      <c r="A108" s="5" t="s">
        <v>26</v>
      </c>
      <c r="B108" s="5">
        <f>parameters!C8*parameters!C30/1000</f>
        <v>4.3399999999999998E-8</v>
      </c>
      <c r="C108" s="5"/>
      <c r="D108" s="5" t="s">
        <v>21</v>
      </c>
      <c r="E108" s="5" t="s">
        <v>30</v>
      </c>
      <c r="F108" s="5" t="s">
        <v>22</v>
      </c>
      <c r="G108" s="5" t="s">
        <v>56</v>
      </c>
      <c r="H108" s="5"/>
    </row>
    <row r="109" spans="1:8">
      <c r="A109" s="5" t="s">
        <v>34</v>
      </c>
      <c r="B109" s="5">
        <f>parameters!C31*parameters!C8/1000</f>
        <v>4.2000000000000004E-9</v>
      </c>
      <c r="C109" s="5"/>
      <c r="D109" s="5" t="s">
        <v>21</v>
      </c>
      <c r="E109" s="5" t="s">
        <v>30</v>
      </c>
      <c r="F109" s="5" t="s">
        <v>22</v>
      </c>
      <c r="G109" s="5" t="s">
        <v>56</v>
      </c>
      <c r="H109" s="5"/>
    </row>
    <row r="110" spans="1:8">
      <c r="A110" s="5" t="s">
        <v>35</v>
      </c>
      <c r="B110" s="5">
        <f>parameters!C8*parameters!C29/1000</f>
        <v>1.2599999999999999E-7</v>
      </c>
      <c r="C110" s="5"/>
      <c r="D110" s="5" t="s">
        <v>21</v>
      </c>
      <c r="E110" s="5" t="s">
        <v>30</v>
      </c>
      <c r="F110" s="5" t="s">
        <v>22</v>
      </c>
      <c r="G110" s="5" t="s">
        <v>56</v>
      </c>
      <c r="H110" s="5"/>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G3"/>
  <sheetViews>
    <sheetView workbookViewId="0">
      <selection activeCell="C14" sqref="C14"/>
    </sheetView>
  </sheetViews>
  <sheetFormatPr baseColWidth="10" defaultRowHeight="14.4"/>
  <sheetData>
    <row r="1" spans="1:7">
      <c r="A1" t="s">
        <v>57</v>
      </c>
    </row>
    <row r="3" spans="1:7" ht="15.6">
      <c r="A3" s="3" t="s">
        <v>69</v>
      </c>
      <c r="B3">
        <v>200.74</v>
      </c>
      <c r="C3" t="s">
        <v>8</v>
      </c>
      <c r="D3" t="s">
        <v>21</v>
      </c>
      <c r="F3" t="s">
        <v>17</v>
      </c>
      <c r="G3" t="s">
        <v>140</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57</v>
      </c>
    </row>
    <row r="2" spans="1:7">
      <c r="B2" s="7" t="s">
        <v>136</v>
      </c>
      <c r="C2" s="7" t="s">
        <v>91</v>
      </c>
      <c r="D2" s="7" t="s">
        <v>132</v>
      </c>
      <c r="E2" s="7" t="s">
        <v>92</v>
      </c>
      <c r="F2" s="7" t="s">
        <v>93</v>
      </c>
      <c r="G2" s="7" t="s">
        <v>53</v>
      </c>
    </row>
    <row r="3" spans="1:7">
      <c r="B3" s="7" t="s">
        <v>94</v>
      </c>
      <c r="C3" s="7">
        <v>42.7</v>
      </c>
      <c r="D3" s="7">
        <v>5.1669999999999998</v>
      </c>
      <c r="F3" s="7" t="s">
        <v>95</v>
      </c>
      <c r="G3" s="7" t="s">
        <v>96</v>
      </c>
    </row>
    <row r="4" spans="1:7">
      <c r="B4" s="7" t="s">
        <v>97</v>
      </c>
      <c r="C4" s="7">
        <v>2.75E-2</v>
      </c>
      <c r="D4" s="8">
        <v>2.75E-2</v>
      </c>
      <c r="F4" s="7" t="s">
        <v>134</v>
      </c>
      <c r="G4" s="7" t="s">
        <v>98</v>
      </c>
    </row>
    <row r="5" spans="1:7">
      <c r="B5" s="7" t="s">
        <v>99</v>
      </c>
      <c r="C5" s="7">
        <v>2.2050999999999998</v>
      </c>
      <c r="D5" s="8">
        <v>5.0618999999999996</v>
      </c>
      <c r="F5" s="7" t="s">
        <v>135</v>
      </c>
      <c r="G5" s="7" t="s">
        <v>98</v>
      </c>
    </row>
    <row r="6" spans="1:7">
      <c r="B6" s="7" t="s">
        <v>101</v>
      </c>
      <c r="C6" s="7">
        <v>1.14E-2</v>
      </c>
      <c r="D6" s="8">
        <v>0.26200000000000001</v>
      </c>
      <c r="F6" s="7" t="s">
        <v>134</v>
      </c>
      <c r="G6" s="7" t="s">
        <v>98</v>
      </c>
    </row>
    <row r="7" spans="1:7">
      <c r="B7" s="7" t="s">
        <v>102</v>
      </c>
      <c r="C7" s="7">
        <v>0.1147</v>
      </c>
      <c r="D7" s="8">
        <v>0.1147</v>
      </c>
      <c r="F7" s="7" t="s">
        <v>100</v>
      </c>
      <c r="G7" s="7" t="s">
        <v>98</v>
      </c>
    </row>
    <row r="8" spans="1:7">
      <c r="B8" s="7" t="s">
        <v>103</v>
      </c>
      <c r="C8" s="7">
        <v>1.4E-3</v>
      </c>
      <c r="D8" s="8">
        <v>1.4E-3</v>
      </c>
      <c r="F8" s="7" t="s">
        <v>134</v>
      </c>
      <c r="G8" s="7" t="s">
        <v>98</v>
      </c>
    </row>
    <row r="9" spans="1:7" ht="14.4">
      <c r="B9" s="7" t="s">
        <v>104</v>
      </c>
      <c r="C9" s="9">
        <f>(22/229)</f>
        <v>9.606986899563319E-2</v>
      </c>
      <c r="D9" s="9">
        <f>(22/229)</f>
        <v>9.606986899563319E-2</v>
      </c>
      <c r="F9" s="7" t="s">
        <v>105</v>
      </c>
      <c r="G9" s="7" t="s">
        <v>96</v>
      </c>
    </row>
    <row r="10" spans="1:7">
      <c r="B10" s="7" t="s">
        <v>106</v>
      </c>
      <c r="C10" s="7">
        <v>5.9</v>
      </c>
      <c r="D10" s="7">
        <v>5.9</v>
      </c>
      <c r="F10" s="7" t="s">
        <v>107</v>
      </c>
      <c r="G10" s="7" t="s">
        <v>108</v>
      </c>
    </row>
    <row r="11" spans="1:7">
      <c r="B11" s="7" t="s">
        <v>109</v>
      </c>
      <c r="C11" s="7">
        <v>0</v>
      </c>
      <c r="D11" s="7">
        <v>0</v>
      </c>
      <c r="F11" s="7" t="s">
        <v>107</v>
      </c>
    </row>
    <row r="12" spans="1:7">
      <c r="B12" s="7" t="s">
        <v>110</v>
      </c>
      <c r="C12" s="7">
        <v>0</v>
      </c>
      <c r="D12" s="7">
        <v>0.2</v>
      </c>
      <c r="F12" s="7" t="s">
        <v>107</v>
      </c>
      <c r="G12" s="7" t="s">
        <v>108</v>
      </c>
    </row>
    <row r="13" spans="1:7">
      <c r="B13" s="7" t="s">
        <v>111</v>
      </c>
      <c r="C13" s="7">
        <v>0</v>
      </c>
      <c r="D13" s="7">
        <v>0.5</v>
      </c>
      <c r="F13" s="7" t="s">
        <v>107</v>
      </c>
      <c r="G13" s="7" t="s">
        <v>108</v>
      </c>
    </row>
    <row r="14" spans="1:7">
      <c r="B14" s="7" t="s">
        <v>112</v>
      </c>
      <c r="C14" s="7">
        <v>0</v>
      </c>
      <c r="D14" s="7">
        <v>0</v>
      </c>
      <c r="F14" s="7" t="s">
        <v>107</v>
      </c>
    </row>
    <row r="15" spans="1:7">
      <c r="B15" s="7" t="s">
        <v>113</v>
      </c>
      <c r="C15" s="7">
        <v>0</v>
      </c>
      <c r="D15" s="7">
        <v>0.1</v>
      </c>
      <c r="F15" s="7" t="s">
        <v>107</v>
      </c>
      <c r="G15" s="7" t="s">
        <v>108</v>
      </c>
    </row>
    <row r="16" spans="1:7">
      <c r="B16" s="7" t="s">
        <v>114</v>
      </c>
      <c r="C16" s="7">
        <v>0</v>
      </c>
      <c r="D16" s="7">
        <v>2</v>
      </c>
      <c r="F16" s="7" t="s">
        <v>107</v>
      </c>
      <c r="G16" s="7" t="s">
        <v>108</v>
      </c>
    </row>
    <row r="17" spans="2:7">
      <c r="B17" s="7" t="s">
        <v>115</v>
      </c>
      <c r="C17" s="7">
        <v>0</v>
      </c>
      <c r="D17" s="7">
        <v>1.7</v>
      </c>
      <c r="F17" s="7" t="s">
        <v>107</v>
      </c>
      <c r="G17" s="7" t="s">
        <v>108</v>
      </c>
    </row>
    <row r="18" spans="2:7">
      <c r="B18" s="7" t="s">
        <v>116</v>
      </c>
      <c r="C18" s="7">
        <v>0</v>
      </c>
      <c r="D18" s="10">
        <v>6.31</v>
      </c>
      <c r="F18" s="7" t="s">
        <v>107</v>
      </c>
      <c r="G18" s="7" t="s">
        <v>108</v>
      </c>
    </row>
    <row r="19" spans="2:7">
      <c r="B19" s="7" t="s">
        <v>117</v>
      </c>
      <c r="C19" s="7">
        <v>0</v>
      </c>
      <c r="D19" s="7">
        <v>0</v>
      </c>
      <c r="F19" s="7" t="s">
        <v>107</v>
      </c>
    </row>
    <row r="20" spans="2:7">
      <c r="B20" s="7" t="s">
        <v>118</v>
      </c>
      <c r="C20" s="7">
        <v>0</v>
      </c>
      <c r="D20" s="7">
        <v>0</v>
      </c>
      <c r="F20" s="7" t="s">
        <v>107</v>
      </c>
    </row>
    <row r="21" spans="2:7">
      <c r="B21" s="7" t="s">
        <v>119</v>
      </c>
      <c r="C21" s="7">
        <v>0</v>
      </c>
      <c r="D21" s="7">
        <v>0</v>
      </c>
      <c r="F21" s="7" t="s">
        <v>107</v>
      </c>
    </row>
    <row r="22" spans="2:7">
      <c r="B22" s="7" t="s">
        <v>120</v>
      </c>
      <c r="C22" s="7">
        <v>249.12</v>
      </c>
      <c r="D22" s="7">
        <v>249.12</v>
      </c>
      <c r="F22" s="7" t="s">
        <v>107</v>
      </c>
      <c r="G22" s="7" t="s">
        <v>96</v>
      </c>
    </row>
    <row r="23" spans="2:7">
      <c r="B23" s="7" t="s">
        <v>121</v>
      </c>
      <c r="C23" s="7">
        <v>1.3599999999999999E-2</v>
      </c>
      <c r="D23" s="7">
        <v>1.3599999999999999E-2</v>
      </c>
      <c r="F23" s="7" t="s">
        <v>107</v>
      </c>
      <c r="G23" s="7" t="s">
        <v>96</v>
      </c>
    </row>
    <row r="24" spans="2:7">
      <c r="B24" s="7" t="s">
        <v>122</v>
      </c>
      <c r="C24" s="7">
        <v>0.2</v>
      </c>
      <c r="D24" s="7">
        <v>0.2</v>
      </c>
      <c r="F24" s="7" t="s">
        <v>107</v>
      </c>
      <c r="G24" s="7" t="s">
        <v>123</v>
      </c>
    </row>
    <row r="25" spans="2:7">
      <c r="B25" s="7" t="s">
        <v>124</v>
      </c>
      <c r="C25" s="7">
        <v>0.01</v>
      </c>
      <c r="D25" s="7">
        <v>0.01</v>
      </c>
      <c r="F25" s="7" t="s">
        <v>107</v>
      </c>
      <c r="G25" s="7" t="s">
        <v>96</v>
      </c>
    </row>
    <row r="26" spans="2:7">
      <c r="B26" s="7" t="s">
        <v>125</v>
      </c>
      <c r="C26" s="7">
        <v>0</v>
      </c>
      <c r="D26" s="7">
        <v>0</v>
      </c>
      <c r="F26" s="7" t="s">
        <v>107</v>
      </c>
      <c r="G26" s="7" t="s">
        <v>123</v>
      </c>
    </row>
    <row r="27" spans="2:7">
      <c r="B27" s="7" t="s">
        <v>126</v>
      </c>
      <c r="C27" s="7">
        <v>3.4</v>
      </c>
      <c r="D27" s="7">
        <v>3.4</v>
      </c>
      <c r="F27" s="7" t="s">
        <v>107</v>
      </c>
      <c r="G27" s="7" t="s">
        <v>96</v>
      </c>
    </row>
    <row r="28" spans="2:7">
      <c r="B28" s="7" t="s">
        <v>127</v>
      </c>
      <c r="C28" s="7">
        <v>14.4</v>
      </c>
      <c r="D28" s="7">
        <v>14.4</v>
      </c>
      <c r="F28" s="7" t="s">
        <v>107</v>
      </c>
      <c r="G28" s="7" t="s">
        <v>96</v>
      </c>
    </row>
    <row r="29" spans="2:7">
      <c r="B29" s="7" t="s">
        <v>128</v>
      </c>
      <c r="C29" s="7">
        <v>0.09</v>
      </c>
      <c r="D29" s="7">
        <v>0.09</v>
      </c>
      <c r="F29" s="7" t="s">
        <v>107</v>
      </c>
      <c r="G29" s="7" t="s">
        <v>123</v>
      </c>
    </row>
    <row r="30" spans="2:7">
      <c r="B30" s="7" t="s">
        <v>129</v>
      </c>
      <c r="C30" s="7">
        <v>3.1E-2</v>
      </c>
      <c r="D30" s="7">
        <v>3.1E-2</v>
      </c>
      <c r="F30" s="7" t="s">
        <v>107</v>
      </c>
      <c r="G30" s="7" t="s">
        <v>123</v>
      </c>
    </row>
    <row r="31" spans="2:7">
      <c r="B31" s="7" t="s">
        <v>130</v>
      </c>
      <c r="C31" s="7">
        <v>3.0000000000000001E-3</v>
      </c>
      <c r="D31" s="7">
        <v>3.0000000000000001E-3</v>
      </c>
      <c r="F31" s="7" t="s">
        <v>107</v>
      </c>
      <c r="G31" s="7" t="s">
        <v>123</v>
      </c>
    </row>
    <row r="32" spans="2:7">
      <c r="B32" s="7" t="s">
        <v>131</v>
      </c>
      <c r="C32" s="7">
        <v>0.1</v>
      </c>
      <c r="D32" s="7">
        <v>0.1</v>
      </c>
      <c r="F32" s="7" t="s">
        <v>107</v>
      </c>
      <c r="G32" s="7" t="s">
        <v>123</v>
      </c>
    </row>
    <row r="34" spans="2:4">
      <c r="B34" s="7" t="s">
        <v>137</v>
      </c>
      <c r="C34" s="7" t="s">
        <v>138</v>
      </c>
      <c r="D34" s="7" t="s">
        <v>138</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2026-07-09T09:54:19Z</dcterms:modified>
</cp:coreProperties>
</file>