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0417"/>
  <workbookPr defaultThemeVersion="124226"/>
  <mc:AlternateContent xmlns:mc="http://schemas.openxmlformats.org/markup-compatibility/2006">
    <mc:Choice Requires="x15">
      <x15ac:absPath xmlns:x15ac="http://schemas.microsoft.com/office/spreadsheetml/2010/11/ac" url="C:\Users\ac145674\coding_projects\premise_h2-distribution\premise\data\additional_inventories\"/>
    </mc:Choice>
  </mc:AlternateContent>
  <xr:revisionPtr revIDLastSave="0" documentId="13_ncr:1_{311ACBD1-3D42-4228-849E-1360DB7DB079}" xr6:coauthVersionLast="36" xr6:coauthVersionMax="36" xr10:uidLastSave="{00000000-0000-0000-0000-000000000000}"/>
  <bookViews>
    <workbookView xWindow="0" yWindow="0" windowWidth="23040" windowHeight="8652" xr2:uid="{00000000-000D-0000-FFFF-FFFF00000000}"/>
  </bookViews>
  <sheets>
    <sheet name="hydrogen-transport" sheetId="1" r:id="rId1"/>
    <sheet name="ship" sheetId="3" r:id="rId2"/>
    <sheet name="Parameters" sheetId="2" r:id="rId3"/>
  </sheets>
  <calcPr calcId="191029"/>
</workbook>
</file>

<file path=xl/calcChain.xml><?xml version="1.0" encoding="utf-8"?>
<calcChain xmlns="http://schemas.openxmlformats.org/spreadsheetml/2006/main">
  <c r="B31" i="1" l="1"/>
  <c r="B44" i="1" l="1"/>
  <c r="B29" i="1"/>
  <c r="B14" i="1"/>
  <c r="B15" i="1" l="1"/>
  <c r="A12" i="1" l="1"/>
  <c r="B32" i="1"/>
  <c r="B30" i="1"/>
  <c r="B16" i="1"/>
  <c r="B57" i="1" l="1"/>
  <c r="A57" i="1"/>
  <c r="B43" i="1" l="1"/>
  <c r="A43" i="1"/>
  <c r="B27" i="1"/>
  <c r="A27" i="1"/>
  <c r="B12" i="1"/>
</calcChain>
</file>

<file path=xl/sharedStrings.xml><?xml version="1.0" encoding="utf-8"?>
<sst xmlns="http://schemas.openxmlformats.org/spreadsheetml/2006/main" count="462" uniqueCount="167">
  <si>
    <t>Database</t>
  </si>
  <si>
    <t>equal</t>
  </si>
  <si>
    <t>Activity</t>
  </si>
  <si>
    <t>activity type</t>
  </si>
  <si>
    <t>allocation</t>
  </si>
  <si>
    <t>authors</t>
  </si>
  <si>
    <t>comment</t>
  </si>
  <si>
    <t>location</t>
  </si>
  <si>
    <t>GLO</t>
  </si>
  <si>
    <t>type</t>
  </si>
  <si>
    <t>Exchanges</t>
  </si>
  <si>
    <t>name</t>
  </si>
  <si>
    <t>amount</t>
  </si>
  <si>
    <t>database</t>
  </si>
  <si>
    <t>unit</t>
  </si>
  <si>
    <t>reference product</t>
  </si>
  <si>
    <t>ton kilometer</t>
  </si>
  <si>
    <t>production</t>
  </si>
  <si>
    <t>technosphere</t>
  </si>
  <si>
    <t>transport, freight, sea, tanker for liquefied natural gas, ammonia and diesel</t>
  </si>
  <si>
    <t>uncertainty type</t>
  </si>
  <si>
    <t>loc</t>
  </si>
  <si>
    <t>ecoinvent-3.12-cutoff</t>
  </si>
  <si>
    <t>categories</t>
  </si>
  <si>
    <t>Ammonia</t>
  </si>
  <si>
    <t>biosphere-3.12</t>
  </si>
  <si>
    <t>kilogram</t>
  </si>
  <si>
    <t>biosphere</t>
  </si>
  <si>
    <t>Dinitrogen monoxide</t>
  </si>
  <si>
    <t>NMVOC, non-methane volatile organic compounds</t>
  </si>
  <si>
    <t>Nitrogen oxides</t>
  </si>
  <si>
    <t>Particulate Matter, &lt; 2.5 um</t>
  </si>
  <si>
    <t>market for port facilities</t>
  </si>
  <si>
    <t>port facilities</t>
  </si>
  <si>
    <t>transport, freight, sea, tanker for liquefied natural gas, ammonia and MDO</t>
  </si>
  <si>
    <t>ordinary transforming activity</t>
  </si>
  <si>
    <t>Adapted from the transport, freight, sea, tanker for liquefied natural gas, heavy fuel oil dataset.
Based on the same energy requirement of 0.030 kWh/tkm as given in the original dataset.
The parameterized dataset can be adapted for the shares of ammonia and pilot fuel (marine diesel oil - MDO) used.
Default fraction are: 
Main fuel: 	95 % ammonia
Pilot fuel:	5 % Marine Diesel Oil
The specific fuel consumption is derived based on the LHV of NH3 (18.6 MJ/kg) and MDO (42.7 MJ/kg).
The fraction based energy consumption is then multiplied with the emission factors to calculate the respective emissions per tkm.
Emission factors are taken from a study: Sphera 2024 - 1st Life-Cycle GHG emission Study on the Use of Ammonia as Marine Fuel
Original dataset
The dataset represents the transport of one tonne of liquid goods by a tanker for liquefied natural gas over one kilometer. The DWT (load capacity) of the tanker for liquefied natural gas is 23,000 tonnes, and it is estimated to transport an average of 3,800 million tonne.kms per year for 25 years (the average DWT and annual kilometres are weighted averages over the size class from data in IMO (2015)).
The dataset represents the entire transport life cycle including the production and maintenance of the tanker for liquefied natural gas, the transportation of liquid goods in bulk, and the construction of the port. The scope of this dataset is the operation of the tanker for liquefied natural gas, which has inputs of the ship, maintenance and port facilities (i.e. ship production, ship mainenance and port construction inputs and emissions are contained in linked datasets).
Weighted averages of speed reduction (18%) and capacity utilsation factors (48%) from IMO (2015) are applied (the capacity utilisation factors take into account both the cargo load factor and an empty trip factor). The share of trip length and port time inside emssion controlled areas (ECAs) (where other fuel quality is used) are estimated to 5% and 50% respectively. 
Port facilities have not been updated are representative of a single large port (Rotterdam). One common port facility is assumed for all commodities and ship types. Vessel production and maintenance are global in scope and described in the individual datsets.
References: 
IMO (2015) Third IMO Greenhouse Gas Study 2014. International Maritime Organization, London
Spielmann et al (2007) Transport services. ecoinvent Report No. 14. Villigen
Geography:  tonne*km is from weighted averages (global shipping data); infrastructure demand calculated using data from the largest port in Europe (Rotteradam)
Technology:  Fuel consumption and emissions are representative of the current technology (used in 2012 and considering the age distribution of global fleet). Load capacity (23,000 tonnes), fuel consumption and emissions are global weighted averages on tkms over the size classes from IMO (2015).
Time period:  Fuel consumption and emissions are calculated hourly covering the years 2007 to 2012</t>
  </si>
  <si>
    <t>formula</t>
  </si>
  <si>
    <t>EF_N2O</t>
  </si>
  <si>
    <t>0.2/g_to_kg</t>
  </si>
  <si>
    <t>Emission factor of N2O from NH3 combustion [g/kWh]</t>
  </si>
  <si>
    <t>EC_ship</t>
  </si>
  <si>
    <t>0.03</t>
  </si>
  <si>
    <t xml:space="preserve">Energy consumption (LHV) of ship [kWh/tkm] </t>
  </si>
  <si>
    <t>EC_NH3</t>
  </si>
  <si>
    <t>fraction_NH3*EC_ship</t>
  </si>
  <si>
    <t>Energy consumption (LHV) covered by NH3 [kWh/tkm]</t>
  </si>
  <si>
    <t>EC_MDO</t>
  </si>
  <si>
    <t>fraction_MDO*EC_ship</t>
  </si>
  <si>
    <t>Energy consumption (LHV) covered by MDO [kWh/tkm]</t>
  </si>
  <si>
    <t>EF_NOx</t>
  </si>
  <si>
    <t>1.7/g_to_kg</t>
  </si>
  <si>
    <t>Emission factor of NOx from NH3 combustion [g/kWh]</t>
  </si>
  <si>
    <t>EF_NH3</t>
  </si>
  <si>
    <t>0.1/g_to_kg</t>
  </si>
  <si>
    <t>Emission factor of NH3 slip from NH3 combustion [g/kWh]</t>
  </si>
  <si>
    <t>fraction_NH3</t>
  </si>
  <si>
    <t>Fraction of NH3 in fuel consumption</t>
  </si>
  <si>
    <t>fraction_MDO</t>
  </si>
  <si>
    <t>Fraction of MDO in fuel consumption</t>
  </si>
  <si>
    <t>EF_CO2_MDO</t>
  </si>
  <si>
    <t>249.12/g_to_kg</t>
  </si>
  <si>
    <t>Emission factor of CO2 from MDO combustion [g/kWh]</t>
  </si>
  <si>
    <t>EF_CH4_MDO</t>
  </si>
  <si>
    <t>0.0048/g_to_kg</t>
  </si>
  <si>
    <t>Emission factor of CH4 from MDO combustion [g/kWh]</t>
  </si>
  <si>
    <t>EF_N2O_MDO</t>
  </si>
  <si>
    <t>0.0136/g_to_kg</t>
  </si>
  <si>
    <t>Emission factor of N2O from MDO combustion [g/kWh]</t>
  </si>
  <si>
    <t>g_to_kg</t>
  </si>
  <si>
    <t>scale</t>
  </si>
  <si>
    <t>CAS number</t>
  </si>
  <si>
    <t>chemical formula</t>
  </si>
  <si>
    <t>original_amount</t>
  </si>
  <si>
    <t>pedigree</t>
  </si>
  <si>
    <t>scale without pedigree</t>
  </si>
  <si>
    <t>air::non-urban air or from high stacks</t>
  </si>
  <si>
    <t>EC_NH3*EF_NH3</t>
  </si>
  <si>
    <t>7664-41-7</t>
  </si>
  <si>
    <t>H3N</t>
  </si>
  <si>
    <t>3::2::5::1::4::1</t>
  </si>
  <si>
    <t>Carbon dioxide, fossil</t>
  </si>
  <si>
    <t>EC_MDO*EF_CO2_MDO</t>
  </si>
  <si>
    <t>124-38-9</t>
  </si>
  <si>
    <t>CO2</t>
  </si>
  <si>
    <t>2::2::5::1::2::1</t>
  </si>
  <si>
    <t>Carbon monoxide, fossil</t>
  </si>
  <si>
    <t>630-08-0</t>
  </si>
  <si>
    <t>CO</t>
  </si>
  <si>
    <t>EC_MDO*EF_N2O_MDO</t>
  </si>
  <si>
    <t>10024-97-2</t>
  </si>
  <si>
    <t>N2O</t>
  </si>
  <si>
    <t>EC_NH3*EF_N2O</t>
  </si>
  <si>
    <t>Methane, fossil</t>
  </si>
  <si>
    <t>EC_MDO*EF_CH4_MDO</t>
  </si>
  <si>
    <t>74-82-8</t>
  </si>
  <si>
    <t>CH4</t>
  </si>
  <si>
    <t>EC_NH3*EF_NOx</t>
  </si>
  <si>
    <t>NOx</t>
  </si>
  <si>
    <t>Particulate Matter, &gt; 10 um</t>
  </si>
  <si>
    <t>Particulate Matter, &gt; 2.5 um and &lt; 10um</t>
  </si>
  <si>
    <t>Sulfur dioxide</t>
  </si>
  <si>
    <t>7446-09-5</t>
  </si>
  <si>
    <t>O2S</t>
  </si>
  <si>
    <t>RoW</t>
  </si>
  <si>
    <t>ammonia, anhydrous, liquid</t>
  </si>
  <si>
    <t>market for bilge oil</t>
  </si>
  <si>
    <t>Estimate, applying an emission factor of 0.005 kg bilge oil per kg fuel consumed, as in ecoinvent v2 (spielmann et al, 2007). Uncertainty range also from ecoinvent v2. Reference: Spielmann et al (2007) Transport services. ecoinvent Report No. 14. Villigen</t>
  </si>
  <si>
    <t>3::2::3::1::4::1</t>
  </si>
  <si>
    <t>bilge oil</t>
  </si>
  <si>
    <t>market for diesel, low-sulfur</t>
  </si>
  <si>
    <t>ZA</t>
  </si>
  <si>
    <t>diesel, low-sulfur</t>
  </si>
  <si>
    <t>market for maintenance, tanker, for liquefied natural gas</t>
  </si>
  <si>
    <t>Lifetime tonne-kilometres derived from IMO (2015)</t>
  </si>
  <si>
    <t>4::5::5::4::4::1</t>
  </si>
  <si>
    <t>maintenance, tanker, for liquefied natural gas</t>
  </si>
  <si>
    <t>Calculated value. Calculation uses the average days at sea, average dead weight and average speed (per ship type) (all from IMO 2014), port capacity based on Rotterdam (average total throughput 2010-2012) and an assumed port life time of 100 years.</t>
  </si>
  <si>
    <t>2::4::5::5::1::1</t>
  </si>
  <si>
    <t>market for tanker, for liquefied natural gas</t>
  </si>
  <si>
    <t>tanker, for liquefied natural gas</t>
  </si>
  <si>
    <t>market for tap water</t>
  </si>
  <si>
    <t>tap water</t>
  </si>
  <si>
    <t>market for urea</t>
  </si>
  <si>
    <t>urea</t>
  </si>
  <si>
    <t>hydrogen-transport</t>
  </si>
  <si>
    <t>source</t>
  </si>
  <si>
    <t>ecoinvent 3.12 with additional assumptions - see comment</t>
  </si>
  <si>
    <t>Value</t>
  </si>
  <si>
    <t>Parameter</t>
  </si>
  <si>
    <t>Comment</t>
  </si>
  <si>
    <t>{"data entry": {"name": "Tobias", "email": "tobias.schliess@ier.uni-stuttgart.de"}, "data generator": {"name": "Tobias Schliess", "email": "tobias.schliess@ier.uni-stuttgart.de"}}</t>
  </si>
  <si>
    <t>Ammonia leakage of 0.1 g/kWh</t>
  </si>
  <si>
    <t>from combustion of MDO fraction</t>
  </si>
  <si>
    <t>from combustion of NH3 fraction with 0.2 g(N2O)/kWh</t>
  </si>
  <si>
    <t>skip</t>
  </si>
  <si>
    <t>transport, freight, sea, tanker for liquefied natural gas</t>
  </si>
  <si>
    <t>Parameters</t>
  </si>
  <si>
    <t>313325416231559168</t>
  </si>
  <si>
    <t>market for ammonia, anhydrous, liquid</t>
  </si>
  <si>
    <t>high pressure hydrogen storage tank</t>
  </si>
  <si>
    <t>production amount</t>
  </si>
  <si>
    <t>C. Wulf et al. / Journal of Cleaner Production 199 (2018) 431-443</t>
  </si>
  <si>
    <t>LCI for gaseous hydrogen transport for 1 tkm. Storage tank taken from the hydrogen-distribution dataset. Lorry is market average. Boil-off losses are 0.5 % and 0.5 % during compression (Reuß et al. 2019)</t>
  </si>
  <si>
    <t>LCI for liquid hydrogen transport for 1 tkm. Storage tank taken from the hydrogen-distribution dataset. Lorry is market average. Boil-off losses are 3 % and 1.65 % during liquefaction (Reuß et al. 2019)</t>
  </si>
  <si>
    <t>transport, freight, sea, tanker for liquefied hydrogen, heavy fuel oil</t>
  </si>
  <si>
    <t>electricity, medium voltage</t>
  </si>
  <si>
    <t>market for transport, freight, sea, tanker for liquefied natural gas, heavy fuel oil</t>
  </si>
  <si>
    <t>transport, freight, sea, tanker for liquefied natural gas, heavy fuel oil</t>
  </si>
  <si>
    <t>air</t>
  </si>
  <si>
    <t>market for hydrogen, gaseous, low pressure</t>
  </si>
  <si>
    <t>hydrogen, gaseous, low pressure</t>
  </si>
  <si>
    <t>transport, freight, sea, tanker for liquefied ammonia, heavy fuel oil</t>
  </si>
  <si>
    <t>LCI for hydrogen transport as liquid ammonia for 1 tkm. Storage tank taken from the hydrogen-distribution dataset. Market average. Boil-off losses are 3 % and 1.65 % during liquefaction (Reuß et al. 2019)</t>
  </si>
  <si>
    <t>LCI for liquid hydrogen transport for 1 tkm. Storage tank taken from the hydrogen-distribution dataset. Ship is market average. Boil-off losses are 3 % and 1.65 % during liquefaction (Reuß et al. 2019)</t>
  </si>
  <si>
    <t>kilowatt hour</t>
  </si>
  <si>
    <t>RER</t>
  </si>
  <si>
    <t>transport, hydrogen, gaseous, lorry, unspecified</t>
  </si>
  <si>
    <t>Hydrogen</t>
  </si>
  <si>
    <t>this dataset is used as a proxy, so the lorry used uses the propulsion system chosen by the IAM scenario</t>
  </si>
  <si>
    <t>boil-off losses to the atmosphere</t>
  </si>
  <si>
    <t>compensation for boil-off losses</t>
  </si>
  <si>
    <t>transport, freight, lorry, diesel, unspecified</t>
  </si>
  <si>
    <t>market for transport, freight, lorry, unspecified</t>
  </si>
  <si>
    <t>transport, hydrogen, liquid, lorry, unspecified</t>
  </si>
  <si>
    <t>electricity needed for liquefaction, Stoltenberg et al; electricity needed for evaporation</t>
  </si>
  <si>
    <t>market group for electricity, medium voltage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</si>
</sst>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2"/>
      <color theme="1"/>
      <name val="Calibri"/>
      <family val="2"/>
      <scheme val="minor"/>
    </font>
    <font>
      <sz val="12"/>
      <color theme="1"/>
      <name val="Calibri"/>
      <family val="2"/>
      <scheme val="minor"/>
    </font>
    <font>
      <sz val="12"/>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0" fillId="0" borderId="0" xfId="0" applyAlignment="1">
      <alignment wrapText="1"/>
    </xf>
    <xf numFmtId="0" fontId="2" fillId="0" borderId="0" xfId="0" applyFont="1"/>
    <xf numFmtId="0" fontId="3" fillId="0" borderId="0" xfId="0" applyFont="1" applyAlignment="1">
      <alignment horizontal="left" vertical="center"/>
    </xf>
  </cellXfs>
  <cellStyles count="1">
    <cellStyle name="Standard"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80"/>
  <sheetViews>
    <sheetView tabSelected="1" zoomScale="85" zoomScaleNormal="85" workbookViewId="0">
      <selection activeCell="C30" sqref="C30"/>
    </sheetView>
  </sheetViews>
  <sheetFormatPr baseColWidth="10" defaultColWidth="8.88671875" defaultRowHeight="14.4" x14ac:dyDescent="0.3"/>
  <cols>
    <col min="1" max="1" width="82.6640625" customWidth="1"/>
    <col min="3" max="3" width="23" customWidth="1"/>
    <col min="4" max="4" width="13.77734375" customWidth="1"/>
    <col min="5" max="5" width="17.109375" customWidth="1"/>
    <col min="6" max="6" width="16.109375" customWidth="1"/>
    <col min="7" max="7" width="85.44140625" customWidth="1"/>
    <col min="8" max="8" width="25.44140625" customWidth="1"/>
    <col min="11" max="11" width="13.21875" customWidth="1"/>
    <col min="12" max="12" width="43.88671875" customWidth="1"/>
    <col min="13" max="13" width="13.33203125" customWidth="1"/>
    <col min="14" max="14" width="14.33203125" customWidth="1"/>
  </cols>
  <sheetData>
    <row r="1" spans="1:9" ht="15.6" x14ac:dyDescent="0.3">
      <c r="A1" s="1" t="s">
        <v>0</v>
      </c>
      <c r="B1" s="3" t="s">
        <v>125</v>
      </c>
    </row>
    <row r="3" spans="1:9" ht="15.6" x14ac:dyDescent="0.3">
      <c r="A3" s="1" t="s">
        <v>2</v>
      </c>
      <c r="B3" s="1" t="s">
        <v>157</v>
      </c>
    </row>
    <row r="4" spans="1:9" x14ac:dyDescent="0.3">
      <c r="A4" t="s">
        <v>7</v>
      </c>
      <c r="B4" t="s">
        <v>8</v>
      </c>
    </row>
    <row r="5" spans="1:9" x14ac:dyDescent="0.3">
      <c r="A5" t="s">
        <v>141</v>
      </c>
      <c r="B5">
        <v>1</v>
      </c>
    </row>
    <row r="6" spans="1:9" x14ac:dyDescent="0.3">
      <c r="A6" t="s">
        <v>15</v>
      </c>
      <c r="B6" t="s">
        <v>157</v>
      </c>
    </row>
    <row r="7" spans="1:9" x14ac:dyDescent="0.3">
      <c r="A7" t="s">
        <v>14</v>
      </c>
      <c r="B7" t="s">
        <v>16</v>
      </c>
    </row>
    <row r="8" spans="1:9" x14ac:dyDescent="0.3">
      <c r="A8" t="s">
        <v>126</v>
      </c>
    </row>
    <row r="9" spans="1:9" x14ac:dyDescent="0.3">
      <c r="A9" t="s">
        <v>6</v>
      </c>
      <c r="B9" t="s">
        <v>143</v>
      </c>
    </row>
    <row r="10" spans="1:9" ht="15.6" x14ac:dyDescent="0.3">
      <c r="A10" s="1" t="s">
        <v>10</v>
      </c>
    </row>
    <row r="11" spans="1:9" x14ac:dyDescent="0.3">
      <c r="A11" t="s">
        <v>11</v>
      </c>
      <c r="B11" t="s">
        <v>12</v>
      </c>
      <c r="C11" t="s">
        <v>7</v>
      </c>
      <c r="D11" t="s">
        <v>14</v>
      </c>
      <c r="E11" t="s">
        <v>23</v>
      </c>
      <c r="F11" t="s">
        <v>9</v>
      </c>
      <c r="G11" t="s">
        <v>15</v>
      </c>
      <c r="H11" t="s">
        <v>20</v>
      </c>
      <c r="I11" t="s">
        <v>6</v>
      </c>
    </row>
    <row r="12" spans="1:9" x14ac:dyDescent="0.3">
      <c r="A12" t="str">
        <f>B6</f>
        <v>transport, hydrogen, gaseous, lorry, unspecified</v>
      </c>
      <c r="B12">
        <f>B5</f>
        <v>1</v>
      </c>
      <c r="C12" t="s">
        <v>8</v>
      </c>
      <c r="D12" t="s">
        <v>16</v>
      </c>
      <c r="F12" t="s">
        <v>17</v>
      </c>
      <c r="G12" t="s">
        <v>157</v>
      </c>
    </row>
    <row r="13" spans="1:9" ht="15.6" x14ac:dyDescent="0.3">
      <c r="A13" s="4" t="s">
        <v>163</v>
      </c>
      <c r="B13">
        <v>1</v>
      </c>
      <c r="C13" t="s">
        <v>156</v>
      </c>
      <c r="D13" t="s">
        <v>16</v>
      </c>
      <c r="F13" t="s">
        <v>18</v>
      </c>
      <c r="G13" t="s">
        <v>162</v>
      </c>
      <c r="I13" t="s">
        <v>159</v>
      </c>
    </row>
    <row r="14" spans="1:9" x14ac:dyDescent="0.3">
      <c r="A14" t="s">
        <v>140</v>
      </c>
      <c r="B14">
        <f>1*1000/540000</f>
        <v>1.8518518518518519E-3</v>
      </c>
      <c r="C14" t="s">
        <v>8</v>
      </c>
      <c r="D14" t="s">
        <v>26</v>
      </c>
      <c r="F14" t="s">
        <v>18</v>
      </c>
      <c r="G14" t="s">
        <v>140</v>
      </c>
      <c r="I14" t="s">
        <v>142</v>
      </c>
    </row>
    <row r="15" spans="1:9" ht="15.6" x14ac:dyDescent="0.3">
      <c r="A15" s="4" t="s">
        <v>150</v>
      </c>
      <c r="B15">
        <f>1000*0.005</f>
        <v>5</v>
      </c>
      <c r="C15" t="s">
        <v>156</v>
      </c>
      <c r="D15" t="s">
        <v>26</v>
      </c>
      <c r="F15" t="s">
        <v>18</v>
      </c>
      <c r="G15" t="s">
        <v>151</v>
      </c>
      <c r="I15" t="s">
        <v>161</v>
      </c>
    </row>
    <row r="16" spans="1:9" x14ac:dyDescent="0.3">
      <c r="A16" t="s">
        <v>158</v>
      </c>
      <c r="B16">
        <f>1000*0.005</f>
        <v>5</v>
      </c>
      <c r="D16" t="s">
        <v>26</v>
      </c>
      <c r="E16" t="s">
        <v>149</v>
      </c>
      <c r="F16" t="s">
        <v>27</v>
      </c>
      <c r="I16" t="s">
        <v>160</v>
      </c>
    </row>
    <row r="18" spans="1:9" ht="15.6" x14ac:dyDescent="0.3">
      <c r="A18" s="1" t="s">
        <v>2</v>
      </c>
      <c r="B18" s="1" t="s">
        <v>164</v>
      </c>
    </row>
    <row r="19" spans="1:9" x14ac:dyDescent="0.3">
      <c r="A19" t="s">
        <v>7</v>
      </c>
      <c r="B19" t="s">
        <v>8</v>
      </c>
    </row>
    <row r="20" spans="1:9" x14ac:dyDescent="0.3">
      <c r="A20" t="s">
        <v>141</v>
      </c>
      <c r="B20">
        <v>1</v>
      </c>
    </row>
    <row r="21" spans="1:9" x14ac:dyDescent="0.3">
      <c r="A21" t="s">
        <v>15</v>
      </c>
      <c r="B21" t="s">
        <v>164</v>
      </c>
    </row>
    <row r="22" spans="1:9" x14ac:dyDescent="0.3">
      <c r="A22" t="s">
        <v>14</v>
      </c>
      <c r="B22" t="s">
        <v>16</v>
      </c>
    </row>
    <row r="23" spans="1:9" x14ac:dyDescent="0.3">
      <c r="A23" t="s">
        <v>126</v>
      </c>
    </row>
    <row r="24" spans="1:9" x14ac:dyDescent="0.3">
      <c r="A24" t="s">
        <v>6</v>
      </c>
      <c r="B24" t="s">
        <v>144</v>
      </c>
    </row>
    <row r="25" spans="1:9" ht="15.6" x14ac:dyDescent="0.3">
      <c r="A25" s="1" t="s">
        <v>10</v>
      </c>
    </row>
    <row r="26" spans="1:9" x14ac:dyDescent="0.3">
      <c r="A26" t="s">
        <v>11</v>
      </c>
      <c r="B26" t="s">
        <v>12</v>
      </c>
      <c r="C26" t="s">
        <v>7</v>
      </c>
      <c r="D26" t="s">
        <v>14</v>
      </c>
      <c r="E26" t="s">
        <v>23</v>
      </c>
      <c r="F26" t="s">
        <v>9</v>
      </c>
      <c r="G26" t="s">
        <v>15</v>
      </c>
      <c r="H26" t="s">
        <v>20</v>
      </c>
      <c r="I26" t="s">
        <v>6</v>
      </c>
    </row>
    <row r="27" spans="1:9" x14ac:dyDescent="0.3">
      <c r="A27" t="str">
        <f>B21</f>
        <v>transport, hydrogen, liquid, lorry, unspecified</v>
      </c>
      <c r="B27">
        <f>B20</f>
        <v>1</v>
      </c>
      <c r="C27" t="s">
        <v>8</v>
      </c>
      <c r="D27" t="s">
        <v>16</v>
      </c>
      <c r="F27" t="s">
        <v>17</v>
      </c>
      <c r="G27" t="s">
        <v>164</v>
      </c>
    </row>
    <row r="28" spans="1:9" ht="15.6" x14ac:dyDescent="0.3">
      <c r="A28" s="4" t="s">
        <v>163</v>
      </c>
      <c r="B28">
        <v>1</v>
      </c>
      <c r="C28" t="s">
        <v>156</v>
      </c>
      <c r="D28" t="s">
        <v>16</v>
      </c>
      <c r="F28" t="s">
        <v>18</v>
      </c>
      <c r="G28" t="s">
        <v>162</v>
      </c>
      <c r="I28" t="s">
        <v>159</v>
      </c>
    </row>
    <row r="29" spans="1:9" x14ac:dyDescent="0.3">
      <c r="A29" t="s">
        <v>140</v>
      </c>
      <c r="B29">
        <f>1*1000/540000</f>
        <v>1.8518518518518519E-3</v>
      </c>
      <c r="C29" t="s">
        <v>8</v>
      </c>
      <c r="D29" t="s">
        <v>26</v>
      </c>
      <c r="F29" t="s">
        <v>18</v>
      </c>
      <c r="G29" t="s">
        <v>140</v>
      </c>
      <c r="I29" t="s">
        <v>142</v>
      </c>
    </row>
    <row r="30" spans="1:9" ht="15.6" x14ac:dyDescent="0.3">
      <c r="A30" s="4" t="s">
        <v>150</v>
      </c>
      <c r="B30">
        <f>1000*0.01625</f>
        <v>16.25</v>
      </c>
      <c r="C30" t="s">
        <v>156</v>
      </c>
      <c r="D30" t="s">
        <v>26</v>
      </c>
      <c r="F30" t="s">
        <v>18</v>
      </c>
      <c r="G30" t="s">
        <v>151</v>
      </c>
      <c r="I30" t="s">
        <v>161</v>
      </c>
    </row>
    <row r="31" spans="1:9" x14ac:dyDescent="0.3">
      <c r="A31" t="s">
        <v>166</v>
      </c>
      <c r="B31">
        <f>1000*(6.78+0.6)</f>
        <v>7380</v>
      </c>
      <c r="C31" t="s">
        <v>156</v>
      </c>
      <c r="D31" t="s">
        <v>155</v>
      </c>
      <c r="F31" t="s">
        <v>18</v>
      </c>
      <c r="G31" t="s">
        <v>146</v>
      </c>
      <c r="I31" t="s">
        <v>165</v>
      </c>
    </row>
    <row r="32" spans="1:9" x14ac:dyDescent="0.3">
      <c r="A32" t="s">
        <v>158</v>
      </c>
      <c r="B32">
        <f>1000*0.01625</f>
        <v>16.25</v>
      </c>
      <c r="D32" t="s">
        <v>26</v>
      </c>
      <c r="E32" t="s">
        <v>149</v>
      </c>
      <c r="F32" t="s">
        <v>27</v>
      </c>
      <c r="I32" t="s">
        <v>160</v>
      </c>
    </row>
    <row r="34" spans="1:9" ht="15.6" x14ac:dyDescent="0.3">
      <c r="A34" s="1" t="s">
        <v>2</v>
      </c>
      <c r="B34" s="1" t="s">
        <v>145</v>
      </c>
    </row>
    <row r="35" spans="1:9" x14ac:dyDescent="0.3">
      <c r="A35" t="s">
        <v>7</v>
      </c>
      <c r="B35" t="s">
        <v>8</v>
      </c>
    </row>
    <row r="36" spans="1:9" x14ac:dyDescent="0.3">
      <c r="A36" t="s">
        <v>141</v>
      </c>
      <c r="B36">
        <v>1</v>
      </c>
    </row>
    <row r="37" spans="1:9" x14ac:dyDescent="0.3">
      <c r="A37" t="s">
        <v>15</v>
      </c>
      <c r="B37" t="s">
        <v>145</v>
      </c>
    </row>
    <row r="38" spans="1:9" x14ac:dyDescent="0.3">
      <c r="A38" t="s">
        <v>14</v>
      </c>
      <c r="B38" t="s">
        <v>16</v>
      </c>
    </row>
    <row r="39" spans="1:9" x14ac:dyDescent="0.3">
      <c r="A39" t="s">
        <v>126</v>
      </c>
    </row>
    <row r="40" spans="1:9" x14ac:dyDescent="0.3">
      <c r="A40" t="s">
        <v>6</v>
      </c>
      <c r="B40" t="s">
        <v>154</v>
      </c>
    </row>
    <row r="41" spans="1:9" ht="15.6" x14ac:dyDescent="0.3">
      <c r="A41" s="1" t="s">
        <v>10</v>
      </c>
    </row>
    <row r="42" spans="1:9" x14ac:dyDescent="0.3">
      <c r="A42" t="s">
        <v>11</v>
      </c>
      <c r="B42" t="s">
        <v>12</v>
      </c>
      <c r="C42" t="s">
        <v>7</v>
      </c>
      <c r="D42" t="s">
        <v>14</v>
      </c>
      <c r="E42" t="s">
        <v>23</v>
      </c>
      <c r="F42" t="s">
        <v>9</v>
      </c>
      <c r="G42" t="s">
        <v>15</v>
      </c>
      <c r="H42" t="s">
        <v>20</v>
      </c>
      <c r="I42" t="s">
        <v>6</v>
      </c>
    </row>
    <row r="43" spans="1:9" x14ac:dyDescent="0.3">
      <c r="A43" t="str">
        <f>B37</f>
        <v>transport, freight, sea, tanker for liquefied hydrogen, heavy fuel oil</v>
      </c>
      <c r="B43">
        <f>B36</f>
        <v>1</v>
      </c>
      <c r="C43" t="s">
        <v>8</v>
      </c>
      <c r="D43" t="s">
        <v>16</v>
      </c>
      <c r="F43" t="s">
        <v>17</v>
      </c>
      <c r="G43" t="s">
        <v>145</v>
      </c>
    </row>
    <row r="44" spans="1:9" x14ac:dyDescent="0.3">
      <c r="A44" t="s">
        <v>140</v>
      </c>
      <c r="B44">
        <f>1000*1/540000</f>
        <v>1.8518518518518519E-3</v>
      </c>
      <c r="C44" t="s">
        <v>8</v>
      </c>
      <c r="D44" t="s">
        <v>26</v>
      </c>
      <c r="F44" t="s">
        <v>18</v>
      </c>
      <c r="G44" t="s">
        <v>140</v>
      </c>
    </row>
    <row r="45" spans="1:9" ht="15.6" x14ac:dyDescent="0.3">
      <c r="A45" s="4" t="s">
        <v>150</v>
      </c>
      <c r="B45">
        <v>5.0000000000000001E-3</v>
      </c>
      <c r="C45" t="s">
        <v>156</v>
      </c>
      <c r="D45" t="s">
        <v>26</v>
      </c>
      <c r="F45" t="s">
        <v>18</v>
      </c>
      <c r="G45" t="s">
        <v>151</v>
      </c>
    </row>
    <row r="46" spans="1:9" x14ac:dyDescent="0.3">
      <c r="A46" t="s">
        <v>147</v>
      </c>
      <c r="B46">
        <v>1</v>
      </c>
      <c r="C46" t="s">
        <v>8</v>
      </c>
      <c r="D46" t="s">
        <v>16</v>
      </c>
      <c r="F46" t="s">
        <v>18</v>
      </c>
      <c r="G46" t="s">
        <v>148</v>
      </c>
    </row>
    <row r="48" spans="1:9" ht="15.6" x14ac:dyDescent="0.3">
      <c r="A48" s="1" t="s">
        <v>2</v>
      </c>
      <c r="B48" s="1" t="s">
        <v>152</v>
      </c>
    </row>
    <row r="49" spans="1:9" x14ac:dyDescent="0.3">
      <c r="A49" t="s">
        <v>7</v>
      </c>
      <c r="B49" t="s">
        <v>8</v>
      </c>
    </row>
    <row r="50" spans="1:9" x14ac:dyDescent="0.3">
      <c r="A50" t="s">
        <v>141</v>
      </c>
      <c r="B50">
        <v>1</v>
      </c>
    </row>
    <row r="51" spans="1:9" x14ac:dyDescent="0.3">
      <c r="A51" t="s">
        <v>15</v>
      </c>
      <c r="B51" t="s">
        <v>152</v>
      </c>
    </row>
    <row r="52" spans="1:9" x14ac:dyDescent="0.3">
      <c r="A52" t="s">
        <v>14</v>
      </c>
      <c r="B52" t="s">
        <v>16</v>
      </c>
    </row>
    <row r="53" spans="1:9" x14ac:dyDescent="0.3">
      <c r="A53" t="s">
        <v>126</v>
      </c>
    </row>
    <row r="54" spans="1:9" x14ac:dyDescent="0.3">
      <c r="A54" t="s">
        <v>6</v>
      </c>
      <c r="B54" t="s">
        <v>153</v>
      </c>
    </row>
    <row r="55" spans="1:9" ht="15.6" x14ac:dyDescent="0.3">
      <c r="A55" s="1" t="s">
        <v>10</v>
      </c>
    </row>
    <row r="56" spans="1:9" x14ac:dyDescent="0.3">
      <c r="A56" t="s">
        <v>11</v>
      </c>
      <c r="B56" t="s">
        <v>12</v>
      </c>
      <c r="C56" t="s">
        <v>7</v>
      </c>
      <c r="D56" t="s">
        <v>14</v>
      </c>
      <c r="E56" t="s">
        <v>23</v>
      </c>
      <c r="F56" t="s">
        <v>9</v>
      </c>
      <c r="G56" t="s">
        <v>15</v>
      </c>
      <c r="H56" t="s">
        <v>20</v>
      </c>
      <c r="I56" t="s">
        <v>6</v>
      </c>
    </row>
    <row r="57" spans="1:9" x14ac:dyDescent="0.3">
      <c r="A57" t="str">
        <f>B51</f>
        <v>transport, freight, sea, tanker for liquefied ammonia, heavy fuel oil</v>
      </c>
      <c r="B57">
        <f>B50</f>
        <v>1</v>
      </c>
      <c r="C57" t="s">
        <v>8</v>
      </c>
      <c r="D57" t="s">
        <v>16</v>
      </c>
      <c r="F57" t="s">
        <v>17</v>
      </c>
      <c r="G57" t="s">
        <v>152</v>
      </c>
    </row>
    <row r="58" spans="1:9" x14ac:dyDescent="0.3">
      <c r="A58" t="s">
        <v>140</v>
      </c>
      <c r="B58">
        <v>0</v>
      </c>
      <c r="C58" t="s">
        <v>8</v>
      </c>
      <c r="D58" t="s">
        <v>26</v>
      </c>
      <c r="F58" t="s">
        <v>18</v>
      </c>
      <c r="G58" t="s">
        <v>140</v>
      </c>
    </row>
    <row r="59" spans="1:9" ht="15.6" x14ac:dyDescent="0.3">
      <c r="A59" s="4" t="s">
        <v>150</v>
      </c>
      <c r="B59">
        <v>5.0000000000000001E-3</v>
      </c>
      <c r="C59" t="s">
        <v>156</v>
      </c>
      <c r="D59" t="s">
        <v>26</v>
      </c>
      <c r="F59" t="s">
        <v>18</v>
      </c>
      <c r="G59" t="s">
        <v>151</v>
      </c>
    </row>
    <row r="60" spans="1:9" x14ac:dyDescent="0.3">
      <c r="A60" t="s">
        <v>147</v>
      </c>
      <c r="B60">
        <v>1</v>
      </c>
      <c r="C60" t="s">
        <v>8</v>
      </c>
      <c r="D60" t="s">
        <v>16</v>
      </c>
      <c r="F60" t="s">
        <v>18</v>
      </c>
      <c r="G60" t="s">
        <v>148</v>
      </c>
    </row>
    <row r="62" spans="1:9" ht="15.6" x14ac:dyDescent="0.3">
      <c r="A62" s="1"/>
      <c r="B62" s="1"/>
    </row>
    <row r="69" spans="1:7" ht="15.6" x14ac:dyDescent="0.3">
      <c r="A69" s="1"/>
    </row>
    <row r="72" spans="1:7" ht="15.6" x14ac:dyDescent="0.3">
      <c r="A72" s="4"/>
    </row>
    <row r="73" spans="1:7" ht="15.6" x14ac:dyDescent="0.3">
      <c r="A73" s="4"/>
    </row>
    <row r="74" spans="1:7" ht="15.6" x14ac:dyDescent="0.3">
      <c r="A74" s="4"/>
    </row>
    <row r="75" spans="1:7" ht="15.6" x14ac:dyDescent="0.3">
      <c r="A75" s="4"/>
      <c r="G75" s="4"/>
    </row>
    <row r="77" spans="1:7" ht="15.6" x14ac:dyDescent="0.3">
      <c r="A77" s="4"/>
    </row>
    <row r="78" spans="1:7" ht="15.6" x14ac:dyDescent="0.3">
      <c r="A78" s="4"/>
    </row>
    <row r="79" spans="1:7" ht="15.6" x14ac:dyDescent="0.3">
      <c r="A79" s="4"/>
    </row>
    <row r="80" spans="1:7" ht="15.6" x14ac:dyDescent="0.3">
      <c r="A80" s="4"/>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F05BD3-82B5-4829-9975-BAE4BAEB41CD}">
  <dimension ref="A1:R50"/>
  <sheetViews>
    <sheetView workbookViewId="0">
      <selection activeCell="A2" sqref="A2"/>
    </sheetView>
  </sheetViews>
  <sheetFormatPr baseColWidth="10" defaultRowHeight="14.4" x14ac:dyDescent="0.3"/>
  <cols>
    <col min="1" max="1" width="32.5546875" customWidth="1"/>
    <col min="3" max="3" width="19.21875" customWidth="1"/>
    <col min="8" max="8" width="26.33203125" customWidth="1"/>
    <col min="15" max="15" width="27.5546875" customWidth="1"/>
  </cols>
  <sheetData>
    <row r="1" spans="1:4" x14ac:dyDescent="0.3">
      <c r="A1" t="s">
        <v>135</v>
      </c>
    </row>
    <row r="2" spans="1:4" ht="15.6" x14ac:dyDescent="0.3">
      <c r="A2" s="1" t="s">
        <v>0</v>
      </c>
      <c r="B2" s="3" t="s">
        <v>125</v>
      </c>
    </row>
    <row r="3" spans="1:4" ht="15.6" x14ac:dyDescent="0.3">
      <c r="A3" s="1"/>
      <c r="B3" s="3"/>
    </row>
    <row r="4" spans="1:4" ht="15.6" x14ac:dyDescent="0.3">
      <c r="A4" s="1" t="s">
        <v>2</v>
      </c>
      <c r="B4" s="1" t="s">
        <v>34</v>
      </c>
    </row>
    <row r="5" spans="1:4" x14ac:dyDescent="0.3">
      <c r="A5" t="s">
        <v>3</v>
      </c>
      <c r="B5" t="s">
        <v>35</v>
      </c>
    </row>
    <row r="6" spans="1:4" x14ac:dyDescent="0.3">
      <c r="A6" t="s">
        <v>4</v>
      </c>
      <c r="B6" t="s">
        <v>1</v>
      </c>
    </row>
    <row r="7" spans="1:4" x14ac:dyDescent="0.3">
      <c r="A7" t="s">
        <v>5</v>
      </c>
      <c r="B7" t="s">
        <v>131</v>
      </c>
    </row>
    <row r="8" spans="1:4" ht="17.399999999999999" customHeight="1" x14ac:dyDescent="0.3">
      <c r="A8" t="s">
        <v>6</v>
      </c>
      <c r="B8" s="2" t="s">
        <v>36</v>
      </c>
    </row>
    <row r="9" spans="1:4" x14ac:dyDescent="0.3">
      <c r="A9" t="s">
        <v>126</v>
      </c>
      <c r="B9" t="s">
        <v>127</v>
      </c>
    </row>
    <row r="10" spans="1:4" x14ac:dyDescent="0.3">
      <c r="A10" t="s">
        <v>7</v>
      </c>
      <c r="B10" t="s">
        <v>8</v>
      </c>
    </row>
    <row r="11" spans="1:4" x14ac:dyDescent="0.3">
      <c r="A11" t="s">
        <v>15</v>
      </c>
      <c r="B11" t="s">
        <v>136</v>
      </c>
    </row>
    <row r="12" spans="1:4" x14ac:dyDescent="0.3">
      <c r="A12" t="s">
        <v>14</v>
      </c>
      <c r="B12" t="s">
        <v>16</v>
      </c>
    </row>
    <row r="13" spans="1:4" ht="15.6" x14ac:dyDescent="0.3">
      <c r="A13" s="1" t="s">
        <v>137</v>
      </c>
      <c r="B13" s="1" t="s">
        <v>138</v>
      </c>
    </row>
    <row r="14" spans="1:4" x14ac:dyDescent="0.3">
      <c r="A14" t="s">
        <v>11</v>
      </c>
      <c r="B14" t="s">
        <v>12</v>
      </c>
      <c r="C14" t="s">
        <v>37</v>
      </c>
      <c r="D14" t="s">
        <v>6</v>
      </c>
    </row>
    <row r="15" spans="1:4" x14ac:dyDescent="0.3">
      <c r="A15" t="s">
        <v>38</v>
      </c>
      <c r="B15">
        <v>2.0000000000000001E-4</v>
      </c>
      <c r="C15" t="s">
        <v>39</v>
      </c>
      <c r="D15" t="s">
        <v>40</v>
      </c>
    </row>
    <row r="16" spans="1:4" x14ac:dyDescent="0.3">
      <c r="A16" t="s">
        <v>41</v>
      </c>
      <c r="B16">
        <v>0.03</v>
      </c>
      <c r="C16" t="s">
        <v>42</v>
      </c>
      <c r="D16" t="s">
        <v>43</v>
      </c>
    </row>
    <row r="17" spans="1:18" x14ac:dyDescent="0.3">
      <c r="A17" t="s">
        <v>44</v>
      </c>
      <c r="B17">
        <v>2.8500000000000001E-2</v>
      </c>
      <c r="C17" t="s">
        <v>45</v>
      </c>
      <c r="D17" t="s">
        <v>46</v>
      </c>
    </row>
    <row r="18" spans="1:18" x14ac:dyDescent="0.3">
      <c r="A18" t="s">
        <v>47</v>
      </c>
      <c r="B18">
        <v>1.5E-3</v>
      </c>
      <c r="C18" t="s">
        <v>48</v>
      </c>
      <c r="D18" t="s">
        <v>49</v>
      </c>
    </row>
    <row r="19" spans="1:18" x14ac:dyDescent="0.3">
      <c r="A19" t="s">
        <v>50</v>
      </c>
      <c r="B19">
        <v>1.6999999999999999E-3</v>
      </c>
      <c r="C19" t="s">
        <v>51</v>
      </c>
      <c r="D19" t="s">
        <v>52</v>
      </c>
    </row>
    <row r="20" spans="1:18" x14ac:dyDescent="0.3">
      <c r="A20" t="s">
        <v>53</v>
      </c>
      <c r="B20">
        <v>1E-4</v>
      </c>
      <c r="C20" t="s">
        <v>54</v>
      </c>
      <c r="D20" t="s">
        <v>55</v>
      </c>
    </row>
    <row r="21" spans="1:18" x14ac:dyDescent="0.3">
      <c r="A21" t="s">
        <v>56</v>
      </c>
      <c r="B21">
        <v>0.95</v>
      </c>
      <c r="D21" t="s">
        <v>57</v>
      </c>
    </row>
    <row r="22" spans="1:18" x14ac:dyDescent="0.3">
      <c r="A22" t="s">
        <v>58</v>
      </c>
      <c r="B22">
        <v>0.05</v>
      </c>
      <c r="D22" t="s">
        <v>59</v>
      </c>
    </row>
    <row r="23" spans="1:18" x14ac:dyDescent="0.3">
      <c r="A23" t="s">
        <v>60</v>
      </c>
      <c r="B23">
        <v>0.24912000000000001</v>
      </c>
      <c r="C23" t="s">
        <v>61</v>
      </c>
      <c r="D23" t="s">
        <v>62</v>
      </c>
    </row>
    <row r="24" spans="1:18" x14ac:dyDescent="0.3">
      <c r="A24" t="s">
        <v>63</v>
      </c>
      <c r="B24">
        <v>4.7999999999999998E-6</v>
      </c>
      <c r="C24" t="s">
        <v>64</v>
      </c>
      <c r="D24" t="s">
        <v>65</v>
      </c>
    </row>
    <row r="25" spans="1:18" x14ac:dyDescent="0.3">
      <c r="A25" t="s">
        <v>66</v>
      </c>
      <c r="B25">
        <v>1.36E-5</v>
      </c>
      <c r="C25" t="s">
        <v>67</v>
      </c>
      <c r="D25" t="s">
        <v>68</v>
      </c>
    </row>
    <row r="26" spans="1:18" x14ac:dyDescent="0.3">
      <c r="A26" t="s">
        <v>69</v>
      </c>
      <c r="B26">
        <v>1000</v>
      </c>
    </row>
    <row r="28" spans="1:18" ht="15.6" x14ac:dyDescent="0.3">
      <c r="A28" s="1" t="s">
        <v>10</v>
      </c>
    </row>
    <row r="29" spans="1:18" x14ac:dyDescent="0.3">
      <c r="A29" t="s">
        <v>11</v>
      </c>
      <c r="B29" t="s">
        <v>12</v>
      </c>
      <c r="C29" t="s">
        <v>13</v>
      </c>
      <c r="D29" t="s">
        <v>7</v>
      </c>
      <c r="E29" t="s">
        <v>14</v>
      </c>
      <c r="F29" t="s">
        <v>23</v>
      </c>
      <c r="G29" t="s">
        <v>9</v>
      </c>
      <c r="H29" t="s">
        <v>37</v>
      </c>
      <c r="I29" t="s">
        <v>20</v>
      </c>
      <c r="J29" t="s">
        <v>21</v>
      </c>
      <c r="K29" t="s">
        <v>70</v>
      </c>
      <c r="L29" t="s">
        <v>71</v>
      </c>
      <c r="M29" t="s">
        <v>72</v>
      </c>
      <c r="N29" t="s">
        <v>6</v>
      </c>
      <c r="O29" t="s">
        <v>73</v>
      </c>
      <c r="P29" t="s">
        <v>74</v>
      </c>
      <c r="Q29" t="s">
        <v>15</v>
      </c>
      <c r="R29" t="s">
        <v>75</v>
      </c>
    </row>
    <row r="30" spans="1:18" x14ac:dyDescent="0.3">
      <c r="A30" t="s">
        <v>24</v>
      </c>
      <c r="B30">
        <v>2.8499999999999998E-6</v>
      </c>
      <c r="C30" t="s">
        <v>25</v>
      </c>
      <c r="E30" t="s">
        <v>26</v>
      </c>
      <c r="F30" t="s">
        <v>76</v>
      </c>
      <c r="G30" t="s">
        <v>27</v>
      </c>
      <c r="H30" t="s">
        <v>77</v>
      </c>
      <c r="I30">
        <v>2</v>
      </c>
      <c r="J30">
        <v>-13.74250176111102</v>
      </c>
      <c r="K30">
        <v>0.34942810419312298</v>
      </c>
      <c r="L30" t="s">
        <v>78</v>
      </c>
      <c r="M30" t="s">
        <v>79</v>
      </c>
      <c r="N30" t="s">
        <v>132</v>
      </c>
      <c r="O30">
        <v>2.8540000000000002E-3</v>
      </c>
      <c r="P30" t="s">
        <v>80</v>
      </c>
      <c r="R30">
        <v>0.2</v>
      </c>
    </row>
    <row r="31" spans="1:18" x14ac:dyDescent="0.3">
      <c r="A31" t="s">
        <v>81</v>
      </c>
      <c r="B31">
        <v>3.7367999999999999E-4</v>
      </c>
      <c r="C31" t="s">
        <v>25</v>
      </c>
      <c r="E31" t="s">
        <v>26</v>
      </c>
      <c r="F31" t="s">
        <v>76</v>
      </c>
      <c r="G31" t="s">
        <v>27</v>
      </c>
      <c r="H31" t="s">
        <v>82</v>
      </c>
      <c r="I31">
        <v>2</v>
      </c>
      <c r="J31">
        <v>-4.781436711539472</v>
      </c>
      <c r="K31">
        <v>0.2046948949045872</v>
      </c>
      <c r="L31" t="s">
        <v>83</v>
      </c>
      <c r="M31" t="s">
        <v>84</v>
      </c>
      <c r="N31" t="s">
        <v>133</v>
      </c>
      <c r="O31">
        <v>1.2659999999999999E-4</v>
      </c>
      <c r="P31" t="s">
        <v>85</v>
      </c>
      <c r="R31">
        <v>2.4494897427831779E-2</v>
      </c>
    </row>
    <row r="32" spans="1:18" x14ac:dyDescent="0.3">
      <c r="A32" t="s">
        <v>86</v>
      </c>
      <c r="B32">
        <v>0</v>
      </c>
      <c r="C32" t="s">
        <v>25</v>
      </c>
      <c r="E32" t="s">
        <v>26</v>
      </c>
      <c r="F32" t="s">
        <v>76</v>
      </c>
      <c r="G32" t="s">
        <v>27</v>
      </c>
      <c r="I32">
        <v>2</v>
      </c>
      <c r="J32">
        <v>-11.84434628152367</v>
      </c>
      <c r="K32">
        <v>0.83144452611103292</v>
      </c>
      <c r="L32" t="s">
        <v>87</v>
      </c>
      <c r="M32" t="s">
        <v>88</v>
      </c>
      <c r="P32" t="s">
        <v>85</v>
      </c>
      <c r="R32">
        <v>0.80622577482985502</v>
      </c>
    </row>
    <row r="33" spans="1:18" x14ac:dyDescent="0.3">
      <c r="A33" t="s">
        <v>28</v>
      </c>
      <c r="B33">
        <v>2.0400000000000001E-8</v>
      </c>
      <c r="C33" t="s">
        <v>25</v>
      </c>
      <c r="E33" t="s">
        <v>26</v>
      </c>
      <c r="F33" t="s">
        <v>76</v>
      </c>
      <c r="G33" t="s">
        <v>27</v>
      </c>
      <c r="H33" t="s">
        <v>89</v>
      </c>
      <c r="I33">
        <v>2</v>
      </c>
      <c r="J33">
        <v>-14.664736275474411</v>
      </c>
      <c r="K33">
        <v>0.2851315485876651</v>
      </c>
      <c r="L33" t="s">
        <v>90</v>
      </c>
      <c r="M33" t="s">
        <v>91</v>
      </c>
      <c r="N33" t="s">
        <v>133</v>
      </c>
      <c r="O33">
        <v>4.27746E-7</v>
      </c>
      <c r="P33" t="s">
        <v>85</v>
      </c>
      <c r="R33">
        <v>0.2</v>
      </c>
    </row>
    <row r="34" spans="1:18" x14ac:dyDescent="0.3">
      <c r="A34" t="s">
        <v>28</v>
      </c>
      <c r="B34">
        <v>5.6999999999999996E-6</v>
      </c>
      <c r="C34" t="s">
        <v>25</v>
      </c>
      <c r="E34" t="s">
        <v>26</v>
      </c>
      <c r="F34" t="s">
        <v>76</v>
      </c>
      <c r="G34" t="s">
        <v>27</v>
      </c>
      <c r="H34" t="s">
        <v>92</v>
      </c>
      <c r="N34" t="s">
        <v>134</v>
      </c>
      <c r="O34">
        <v>5.7000000000000002E-3</v>
      </c>
    </row>
    <row r="35" spans="1:18" x14ac:dyDescent="0.3">
      <c r="A35" t="s">
        <v>93</v>
      </c>
      <c r="B35">
        <v>7.2E-9</v>
      </c>
      <c r="C35" t="s">
        <v>25</v>
      </c>
      <c r="E35" t="s">
        <v>26</v>
      </c>
      <c r="F35" t="s">
        <v>76</v>
      </c>
      <c r="G35" t="s">
        <v>27</v>
      </c>
      <c r="H35" t="s">
        <v>94</v>
      </c>
      <c r="I35">
        <v>2</v>
      </c>
      <c r="J35">
        <v>-15.751988332064601</v>
      </c>
      <c r="K35">
        <v>0.2851315485876651</v>
      </c>
      <c r="L35" t="s">
        <v>95</v>
      </c>
      <c r="M35" t="s">
        <v>96</v>
      </c>
      <c r="N35" t="s">
        <v>133</v>
      </c>
      <c r="O35">
        <v>1E-8</v>
      </c>
      <c r="P35" t="s">
        <v>85</v>
      </c>
      <c r="R35">
        <v>0.2</v>
      </c>
    </row>
    <row r="36" spans="1:18" x14ac:dyDescent="0.3">
      <c r="A36" t="s">
        <v>29</v>
      </c>
      <c r="B36">
        <v>0</v>
      </c>
      <c r="C36" t="s">
        <v>25</v>
      </c>
      <c r="E36" t="s">
        <v>26</v>
      </c>
      <c r="F36" t="s">
        <v>76</v>
      </c>
      <c r="G36" t="s">
        <v>27</v>
      </c>
    </row>
    <row r="37" spans="1:18" x14ac:dyDescent="0.3">
      <c r="A37" t="s">
        <v>30</v>
      </c>
      <c r="B37">
        <v>4.8449999999999992E-5</v>
      </c>
      <c r="C37" t="s">
        <v>25</v>
      </c>
      <c r="E37" t="s">
        <v>26</v>
      </c>
      <c r="F37" t="s">
        <v>76</v>
      </c>
      <c r="G37" t="s">
        <v>27</v>
      </c>
      <c r="H37" t="s">
        <v>97</v>
      </c>
      <c r="I37">
        <v>2</v>
      </c>
      <c r="J37">
        <v>-8.5295340272510369</v>
      </c>
      <c r="K37">
        <v>0.2851315485876651</v>
      </c>
      <c r="M37" t="s">
        <v>98</v>
      </c>
      <c r="N37" t="s">
        <v>134</v>
      </c>
      <c r="O37">
        <v>4.8512E-2</v>
      </c>
      <c r="P37" t="s">
        <v>85</v>
      </c>
      <c r="R37">
        <v>0.2</v>
      </c>
    </row>
    <row r="38" spans="1:18" x14ac:dyDescent="0.3">
      <c r="A38" t="s">
        <v>31</v>
      </c>
      <c r="B38">
        <v>0</v>
      </c>
      <c r="C38" t="s">
        <v>25</v>
      </c>
      <c r="E38" t="s">
        <v>26</v>
      </c>
      <c r="F38" t="s">
        <v>76</v>
      </c>
      <c r="G38" t="s">
        <v>27</v>
      </c>
      <c r="I38">
        <v>2</v>
      </c>
      <c r="J38">
        <v>-12.26645129759965</v>
      </c>
      <c r="K38">
        <v>0.58420886675914119</v>
      </c>
      <c r="P38" t="s">
        <v>85</v>
      </c>
      <c r="R38">
        <v>0.54772255750516607</v>
      </c>
    </row>
    <row r="39" spans="1:18" x14ac:dyDescent="0.3">
      <c r="A39" t="s">
        <v>99</v>
      </c>
      <c r="B39">
        <v>0</v>
      </c>
      <c r="C39" t="s">
        <v>25</v>
      </c>
      <c r="E39" t="s">
        <v>26</v>
      </c>
      <c r="F39" t="s">
        <v>76</v>
      </c>
      <c r="G39" t="s">
        <v>27</v>
      </c>
      <c r="I39">
        <v>2</v>
      </c>
      <c r="J39">
        <v>-11.90977529142279</v>
      </c>
      <c r="K39">
        <v>0.40162171256046397</v>
      </c>
      <c r="P39" t="s">
        <v>85</v>
      </c>
      <c r="R39">
        <v>0.34641016151377552</v>
      </c>
    </row>
    <row r="40" spans="1:18" x14ac:dyDescent="0.3">
      <c r="A40" t="s">
        <v>100</v>
      </c>
      <c r="B40">
        <v>0</v>
      </c>
      <c r="C40" t="s">
        <v>25</v>
      </c>
      <c r="E40" t="s">
        <v>26</v>
      </c>
      <c r="F40" t="s">
        <v>76</v>
      </c>
      <c r="G40" t="s">
        <v>27</v>
      </c>
      <c r="I40">
        <v>2</v>
      </c>
      <c r="J40">
        <v>-12.132918842737</v>
      </c>
      <c r="K40">
        <v>0.58420886675914119</v>
      </c>
      <c r="P40" t="s">
        <v>85</v>
      </c>
      <c r="R40">
        <v>0.54772255750516607</v>
      </c>
    </row>
    <row r="41" spans="1:18" x14ac:dyDescent="0.3">
      <c r="A41" t="s">
        <v>101</v>
      </c>
      <c r="B41">
        <v>0</v>
      </c>
      <c r="C41" t="s">
        <v>25</v>
      </c>
      <c r="E41" t="s">
        <v>26</v>
      </c>
      <c r="F41" t="s">
        <v>76</v>
      </c>
      <c r="G41" t="s">
        <v>27</v>
      </c>
      <c r="I41">
        <v>2</v>
      </c>
      <c r="J41">
        <v>-9.0081753390471704</v>
      </c>
      <c r="K41">
        <v>0.2046948949045872</v>
      </c>
      <c r="L41" t="s">
        <v>102</v>
      </c>
      <c r="M41" t="s">
        <v>103</v>
      </c>
      <c r="P41" t="s">
        <v>85</v>
      </c>
      <c r="R41">
        <v>2.4494897427831779E-2</v>
      </c>
    </row>
    <row r="42" spans="1:18" x14ac:dyDescent="0.3">
      <c r="A42" t="s">
        <v>34</v>
      </c>
      <c r="B42">
        <v>1</v>
      </c>
      <c r="C42" t="s">
        <v>125</v>
      </c>
      <c r="D42" t="s">
        <v>8</v>
      </c>
      <c r="E42" t="s">
        <v>16</v>
      </c>
      <c r="G42" t="s">
        <v>17</v>
      </c>
      <c r="Q42" t="s">
        <v>19</v>
      </c>
    </row>
    <row r="43" spans="1:18" x14ac:dyDescent="0.3">
      <c r="A43" t="s">
        <v>139</v>
      </c>
      <c r="B43">
        <v>2.8500000000000001E-2</v>
      </c>
      <c r="C43" t="s">
        <v>22</v>
      </c>
      <c r="D43" t="s">
        <v>104</v>
      </c>
      <c r="E43" t="s">
        <v>26</v>
      </c>
      <c r="G43" t="s">
        <v>18</v>
      </c>
      <c r="H43" t="s">
        <v>44</v>
      </c>
      <c r="O43">
        <v>5.4999999999999997E-3</v>
      </c>
      <c r="Q43" t="s">
        <v>105</v>
      </c>
    </row>
    <row r="44" spans="1:18" x14ac:dyDescent="0.3">
      <c r="A44" t="s">
        <v>106</v>
      </c>
      <c r="B44">
        <v>-1.2999999999999999E-5</v>
      </c>
      <c r="C44" t="s">
        <v>22</v>
      </c>
      <c r="D44" t="s">
        <v>104</v>
      </c>
      <c r="E44" t="s">
        <v>26</v>
      </c>
      <c r="G44" t="s">
        <v>18</v>
      </c>
      <c r="I44">
        <v>2</v>
      </c>
      <c r="J44">
        <v>-11.61787681268815</v>
      </c>
      <c r="K44">
        <v>0.21142374511865969</v>
      </c>
      <c r="N44" t="s">
        <v>107</v>
      </c>
      <c r="P44" t="s">
        <v>108</v>
      </c>
      <c r="Q44" t="s">
        <v>109</v>
      </c>
      <c r="R44">
        <v>2.4494897427831779E-2</v>
      </c>
    </row>
    <row r="45" spans="1:18" x14ac:dyDescent="0.3">
      <c r="A45" t="s">
        <v>110</v>
      </c>
      <c r="B45">
        <v>1.5E-3</v>
      </c>
      <c r="C45" t="s">
        <v>22</v>
      </c>
      <c r="D45" t="s">
        <v>111</v>
      </c>
      <c r="E45" t="s">
        <v>26</v>
      </c>
      <c r="G45" t="s">
        <v>18</v>
      </c>
      <c r="H45" t="s">
        <v>47</v>
      </c>
      <c r="O45">
        <v>1.2659999999999999E-4</v>
      </c>
      <c r="Q45" t="s">
        <v>112</v>
      </c>
    </row>
    <row r="46" spans="1:18" x14ac:dyDescent="0.3">
      <c r="A46" t="s">
        <v>113</v>
      </c>
      <c r="B46">
        <v>1.0593999999999999E-11</v>
      </c>
      <c r="C46" t="s">
        <v>22</v>
      </c>
      <c r="D46" t="s">
        <v>8</v>
      </c>
      <c r="E46" t="s">
        <v>14</v>
      </c>
      <c r="G46" t="s">
        <v>18</v>
      </c>
      <c r="I46">
        <v>2</v>
      </c>
      <c r="J46">
        <v>-25.270733312806211</v>
      </c>
      <c r="K46">
        <v>0.46540305112880392</v>
      </c>
      <c r="N46" t="s">
        <v>114</v>
      </c>
      <c r="P46" t="s">
        <v>115</v>
      </c>
      <c r="Q46" t="s">
        <v>116</v>
      </c>
      <c r="R46">
        <v>0.34641016151377552</v>
      </c>
    </row>
    <row r="47" spans="1:18" x14ac:dyDescent="0.3">
      <c r="A47" t="s">
        <v>32</v>
      </c>
      <c r="B47">
        <v>1.3798099999999999E-16</v>
      </c>
      <c r="C47" t="s">
        <v>22</v>
      </c>
      <c r="D47" t="s">
        <v>8</v>
      </c>
      <c r="E47" t="s">
        <v>14</v>
      </c>
      <c r="G47" t="s">
        <v>18</v>
      </c>
      <c r="I47">
        <v>2</v>
      </c>
      <c r="J47">
        <v>-36.519415679373957</v>
      </c>
      <c r="K47">
        <v>0.58702640485756685</v>
      </c>
      <c r="N47" t="s">
        <v>117</v>
      </c>
      <c r="P47" t="s">
        <v>118</v>
      </c>
      <c r="Q47" t="s">
        <v>33</v>
      </c>
      <c r="R47">
        <v>0.54772255750516607</v>
      </c>
    </row>
    <row r="48" spans="1:18" x14ac:dyDescent="0.3">
      <c r="A48" t="s">
        <v>119</v>
      </c>
      <c r="B48">
        <v>1.0593999999999999E-11</v>
      </c>
      <c r="C48" t="s">
        <v>22</v>
      </c>
      <c r="D48" t="s">
        <v>8</v>
      </c>
      <c r="E48" t="s">
        <v>14</v>
      </c>
      <c r="G48" t="s">
        <v>18</v>
      </c>
      <c r="I48">
        <v>2</v>
      </c>
      <c r="J48">
        <v>-25.270733312806211</v>
      </c>
      <c r="K48">
        <v>0.46540305112880392</v>
      </c>
      <c r="N48" t="s">
        <v>114</v>
      </c>
      <c r="P48" t="s">
        <v>115</v>
      </c>
      <c r="Q48" t="s">
        <v>120</v>
      </c>
      <c r="R48">
        <v>0.34641016151377552</v>
      </c>
    </row>
    <row r="49" spans="1:17" x14ac:dyDescent="0.3">
      <c r="A49" t="s">
        <v>121</v>
      </c>
      <c r="B49">
        <v>0</v>
      </c>
      <c r="C49" t="s">
        <v>22</v>
      </c>
      <c r="D49" t="s">
        <v>104</v>
      </c>
      <c r="E49" t="s">
        <v>26</v>
      </c>
      <c r="G49" t="s">
        <v>18</v>
      </c>
      <c r="Q49" t="s">
        <v>122</v>
      </c>
    </row>
    <row r="50" spans="1:17" x14ac:dyDescent="0.3">
      <c r="A50" t="s">
        <v>123</v>
      </c>
      <c r="B50">
        <v>0</v>
      </c>
      <c r="C50" t="s">
        <v>22</v>
      </c>
      <c r="D50" t="s">
        <v>104</v>
      </c>
      <c r="E50" t="s">
        <v>26</v>
      </c>
      <c r="G50" t="s">
        <v>18</v>
      </c>
      <c r="Q50" t="s">
        <v>124</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FFFC2-89D0-45E5-B7FA-4B2E66075D0E}">
  <dimension ref="A1:D14"/>
  <sheetViews>
    <sheetView workbookViewId="0">
      <selection activeCell="I24" sqref="I24"/>
    </sheetView>
  </sheetViews>
  <sheetFormatPr baseColWidth="10" defaultRowHeight="14.4" x14ac:dyDescent="0.3"/>
  <cols>
    <col min="1" max="1" width="30.44140625" customWidth="1"/>
    <col min="3" max="3" width="20.5546875" customWidth="1"/>
  </cols>
  <sheetData>
    <row r="1" spans="1:4" x14ac:dyDescent="0.3">
      <c r="A1" t="s">
        <v>135</v>
      </c>
    </row>
    <row r="2" spans="1:4" x14ac:dyDescent="0.3">
      <c r="A2" t="s">
        <v>129</v>
      </c>
      <c r="B2" t="s">
        <v>128</v>
      </c>
      <c r="C2" t="s">
        <v>37</v>
      </c>
      <c r="D2" t="s">
        <v>130</v>
      </c>
    </row>
    <row r="3" spans="1:4" x14ac:dyDescent="0.3">
      <c r="A3" t="s">
        <v>38</v>
      </c>
      <c r="B3">
        <v>2.0000000000000001E-4</v>
      </c>
      <c r="C3" t="s">
        <v>39</v>
      </c>
      <c r="D3" t="s">
        <v>40</v>
      </c>
    </row>
    <row r="4" spans="1:4" x14ac:dyDescent="0.3">
      <c r="A4" t="s">
        <v>41</v>
      </c>
      <c r="B4">
        <v>0.03</v>
      </c>
      <c r="C4" t="s">
        <v>42</v>
      </c>
      <c r="D4" t="s">
        <v>43</v>
      </c>
    </row>
    <row r="5" spans="1:4" x14ac:dyDescent="0.3">
      <c r="A5" t="s">
        <v>44</v>
      </c>
      <c r="B5">
        <v>2.8500000000000001E-2</v>
      </c>
      <c r="C5" t="s">
        <v>45</v>
      </c>
      <c r="D5" t="s">
        <v>46</v>
      </c>
    </row>
    <row r="6" spans="1:4" x14ac:dyDescent="0.3">
      <c r="A6" t="s">
        <v>47</v>
      </c>
      <c r="B6">
        <v>1.5E-3</v>
      </c>
      <c r="C6" t="s">
        <v>48</v>
      </c>
      <c r="D6" t="s">
        <v>49</v>
      </c>
    </row>
    <row r="7" spans="1:4" x14ac:dyDescent="0.3">
      <c r="A7" t="s">
        <v>50</v>
      </c>
      <c r="B7">
        <v>1.6999999999999999E-3</v>
      </c>
      <c r="C7" t="s">
        <v>51</v>
      </c>
      <c r="D7" t="s">
        <v>52</v>
      </c>
    </row>
    <row r="8" spans="1:4" x14ac:dyDescent="0.3">
      <c r="A8" t="s">
        <v>53</v>
      </c>
      <c r="B8">
        <v>1E-4</v>
      </c>
      <c r="C8" t="s">
        <v>54</v>
      </c>
      <c r="D8" t="s">
        <v>55</v>
      </c>
    </row>
    <row r="9" spans="1:4" x14ac:dyDescent="0.3">
      <c r="A9" t="s">
        <v>56</v>
      </c>
      <c r="B9">
        <v>0.95</v>
      </c>
      <c r="D9" t="s">
        <v>57</v>
      </c>
    </row>
    <row r="10" spans="1:4" x14ac:dyDescent="0.3">
      <c r="A10" t="s">
        <v>58</v>
      </c>
      <c r="B10">
        <v>0.05</v>
      </c>
      <c r="D10" t="s">
        <v>59</v>
      </c>
    </row>
    <row r="11" spans="1:4" x14ac:dyDescent="0.3">
      <c r="A11" t="s">
        <v>60</v>
      </c>
      <c r="B11">
        <v>0.24912000000000001</v>
      </c>
      <c r="C11" t="s">
        <v>61</v>
      </c>
      <c r="D11" t="s">
        <v>62</v>
      </c>
    </row>
    <row r="12" spans="1:4" x14ac:dyDescent="0.3">
      <c r="A12" t="s">
        <v>63</v>
      </c>
      <c r="B12">
        <v>4.7999999999999998E-6</v>
      </c>
      <c r="C12" t="s">
        <v>64</v>
      </c>
      <c r="D12" t="s">
        <v>65</v>
      </c>
    </row>
    <row r="13" spans="1:4" x14ac:dyDescent="0.3">
      <c r="A13" t="s">
        <v>66</v>
      </c>
      <c r="B13">
        <v>1.36E-5</v>
      </c>
      <c r="C13" t="s">
        <v>67</v>
      </c>
      <c r="D13" t="s">
        <v>68</v>
      </c>
    </row>
    <row r="14" spans="1:4" x14ac:dyDescent="0.3">
      <c r="A14" t="s">
        <v>69</v>
      </c>
      <c r="B14">
        <v>1000</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3</vt:i4>
      </vt:variant>
    </vt:vector>
  </HeadingPairs>
  <TitlesOfParts>
    <vt:vector size="3" baseType="lpstr">
      <vt:lpstr>hydrogen-transport</vt:lpstr>
      <vt:lpstr>ship</vt:lpstr>
      <vt:lpstr>Parameters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Tobias Schließ</cp:lastModifiedBy>
  <dcterms:created xsi:type="dcterms:W3CDTF">2026-05-19T07:47:50Z</dcterms:created>
  <dcterms:modified xsi:type="dcterms:W3CDTF">2026-06-19T09:48:33Z</dcterms:modified>
</cp:coreProperties>
</file>