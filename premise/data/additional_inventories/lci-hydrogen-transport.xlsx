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9C8414FC-1405-4F9C-8A66-41FC458B3A88}"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hydrogen-transport (2)" sheetId="4" r:id="rId2"/>
    <sheet name="ship" sheetId="3" r:id="rId3"/>
    <sheet name="Parameters" sheetId="2" r:id="rId4"/>
  </sheets>
  <calcPr calcId="191029"/>
</workbook>
</file>

<file path=xl/calcChain.xml><?xml version="1.0" encoding="utf-8"?>
<calcChain xmlns="http://schemas.openxmlformats.org/spreadsheetml/2006/main">
  <c r="B15" i="1" l="1"/>
  <c r="B58" i="4"/>
  <c r="A58" i="4"/>
  <c r="B45" i="4"/>
  <c r="B44" i="4"/>
  <c r="A44" i="4"/>
  <c r="B33" i="4"/>
  <c r="B31" i="4"/>
  <c r="B30" i="4"/>
  <c r="G28" i="4"/>
  <c r="B28" i="4"/>
  <c r="A28" i="4"/>
  <c r="B17" i="4"/>
  <c r="B16" i="4"/>
  <c r="B15" i="4"/>
  <c r="G13" i="4"/>
  <c r="B13" i="4"/>
  <c r="A13" i="4"/>
  <c r="A12" i="1" l="1"/>
  <c r="G12" i="1" s="1"/>
  <c r="B44" i="1"/>
  <c r="B32" i="1"/>
  <c r="B30" i="1"/>
  <c r="B29" i="1"/>
  <c r="B16" i="1"/>
  <c r="B14" i="1"/>
  <c r="B57" i="1" l="1"/>
  <c r="A57" i="1"/>
  <c r="B43" i="1" l="1"/>
  <c r="A43" i="1"/>
  <c r="B27" i="1"/>
  <c r="A27" i="1"/>
  <c r="G27" i="1" s="1"/>
  <c r="B12" i="1"/>
</calcChain>
</file>

<file path=xl/sharedStrings.xml><?xml version="1.0" encoding="utf-8"?>
<sst xmlns="http://schemas.openxmlformats.org/spreadsheetml/2006/main" count="643" uniqueCount="169">
  <si>
    <t>Database</t>
  </si>
  <si>
    <t>equal</t>
  </si>
  <si>
    <t>Activity</t>
  </si>
  <si>
    <t>activity type</t>
  </si>
  <si>
    <t>allocation</t>
  </si>
  <si>
    <t>authors</t>
  </si>
  <si>
    <t>comment</t>
  </si>
  <si>
    <t>location</t>
  </si>
  <si>
    <t>GLO</t>
  </si>
  <si>
    <t>type</t>
  </si>
  <si>
    <t>Exchanges</t>
  </si>
  <si>
    <t>name</t>
  </si>
  <si>
    <t>amount</t>
  </si>
  <si>
    <t>database</t>
  </si>
  <si>
    <t>unit</t>
  </si>
  <si>
    <t>reference product</t>
  </si>
  <si>
    <t>ton kilometer</t>
  </si>
  <si>
    <t>production</t>
  </si>
  <si>
    <t>technosphere</t>
  </si>
  <si>
    <t>transport, freight, sea, tanker for liquefied natural gas, ammonia and diesel</t>
  </si>
  <si>
    <t>uncertainty type</t>
  </si>
  <si>
    <t>loc</t>
  </si>
  <si>
    <t>ecoinvent-3.12-cutoff</t>
  </si>
  <si>
    <t>categories</t>
  </si>
  <si>
    <t>Ammonia</t>
  </si>
  <si>
    <t>biosphere-3.12</t>
  </si>
  <si>
    <t>kilogram</t>
  </si>
  <si>
    <t>biosphere</t>
  </si>
  <si>
    <t>Dinitrogen monoxide</t>
  </si>
  <si>
    <t>NMVOC, non-methane volatile organic compounds</t>
  </si>
  <si>
    <t>Nitrogen oxides</t>
  </si>
  <si>
    <t>Particulate Matter, &lt; 2.5 um</t>
  </si>
  <si>
    <t>market for port facilities</t>
  </si>
  <si>
    <t>port facilities</t>
  </si>
  <si>
    <t>transport, freight, sea, tanker for liquefied natural gas, ammonia and MDO</t>
  </si>
  <si>
    <t>ordinary transforming activity</t>
  </si>
  <si>
    <t>Adapted from the transport, freight, sea, tanker for liquefied natural gas, heavy fuel oil dataset.
Based on the same energy requirement of 0.030 kWh/tkm as given in the original dataset.
The parameterized dataset can be adapted for the shares of ammonia and pilot fuel (marine diesel oil - MDO) used.
Default fraction are: 
Main fuel: 	95 % ammonia
Pilot fuel:	5 % Marine Diesel Oil
The specific fuel consumption is derived based on the LHV of NH3 (18.6 MJ/kg) and MDO (42.7 MJ/kg).
The fraction based energy consumption is then multiplied with the emission factors to calculate the respective emissions per tkm.
Emission factors are taken from a study: Sphera 2024 - 1st Life-Cycle GHG emission Study on the Use of Ammonia as Marine Fuel
Original dataset
The dataset represents the transport of one tonne of liquid goods by a tanker for liquefied natural gas over one kilometer. The DWT (load capacity) of the tanker for liquefied natural gas is 23,000 tonnes, and it is estimated to transport an average of 3,800 million tonne.kms per year for 25 years (the average DWT and annual kilometres are weighted averages over the size class from data in IMO (2015)).
The dataset represents the entire transport life cycle including the production and maintenance of the tanker for liquefied natural gas, the transportation of liquid goods in bulk, and the construction of the port. The scope of this dataset is the operation of the tanker for liquefied natural gas, which has inputs of the ship, maintenance and port facilities (i.e. ship production, ship mainenance and port construction inputs and emissions are contained in linked datasets).
Weighted averages of speed reduction (18%) and capacity utilsation factors (48%) from IMO (2015) are applied (the capacity utilisation factors take into account both the cargo load factor and an empty trip factor). The share of trip length and port time inside emssion controlled areas (ECAs) (where other fuel quality is used) are estimated to 5% and 50% respectively. 
Port facilities have not been updated are representative of a single large port (Rotterdam). One common port facility is assumed for all commodities and ship types. Vessel production and maintenance are global in scope and described in the individual datsets.
References: 
IMO (2015) Third IMO Greenhouse Gas Study 2014. International Maritime Organization, London
Spielmann et al (2007) Transport services. ecoinvent Report No. 14. Villigen
Geography:  tonne*km is from weighted averages (global shipping data); infrastructure demand calculated using data from the largest port in Europe (Rotteradam)
Technology:  Fuel consumption and emissions are representative of the current technology (used in 2012 and considering the age distribution of global fleet). Load capacity (23,000 tonnes), fuel consumption and emissions are global weighted averages on tkms over the size classes from IMO (2015).
Time period:  Fuel consumption and emissions are calculated hourly covering the years 2007 to 2012</t>
  </si>
  <si>
    <t>formula</t>
  </si>
  <si>
    <t>EF_N2O</t>
  </si>
  <si>
    <t>0.2/g_to_kg</t>
  </si>
  <si>
    <t>Emission factor of N2O from NH3 combustion [g/kWh]</t>
  </si>
  <si>
    <t>EC_ship</t>
  </si>
  <si>
    <t>0.03</t>
  </si>
  <si>
    <t xml:space="preserve">Energy consumption (LHV) of ship [kWh/tkm] </t>
  </si>
  <si>
    <t>EC_NH3</t>
  </si>
  <si>
    <t>fraction_NH3*EC_ship</t>
  </si>
  <si>
    <t>Energy consumption (LHV) covered by NH3 [kWh/tkm]</t>
  </si>
  <si>
    <t>EC_MDO</t>
  </si>
  <si>
    <t>fraction_MDO*EC_ship</t>
  </si>
  <si>
    <t>Energy consumption (LHV) covered by MDO [kWh/tkm]</t>
  </si>
  <si>
    <t>EF_NOx</t>
  </si>
  <si>
    <t>1.7/g_to_kg</t>
  </si>
  <si>
    <t>Emission factor of NOx from NH3 combustion [g/kWh]</t>
  </si>
  <si>
    <t>EF_NH3</t>
  </si>
  <si>
    <t>0.1/g_to_kg</t>
  </si>
  <si>
    <t>Emission factor of NH3 slip from NH3 combustion [g/kWh]</t>
  </si>
  <si>
    <t>fraction_NH3</t>
  </si>
  <si>
    <t>Fraction of NH3 in fuel consumption</t>
  </si>
  <si>
    <t>fraction_MDO</t>
  </si>
  <si>
    <t>Fraction of MDO in fuel consumption</t>
  </si>
  <si>
    <t>EF_CO2_MDO</t>
  </si>
  <si>
    <t>249.12/g_to_kg</t>
  </si>
  <si>
    <t>Emission factor of CO2 from MDO combustion [g/kWh]</t>
  </si>
  <si>
    <t>EF_CH4_MDO</t>
  </si>
  <si>
    <t>0.0048/g_to_kg</t>
  </si>
  <si>
    <t>Emission factor of CH4 from MDO combustion [g/kWh]</t>
  </si>
  <si>
    <t>EF_N2O_MDO</t>
  </si>
  <si>
    <t>0.0136/g_to_kg</t>
  </si>
  <si>
    <t>Emission factor of N2O from MDO combustion [g/kWh]</t>
  </si>
  <si>
    <t>g_to_kg</t>
  </si>
  <si>
    <t>scale</t>
  </si>
  <si>
    <t>CAS number</t>
  </si>
  <si>
    <t>chemical formula</t>
  </si>
  <si>
    <t>original_amount</t>
  </si>
  <si>
    <t>pedigree</t>
  </si>
  <si>
    <t>scale without pedigree</t>
  </si>
  <si>
    <t>air::non-urban air or from high stacks</t>
  </si>
  <si>
    <t>EC_NH3*EF_NH3</t>
  </si>
  <si>
    <t>7664-41-7</t>
  </si>
  <si>
    <t>H3N</t>
  </si>
  <si>
    <t>3::2::5::1::4::1</t>
  </si>
  <si>
    <t>Carbon dioxide, fossil</t>
  </si>
  <si>
    <t>EC_MDO*EF_CO2_MDO</t>
  </si>
  <si>
    <t>124-38-9</t>
  </si>
  <si>
    <t>CO2</t>
  </si>
  <si>
    <t>2::2::5::1::2::1</t>
  </si>
  <si>
    <t>Carbon monoxide, fossil</t>
  </si>
  <si>
    <t>630-08-0</t>
  </si>
  <si>
    <t>CO</t>
  </si>
  <si>
    <t>EC_MDO*EF_N2O_MDO</t>
  </si>
  <si>
    <t>10024-97-2</t>
  </si>
  <si>
    <t>N2O</t>
  </si>
  <si>
    <t>EC_NH3*EF_N2O</t>
  </si>
  <si>
    <t>Methane, fossil</t>
  </si>
  <si>
    <t>EC_MDO*EF_CH4_MDO</t>
  </si>
  <si>
    <t>74-82-8</t>
  </si>
  <si>
    <t>CH4</t>
  </si>
  <si>
    <t>EC_NH3*EF_NOx</t>
  </si>
  <si>
    <t>NOx</t>
  </si>
  <si>
    <t>Particulate Matter, &gt; 10 um</t>
  </si>
  <si>
    <t>Particulate Matter, &gt; 2.5 um and &lt; 10um</t>
  </si>
  <si>
    <t>Sulfur dioxide</t>
  </si>
  <si>
    <t>7446-09-5</t>
  </si>
  <si>
    <t>O2S</t>
  </si>
  <si>
    <t>RoW</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</si>
  <si>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</si>
  <si>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</si>
  <si>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</si>
  <si>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3::2::3::1::4::1</t>
  </si>
  <si>
    <t>bilge oil</t>
  </si>
  <si>
    <t>market for diesel, low-sulfur</t>
  </si>
  <si>
    <t>ZA</t>
  </si>
  <si>
    <t>diesel, low-sulfur</t>
  </si>
  <si>
    <t>market for maintenance, tanker, for liquefied natural gas</t>
  </si>
  <si>
    <t>Lifetime tonne-kilometres derived from IMO (2015)</t>
  </si>
  <si>
    <t>4::5::5::4::4::1</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</si>
  <si>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</si>
  <si>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</si>
  <si>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2::4::5::5::1::1</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</si>
  <si>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</si>
  <si>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</si>
  <si>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</si>
  <si>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</si>
  <si>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</si>
  <si>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</si>
  <si>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</si>
  <si>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</si>
  <si>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</si>
  <si>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Value</t>
  </si>
  <si>
    <t>Parameter</t>
  </si>
  <si>
    <t>Comment</t>
  </si>
  <si>
    <t>{"data entry": {"name": "Tobias", "email": "tobias.schliess@ier.uni-stuttgart.de"}, "data generator": {"name": "Tobias Schliess", "email": "tobias.schliess@ier.uni-stuttgart.de"}}</t>
  </si>
  <si>
    <t>Ammonia leakage of 0.1 g/kWh</t>
  </si>
  <si>
    <t>from combustion of MDO fraction</t>
  </si>
  <si>
    <t>from combustion of NH3 fraction with 0.2 g(N2O)/kWh</t>
  </si>
  <si>
    <t>skip</t>
  </si>
  <si>
    <t>transport, freight, sea, tanker for liquefied natural gas</t>
  </si>
  <si>
    <t>Parameters</t>
  </si>
  <si>
    <t>313325416231559168</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</si>
  <si>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</si>
  <si>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</si>
  <si>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</si>
  <si>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</si>
  <si>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</si>
  <si>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</si>
  <si>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transport, freight, sea, tanker for liquefied hydrogen, heavy fuel oil</t>
  </si>
  <si>
    <t>electricity, medium voltage</t>
  </si>
  <si>
    <t>electricity needed for evaporation</t>
  </si>
  <si>
    <t>electricity needed for liquefaction, Stoltenberg et al</t>
  </si>
  <si>
    <t>compensation for losses</t>
  </si>
  <si>
    <t>market for transport, freight, lorry with refrigeration machine, diesel, freezing, fleet average</t>
  </si>
  <si>
    <t>transport, freight, lorry with refrigeration machine, diesel, freezing, fleet average</t>
  </si>
  <si>
    <t>hydrogen</t>
  </si>
  <si>
    <t>market for transport, freight, sea, tanker for liquefied natural gas, heavy fuel oil</t>
  </si>
  <si>
    <t>transport, freight, sea, tanker for liquefied natural gas, heavy fuel oil</t>
  </si>
  <si>
    <t>air</t>
  </si>
  <si>
    <t>market for hydrogen, gaseous, low pressure</t>
  </si>
  <si>
    <t>hydrogen, gaseous, low pressure</t>
  </si>
  <si>
    <t>transport, freight, sea, tanker for liquefied ammonia, heavy fuel oil</t>
  </si>
  <si>
    <t>transport, hydrogen, gaseous, lorry, market average propulsion system</t>
  </si>
  <si>
    <t>this dataset is used as a proxy</t>
  </si>
  <si>
    <t>market for electricity, medium voltage</t>
  </si>
  <si>
    <t>LCI for hydrogen transport as liquid ammonia for 1 tkm. Storage tank taken from the hydrogen-distribution dataset. Market average. Boil-off losses are 3 % and 1.65 % during liquefaction (Reuß et al. 2019)</t>
  </si>
  <si>
    <t>LCI for liquid hydrogen transport for 1 tkm. Storage tank taken from the hydrogen-distribution dataset. Ship is market average. Boil-off losses are 3 % and 1.65 % during liquefaction (Reuß et al. 2019)</t>
  </si>
  <si>
    <t>kilowatt hour</t>
  </si>
  <si>
    <t>RER</t>
  </si>
  <si>
    <t>transport, hydrogen, gaseous, lorry , market average propulsion system</t>
  </si>
  <si>
    <t>transport, hydrogen, liquid, lorry, market average propulsion system</t>
  </si>
  <si>
    <t>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</si>
</sst>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2" fillId="0" borderId="0" xfId="0" applyFont="1"/>
    <xf numFmtId="0" fontId="3" fillId="0" borderId="0" xfId="0" applyFont="1" applyAlignment="1">
      <alignment horizontal="left" vertical="center"/>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0"/>
  <sheetViews>
    <sheetView tabSelected="1" zoomScale="85" zoomScaleNormal="85" workbookViewId="0">
      <selection activeCell="E16" sqref="E16"/>
    </sheetView>
  </sheetViews>
  <sheetFormatPr baseColWidth="10" defaultColWidth="8.88671875" defaultRowHeight="14.4" x14ac:dyDescent="0.3"/>
  <cols>
    <col min="1" max="1" width="82.6640625" customWidth="1"/>
    <col min="3" max="3" width="23" customWidth="1"/>
    <col min="4" max="4" width="13.77734375" customWidth="1"/>
    <col min="5" max="5" width="17.109375" customWidth="1"/>
    <col min="6" max="6" width="16.109375" customWidth="1"/>
    <col min="7" max="7" width="85.44140625" customWidth="1"/>
    <col min="8" max="8" width="25.44140625" customWidth="1"/>
    <col min="11" max="11" width="13.21875" customWidth="1"/>
    <col min="12" max="12" width="43.88671875" customWidth="1"/>
    <col min="13" max="13" width="13.33203125" customWidth="1"/>
    <col min="14" max="14" width="14.33203125" customWidth="1"/>
  </cols>
  <sheetData>
    <row r="1" spans="1:9" ht="15.6" x14ac:dyDescent="0.3">
      <c r="A1" s="1" t="s">
        <v>0</v>
      </c>
      <c r="B1" s="3" t="s">
        <v>125</v>
      </c>
    </row>
    <row r="3" spans="1:9" ht="15.6" x14ac:dyDescent="0.3">
      <c r="A3" s="1" t="s">
        <v>2</v>
      </c>
      <c r="B3" s="1" t="s">
        <v>159</v>
      </c>
    </row>
    <row r="4" spans="1:9" x14ac:dyDescent="0.3">
      <c r="A4" t="s">
        <v>7</v>
      </c>
      <c r="B4" t="s">
        <v>8</v>
      </c>
    </row>
    <row r="5" spans="1:9" x14ac:dyDescent="0.3">
      <c r="A5" t="s">
        <v>141</v>
      </c>
      <c r="B5">
        <v>1</v>
      </c>
    </row>
    <row r="6" spans="1:9" x14ac:dyDescent="0.3">
      <c r="A6" t="s">
        <v>15</v>
      </c>
      <c r="B6" t="s">
        <v>159</v>
      </c>
    </row>
    <row r="7" spans="1:9" x14ac:dyDescent="0.3">
      <c r="A7" t="s">
        <v>14</v>
      </c>
      <c r="B7" t="s">
        <v>16</v>
      </c>
    </row>
    <row r="8" spans="1:9" x14ac:dyDescent="0.3">
      <c r="A8" t="s">
        <v>126</v>
      </c>
    </row>
    <row r="9" spans="1:9" x14ac:dyDescent="0.3">
      <c r="A9" t="s">
        <v>6</v>
      </c>
      <c r="B9" t="s">
        <v>143</v>
      </c>
    </row>
    <row r="10" spans="1:9" ht="15.6" x14ac:dyDescent="0.3">
      <c r="A10" s="1" t="s">
        <v>10</v>
      </c>
    </row>
    <row r="11" spans="1:9" x14ac:dyDescent="0.3">
      <c r="A11" t="s">
        <v>11</v>
      </c>
      <c r="B11" t="s">
        <v>12</v>
      </c>
      <c r="C11" t="s">
        <v>7</v>
      </c>
      <c r="D11" t="s">
        <v>14</v>
      </c>
      <c r="E11" t="s">
        <v>23</v>
      </c>
      <c r="F11" t="s">
        <v>9</v>
      </c>
      <c r="G11" t="s">
        <v>15</v>
      </c>
      <c r="H11" t="s">
        <v>20</v>
      </c>
      <c r="I11" t="s">
        <v>6</v>
      </c>
    </row>
    <row r="12" spans="1:9" x14ac:dyDescent="0.3">
      <c r="A12" t="str">
        <f>B6</f>
        <v>transport, hydrogen, gaseous, lorry, market average propulsion system</v>
      </c>
      <c r="B12">
        <f>B5</f>
        <v>1</v>
      </c>
      <c r="C12" t="s">
        <v>8</v>
      </c>
      <c r="D12" t="s">
        <v>16</v>
      </c>
      <c r="F12" t="s">
        <v>17</v>
      </c>
      <c r="G12" t="str">
        <f>A12</f>
        <v>transport, hydrogen, gaseous, lorry, market average propulsion system</v>
      </c>
    </row>
    <row r="13" spans="1:9" x14ac:dyDescent="0.3">
      <c r="A13" t="s">
        <v>150</v>
      </c>
      <c r="B13">
        <v>1</v>
      </c>
      <c r="C13" t="s">
        <v>8</v>
      </c>
      <c r="D13" t="s">
        <v>16</v>
      </c>
      <c r="F13" t="s">
        <v>18</v>
      </c>
      <c r="G13" t="s">
        <v>151</v>
      </c>
      <c r="I13" t="s">
        <v>160</v>
      </c>
    </row>
    <row r="14" spans="1:9" x14ac:dyDescent="0.3">
      <c r="A14" t="s">
        <v>140</v>
      </c>
      <c r="B14">
        <f>1*1000</f>
        <v>1000</v>
      </c>
      <c r="C14" t="s">
        <v>8</v>
      </c>
      <c r="D14" t="s">
        <v>26</v>
      </c>
      <c r="F14" t="s">
        <v>18</v>
      </c>
      <c r="G14" t="s">
        <v>140</v>
      </c>
      <c r="I14" t="s">
        <v>142</v>
      </c>
    </row>
    <row r="15" spans="1:9" ht="15.6" x14ac:dyDescent="0.3">
      <c r="A15" s="4" t="s">
        <v>156</v>
      </c>
      <c r="B15">
        <f>1000*0.005</f>
        <v>5</v>
      </c>
      <c r="C15" t="s">
        <v>165</v>
      </c>
      <c r="D15" t="s">
        <v>26</v>
      </c>
      <c r="F15" t="s">
        <v>18</v>
      </c>
      <c r="G15" t="s">
        <v>157</v>
      </c>
      <c r="I15" t="s">
        <v>149</v>
      </c>
    </row>
    <row r="16" spans="1:9" x14ac:dyDescent="0.3">
      <c r="A16" t="s">
        <v>152</v>
      </c>
      <c r="B16">
        <f>1000*0.005</f>
        <v>5</v>
      </c>
      <c r="D16" t="s">
        <v>26</v>
      </c>
      <c r="E16" t="s">
        <v>155</v>
      </c>
      <c r="F16" t="s">
        <v>27</v>
      </c>
    </row>
    <row r="18" spans="1:9" ht="15.6" x14ac:dyDescent="0.3">
      <c r="A18" s="1" t="s">
        <v>2</v>
      </c>
      <c r="B18" s="1" t="s">
        <v>167</v>
      </c>
    </row>
    <row r="19" spans="1:9" x14ac:dyDescent="0.3">
      <c r="A19" t="s">
        <v>7</v>
      </c>
      <c r="B19" t="s">
        <v>8</v>
      </c>
    </row>
    <row r="20" spans="1:9" x14ac:dyDescent="0.3">
      <c r="A20" t="s">
        <v>141</v>
      </c>
      <c r="B20">
        <v>1</v>
      </c>
    </row>
    <row r="21" spans="1:9" x14ac:dyDescent="0.3">
      <c r="A21" t="s">
        <v>15</v>
      </c>
      <c r="B21" t="s">
        <v>167</v>
      </c>
    </row>
    <row r="22" spans="1:9" x14ac:dyDescent="0.3">
      <c r="A22" t="s">
        <v>14</v>
      </c>
      <c r="B22" t="s">
        <v>16</v>
      </c>
    </row>
    <row r="23" spans="1:9" x14ac:dyDescent="0.3">
      <c r="A23" t="s">
        <v>126</v>
      </c>
    </row>
    <row r="24" spans="1:9" x14ac:dyDescent="0.3">
      <c r="A24" t="s">
        <v>6</v>
      </c>
      <c r="B24" t="s">
        <v>144</v>
      </c>
    </row>
    <row r="25" spans="1:9" ht="15.6" x14ac:dyDescent="0.3">
      <c r="A25" s="1" t="s">
        <v>10</v>
      </c>
    </row>
    <row r="26" spans="1:9" x14ac:dyDescent="0.3">
      <c r="A26" t="s">
        <v>11</v>
      </c>
      <c r="B26" t="s">
        <v>12</v>
      </c>
      <c r="C26" t="s">
        <v>7</v>
      </c>
      <c r="D26" t="s">
        <v>14</v>
      </c>
      <c r="E26" t="s">
        <v>23</v>
      </c>
      <c r="F26" t="s">
        <v>9</v>
      </c>
      <c r="G26" t="s">
        <v>15</v>
      </c>
      <c r="H26" t="s">
        <v>20</v>
      </c>
      <c r="I26" t="s">
        <v>6</v>
      </c>
    </row>
    <row r="27" spans="1:9" x14ac:dyDescent="0.3">
      <c r="A27" t="str">
        <f>B21</f>
        <v>transport, hydrogen, liquid, lorry, market average propulsion system</v>
      </c>
      <c r="B27">
        <f>B20</f>
        <v>1</v>
      </c>
      <c r="C27" t="s">
        <v>8</v>
      </c>
      <c r="D27" t="s">
        <v>16</v>
      </c>
      <c r="F27" t="s">
        <v>17</v>
      </c>
      <c r="G27" t="str">
        <f>A27</f>
        <v>transport, hydrogen, liquid, lorry, market average propulsion system</v>
      </c>
    </row>
    <row r="28" spans="1:9" x14ac:dyDescent="0.3">
      <c r="A28" t="s">
        <v>140</v>
      </c>
      <c r="B28">
        <v>1000</v>
      </c>
      <c r="C28" t="s">
        <v>8</v>
      </c>
      <c r="D28" t="s">
        <v>26</v>
      </c>
      <c r="F28" t="s">
        <v>18</v>
      </c>
      <c r="G28" t="s">
        <v>140</v>
      </c>
      <c r="I28" t="s">
        <v>142</v>
      </c>
    </row>
    <row r="29" spans="1:9" ht="15.6" x14ac:dyDescent="0.3">
      <c r="A29" s="4" t="s">
        <v>156</v>
      </c>
      <c r="B29">
        <f>1000*0.01625</f>
        <v>16.25</v>
      </c>
      <c r="C29" t="s">
        <v>165</v>
      </c>
      <c r="D29" t="s">
        <v>26</v>
      </c>
      <c r="F29" t="s">
        <v>18</v>
      </c>
      <c r="G29" t="s">
        <v>157</v>
      </c>
      <c r="I29" t="s">
        <v>149</v>
      </c>
    </row>
    <row r="30" spans="1:9" x14ac:dyDescent="0.3">
      <c r="A30" t="s">
        <v>161</v>
      </c>
      <c r="B30">
        <f>1000*6.78</f>
        <v>6780</v>
      </c>
      <c r="C30" t="s">
        <v>168</v>
      </c>
      <c r="D30" t="s">
        <v>164</v>
      </c>
      <c r="F30" t="s">
        <v>18</v>
      </c>
      <c r="G30" t="s">
        <v>146</v>
      </c>
      <c r="I30" t="s">
        <v>148</v>
      </c>
    </row>
    <row r="31" spans="1:9" x14ac:dyDescent="0.3">
      <c r="A31" t="s">
        <v>161</v>
      </c>
      <c r="B31">
        <v>0.6</v>
      </c>
      <c r="C31" t="s">
        <v>168</v>
      </c>
      <c r="D31" t="s">
        <v>164</v>
      </c>
      <c r="F31" t="s">
        <v>18</v>
      </c>
      <c r="G31" t="s">
        <v>146</v>
      </c>
      <c r="I31" t="s">
        <v>147</v>
      </c>
    </row>
    <row r="32" spans="1:9" x14ac:dyDescent="0.3">
      <c r="A32" t="s">
        <v>152</v>
      </c>
      <c r="B32">
        <f>1000*0.01625</f>
        <v>16.25</v>
      </c>
      <c r="D32" t="s">
        <v>26</v>
      </c>
      <c r="E32" t="s">
        <v>155</v>
      </c>
      <c r="F32" t="s">
        <v>27</v>
      </c>
    </row>
    <row r="34" spans="1:9" ht="15.6" x14ac:dyDescent="0.3">
      <c r="A34" s="1" t="s">
        <v>2</v>
      </c>
      <c r="B34" s="1" t="s">
        <v>145</v>
      </c>
    </row>
    <row r="35" spans="1:9" x14ac:dyDescent="0.3">
      <c r="A35" t="s">
        <v>7</v>
      </c>
      <c r="B35" t="s">
        <v>8</v>
      </c>
    </row>
    <row r="36" spans="1:9" x14ac:dyDescent="0.3">
      <c r="A36" t="s">
        <v>141</v>
      </c>
      <c r="B36">
        <v>1</v>
      </c>
    </row>
    <row r="37" spans="1:9" x14ac:dyDescent="0.3">
      <c r="A37" t="s">
        <v>15</v>
      </c>
      <c r="B37" t="s">
        <v>145</v>
      </c>
    </row>
    <row r="38" spans="1:9" x14ac:dyDescent="0.3">
      <c r="A38" t="s">
        <v>14</v>
      </c>
      <c r="B38" t="s">
        <v>16</v>
      </c>
    </row>
    <row r="39" spans="1:9" x14ac:dyDescent="0.3">
      <c r="A39" t="s">
        <v>126</v>
      </c>
    </row>
    <row r="40" spans="1:9" x14ac:dyDescent="0.3">
      <c r="A40" t="s">
        <v>6</v>
      </c>
      <c r="B40" t="s">
        <v>163</v>
      </c>
    </row>
    <row r="41" spans="1:9" ht="15.6" x14ac:dyDescent="0.3">
      <c r="A41" s="1" t="s">
        <v>10</v>
      </c>
    </row>
    <row r="42" spans="1:9" x14ac:dyDescent="0.3">
      <c r="A42" t="s">
        <v>11</v>
      </c>
      <c r="B42" t="s">
        <v>12</v>
      </c>
      <c r="C42" t="s">
        <v>7</v>
      </c>
      <c r="D42" t="s">
        <v>14</v>
      </c>
      <c r="E42" t="s">
        <v>23</v>
      </c>
      <c r="F42" t="s">
        <v>9</v>
      </c>
      <c r="G42" t="s">
        <v>15</v>
      </c>
      <c r="H42" t="s">
        <v>20</v>
      </c>
      <c r="I42" t="s">
        <v>6</v>
      </c>
    </row>
    <row r="43" spans="1:9" x14ac:dyDescent="0.3">
      <c r="A43" t="str">
        <f>B37</f>
        <v>transport, freight, sea, tanker for liquefied hydrogen, heavy fuel oil</v>
      </c>
      <c r="B43">
        <f>B36</f>
        <v>1</v>
      </c>
      <c r="C43" t="s">
        <v>8</v>
      </c>
      <c r="D43" t="s">
        <v>16</v>
      </c>
      <c r="F43" t="s">
        <v>17</v>
      </c>
      <c r="G43" t="s">
        <v>145</v>
      </c>
    </row>
    <row r="44" spans="1:9" x14ac:dyDescent="0.3">
      <c r="A44" t="s">
        <v>140</v>
      </c>
      <c r="B44">
        <f>1000*1</f>
        <v>1000</v>
      </c>
      <c r="C44" t="s">
        <v>8</v>
      </c>
      <c r="D44" t="s">
        <v>26</v>
      </c>
      <c r="F44" t="s">
        <v>18</v>
      </c>
      <c r="G44" t="s">
        <v>140</v>
      </c>
    </row>
    <row r="45" spans="1:9" ht="15.6" x14ac:dyDescent="0.3">
      <c r="A45" s="4" t="s">
        <v>156</v>
      </c>
      <c r="B45">
        <v>5.0000000000000001E-3</v>
      </c>
      <c r="C45" t="s">
        <v>165</v>
      </c>
      <c r="D45" t="s">
        <v>26</v>
      </c>
      <c r="F45" t="s">
        <v>18</v>
      </c>
      <c r="G45" t="s">
        <v>157</v>
      </c>
    </row>
    <row r="46" spans="1:9" x14ac:dyDescent="0.3">
      <c r="A46" t="s">
        <v>153</v>
      </c>
      <c r="B46">
        <v>1</v>
      </c>
      <c r="C46" t="s">
        <v>8</v>
      </c>
      <c r="D46" t="s">
        <v>16</v>
      </c>
      <c r="F46" t="s">
        <v>18</v>
      </c>
      <c r="G46" t="s">
        <v>154</v>
      </c>
    </row>
    <row r="48" spans="1:9" ht="15.6" x14ac:dyDescent="0.3">
      <c r="A48" s="1" t="s">
        <v>2</v>
      </c>
      <c r="B48" s="1" t="s">
        <v>158</v>
      </c>
    </row>
    <row r="49" spans="1:9" x14ac:dyDescent="0.3">
      <c r="A49" t="s">
        <v>7</v>
      </c>
      <c r="B49" t="s">
        <v>8</v>
      </c>
    </row>
    <row r="50" spans="1:9" x14ac:dyDescent="0.3">
      <c r="A50" t="s">
        <v>141</v>
      </c>
      <c r="B50">
        <v>1</v>
      </c>
    </row>
    <row r="51" spans="1:9" x14ac:dyDescent="0.3">
      <c r="A51" t="s">
        <v>15</v>
      </c>
      <c r="B51" t="s">
        <v>158</v>
      </c>
    </row>
    <row r="52" spans="1:9" x14ac:dyDescent="0.3">
      <c r="A52" t="s">
        <v>14</v>
      </c>
      <c r="B52" t="s">
        <v>16</v>
      </c>
    </row>
    <row r="53" spans="1:9" x14ac:dyDescent="0.3">
      <c r="A53" t="s">
        <v>126</v>
      </c>
    </row>
    <row r="54" spans="1:9" x14ac:dyDescent="0.3">
      <c r="A54" t="s">
        <v>6</v>
      </c>
      <c r="B54" t="s">
        <v>162</v>
      </c>
    </row>
    <row r="55" spans="1:9" ht="15.6" x14ac:dyDescent="0.3">
      <c r="A55" s="1" t="s">
        <v>10</v>
      </c>
    </row>
    <row r="56" spans="1:9" x14ac:dyDescent="0.3">
      <c r="A56" t="s">
        <v>11</v>
      </c>
      <c r="B56" t="s">
        <v>12</v>
      </c>
      <c r="C56" t="s">
        <v>7</v>
      </c>
      <c r="D56" t="s">
        <v>14</v>
      </c>
      <c r="E56" t="s">
        <v>23</v>
      </c>
      <c r="F56" t="s">
        <v>9</v>
      </c>
      <c r="G56" t="s">
        <v>15</v>
      </c>
      <c r="H56" t="s">
        <v>20</v>
      </c>
      <c r="I56" t="s">
        <v>6</v>
      </c>
    </row>
    <row r="57" spans="1:9" x14ac:dyDescent="0.3">
      <c r="A57" t="str">
        <f>B51</f>
        <v>transport, freight, sea, tanker for liquefied ammonia, heavy fuel oil</v>
      </c>
      <c r="B57">
        <f>B50</f>
        <v>1</v>
      </c>
      <c r="C57" t="s">
        <v>8</v>
      </c>
      <c r="D57" t="s">
        <v>16</v>
      </c>
      <c r="F57" t="s">
        <v>17</v>
      </c>
      <c r="G57" t="s">
        <v>158</v>
      </c>
    </row>
    <row r="58" spans="1:9" x14ac:dyDescent="0.3">
      <c r="A58" t="s">
        <v>140</v>
      </c>
      <c r="B58">
        <v>0</v>
      </c>
      <c r="C58" t="s">
        <v>8</v>
      </c>
      <c r="D58" t="s">
        <v>26</v>
      </c>
      <c r="F58" t="s">
        <v>18</v>
      </c>
      <c r="G58" t="s">
        <v>140</v>
      </c>
    </row>
    <row r="59" spans="1:9" ht="15.6" x14ac:dyDescent="0.3">
      <c r="A59" s="4" t="s">
        <v>156</v>
      </c>
      <c r="B59">
        <v>5.0000000000000001E-3</v>
      </c>
      <c r="C59" t="s">
        <v>165</v>
      </c>
      <c r="D59" t="s">
        <v>26</v>
      </c>
      <c r="F59" t="s">
        <v>18</v>
      </c>
      <c r="G59" t="s">
        <v>157</v>
      </c>
    </row>
    <row r="60" spans="1:9" x14ac:dyDescent="0.3">
      <c r="A60" t="s">
        <v>153</v>
      </c>
      <c r="B60">
        <v>1</v>
      </c>
      <c r="C60" t="s">
        <v>8</v>
      </c>
      <c r="D60" t="s">
        <v>16</v>
      </c>
      <c r="F60" t="s">
        <v>18</v>
      </c>
      <c r="G60" t="s">
        <v>154</v>
      </c>
    </row>
    <row r="62" spans="1:9" ht="15.6" x14ac:dyDescent="0.3">
      <c r="A62" s="1"/>
      <c r="B62" s="1"/>
    </row>
    <row r="69" spans="1:7" ht="15.6" x14ac:dyDescent="0.3">
      <c r="A69" s="1"/>
    </row>
    <row r="72" spans="1:7" ht="15.6" x14ac:dyDescent="0.3">
      <c r="A72" s="4"/>
    </row>
    <row r="73" spans="1:7" ht="15.6" x14ac:dyDescent="0.3">
      <c r="A73" s="4"/>
    </row>
    <row r="74" spans="1:7" ht="15.6" x14ac:dyDescent="0.3">
      <c r="A74" s="4"/>
    </row>
    <row r="75" spans="1:7" ht="15.6" x14ac:dyDescent="0.3">
      <c r="A75" s="4"/>
      <c r="G75" s="4"/>
    </row>
    <row r="77" spans="1:7" ht="15.6" x14ac:dyDescent="0.3">
      <c r="A77" s="4"/>
    </row>
    <row r="78" spans="1:7" ht="15.6" x14ac:dyDescent="0.3">
      <c r="A78" s="4"/>
    </row>
    <row r="79" spans="1:7" ht="15.6" x14ac:dyDescent="0.3">
      <c r="A79" s="4"/>
    </row>
    <row r="80" spans="1:7" ht="15.6" x14ac:dyDescent="0.3">
      <c r="A80" s="4"/>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FE87B-D030-4AA0-99E6-3DBA7D6E9B67}">
  <dimension ref="A1:I81"/>
  <sheetViews>
    <sheetView zoomScale="85" zoomScaleNormal="85" workbookViewId="0">
      <selection activeCell="A2" sqref="A2"/>
    </sheetView>
  </sheetViews>
  <sheetFormatPr baseColWidth="10" defaultColWidth="8.88671875" defaultRowHeight="14.4" x14ac:dyDescent="0.3"/>
  <cols>
    <col min="1" max="1" width="82.6640625" customWidth="1"/>
    <col min="3" max="3" width="23" customWidth="1"/>
    <col min="4" max="4" width="13.77734375" customWidth="1"/>
    <col min="5" max="5" width="17.109375" customWidth="1"/>
    <col min="6" max="6" width="16.109375" customWidth="1"/>
    <col min="7" max="7" width="85.44140625" customWidth="1"/>
    <col min="8" max="8" width="25.44140625" customWidth="1"/>
    <col min="11" max="11" width="13.21875" customWidth="1"/>
    <col min="12" max="12" width="43.88671875" customWidth="1"/>
    <col min="13" max="13" width="13.33203125" customWidth="1"/>
    <col min="14" max="14" width="14.33203125" customWidth="1"/>
  </cols>
  <sheetData>
    <row r="1" spans="1:9" x14ac:dyDescent="0.3">
      <c r="A1" t="s">
        <v>135</v>
      </c>
    </row>
    <row r="2" spans="1:9" ht="15.6" x14ac:dyDescent="0.3">
      <c r="A2" s="1" t="s">
        <v>0</v>
      </c>
      <c r="B2" s="3" t="s">
        <v>125</v>
      </c>
    </row>
    <row r="4" spans="1:9" ht="15.6" x14ac:dyDescent="0.3">
      <c r="A4" s="1" t="s">
        <v>2</v>
      </c>
      <c r="B4" s="1" t="s">
        <v>159</v>
      </c>
    </row>
    <row r="5" spans="1:9" x14ac:dyDescent="0.3">
      <c r="A5" t="s">
        <v>7</v>
      </c>
      <c r="B5" t="s">
        <v>8</v>
      </c>
    </row>
    <row r="6" spans="1:9" x14ac:dyDescent="0.3">
      <c r="A6" t="s">
        <v>141</v>
      </c>
      <c r="B6">
        <v>1</v>
      </c>
    </row>
    <row r="7" spans="1:9" x14ac:dyDescent="0.3">
      <c r="A7" t="s">
        <v>15</v>
      </c>
      <c r="B7" t="s">
        <v>166</v>
      </c>
    </row>
    <row r="8" spans="1:9" x14ac:dyDescent="0.3">
      <c r="A8" t="s">
        <v>14</v>
      </c>
      <c r="B8" t="s">
        <v>16</v>
      </c>
    </row>
    <row r="9" spans="1:9" x14ac:dyDescent="0.3">
      <c r="A9" t="s">
        <v>126</v>
      </c>
    </row>
    <row r="10" spans="1:9" x14ac:dyDescent="0.3">
      <c r="A10" t="s">
        <v>6</v>
      </c>
      <c r="B10" t="s">
        <v>143</v>
      </c>
    </row>
    <row r="11" spans="1:9" ht="15.6" x14ac:dyDescent="0.3">
      <c r="A11" s="1" t="s">
        <v>10</v>
      </c>
    </row>
    <row r="12" spans="1:9" x14ac:dyDescent="0.3">
      <c r="A12" t="s">
        <v>11</v>
      </c>
      <c r="B12" t="s">
        <v>12</v>
      </c>
      <c r="C12" t="s">
        <v>7</v>
      </c>
      <c r="D12" t="s">
        <v>14</v>
      </c>
      <c r="E12" t="s">
        <v>23</v>
      </c>
      <c r="F12" t="s">
        <v>9</v>
      </c>
      <c r="G12" t="s">
        <v>15</v>
      </c>
      <c r="H12" t="s">
        <v>20</v>
      </c>
      <c r="I12" t="s">
        <v>6</v>
      </c>
    </row>
    <row r="13" spans="1:9" x14ac:dyDescent="0.3">
      <c r="A13" t="str">
        <f>B7</f>
        <v>transport, hydrogen, gaseous, lorry , market average propulsion system</v>
      </c>
      <c r="B13">
        <f>B6</f>
        <v>1</v>
      </c>
      <c r="C13" t="s">
        <v>8</v>
      </c>
      <c r="D13" t="s">
        <v>16</v>
      </c>
      <c r="F13" t="s">
        <v>17</v>
      </c>
      <c r="G13" t="str">
        <f>A13</f>
        <v>transport, hydrogen, gaseous, lorry , market average propulsion system</v>
      </c>
    </row>
    <row r="14" spans="1:9" x14ac:dyDescent="0.3">
      <c r="A14" t="s">
        <v>150</v>
      </c>
      <c r="B14">
        <v>1</v>
      </c>
      <c r="C14" t="s">
        <v>8</v>
      </c>
      <c r="D14" t="s">
        <v>16</v>
      </c>
      <c r="F14" t="s">
        <v>18</v>
      </c>
      <c r="G14" t="s">
        <v>151</v>
      </c>
      <c r="I14" t="s">
        <v>160</v>
      </c>
    </row>
    <row r="15" spans="1:9" x14ac:dyDescent="0.3">
      <c r="A15" t="s">
        <v>140</v>
      </c>
      <c r="B15">
        <f>1*1000</f>
        <v>1000</v>
      </c>
      <c r="C15" t="s">
        <v>8</v>
      </c>
      <c r="D15" t="s">
        <v>26</v>
      </c>
      <c r="F15" t="s">
        <v>18</v>
      </c>
      <c r="G15" t="s">
        <v>140</v>
      </c>
      <c r="I15" t="s">
        <v>142</v>
      </c>
    </row>
    <row r="16" spans="1:9" ht="15.6" x14ac:dyDescent="0.3">
      <c r="A16" s="4" t="s">
        <v>156</v>
      </c>
      <c r="B16">
        <f>1000*0.005</f>
        <v>5</v>
      </c>
      <c r="C16" t="s">
        <v>8</v>
      </c>
      <c r="D16" t="s">
        <v>26</v>
      </c>
      <c r="F16" t="s">
        <v>18</v>
      </c>
      <c r="G16" t="s">
        <v>157</v>
      </c>
      <c r="I16" t="s">
        <v>149</v>
      </c>
    </row>
    <row r="17" spans="1:9" x14ac:dyDescent="0.3">
      <c r="A17" t="s">
        <v>152</v>
      </c>
      <c r="B17">
        <f>1000*0.005</f>
        <v>5</v>
      </c>
      <c r="D17" t="s">
        <v>26</v>
      </c>
      <c r="E17" t="s">
        <v>155</v>
      </c>
      <c r="F17" t="s">
        <v>27</v>
      </c>
    </row>
    <row r="19" spans="1:9" ht="15.6" x14ac:dyDescent="0.3">
      <c r="A19" s="1" t="s">
        <v>2</v>
      </c>
      <c r="B19" s="1" t="s">
        <v>167</v>
      </c>
    </row>
    <row r="20" spans="1:9" x14ac:dyDescent="0.3">
      <c r="A20" t="s">
        <v>7</v>
      </c>
      <c r="B20" t="s">
        <v>8</v>
      </c>
    </row>
    <row r="21" spans="1:9" x14ac:dyDescent="0.3">
      <c r="A21" t="s">
        <v>141</v>
      </c>
      <c r="B21">
        <v>1</v>
      </c>
    </row>
    <row r="22" spans="1:9" x14ac:dyDescent="0.3">
      <c r="A22" t="s">
        <v>15</v>
      </c>
      <c r="B22" t="s">
        <v>167</v>
      </c>
    </row>
    <row r="23" spans="1:9" x14ac:dyDescent="0.3">
      <c r="A23" t="s">
        <v>14</v>
      </c>
      <c r="B23" t="s">
        <v>16</v>
      </c>
    </row>
    <row r="24" spans="1:9" x14ac:dyDescent="0.3">
      <c r="A24" t="s">
        <v>126</v>
      </c>
    </row>
    <row r="25" spans="1:9" x14ac:dyDescent="0.3">
      <c r="A25" t="s">
        <v>6</v>
      </c>
      <c r="B25" t="s">
        <v>144</v>
      </c>
    </row>
    <row r="26" spans="1:9" ht="15.6" x14ac:dyDescent="0.3">
      <c r="A26" s="1" t="s">
        <v>10</v>
      </c>
    </row>
    <row r="27" spans="1:9" x14ac:dyDescent="0.3">
      <c r="A27" t="s">
        <v>11</v>
      </c>
      <c r="B27" t="s">
        <v>12</v>
      </c>
      <c r="C27" t="s">
        <v>7</v>
      </c>
      <c r="D27" t="s">
        <v>14</v>
      </c>
      <c r="E27" t="s">
        <v>23</v>
      </c>
      <c r="F27" t="s">
        <v>9</v>
      </c>
      <c r="G27" t="s">
        <v>15</v>
      </c>
      <c r="H27" t="s">
        <v>20</v>
      </c>
      <c r="I27" t="s">
        <v>6</v>
      </c>
    </row>
    <row r="28" spans="1:9" x14ac:dyDescent="0.3">
      <c r="A28" t="str">
        <f>B22</f>
        <v>transport, hydrogen, liquid, lorry, market average propulsion system</v>
      </c>
      <c r="B28">
        <f>B21</f>
        <v>1</v>
      </c>
      <c r="C28" t="s">
        <v>8</v>
      </c>
      <c r="D28" t="s">
        <v>16</v>
      </c>
      <c r="F28" t="s">
        <v>17</v>
      </c>
      <c r="G28" t="str">
        <f>A28</f>
        <v>transport, hydrogen, liquid, lorry, market average propulsion system</v>
      </c>
    </row>
    <row r="29" spans="1:9" x14ac:dyDescent="0.3">
      <c r="A29" t="s">
        <v>140</v>
      </c>
      <c r="B29">
        <v>1000</v>
      </c>
      <c r="C29" t="s">
        <v>8</v>
      </c>
      <c r="D29" t="s">
        <v>26</v>
      </c>
      <c r="F29" t="s">
        <v>18</v>
      </c>
      <c r="G29" t="s">
        <v>140</v>
      </c>
      <c r="I29" t="s">
        <v>142</v>
      </c>
    </row>
    <row r="30" spans="1:9" ht="15.6" x14ac:dyDescent="0.3">
      <c r="A30" s="4" t="s">
        <v>156</v>
      </c>
      <c r="B30">
        <f>1000*0.01625</f>
        <v>16.25</v>
      </c>
      <c r="C30" t="s">
        <v>8</v>
      </c>
      <c r="D30" t="s">
        <v>26</v>
      </c>
      <c r="F30" t="s">
        <v>18</v>
      </c>
      <c r="G30" t="s">
        <v>157</v>
      </c>
      <c r="I30" t="s">
        <v>149</v>
      </c>
    </row>
    <row r="31" spans="1:9" x14ac:dyDescent="0.3">
      <c r="A31" t="s">
        <v>161</v>
      </c>
      <c r="B31">
        <f>1000*6.78</f>
        <v>6780</v>
      </c>
      <c r="C31" t="s">
        <v>8</v>
      </c>
      <c r="D31" t="s">
        <v>164</v>
      </c>
      <c r="F31" t="s">
        <v>18</v>
      </c>
      <c r="G31" t="s">
        <v>146</v>
      </c>
      <c r="I31" t="s">
        <v>148</v>
      </c>
    </row>
    <row r="32" spans="1:9" x14ac:dyDescent="0.3">
      <c r="A32" t="s">
        <v>161</v>
      </c>
      <c r="B32">
        <v>0.6</v>
      </c>
      <c r="C32" t="s">
        <v>8</v>
      </c>
      <c r="D32" t="s">
        <v>164</v>
      </c>
      <c r="F32" t="s">
        <v>18</v>
      </c>
      <c r="G32" t="s">
        <v>146</v>
      </c>
      <c r="I32" t="s">
        <v>147</v>
      </c>
    </row>
    <row r="33" spans="1:9" x14ac:dyDescent="0.3">
      <c r="A33" t="s">
        <v>152</v>
      </c>
      <c r="B33">
        <f>1000*0.01625</f>
        <v>16.25</v>
      </c>
      <c r="D33" t="s">
        <v>26</v>
      </c>
      <c r="E33" t="s">
        <v>155</v>
      </c>
      <c r="F33" t="s">
        <v>27</v>
      </c>
    </row>
    <row r="35" spans="1:9" ht="15.6" x14ac:dyDescent="0.3">
      <c r="A35" s="1" t="s">
        <v>2</v>
      </c>
      <c r="B35" s="1" t="s">
        <v>145</v>
      </c>
    </row>
    <row r="36" spans="1:9" x14ac:dyDescent="0.3">
      <c r="A36" t="s">
        <v>7</v>
      </c>
      <c r="B36" t="s">
        <v>8</v>
      </c>
    </row>
    <row r="37" spans="1:9" x14ac:dyDescent="0.3">
      <c r="A37" t="s">
        <v>141</v>
      </c>
      <c r="B37">
        <v>1</v>
      </c>
    </row>
    <row r="38" spans="1:9" x14ac:dyDescent="0.3">
      <c r="A38" t="s">
        <v>15</v>
      </c>
      <c r="B38" t="s">
        <v>145</v>
      </c>
    </row>
    <row r="39" spans="1:9" x14ac:dyDescent="0.3">
      <c r="A39" t="s">
        <v>14</v>
      </c>
      <c r="B39" t="s">
        <v>16</v>
      </c>
    </row>
    <row r="40" spans="1:9" x14ac:dyDescent="0.3">
      <c r="A40" t="s">
        <v>126</v>
      </c>
    </row>
    <row r="41" spans="1:9" x14ac:dyDescent="0.3">
      <c r="A41" t="s">
        <v>6</v>
      </c>
      <c r="B41" t="s">
        <v>163</v>
      </c>
    </row>
    <row r="42" spans="1:9" ht="15.6" x14ac:dyDescent="0.3">
      <c r="A42" s="1" t="s">
        <v>10</v>
      </c>
    </row>
    <row r="43" spans="1:9" x14ac:dyDescent="0.3">
      <c r="A43" t="s">
        <v>11</v>
      </c>
      <c r="B43" t="s">
        <v>12</v>
      </c>
      <c r="C43" t="s">
        <v>7</v>
      </c>
      <c r="D43" t="s">
        <v>14</v>
      </c>
      <c r="E43" t="s">
        <v>23</v>
      </c>
      <c r="F43" t="s">
        <v>9</v>
      </c>
      <c r="G43" t="s">
        <v>15</v>
      </c>
      <c r="H43" t="s">
        <v>20</v>
      </c>
      <c r="I43" t="s">
        <v>6</v>
      </c>
    </row>
    <row r="44" spans="1:9" x14ac:dyDescent="0.3">
      <c r="A44" t="str">
        <f>B38</f>
        <v>transport, freight, sea, tanker for liquefied hydrogen, heavy fuel oil</v>
      </c>
      <c r="B44">
        <f>B37</f>
        <v>1</v>
      </c>
      <c r="C44" t="s">
        <v>8</v>
      </c>
      <c r="D44" t="s">
        <v>16</v>
      </c>
      <c r="F44" t="s">
        <v>17</v>
      </c>
      <c r="G44" t="s">
        <v>145</v>
      </c>
    </row>
    <row r="45" spans="1:9" x14ac:dyDescent="0.3">
      <c r="A45" t="s">
        <v>140</v>
      </c>
      <c r="B45">
        <f>1000*1</f>
        <v>1000</v>
      </c>
      <c r="C45" t="s">
        <v>8</v>
      </c>
      <c r="D45" t="s">
        <v>26</v>
      </c>
      <c r="F45" t="s">
        <v>18</v>
      </c>
      <c r="G45" t="s">
        <v>140</v>
      </c>
    </row>
    <row r="46" spans="1:9" ht="15.6" x14ac:dyDescent="0.3">
      <c r="A46" s="4" t="s">
        <v>156</v>
      </c>
      <c r="B46">
        <v>5.0000000000000001E-3</v>
      </c>
      <c r="C46" t="s">
        <v>8</v>
      </c>
      <c r="D46" t="s">
        <v>26</v>
      </c>
      <c r="F46" t="s">
        <v>18</v>
      </c>
      <c r="G46" t="s">
        <v>157</v>
      </c>
    </row>
    <row r="47" spans="1:9" x14ac:dyDescent="0.3">
      <c r="A47" t="s">
        <v>153</v>
      </c>
      <c r="B47">
        <v>1</v>
      </c>
      <c r="C47" t="s">
        <v>8</v>
      </c>
      <c r="D47" t="s">
        <v>16</v>
      </c>
      <c r="F47" t="s">
        <v>18</v>
      </c>
      <c r="G47" t="s">
        <v>154</v>
      </c>
    </row>
    <row r="49" spans="1:9" ht="15.6" x14ac:dyDescent="0.3">
      <c r="A49" s="1" t="s">
        <v>2</v>
      </c>
      <c r="B49" s="1" t="s">
        <v>158</v>
      </c>
    </row>
    <row r="50" spans="1:9" x14ac:dyDescent="0.3">
      <c r="A50" t="s">
        <v>7</v>
      </c>
      <c r="B50" t="s">
        <v>8</v>
      </c>
    </row>
    <row r="51" spans="1:9" x14ac:dyDescent="0.3">
      <c r="A51" t="s">
        <v>141</v>
      </c>
      <c r="B51">
        <v>1</v>
      </c>
    </row>
    <row r="52" spans="1:9" x14ac:dyDescent="0.3">
      <c r="A52" t="s">
        <v>15</v>
      </c>
      <c r="B52" t="s">
        <v>158</v>
      </c>
    </row>
    <row r="53" spans="1:9" x14ac:dyDescent="0.3">
      <c r="A53" t="s">
        <v>14</v>
      </c>
      <c r="B53" t="s">
        <v>16</v>
      </c>
    </row>
    <row r="54" spans="1:9" x14ac:dyDescent="0.3">
      <c r="A54" t="s">
        <v>126</v>
      </c>
    </row>
    <row r="55" spans="1:9" x14ac:dyDescent="0.3">
      <c r="A55" t="s">
        <v>6</v>
      </c>
      <c r="B55" t="s">
        <v>162</v>
      </c>
    </row>
    <row r="56" spans="1:9" ht="15.6" x14ac:dyDescent="0.3">
      <c r="A56" s="1" t="s">
        <v>10</v>
      </c>
    </row>
    <row r="57" spans="1:9" x14ac:dyDescent="0.3">
      <c r="A57" t="s">
        <v>11</v>
      </c>
      <c r="B57" t="s">
        <v>12</v>
      </c>
      <c r="C57" t="s">
        <v>7</v>
      </c>
      <c r="D57" t="s">
        <v>14</v>
      </c>
      <c r="E57" t="s">
        <v>23</v>
      </c>
      <c r="F57" t="s">
        <v>9</v>
      </c>
      <c r="G57" t="s">
        <v>15</v>
      </c>
      <c r="H57" t="s">
        <v>20</v>
      </c>
      <c r="I57" t="s">
        <v>6</v>
      </c>
    </row>
    <row r="58" spans="1:9" x14ac:dyDescent="0.3">
      <c r="A58" t="str">
        <f>B52</f>
        <v>transport, freight, sea, tanker for liquefied ammonia, heavy fuel oil</v>
      </c>
      <c r="B58">
        <f>B51</f>
        <v>1</v>
      </c>
      <c r="C58" t="s">
        <v>8</v>
      </c>
      <c r="D58" t="s">
        <v>16</v>
      </c>
      <c r="F58" t="s">
        <v>17</v>
      </c>
      <c r="G58" t="s">
        <v>158</v>
      </c>
    </row>
    <row r="59" spans="1:9" x14ac:dyDescent="0.3">
      <c r="A59" t="s">
        <v>140</v>
      </c>
      <c r="B59">
        <v>0</v>
      </c>
      <c r="C59" t="s">
        <v>8</v>
      </c>
      <c r="D59" t="s">
        <v>26</v>
      </c>
      <c r="F59" t="s">
        <v>18</v>
      </c>
      <c r="G59" t="s">
        <v>140</v>
      </c>
    </row>
    <row r="60" spans="1:9" ht="15.6" x14ac:dyDescent="0.3">
      <c r="A60" s="4" t="s">
        <v>156</v>
      </c>
      <c r="B60">
        <v>5.0000000000000001E-3</v>
      </c>
      <c r="C60" t="s">
        <v>8</v>
      </c>
      <c r="D60" t="s">
        <v>26</v>
      </c>
      <c r="F60" t="s">
        <v>18</v>
      </c>
      <c r="G60" t="s">
        <v>157</v>
      </c>
    </row>
    <row r="61" spans="1:9" x14ac:dyDescent="0.3">
      <c r="A61" t="s">
        <v>153</v>
      </c>
      <c r="B61">
        <v>1</v>
      </c>
      <c r="C61" t="s">
        <v>8</v>
      </c>
      <c r="D61" t="s">
        <v>16</v>
      </c>
      <c r="F61" t="s">
        <v>18</v>
      </c>
      <c r="G61" t="s">
        <v>154</v>
      </c>
    </row>
    <row r="63" spans="1:9" ht="15.6" x14ac:dyDescent="0.3">
      <c r="A63" s="1"/>
      <c r="B63" s="1"/>
    </row>
    <row r="70" spans="1:7" ht="15.6" x14ac:dyDescent="0.3">
      <c r="A70" s="1"/>
    </row>
    <row r="73" spans="1:7" ht="15.6" x14ac:dyDescent="0.3">
      <c r="A73" s="4"/>
    </row>
    <row r="74" spans="1:7" ht="15.6" x14ac:dyDescent="0.3">
      <c r="A74" s="4"/>
    </row>
    <row r="75" spans="1:7" ht="15.6" x14ac:dyDescent="0.3">
      <c r="A75" s="4"/>
    </row>
    <row r="76" spans="1:7" ht="15.6" x14ac:dyDescent="0.3">
      <c r="A76" s="4"/>
      <c r="G76" s="4"/>
    </row>
    <row r="78" spans="1:7" ht="15.6" x14ac:dyDescent="0.3">
      <c r="A78" s="4"/>
    </row>
    <row r="79" spans="1:7" ht="15.6" x14ac:dyDescent="0.3">
      <c r="A79" s="4"/>
    </row>
    <row r="80" spans="1:7" ht="15.6" x14ac:dyDescent="0.3">
      <c r="A80" s="4"/>
    </row>
    <row r="81" spans="1:1" ht="15.6" x14ac:dyDescent="0.3">
      <c r="A81" s="4"/>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05BD3-82B5-4829-9975-BAE4BAEB41CD}">
  <dimension ref="A1:R50"/>
  <sheetViews>
    <sheetView workbookViewId="0">
      <selection activeCell="A2" sqref="A2"/>
    </sheetView>
  </sheetViews>
  <sheetFormatPr baseColWidth="10" defaultRowHeight="14.4" x14ac:dyDescent="0.3"/>
  <cols>
    <col min="1" max="1" width="32.5546875" customWidth="1"/>
    <col min="3" max="3" width="19.21875" customWidth="1"/>
    <col min="8" max="8" width="26.33203125" customWidth="1"/>
    <col min="15" max="15" width="27.5546875" customWidth="1"/>
  </cols>
  <sheetData>
    <row r="1" spans="1:4" x14ac:dyDescent="0.3">
      <c r="A1" t="s">
        <v>135</v>
      </c>
    </row>
    <row r="2" spans="1:4" ht="15.6" x14ac:dyDescent="0.3">
      <c r="A2" s="1" t="s">
        <v>0</v>
      </c>
      <c r="B2" s="3" t="s">
        <v>125</v>
      </c>
    </row>
    <row r="3" spans="1:4" ht="15.6" x14ac:dyDescent="0.3">
      <c r="A3" s="1"/>
      <c r="B3" s="3"/>
    </row>
    <row r="4" spans="1:4" ht="15.6" x14ac:dyDescent="0.3">
      <c r="A4" s="1" t="s">
        <v>2</v>
      </c>
      <c r="B4" s="1" t="s">
        <v>34</v>
      </c>
    </row>
    <row r="5" spans="1:4" x14ac:dyDescent="0.3">
      <c r="A5" t="s">
        <v>3</v>
      </c>
      <c r="B5" t="s">
        <v>35</v>
      </c>
    </row>
    <row r="6" spans="1:4" x14ac:dyDescent="0.3">
      <c r="A6" t="s">
        <v>4</v>
      </c>
      <c r="B6" t="s">
        <v>1</v>
      </c>
    </row>
    <row r="7" spans="1:4" x14ac:dyDescent="0.3">
      <c r="A7" t="s">
        <v>5</v>
      </c>
      <c r="B7" t="s">
        <v>131</v>
      </c>
    </row>
    <row r="8" spans="1:4" ht="17.399999999999999" customHeight="1" x14ac:dyDescent="0.3">
      <c r="A8" t="s">
        <v>6</v>
      </c>
      <c r="B8" s="2" t="s">
        <v>36</v>
      </c>
    </row>
    <row r="9" spans="1:4" x14ac:dyDescent="0.3">
      <c r="A9" t="s">
        <v>126</v>
      </c>
      <c r="B9" t="s">
        <v>127</v>
      </c>
    </row>
    <row r="10" spans="1:4" x14ac:dyDescent="0.3">
      <c r="A10" t="s">
        <v>7</v>
      </c>
      <c r="B10" t="s">
        <v>8</v>
      </c>
    </row>
    <row r="11" spans="1:4" x14ac:dyDescent="0.3">
      <c r="A11" t="s">
        <v>15</v>
      </c>
      <c r="B11" t="s">
        <v>136</v>
      </c>
    </row>
    <row r="12" spans="1:4" x14ac:dyDescent="0.3">
      <c r="A12" t="s">
        <v>14</v>
      </c>
      <c r="B12" t="s">
        <v>16</v>
      </c>
    </row>
    <row r="13" spans="1:4" ht="15.6" x14ac:dyDescent="0.3">
      <c r="A13" s="1" t="s">
        <v>137</v>
      </c>
      <c r="B13" s="1" t="s">
        <v>138</v>
      </c>
    </row>
    <row r="14" spans="1:4" x14ac:dyDescent="0.3">
      <c r="A14" t="s">
        <v>11</v>
      </c>
      <c r="B14" t="s">
        <v>12</v>
      </c>
      <c r="C14" t="s">
        <v>37</v>
      </c>
      <c r="D14" t="s">
        <v>6</v>
      </c>
    </row>
    <row r="15" spans="1:4" x14ac:dyDescent="0.3">
      <c r="A15" t="s">
        <v>38</v>
      </c>
      <c r="B15">
        <v>2.0000000000000001E-4</v>
      </c>
      <c r="C15" t="s">
        <v>39</v>
      </c>
      <c r="D15" t="s">
        <v>40</v>
      </c>
    </row>
    <row r="16" spans="1:4" x14ac:dyDescent="0.3">
      <c r="A16" t="s">
        <v>41</v>
      </c>
      <c r="B16">
        <v>0.03</v>
      </c>
      <c r="C16" t="s">
        <v>42</v>
      </c>
      <c r="D16" t="s">
        <v>43</v>
      </c>
    </row>
    <row r="17" spans="1:18" x14ac:dyDescent="0.3">
      <c r="A17" t="s">
        <v>44</v>
      </c>
      <c r="B17">
        <v>2.8500000000000001E-2</v>
      </c>
      <c r="C17" t="s">
        <v>45</v>
      </c>
      <c r="D17" t="s">
        <v>46</v>
      </c>
    </row>
    <row r="18" spans="1:18" x14ac:dyDescent="0.3">
      <c r="A18" t="s">
        <v>47</v>
      </c>
      <c r="B18">
        <v>1.5E-3</v>
      </c>
      <c r="C18" t="s">
        <v>48</v>
      </c>
      <c r="D18" t="s">
        <v>49</v>
      </c>
    </row>
    <row r="19" spans="1:18" x14ac:dyDescent="0.3">
      <c r="A19" t="s">
        <v>50</v>
      </c>
      <c r="B19">
        <v>1.6999999999999999E-3</v>
      </c>
      <c r="C19" t="s">
        <v>51</v>
      </c>
      <c r="D19" t="s">
        <v>52</v>
      </c>
    </row>
    <row r="20" spans="1:18" x14ac:dyDescent="0.3">
      <c r="A20" t="s">
        <v>53</v>
      </c>
      <c r="B20">
        <v>1E-4</v>
      </c>
      <c r="C20" t="s">
        <v>54</v>
      </c>
      <c r="D20" t="s">
        <v>55</v>
      </c>
    </row>
    <row r="21" spans="1:18" x14ac:dyDescent="0.3">
      <c r="A21" t="s">
        <v>56</v>
      </c>
      <c r="B21">
        <v>0.95</v>
      </c>
      <c r="D21" t="s">
        <v>57</v>
      </c>
    </row>
    <row r="22" spans="1:18" x14ac:dyDescent="0.3">
      <c r="A22" t="s">
        <v>58</v>
      </c>
      <c r="B22">
        <v>0.05</v>
      </c>
      <c r="D22" t="s">
        <v>59</v>
      </c>
    </row>
    <row r="23" spans="1:18" x14ac:dyDescent="0.3">
      <c r="A23" t="s">
        <v>60</v>
      </c>
      <c r="B23">
        <v>0.24912000000000001</v>
      </c>
      <c r="C23" t="s">
        <v>61</v>
      </c>
      <c r="D23" t="s">
        <v>62</v>
      </c>
    </row>
    <row r="24" spans="1:18" x14ac:dyDescent="0.3">
      <c r="A24" t="s">
        <v>63</v>
      </c>
      <c r="B24">
        <v>4.7999999999999998E-6</v>
      </c>
      <c r="C24" t="s">
        <v>64</v>
      </c>
      <c r="D24" t="s">
        <v>65</v>
      </c>
    </row>
    <row r="25" spans="1:18" x14ac:dyDescent="0.3">
      <c r="A25" t="s">
        <v>66</v>
      </c>
      <c r="B25">
        <v>1.36E-5</v>
      </c>
      <c r="C25" t="s">
        <v>67</v>
      </c>
      <c r="D25" t="s">
        <v>68</v>
      </c>
    </row>
    <row r="26" spans="1:18" x14ac:dyDescent="0.3">
      <c r="A26" t="s">
        <v>69</v>
      </c>
      <c r="B26">
        <v>1000</v>
      </c>
    </row>
    <row r="28" spans="1:18" ht="15.6" x14ac:dyDescent="0.3">
      <c r="A28" s="1" t="s">
        <v>10</v>
      </c>
    </row>
    <row r="29" spans="1:18" x14ac:dyDescent="0.3">
      <c r="A29" t="s">
        <v>11</v>
      </c>
      <c r="B29" t="s">
        <v>12</v>
      </c>
      <c r="C29" t="s">
        <v>13</v>
      </c>
      <c r="D29" t="s">
        <v>7</v>
      </c>
      <c r="E29" t="s">
        <v>14</v>
      </c>
      <c r="F29" t="s">
        <v>23</v>
      </c>
      <c r="G29" t="s">
        <v>9</v>
      </c>
      <c r="H29" t="s">
        <v>37</v>
      </c>
      <c r="I29" t="s">
        <v>20</v>
      </c>
      <c r="J29" t="s">
        <v>21</v>
      </c>
      <c r="K29" t="s">
        <v>70</v>
      </c>
      <c r="L29" t="s">
        <v>71</v>
      </c>
      <c r="M29" t="s">
        <v>72</v>
      </c>
      <c r="N29" t="s">
        <v>6</v>
      </c>
      <c r="O29" t="s">
        <v>73</v>
      </c>
      <c r="P29" t="s">
        <v>74</v>
      </c>
      <c r="Q29" t="s">
        <v>15</v>
      </c>
      <c r="R29" t="s">
        <v>75</v>
      </c>
    </row>
    <row r="30" spans="1:18" x14ac:dyDescent="0.3">
      <c r="A30" t="s">
        <v>24</v>
      </c>
      <c r="B30">
        <v>2.8499999999999998E-6</v>
      </c>
      <c r="C30" t="s">
        <v>25</v>
      </c>
      <c r="E30" t="s">
        <v>26</v>
      </c>
      <c r="F30" t="s">
        <v>76</v>
      </c>
      <c r="G30" t="s">
        <v>27</v>
      </c>
      <c r="H30" t="s">
        <v>77</v>
      </c>
      <c r="I30">
        <v>2</v>
      </c>
      <c r="J30">
        <v>-13.74250176111102</v>
      </c>
      <c r="K30">
        <v>0.34942810419312298</v>
      </c>
      <c r="L30" t="s">
        <v>78</v>
      </c>
      <c r="M30" t="s">
        <v>79</v>
      </c>
      <c r="N30" t="s">
        <v>132</v>
      </c>
      <c r="O30">
        <v>2.8540000000000002E-3</v>
      </c>
      <c r="P30" t="s">
        <v>80</v>
      </c>
      <c r="R30">
        <v>0.2</v>
      </c>
    </row>
    <row r="31" spans="1:18" x14ac:dyDescent="0.3">
      <c r="A31" t="s">
        <v>81</v>
      </c>
      <c r="B31">
        <v>3.7367999999999999E-4</v>
      </c>
      <c r="C31" t="s">
        <v>25</v>
      </c>
      <c r="E31" t="s">
        <v>26</v>
      </c>
      <c r="F31" t="s">
        <v>76</v>
      </c>
      <c r="G31" t="s">
        <v>27</v>
      </c>
      <c r="H31" t="s">
        <v>82</v>
      </c>
      <c r="I31">
        <v>2</v>
      </c>
      <c r="J31">
        <v>-4.781436711539472</v>
      </c>
      <c r="K31">
        <v>0.2046948949045872</v>
      </c>
      <c r="L31" t="s">
        <v>83</v>
      </c>
      <c r="M31" t="s">
        <v>84</v>
      </c>
      <c r="N31" t="s">
        <v>133</v>
      </c>
      <c r="O31">
        <v>1.2659999999999999E-4</v>
      </c>
      <c r="P31" t="s">
        <v>85</v>
      </c>
      <c r="R31">
        <v>2.4494897427831779E-2</v>
      </c>
    </row>
    <row r="32" spans="1:18" x14ac:dyDescent="0.3">
      <c r="A32" t="s">
        <v>86</v>
      </c>
      <c r="B32">
        <v>0</v>
      </c>
      <c r="C32" t="s">
        <v>25</v>
      </c>
      <c r="E32" t="s">
        <v>26</v>
      </c>
      <c r="F32" t="s">
        <v>76</v>
      </c>
      <c r="G32" t="s">
        <v>27</v>
      </c>
      <c r="I32">
        <v>2</v>
      </c>
      <c r="J32">
        <v>-11.84434628152367</v>
      </c>
      <c r="K32">
        <v>0.83144452611103292</v>
      </c>
      <c r="L32" t="s">
        <v>87</v>
      </c>
      <c r="M32" t="s">
        <v>88</v>
      </c>
      <c r="P32" t="s">
        <v>85</v>
      </c>
      <c r="R32">
        <v>0.80622577482985502</v>
      </c>
    </row>
    <row r="33" spans="1:18" x14ac:dyDescent="0.3">
      <c r="A33" t="s">
        <v>28</v>
      </c>
      <c r="B33">
        <v>2.0400000000000001E-8</v>
      </c>
      <c r="C33" t="s">
        <v>25</v>
      </c>
      <c r="E33" t="s">
        <v>26</v>
      </c>
      <c r="F33" t="s">
        <v>76</v>
      </c>
      <c r="G33" t="s">
        <v>27</v>
      </c>
      <c r="H33" t="s">
        <v>89</v>
      </c>
      <c r="I33">
        <v>2</v>
      </c>
      <c r="J33">
        <v>-14.664736275474411</v>
      </c>
      <c r="K33">
        <v>0.2851315485876651</v>
      </c>
      <c r="L33" t="s">
        <v>90</v>
      </c>
      <c r="M33" t="s">
        <v>91</v>
      </c>
      <c r="N33" t="s">
        <v>133</v>
      </c>
      <c r="O33">
        <v>4.27746E-7</v>
      </c>
      <c r="P33" t="s">
        <v>85</v>
      </c>
      <c r="R33">
        <v>0.2</v>
      </c>
    </row>
    <row r="34" spans="1:18" x14ac:dyDescent="0.3">
      <c r="A34" t="s">
        <v>28</v>
      </c>
      <c r="B34">
        <v>5.6999999999999996E-6</v>
      </c>
      <c r="C34" t="s">
        <v>25</v>
      </c>
      <c r="E34" t="s">
        <v>26</v>
      </c>
      <c r="F34" t="s">
        <v>76</v>
      </c>
      <c r="G34" t="s">
        <v>27</v>
      </c>
      <c r="H34" t="s">
        <v>92</v>
      </c>
      <c r="N34" t="s">
        <v>134</v>
      </c>
      <c r="O34">
        <v>5.7000000000000002E-3</v>
      </c>
    </row>
    <row r="35" spans="1:18" x14ac:dyDescent="0.3">
      <c r="A35" t="s">
        <v>93</v>
      </c>
      <c r="B35">
        <v>7.2E-9</v>
      </c>
      <c r="C35" t="s">
        <v>25</v>
      </c>
      <c r="E35" t="s">
        <v>26</v>
      </c>
      <c r="F35" t="s">
        <v>76</v>
      </c>
      <c r="G35" t="s">
        <v>27</v>
      </c>
      <c r="H35" t="s">
        <v>94</v>
      </c>
      <c r="I35">
        <v>2</v>
      </c>
      <c r="J35">
        <v>-15.751988332064601</v>
      </c>
      <c r="K35">
        <v>0.2851315485876651</v>
      </c>
      <c r="L35" t="s">
        <v>95</v>
      </c>
      <c r="M35" t="s">
        <v>96</v>
      </c>
      <c r="N35" t="s">
        <v>133</v>
      </c>
      <c r="O35">
        <v>1E-8</v>
      </c>
      <c r="P35" t="s">
        <v>85</v>
      </c>
      <c r="R35">
        <v>0.2</v>
      </c>
    </row>
    <row r="36" spans="1:18" x14ac:dyDescent="0.3">
      <c r="A36" t="s">
        <v>29</v>
      </c>
      <c r="B36">
        <v>0</v>
      </c>
      <c r="C36" t="s">
        <v>25</v>
      </c>
      <c r="E36" t="s">
        <v>26</v>
      </c>
      <c r="F36" t="s">
        <v>76</v>
      </c>
      <c r="G36" t="s">
        <v>27</v>
      </c>
    </row>
    <row r="37" spans="1:18" x14ac:dyDescent="0.3">
      <c r="A37" t="s">
        <v>30</v>
      </c>
      <c r="B37">
        <v>4.8449999999999992E-5</v>
      </c>
      <c r="C37" t="s">
        <v>25</v>
      </c>
      <c r="E37" t="s">
        <v>26</v>
      </c>
      <c r="F37" t="s">
        <v>76</v>
      </c>
      <c r="G37" t="s">
        <v>27</v>
      </c>
      <c r="H37" t="s">
        <v>97</v>
      </c>
      <c r="I37">
        <v>2</v>
      </c>
      <c r="J37">
        <v>-8.5295340272510369</v>
      </c>
      <c r="K37">
        <v>0.2851315485876651</v>
      </c>
      <c r="M37" t="s">
        <v>98</v>
      </c>
      <c r="N37" t="s">
        <v>134</v>
      </c>
      <c r="O37">
        <v>4.8512E-2</v>
      </c>
      <c r="P37" t="s">
        <v>85</v>
      </c>
      <c r="R37">
        <v>0.2</v>
      </c>
    </row>
    <row r="38" spans="1:18" x14ac:dyDescent="0.3">
      <c r="A38" t="s">
        <v>31</v>
      </c>
      <c r="B38">
        <v>0</v>
      </c>
      <c r="C38" t="s">
        <v>25</v>
      </c>
      <c r="E38" t="s">
        <v>26</v>
      </c>
      <c r="F38" t="s">
        <v>76</v>
      </c>
      <c r="G38" t="s">
        <v>27</v>
      </c>
      <c r="I38">
        <v>2</v>
      </c>
      <c r="J38">
        <v>-12.26645129759965</v>
      </c>
      <c r="K38">
        <v>0.58420886675914119</v>
      </c>
      <c r="P38" t="s">
        <v>85</v>
      </c>
      <c r="R38">
        <v>0.54772255750516607</v>
      </c>
    </row>
    <row r="39" spans="1:18" x14ac:dyDescent="0.3">
      <c r="A39" t="s">
        <v>99</v>
      </c>
      <c r="B39">
        <v>0</v>
      </c>
      <c r="C39" t="s">
        <v>25</v>
      </c>
      <c r="E39" t="s">
        <v>26</v>
      </c>
      <c r="F39" t="s">
        <v>76</v>
      </c>
      <c r="G39" t="s">
        <v>27</v>
      </c>
      <c r="I39">
        <v>2</v>
      </c>
      <c r="J39">
        <v>-11.90977529142279</v>
      </c>
      <c r="K39">
        <v>0.40162171256046397</v>
      </c>
      <c r="P39" t="s">
        <v>85</v>
      </c>
      <c r="R39">
        <v>0.34641016151377552</v>
      </c>
    </row>
    <row r="40" spans="1:18" x14ac:dyDescent="0.3">
      <c r="A40" t="s">
        <v>100</v>
      </c>
      <c r="B40">
        <v>0</v>
      </c>
      <c r="C40" t="s">
        <v>25</v>
      </c>
      <c r="E40" t="s">
        <v>26</v>
      </c>
      <c r="F40" t="s">
        <v>76</v>
      </c>
      <c r="G40" t="s">
        <v>27</v>
      </c>
      <c r="I40">
        <v>2</v>
      </c>
      <c r="J40">
        <v>-12.132918842737</v>
      </c>
      <c r="K40">
        <v>0.58420886675914119</v>
      </c>
      <c r="P40" t="s">
        <v>85</v>
      </c>
      <c r="R40">
        <v>0.54772255750516607</v>
      </c>
    </row>
    <row r="41" spans="1:18" x14ac:dyDescent="0.3">
      <c r="A41" t="s">
        <v>101</v>
      </c>
      <c r="B41">
        <v>0</v>
      </c>
      <c r="C41" t="s">
        <v>25</v>
      </c>
      <c r="E41" t="s">
        <v>26</v>
      </c>
      <c r="F41" t="s">
        <v>76</v>
      </c>
      <c r="G41" t="s">
        <v>27</v>
      </c>
      <c r="I41">
        <v>2</v>
      </c>
      <c r="J41">
        <v>-9.0081753390471704</v>
      </c>
      <c r="K41">
        <v>0.2046948949045872</v>
      </c>
      <c r="L41" t="s">
        <v>102</v>
      </c>
      <c r="M41" t="s">
        <v>103</v>
      </c>
      <c r="P41" t="s">
        <v>85</v>
      </c>
      <c r="R41">
        <v>2.4494897427831779E-2</v>
      </c>
    </row>
    <row r="42" spans="1:18" x14ac:dyDescent="0.3">
      <c r="A42" t="s">
        <v>34</v>
      </c>
      <c r="B42">
        <v>1</v>
      </c>
      <c r="C42" t="s">
        <v>125</v>
      </c>
      <c r="D42" t="s">
        <v>8</v>
      </c>
      <c r="E42" t="s">
        <v>16</v>
      </c>
      <c r="G42" t="s">
        <v>17</v>
      </c>
      <c r="Q42" t="s">
        <v>19</v>
      </c>
    </row>
    <row r="43" spans="1:18" x14ac:dyDescent="0.3">
      <c r="A43" t="s">
        <v>139</v>
      </c>
      <c r="B43">
        <v>2.8500000000000001E-2</v>
      </c>
      <c r="C43" t="s">
        <v>22</v>
      </c>
      <c r="D43" t="s">
        <v>104</v>
      </c>
      <c r="E43" t="s">
        <v>26</v>
      </c>
      <c r="G43" t="s">
        <v>18</v>
      </c>
      <c r="H43" t="s">
        <v>44</v>
      </c>
      <c r="O43">
        <v>5.4999999999999997E-3</v>
      </c>
      <c r="Q43" t="s">
        <v>105</v>
      </c>
    </row>
    <row r="44" spans="1:18" x14ac:dyDescent="0.3">
      <c r="A44" t="s">
        <v>106</v>
      </c>
      <c r="B44">
        <v>-1.2999999999999999E-5</v>
      </c>
      <c r="C44" t="s">
        <v>22</v>
      </c>
      <c r="D44" t="s">
        <v>104</v>
      </c>
      <c r="E44" t="s">
        <v>26</v>
      </c>
      <c r="G44" t="s">
        <v>18</v>
      </c>
      <c r="I44">
        <v>2</v>
      </c>
      <c r="J44">
        <v>-11.61787681268815</v>
      </c>
      <c r="K44">
        <v>0.21142374511865969</v>
      </c>
      <c r="N44" t="s">
        <v>107</v>
      </c>
      <c r="P44" t="s">
        <v>108</v>
      </c>
      <c r="Q44" t="s">
        <v>109</v>
      </c>
      <c r="R44">
        <v>2.4494897427831779E-2</v>
      </c>
    </row>
    <row r="45" spans="1:18" x14ac:dyDescent="0.3">
      <c r="A45" t="s">
        <v>110</v>
      </c>
      <c r="B45">
        <v>1.5E-3</v>
      </c>
      <c r="C45" t="s">
        <v>22</v>
      </c>
      <c r="D45" t="s">
        <v>111</v>
      </c>
      <c r="E45" t="s">
        <v>26</v>
      </c>
      <c r="G45" t="s">
        <v>18</v>
      </c>
      <c r="H45" t="s">
        <v>47</v>
      </c>
      <c r="O45">
        <v>1.2659999999999999E-4</v>
      </c>
      <c r="Q45" t="s">
        <v>112</v>
      </c>
    </row>
    <row r="46" spans="1:18" x14ac:dyDescent="0.3">
      <c r="A46" t="s">
        <v>113</v>
      </c>
      <c r="B46">
        <v>1.0593999999999999E-11</v>
      </c>
      <c r="C46" t="s">
        <v>22</v>
      </c>
      <c r="D46" t="s">
        <v>8</v>
      </c>
      <c r="E46" t="s">
        <v>14</v>
      </c>
      <c r="G46" t="s">
        <v>18</v>
      </c>
      <c r="I46">
        <v>2</v>
      </c>
      <c r="J46">
        <v>-25.270733312806211</v>
      </c>
      <c r="K46">
        <v>0.46540305112880392</v>
      </c>
      <c r="N46" t="s">
        <v>114</v>
      </c>
      <c r="P46" t="s">
        <v>115</v>
      </c>
      <c r="Q46" t="s">
        <v>116</v>
      </c>
      <c r="R46">
        <v>0.34641016151377552</v>
      </c>
    </row>
    <row r="47" spans="1:18" x14ac:dyDescent="0.3">
      <c r="A47" t="s">
        <v>32</v>
      </c>
      <c r="B47">
        <v>1.3798099999999999E-16</v>
      </c>
      <c r="C47" t="s">
        <v>22</v>
      </c>
      <c r="D47" t="s">
        <v>8</v>
      </c>
      <c r="E47" t="s">
        <v>14</v>
      </c>
      <c r="G47" t="s">
        <v>18</v>
      </c>
      <c r="I47">
        <v>2</v>
      </c>
      <c r="J47">
        <v>-36.519415679373957</v>
      </c>
      <c r="K47">
        <v>0.58702640485756685</v>
      </c>
      <c r="N47" t="s">
        <v>117</v>
      </c>
      <c r="P47" t="s">
        <v>118</v>
      </c>
      <c r="Q47" t="s">
        <v>33</v>
      </c>
      <c r="R47">
        <v>0.54772255750516607</v>
      </c>
    </row>
    <row r="48" spans="1:18" x14ac:dyDescent="0.3">
      <c r="A48" t="s">
        <v>119</v>
      </c>
      <c r="B48">
        <v>1.0593999999999999E-11</v>
      </c>
      <c r="C48" t="s">
        <v>22</v>
      </c>
      <c r="D48" t="s">
        <v>8</v>
      </c>
      <c r="E48" t="s">
        <v>14</v>
      </c>
      <c r="G48" t="s">
        <v>18</v>
      </c>
      <c r="I48">
        <v>2</v>
      </c>
      <c r="J48">
        <v>-25.270733312806211</v>
      </c>
      <c r="K48">
        <v>0.46540305112880392</v>
      </c>
      <c r="N48" t="s">
        <v>114</v>
      </c>
      <c r="P48" t="s">
        <v>115</v>
      </c>
      <c r="Q48" t="s">
        <v>120</v>
      </c>
      <c r="R48">
        <v>0.34641016151377552</v>
      </c>
    </row>
    <row r="49" spans="1:17" x14ac:dyDescent="0.3">
      <c r="A49" t="s">
        <v>121</v>
      </c>
      <c r="B49">
        <v>0</v>
      </c>
      <c r="C49" t="s">
        <v>22</v>
      </c>
      <c r="D49" t="s">
        <v>104</v>
      </c>
      <c r="E49" t="s">
        <v>26</v>
      </c>
      <c r="G49" t="s">
        <v>18</v>
      </c>
      <c r="Q49" t="s">
        <v>122</v>
      </c>
    </row>
    <row r="50" spans="1:17" x14ac:dyDescent="0.3">
      <c r="A50" t="s">
        <v>123</v>
      </c>
      <c r="B50">
        <v>0</v>
      </c>
      <c r="C50" t="s">
        <v>22</v>
      </c>
      <c r="D50" t="s">
        <v>104</v>
      </c>
      <c r="E50" t="s">
        <v>26</v>
      </c>
      <c r="G50" t="s">
        <v>18</v>
      </c>
      <c r="Q50" t="s">
        <v>124</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FFC2-89D0-45E5-B7FA-4B2E66075D0E}">
  <dimension ref="A1:D14"/>
  <sheetViews>
    <sheetView workbookViewId="0">
      <selection activeCell="B17" sqref="B17"/>
    </sheetView>
  </sheetViews>
  <sheetFormatPr baseColWidth="10" defaultRowHeight="14.4" x14ac:dyDescent="0.3"/>
  <cols>
    <col min="1" max="1" width="30.44140625" customWidth="1"/>
    <col min="3" max="3" width="20.5546875" customWidth="1"/>
  </cols>
  <sheetData>
    <row r="1" spans="1:4" x14ac:dyDescent="0.3">
      <c r="A1" t="s">
        <v>135</v>
      </c>
    </row>
    <row r="2" spans="1:4" x14ac:dyDescent="0.3">
      <c r="A2" t="s">
        <v>129</v>
      </c>
      <c r="B2" t="s">
        <v>128</v>
      </c>
      <c r="C2" t="s">
        <v>37</v>
      </c>
      <c r="D2" t="s">
        <v>130</v>
      </c>
    </row>
    <row r="3" spans="1:4" x14ac:dyDescent="0.3">
      <c r="A3" t="s">
        <v>38</v>
      </c>
      <c r="B3">
        <v>2.0000000000000001E-4</v>
      </c>
      <c r="C3" t="s">
        <v>39</v>
      </c>
      <c r="D3" t="s">
        <v>40</v>
      </c>
    </row>
    <row r="4" spans="1:4" x14ac:dyDescent="0.3">
      <c r="A4" t="s">
        <v>41</v>
      </c>
      <c r="B4">
        <v>0.03</v>
      </c>
      <c r="C4" t="s">
        <v>42</v>
      </c>
      <c r="D4" t="s">
        <v>43</v>
      </c>
    </row>
    <row r="5" spans="1:4" x14ac:dyDescent="0.3">
      <c r="A5" t="s">
        <v>44</v>
      </c>
      <c r="B5">
        <v>2.8500000000000001E-2</v>
      </c>
      <c r="C5" t="s">
        <v>45</v>
      </c>
      <c r="D5" t="s">
        <v>46</v>
      </c>
    </row>
    <row r="6" spans="1:4" x14ac:dyDescent="0.3">
      <c r="A6" t="s">
        <v>47</v>
      </c>
      <c r="B6">
        <v>1.5E-3</v>
      </c>
      <c r="C6" t="s">
        <v>48</v>
      </c>
      <c r="D6" t="s">
        <v>49</v>
      </c>
    </row>
    <row r="7" spans="1:4" x14ac:dyDescent="0.3">
      <c r="A7" t="s">
        <v>50</v>
      </c>
      <c r="B7">
        <v>1.6999999999999999E-3</v>
      </c>
      <c r="C7" t="s">
        <v>51</v>
      </c>
      <c r="D7" t="s">
        <v>52</v>
      </c>
    </row>
    <row r="8" spans="1:4" x14ac:dyDescent="0.3">
      <c r="A8" t="s">
        <v>53</v>
      </c>
      <c r="B8">
        <v>1E-4</v>
      </c>
      <c r="C8" t="s">
        <v>54</v>
      </c>
      <c r="D8" t="s">
        <v>55</v>
      </c>
    </row>
    <row r="9" spans="1:4" x14ac:dyDescent="0.3">
      <c r="A9" t="s">
        <v>56</v>
      </c>
      <c r="B9">
        <v>0.95</v>
      </c>
      <c r="D9" t="s">
        <v>57</v>
      </c>
    </row>
    <row r="10" spans="1:4" x14ac:dyDescent="0.3">
      <c r="A10" t="s">
        <v>58</v>
      </c>
      <c r="B10">
        <v>0.05</v>
      </c>
      <c r="D10" t="s">
        <v>59</v>
      </c>
    </row>
    <row r="11" spans="1:4" x14ac:dyDescent="0.3">
      <c r="A11" t="s">
        <v>60</v>
      </c>
      <c r="B11">
        <v>0.24912000000000001</v>
      </c>
      <c r="C11" t="s">
        <v>61</v>
      </c>
      <c r="D11" t="s">
        <v>62</v>
      </c>
    </row>
    <row r="12" spans="1:4" x14ac:dyDescent="0.3">
      <c r="A12" t="s">
        <v>63</v>
      </c>
      <c r="B12">
        <v>4.7999999999999998E-6</v>
      </c>
      <c r="C12" t="s">
        <v>64</v>
      </c>
      <c r="D12" t="s">
        <v>65</v>
      </c>
    </row>
    <row r="13" spans="1:4" x14ac:dyDescent="0.3">
      <c r="A13" t="s">
        <v>66</v>
      </c>
      <c r="B13">
        <v>1.36E-5</v>
      </c>
      <c r="C13" t="s">
        <v>67</v>
      </c>
      <c r="D13" t="s">
        <v>68</v>
      </c>
    </row>
    <row r="14" spans="1:4" x14ac:dyDescent="0.3">
      <c r="A14" t="s">
        <v>69</v>
      </c>
      <c r="B14">
        <v>1000</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hydrogen-transport</vt:lpstr>
      <vt:lpstr>hydrogen-transport (2)</vt:lpstr>
      <vt:lpstr>ship</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2026-06-15T15:34:33Z</dcterms:modified>
</cp:coreProperties>
</file>