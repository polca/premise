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624E6893-72B9-4D74-9A0E-4F056784215D}"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72" i="1" l="1"/>
  <c r="B137" i="1" l="1"/>
  <c r="B132" i="1"/>
  <c r="G136" i="1" s="1"/>
  <c r="A136" i="1" l="1"/>
  <c r="B171" i="1" l="1"/>
  <c r="B170" i="1"/>
  <c r="B151" i="1" l="1"/>
  <c r="B106" i="1"/>
  <c r="B179" i="1"/>
  <c r="A183" i="1" s="1"/>
  <c r="G168" i="1"/>
  <c r="A168" i="1"/>
  <c r="G150" i="1" l="1"/>
  <c r="A150" i="1"/>
  <c r="B16" i="1"/>
  <c r="B15" i="1"/>
  <c r="B31" i="1"/>
  <c r="B30" i="1"/>
  <c r="B84" i="1" l="1"/>
  <c r="A76" i="1" l="1"/>
  <c r="H76" i="1" s="1"/>
  <c r="B79" i="1"/>
  <c r="B85" i="1"/>
  <c r="B86" i="1"/>
  <c r="B87" i="1"/>
  <c r="B88" i="1"/>
  <c r="B89" i="1"/>
  <c r="B90" i="1"/>
  <c r="B91" i="1"/>
  <c r="B92" i="1"/>
  <c r="B93" i="1"/>
  <c r="B94"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<sst xmlns="http://schemas.openxmlformats.org/spreadsheetml/2006/main" count="946" uniqueCount="218">
  <si>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</si>
  <si>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</si>
  <si>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</si>
  <si>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</si>
  <si>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</si>
  <si>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</si>
  <si>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</si>
  <si>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</si>
  <si>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</si>
  <si>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</si>
  <si>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</si>
  <si>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</si>
  <si>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</si>
  <si>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</si>
  <si>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</si>
  <si>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</si>
  <si>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</si>
  <si>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</si>
  <si>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</si>
  <si>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</si>
  <si>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</si>
  <si>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</si>
  <si>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</si>
  <si>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</si>
  <si>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</si>
  <si>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</si>
  <si>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</si>
  <si>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</si>
  <si>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</si>
  <si>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</si>
  <si>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</si>
  <si>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</si>
  <si>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</si>
  <si>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</si>
  <si>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</si>
  <si>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</si>
  <si>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</si>
  <si>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</si>
  <si>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</si>
  <si>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</si>
  <si>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</si>
  <si>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</si>
  <si>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</si>
  <si>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</si>
  <si>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</si>
  <si>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</si>
  <si>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</si>
  <si>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</si>
  <si>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</si>
  <si>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</si>
  <si>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</si>
  <si>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</si>
  <si>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</si>
  <si>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</si>
  <si>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</si>
  <si>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</si>
  <si>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</si>
  <si>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</si>
  <si>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</si>
  <si>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</si>
  <si>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</si>
  <si>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</si>
  <si>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</si>
  <si>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</si>
  <si>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</si>
  <si>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</si>
  <si>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</si>
  <si>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</si>
  <si>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</si>
  <si>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</si>
  <si>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</si>
  <si>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</si>
  <si>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</si>
  <si>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</si>
  <si>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</si>
  <si>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</si>
  <si>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</si>
  <si>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</si>
  <si>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</si>
  <si>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</si>
  <si>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</si>
  <si>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</si>
  <si>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</si>
  <si>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</si>
  <si>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</si>
  <si>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</si>
  <si>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</si>
  <si>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</si>
  <si>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</si>
  <si>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</si>
  <si>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</si>
  <si>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</si>
  <si>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</si>
  <si>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</si>
  <si>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</si>
  <si>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</si>
  <si>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</si>
  <si>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</si>
  <si>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</si>
  <si>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</si>
  <si>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</si>
  <si>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</si>
  <si>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</si>
  <si>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</si>
  <si>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</si>
  <si>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</si>
  <si>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</si>
  <si>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</si>
  <si>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</si>
  <si>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</si>
  <si>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</si>
  <si>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</si>
  <si>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</si>
  <si>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</si>
  <si>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</si>
  <si>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</si>
  <si>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</si>
  <si>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</si>
  <si>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</si>
  <si>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</si>
  <si>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</si>
  <si>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</si>
  <si>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</si>
  <si>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</si>
  <si>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</si>
  <si>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</si>
  <si>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</si>
  <si>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</si>
  <si>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</si>
  <si>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</si>
  <si>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</si>
  <si>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</si>
  <si>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</si>
  <si>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</si>
  <si>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</si>
  <si>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</si>
  <si>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</si>
  <si>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</si>
  <si>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</si>
  <si>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</si>
  <si>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</si>
  <si>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</si>
  <si>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</si>
  <si>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</si>
  <si>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</si>
  <si>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</si>
  <si>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</si>
  <si>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</si>
  <si>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</si>
  <si>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</si>
  <si>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</si>
  <si>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</si>
  <si>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</si>
  <si>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</si>
  <si>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</si>
  <si>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</si>
  <si>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</si>
  <si>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</si>
  <si>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</si>
  <si>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</si>
  <si>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</si>
  <si>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</si>
  <si>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</si>
  <si>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</si>
  <si>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</si>
  <si>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</si>
  <si>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</si>
  <si>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</si>
  <si>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</si>
  <si>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</si>
  <si>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</si>
  <si>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</si>
  <si>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</si>
  <si>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</si>
  <si>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</si>
  <si>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</si>
  <si>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</si>
  <si>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</si>
  <si>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</si>
  <si>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</si>
  <si>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</si>
  <si>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</si>
  <si>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</si>
  <si>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</si>
  <si>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</si>
  <si>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</si>
  <si>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</si>
  <si>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</si>
  <si>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</si>
  <si>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</si>
  <si>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</si>
  <si>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</si>
  <si>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</si>
  <si>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</si>
  <si>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</si>
  <si>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</si>
  <si>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</si>
  <si>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</si>
  <si>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</si>
  <si>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</si>
  <si>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</si>
  <si>
    <t>liquid hydrogen regasification</t>
  </si>
  <si>
    <t>regasification of liquid hydrogen to compressed gaseous hydrogen (30 bar)</t>
  </si>
  <si>
    <t>boil of losses of 0.5 % during compression</t>
  </si>
  <si>
    <t>Kolb et al 2022, https://doi.org/10.1016/j.jclepro.2022.133289</t>
  </si>
  <si>
    <t>compressor assembly for transmission hydrogen pipeline</t>
  </si>
  <si>
    <t>compressor, for hydrogen transmission</t>
  </si>
  <si>
    <t>The same compressor type as for pipeline transport is used here.</t>
  </si>
  <si>
    <t>The same compressor type as for pipeline transport is used here. Note, that this might underestimate the actual size of compressor, given the higher pressures required here.</t>
  </si>
  <si>
    <t>Wei et al. 2025 Supporting Information, Table S28; Data source: D’Angelo, et al., https://doi.org/10.1016/j.resconrec.2025.108671.</t>
  </si>
  <si>
    <t>Wei et al. 2025 Supporting Information, Table S29; Data source: D’Angelo, et al., https://doi.org/10.1016/j.resconrec.2025.108671</t>
  </si>
  <si>
    <t>Wei et al. 2025 Supporting Information, Table S30; Data source: D’Angelo, et al., https://doi.org/10.1016/j.resconrec.2025.108671</t>
  </si>
  <si>
    <t>Wei et al. 2025 Supporting Information, Table S21; Data source: Al Ghafri, et al. and Wulf and Zapp., https://doi.org/10.1016/j.resconrec.2025.108671.</t>
  </si>
  <si>
    <t>Wei et al. 2025 Supporting Information, Table S22; Data source: Al Ghafri, et al., https://doi.org/10.1016/j.resconrec.2025.108671.</t>
  </si>
  <si>
    <t>{"data entry": {"name": "Tobias", "email": "tobias.schliess@ier.uni-stuttgart.de"}</t>
  </si>
  <si>
    <t>{"data entry": {"name": "Tobias", "email": "tobias.schliess@ier.uni-stuttgart.de"}}</t>
  </si>
  <si>
    <t>This activity is for cracking of ammonia to hydrogen. It is an aiding activity specifically, thus there is no hydrogen itself within this activity.</t>
  </si>
  <si>
    <t>3.086 kWh electricity needed for reconversion of 7.67 kg NH3 to 1 kg H2, used to supply the heat required and the pressure swing adsorption. An additional 0.6 kWh is needed for subsequent compression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</si>
</sst>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23"/>
  <sheetViews>
    <sheetView tabSelected="1" topLeftCell="A158" zoomScale="85" zoomScaleNormal="85" workbookViewId="0">
      <selection activeCell="B184" sqref="B184"/>
    </sheetView>
  </sheetViews>
  <sheetFormatPr baseColWidth="10" defaultColWidth="8.88671875" defaultRowHeight="14.4"/>
  <cols>
    <col min="1" max="1" width="82.6640625" customWidth="1"/>
    <col min="2" max="2" width="9.88671875" bestFit="1"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52</v>
      </c>
    </row>
    <row r="3" spans="1:9" ht="15.6">
      <c r="A3" s="1" t="s">
        <v>2</v>
      </c>
      <c r="B3" s="1" t="s">
        <v>70</v>
      </c>
    </row>
    <row r="4" spans="1:9">
      <c r="A4" t="s">
        <v>7</v>
      </c>
      <c r="B4" t="s">
        <v>8</v>
      </c>
    </row>
    <row r="5" spans="1:9">
      <c r="A5" t="s">
        <v>60</v>
      </c>
      <c r="B5">
        <v>1</v>
      </c>
    </row>
    <row r="6" spans="1:9">
      <c r="A6" t="s">
        <v>14</v>
      </c>
      <c r="B6" t="s">
        <v>70</v>
      </c>
    </row>
    <row r="7" spans="1:9">
      <c r="A7" t="s">
        <v>13</v>
      </c>
      <c r="B7" t="s">
        <v>15</v>
      </c>
    </row>
    <row r="8" spans="1:9">
      <c r="A8" s="5" t="s">
        <v>5</v>
      </c>
      <c r="B8" s="5" t="s">
        <v>55</v>
      </c>
      <c r="C8" s="5"/>
      <c r="D8" s="5"/>
      <c r="E8" s="5"/>
      <c r="F8" s="5"/>
      <c r="G8" s="5"/>
      <c r="H8" s="5"/>
    </row>
    <row r="9" spans="1:9">
      <c r="A9" t="s">
        <v>6</v>
      </c>
      <c r="B9" t="s">
        <v>62</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6">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6">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6">
      <c r="A18" s="1" t="s">
        <v>2</v>
      </c>
      <c r="B18" s="1" t="s">
        <v>77</v>
      </c>
    </row>
    <row r="19" spans="1:9">
      <c r="A19" t="s">
        <v>7</v>
      </c>
      <c r="B19" t="s">
        <v>8</v>
      </c>
    </row>
    <row r="20" spans="1:9">
      <c r="A20" t="s">
        <v>60</v>
      </c>
      <c r="B20">
        <v>1</v>
      </c>
    </row>
    <row r="21" spans="1:9">
      <c r="A21" t="s">
        <v>14</v>
      </c>
      <c r="B21" t="s">
        <v>77</v>
      </c>
    </row>
    <row r="22" spans="1:9">
      <c r="A22" t="s">
        <v>13</v>
      </c>
      <c r="B22" t="s">
        <v>15</v>
      </c>
    </row>
    <row r="23" spans="1:9">
      <c r="A23" s="5" t="s">
        <v>5</v>
      </c>
      <c r="B23" s="5" t="s">
        <v>55</v>
      </c>
      <c r="C23" s="5"/>
      <c r="D23" s="5"/>
      <c r="E23" s="5"/>
      <c r="F23" s="5"/>
      <c r="G23" s="5"/>
      <c r="H23" s="5"/>
    </row>
    <row r="24" spans="1:9">
      <c r="A24" t="s">
        <v>6</v>
      </c>
      <c r="B24" t="s">
        <v>63</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6">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6">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6">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6">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6">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6">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14">
        <v>1</v>
      </c>
      <c r="C76" s="5" t="s">
        <v>8</v>
      </c>
      <c r="D76" s="5" t="s">
        <v>15</v>
      </c>
      <c r="E76" s="5"/>
      <c r="F76" s="5" t="s">
        <v>16</v>
      </c>
      <c r="G76" s="5"/>
      <c r="H76" s="5" t="str">
        <f>A76</f>
        <v>transport, freight, sea, tanker for liquefied ammonia, mgo</v>
      </c>
    </row>
    <row r="77" spans="1:8">
      <c r="A77" s="5" t="s">
        <v>58</v>
      </c>
      <c r="B77" s="14">
        <v>0</v>
      </c>
      <c r="C77" s="6" t="s">
        <v>69</v>
      </c>
      <c r="D77" s="5" t="s">
        <v>21</v>
      </c>
      <c r="E77" s="5"/>
      <c r="F77" s="5" t="s">
        <v>17</v>
      </c>
      <c r="G77" s="6" t="s">
        <v>80</v>
      </c>
      <c r="H77" s="5" t="s">
        <v>36</v>
      </c>
    </row>
    <row r="78" spans="1:8">
      <c r="A78" s="5" t="s">
        <v>37</v>
      </c>
      <c r="B78" s="14">
        <v>-1.2999999999999999E-5</v>
      </c>
      <c r="C78" s="12" t="s">
        <v>138</v>
      </c>
      <c r="D78" s="5" t="s">
        <v>21</v>
      </c>
      <c r="E78" s="5"/>
      <c r="F78" s="5" t="s">
        <v>17</v>
      </c>
      <c r="G78" s="5" t="s">
        <v>38</v>
      </c>
      <c r="H78" s="5" t="s">
        <v>39</v>
      </c>
    </row>
    <row r="79" spans="1:8">
      <c r="A79" s="5" t="s">
        <v>40</v>
      </c>
      <c r="B79" s="14">
        <f>(parameters!C7+parameters!C5)/1000</f>
        <v>2.3197999999999999E-3</v>
      </c>
      <c r="C79" s="12" t="s">
        <v>138</v>
      </c>
      <c r="D79" s="5" t="s">
        <v>21</v>
      </c>
      <c r="E79" s="5"/>
      <c r="F79" s="5" t="s">
        <v>17</v>
      </c>
      <c r="G79" s="6" t="s">
        <v>81</v>
      </c>
      <c r="H79" s="5" t="s">
        <v>41</v>
      </c>
    </row>
    <row r="80" spans="1:8">
      <c r="A80" s="5" t="s">
        <v>42</v>
      </c>
      <c r="B80" s="14">
        <v>1.0593999999999999E-11</v>
      </c>
      <c r="C80" s="5" t="s">
        <v>8</v>
      </c>
      <c r="D80" s="5" t="s">
        <v>13</v>
      </c>
      <c r="E80" s="5"/>
      <c r="F80" s="5" t="s">
        <v>17</v>
      </c>
      <c r="G80" s="5" t="s">
        <v>43</v>
      </c>
      <c r="H80" s="5" t="s">
        <v>44</v>
      </c>
    </row>
    <row r="81" spans="1:12">
      <c r="A81" s="5" t="s">
        <v>27</v>
      </c>
      <c r="B81" s="14">
        <v>1.3798099999999999E-16</v>
      </c>
      <c r="C81" s="5" t="s">
        <v>8</v>
      </c>
      <c r="D81" s="5" t="s">
        <v>13</v>
      </c>
      <c r="E81" s="5"/>
      <c r="F81" s="5" t="s">
        <v>17</v>
      </c>
      <c r="G81" s="5" t="s">
        <v>45</v>
      </c>
      <c r="H81" s="5" t="s">
        <v>28</v>
      </c>
    </row>
    <row r="82" spans="1:12">
      <c r="A82" s="5" t="s">
        <v>46</v>
      </c>
      <c r="B82" s="14">
        <v>1.0593999999999999E-11</v>
      </c>
      <c r="C82" s="5" t="s">
        <v>8</v>
      </c>
      <c r="D82" s="5" t="s">
        <v>13</v>
      </c>
      <c r="E82" s="5"/>
      <c r="F82" s="5" t="s">
        <v>17</v>
      </c>
      <c r="G82" s="5" t="s">
        <v>43</v>
      </c>
      <c r="H82" s="5" t="s">
        <v>47</v>
      </c>
    </row>
    <row r="83" spans="1:12">
      <c r="A83" s="5" t="s">
        <v>48</v>
      </c>
      <c r="B83" s="14">
        <v>0</v>
      </c>
      <c r="C83" s="12" t="s">
        <v>138</v>
      </c>
      <c r="D83" s="5" t="s">
        <v>21</v>
      </c>
      <c r="E83" s="5"/>
      <c r="F83" s="5" t="s">
        <v>17</v>
      </c>
      <c r="G83" s="5"/>
      <c r="H83" s="5" t="s">
        <v>49</v>
      </c>
    </row>
    <row r="84" spans="1:12">
      <c r="A84" s="5" t="s">
        <v>50</v>
      </c>
      <c r="B84" s="14">
        <f>(parameters!C10*parameters!C6/1000)*parameters!C9</f>
        <v>6.4616593886462886E-6</v>
      </c>
      <c r="C84" s="12" t="s">
        <v>138</v>
      </c>
      <c r="D84" s="5" t="s">
        <v>21</v>
      </c>
      <c r="E84" s="5"/>
      <c r="F84" s="5" t="s">
        <v>17</v>
      </c>
      <c r="G84" s="6" t="s">
        <v>82</v>
      </c>
      <c r="H84" s="5" t="s">
        <v>51</v>
      </c>
    </row>
    <row r="85" spans="1:12">
      <c r="A85" s="5" t="s">
        <v>20</v>
      </c>
      <c r="B85" s="14">
        <f>((parameters!C15*parameters!C6/1000)*parameters!C9)+((parameters!C16*parameters!C6/1000)*(1-parameters!C9))</f>
        <v>0</v>
      </c>
      <c r="C85" s="5"/>
      <c r="D85" s="5" t="s">
        <v>21</v>
      </c>
      <c r="E85" s="5" t="s">
        <v>30</v>
      </c>
      <c r="F85" s="5" t="s">
        <v>22</v>
      </c>
      <c r="G85" s="6" t="s">
        <v>83</v>
      </c>
      <c r="H85" s="5"/>
    </row>
    <row r="86" spans="1:12">
      <c r="A86" s="5" t="s">
        <v>31</v>
      </c>
      <c r="B86" s="14">
        <f>(parameters!C22/1000)*(parameters!C8+parameters!C6)</f>
        <v>3.1887360000000002E-3</v>
      </c>
      <c r="C86" s="5"/>
      <c r="D86" s="5" t="s">
        <v>21</v>
      </c>
      <c r="E86" s="5" t="s">
        <v>30</v>
      </c>
      <c r="F86" s="5" t="s">
        <v>22</v>
      </c>
      <c r="G86" s="6" t="s">
        <v>84</v>
      </c>
      <c r="H86" s="5"/>
    </row>
    <row r="87" spans="1:12">
      <c r="A87" s="5" t="s">
        <v>32</v>
      </c>
      <c r="B87" s="14">
        <f>(parameters!C24/1000)*(parameters!C8+parameters!C6)</f>
        <v>2.5600000000000001E-6</v>
      </c>
      <c r="C87" s="5"/>
      <c r="D87" s="5" t="s">
        <v>21</v>
      </c>
      <c r="E87" s="5" t="s">
        <v>30</v>
      </c>
      <c r="F87" s="5" t="s">
        <v>22</v>
      </c>
      <c r="G87" s="6" t="s">
        <v>84</v>
      </c>
      <c r="H87" s="5"/>
    </row>
    <row r="88" spans="1:12">
      <c r="A88" s="5" t="s">
        <v>23</v>
      </c>
      <c r="B88" s="14">
        <f>(((parameters!C6+parameters!C8)/1000)*parameters!C23)</f>
        <v>1.7408000000000001E-7</v>
      </c>
      <c r="C88" s="5"/>
      <c r="D88" s="5" t="s">
        <v>21</v>
      </c>
      <c r="E88" s="5" t="s">
        <v>30</v>
      </c>
      <c r="F88" s="5" t="s">
        <v>22</v>
      </c>
      <c r="G88" s="6" t="s">
        <v>85</v>
      </c>
      <c r="H88" s="5"/>
    </row>
    <row r="89" spans="1:12">
      <c r="A89" s="5" t="s">
        <v>33</v>
      </c>
      <c r="B89" s="14">
        <f>((parameters!C6+parameters!C8)/1000)*parameters!C25</f>
        <v>1.2800000000000001E-7</v>
      </c>
      <c r="C89" s="5"/>
      <c r="D89" s="5" t="s">
        <v>21</v>
      </c>
      <c r="E89" s="5" t="s">
        <v>30</v>
      </c>
      <c r="F89" s="5" t="s">
        <v>22</v>
      </c>
      <c r="G89" s="5" t="s">
        <v>56</v>
      </c>
      <c r="H89" s="5"/>
    </row>
    <row r="90" spans="1:12">
      <c r="A90" s="5" t="s">
        <v>24</v>
      </c>
      <c r="B90" s="14">
        <f>parameters!C32*(parameters!C8+parameters!C6)/1000</f>
        <v>1.28E-6</v>
      </c>
      <c r="C90" s="5"/>
      <c r="D90" s="5" t="s">
        <v>21</v>
      </c>
      <c r="E90" s="5" t="s">
        <v>30</v>
      </c>
      <c r="F90" s="5" t="s">
        <v>22</v>
      </c>
      <c r="G90" s="5" t="s">
        <v>56</v>
      </c>
      <c r="H90" s="5"/>
    </row>
    <row r="91" spans="1:12">
      <c r="A91" s="5" t="s">
        <v>25</v>
      </c>
      <c r="B91" s="14">
        <f>(((parameters!C8+parameters!C6)/1000)*parameters!C27)*(parameters!C9)+(((parameters!C8+parameters!C6)/1000)*parameters!C28)*(1-parameters!C9)</f>
        <v>1.7079336244541486E-4</v>
      </c>
      <c r="C91" s="5"/>
      <c r="D91" s="5" t="s">
        <v>21</v>
      </c>
      <c r="E91" s="5" t="s">
        <v>30</v>
      </c>
      <c r="F91" s="5" t="s">
        <v>22</v>
      </c>
      <c r="G91" s="6" t="s">
        <v>85</v>
      </c>
      <c r="H91" s="5"/>
    </row>
    <row r="92" spans="1:12">
      <c r="A92" s="5" t="s">
        <v>26</v>
      </c>
      <c r="B92" s="14">
        <f>parameters!C8*parameters!C30/1000</f>
        <v>4.3399999999999998E-8</v>
      </c>
      <c r="C92" s="5"/>
      <c r="D92" s="5" t="s">
        <v>21</v>
      </c>
      <c r="E92" s="5" t="s">
        <v>30</v>
      </c>
      <c r="F92" s="5" t="s">
        <v>22</v>
      </c>
      <c r="G92" s="5" t="s">
        <v>56</v>
      </c>
      <c r="H92" s="5"/>
    </row>
    <row r="93" spans="1:12">
      <c r="A93" s="5" t="s">
        <v>34</v>
      </c>
      <c r="B93" s="14">
        <f>parameters!C31*parameters!C8/1000</f>
        <v>4.2000000000000004E-9</v>
      </c>
      <c r="C93" s="5"/>
      <c r="D93" s="5" t="s">
        <v>21</v>
      </c>
      <c r="E93" s="5" t="s">
        <v>30</v>
      </c>
      <c r="F93" s="5" t="s">
        <v>22</v>
      </c>
      <c r="G93" s="5" t="s">
        <v>56</v>
      </c>
      <c r="H93" s="5"/>
    </row>
    <row r="94" spans="1:12">
      <c r="A94" s="5" t="s">
        <v>35</v>
      </c>
      <c r="B94" s="14">
        <f>parameters!C8*parameters!C29/1000</f>
        <v>1.2599999999999999E-7</v>
      </c>
      <c r="C94" s="5"/>
      <c r="D94" s="5" t="s">
        <v>21</v>
      </c>
      <c r="E94" s="5" t="s">
        <v>30</v>
      </c>
      <c r="F94" s="5" t="s">
        <v>22</v>
      </c>
      <c r="G94" s="5" t="s">
        <v>56</v>
      </c>
      <c r="H94" s="5"/>
    </row>
    <row r="96" spans="1:12">
      <c r="A96" s="15" t="s">
        <v>2</v>
      </c>
      <c r="B96" s="13" t="s">
        <v>139</v>
      </c>
      <c r="C96" s="15"/>
      <c r="D96" s="15"/>
      <c r="E96" s="15"/>
      <c r="F96" s="15"/>
      <c r="G96" s="15"/>
      <c r="H96" s="15"/>
      <c r="I96" s="15"/>
      <c r="J96" s="15"/>
      <c r="K96" s="15"/>
      <c r="L96" s="15"/>
    </row>
    <row r="97" spans="1:12">
      <c r="A97" s="15" t="s">
        <v>6</v>
      </c>
      <c r="B97" s="15" t="s">
        <v>190</v>
      </c>
      <c r="C97" s="15"/>
      <c r="D97" s="15"/>
      <c r="E97" s="15"/>
      <c r="F97" s="15"/>
      <c r="G97" s="15"/>
      <c r="H97" s="15"/>
      <c r="I97" s="15"/>
      <c r="J97" s="15"/>
      <c r="K97" s="15"/>
      <c r="L97" s="15"/>
    </row>
    <row r="98" spans="1:12">
      <c r="A98" s="15" t="s">
        <v>53</v>
      </c>
      <c r="B98" s="15" t="s">
        <v>212</v>
      </c>
      <c r="C98" s="15"/>
      <c r="D98" s="15"/>
      <c r="E98" s="15"/>
      <c r="F98" s="15"/>
      <c r="G98" s="15"/>
      <c r="H98" s="15"/>
      <c r="I98" s="15"/>
      <c r="J98" s="15"/>
      <c r="K98" s="15"/>
      <c r="L98" s="15"/>
    </row>
    <row r="99" spans="1:12">
      <c r="A99" s="5" t="s">
        <v>5</v>
      </c>
      <c r="B99" s="5" t="s">
        <v>55</v>
      </c>
      <c r="C99" s="5"/>
      <c r="D99" s="5"/>
      <c r="E99" s="5"/>
      <c r="F99" s="5"/>
      <c r="G99" s="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6">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164</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191</v>
      </c>
      <c r="C112" s="15"/>
      <c r="D112" s="15"/>
      <c r="E112" s="15"/>
      <c r="F112" s="15"/>
      <c r="G112" s="15"/>
      <c r="H112" s="15"/>
      <c r="I112" s="15"/>
      <c r="J112" s="15"/>
      <c r="K112" s="15"/>
      <c r="L112" s="15"/>
    </row>
    <row r="113" spans="1:12">
      <c r="A113" s="15" t="s">
        <v>53</v>
      </c>
      <c r="B113" s="15" t="s">
        <v>213</v>
      </c>
      <c r="C113" s="15"/>
      <c r="D113" s="15"/>
      <c r="E113" s="15"/>
      <c r="F113" s="15"/>
      <c r="G113" s="15"/>
      <c r="H113" s="15"/>
      <c r="I113" s="15"/>
      <c r="J113" s="15"/>
      <c r="K113" s="15"/>
      <c r="L113" s="15"/>
    </row>
    <row r="114" spans="1:12">
      <c r="A114" s="5" t="s">
        <v>5</v>
      </c>
      <c r="B114" s="5" t="s">
        <v>55</v>
      </c>
      <c r="C114" s="15"/>
      <c r="D114" s="15"/>
      <c r="E114" s="15"/>
      <c r="F114" s="15"/>
      <c r="G114" s="15"/>
      <c r="H114" s="15"/>
      <c r="I114" s="15"/>
      <c r="J114" s="15"/>
      <c r="K114" s="15"/>
      <c r="L114" s="15"/>
    </row>
    <row r="115" spans="1:12">
      <c r="A115" s="15" t="s">
        <v>7</v>
      </c>
      <c r="B115" s="15" t="s">
        <v>8</v>
      </c>
      <c r="C115" s="15"/>
      <c r="D115" s="15"/>
      <c r="E115" s="15"/>
      <c r="F115" s="15"/>
      <c r="G115" s="15"/>
      <c r="H115" s="15"/>
      <c r="I115" s="15"/>
      <c r="J115" s="15"/>
      <c r="K115" s="15"/>
      <c r="L115" s="15"/>
    </row>
    <row r="116" spans="1:12">
      <c r="A116" s="15" t="s">
        <v>14</v>
      </c>
      <c r="B116" s="15" t="s">
        <v>144</v>
      </c>
      <c r="C116" s="15"/>
      <c r="D116" s="15"/>
      <c r="E116" s="15"/>
      <c r="F116" s="15"/>
      <c r="G116" s="15"/>
      <c r="H116" s="15"/>
      <c r="I116" s="15"/>
      <c r="J116" s="15"/>
      <c r="K116" s="15"/>
      <c r="L116" s="15"/>
    </row>
    <row r="117" spans="1:12">
      <c r="A117" s="15" t="s">
        <v>13</v>
      </c>
      <c r="B117" s="15" t="s">
        <v>13</v>
      </c>
      <c r="C117" s="15"/>
      <c r="D117" s="15"/>
      <c r="E117" s="15"/>
      <c r="F117" s="15"/>
      <c r="G117" s="15"/>
      <c r="H117" s="15"/>
      <c r="I117" s="15"/>
      <c r="J117" s="15"/>
      <c r="K117" s="15"/>
      <c r="L117" s="15"/>
    </row>
    <row r="118" spans="1:12">
      <c r="A118" s="15" t="s">
        <v>10</v>
      </c>
      <c r="B118" s="15"/>
      <c r="C118" s="15"/>
      <c r="D118" s="15"/>
      <c r="E118" s="15"/>
      <c r="F118" s="15"/>
      <c r="G118" s="15"/>
      <c r="H118" s="15"/>
      <c r="I118" s="15"/>
      <c r="J118" s="15"/>
      <c r="K118" s="15"/>
      <c r="L118" s="15"/>
    </row>
    <row r="119" spans="1:12">
      <c r="A119" s="15" t="s">
        <v>11</v>
      </c>
      <c r="B119" s="15" t="s">
        <v>12</v>
      </c>
      <c r="C119" s="15" t="s">
        <v>7</v>
      </c>
      <c r="D119" s="15" t="s">
        <v>13</v>
      </c>
      <c r="E119" s="15" t="s">
        <v>19</v>
      </c>
      <c r="F119" s="15" t="s">
        <v>9</v>
      </c>
      <c r="G119" s="15" t="s">
        <v>14</v>
      </c>
      <c r="H119" s="15" t="s">
        <v>6</v>
      </c>
      <c r="I119" s="15" t="s">
        <v>18</v>
      </c>
      <c r="J119" s="15" t="s">
        <v>140</v>
      </c>
      <c r="K119" s="15" t="s">
        <v>141</v>
      </c>
      <c r="L119" s="15" t="s">
        <v>142</v>
      </c>
    </row>
    <row r="120" spans="1:12">
      <c r="A120" s="15" t="s">
        <v>144</v>
      </c>
      <c r="B120" s="16">
        <v>1</v>
      </c>
      <c r="C120" s="15" t="s">
        <v>8</v>
      </c>
      <c r="D120" s="15" t="s">
        <v>13</v>
      </c>
      <c r="E120" s="15"/>
      <c r="F120" s="15" t="s">
        <v>16</v>
      </c>
      <c r="G120" s="15" t="s">
        <v>144</v>
      </c>
      <c r="H120" s="15"/>
      <c r="I120" s="15"/>
      <c r="J120" s="15"/>
      <c r="K120" s="15"/>
      <c r="L120" s="15"/>
    </row>
    <row r="121" spans="1:12">
      <c r="A121" s="15" t="s">
        <v>147</v>
      </c>
      <c r="B121" s="16">
        <v>595000</v>
      </c>
      <c r="C121" s="15" t="s">
        <v>8</v>
      </c>
      <c r="D121" s="15" t="s">
        <v>21</v>
      </c>
      <c r="E121" s="15"/>
      <c r="F121" s="15" t="s">
        <v>17</v>
      </c>
      <c r="G121" s="15" t="s">
        <v>160</v>
      </c>
      <c r="H121" s="15"/>
      <c r="I121" s="15"/>
      <c r="J121" s="15"/>
      <c r="K121" s="15"/>
      <c r="L121" s="15"/>
    </row>
    <row r="122" spans="1:12">
      <c r="A122" s="15" t="s">
        <v>148</v>
      </c>
      <c r="B122" s="16">
        <v>380000</v>
      </c>
      <c r="C122" s="15" t="s">
        <v>8</v>
      </c>
      <c r="D122" s="15" t="s">
        <v>21</v>
      </c>
      <c r="E122" s="15"/>
      <c r="F122" s="15" t="s">
        <v>17</v>
      </c>
      <c r="G122" s="15" t="s">
        <v>161</v>
      </c>
      <c r="H122" s="15"/>
      <c r="I122" s="15"/>
      <c r="J122" s="15"/>
      <c r="K122" s="15"/>
      <c r="L122" s="15"/>
    </row>
    <row r="123" spans="1:12">
      <c r="A123" s="15" t="s">
        <v>165</v>
      </c>
      <c r="B123" s="16">
        <v>20300</v>
      </c>
      <c r="C123" s="15" t="s">
        <v>8</v>
      </c>
      <c r="D123" s="15" t="s">
        <v>149</v>
      </c>
      <c r="E123" s="15"/>
      <c r="F123" s="15" t="s">
        <v>17</v>
      </c>
      <c r="G123" s="15" t="s">
        <v>166</v>
      </c>
      <c r="H123" s="15"/>
      <c r="I123" s="15"/>
      <c r="J123" s="15"/>
      <c r="K123" s="15"/>
      <c r="L123" s="15"/>
    </row>
    <row r="124" spans="1:12">
      <c r="A124" s="15" t="s">
        <v>150</v>
      </c>
      <c r="B124" s="16">
        <v>150000</v>
      </c>
      <c r="C124" s="15" t="s">
        <v>8</v>
      </c>
      <c r="D124" s="15" t="s">
        <v>21</v>
      </c>
      <c r="E124" s="15"/>
      <c r="F124" s="15" t="s">
        <v>17</v>
      </c>
      <c r="G124" s="15" t="s">
        <v>162</v>
      </c>
      <c r="H124" s="15"/>
      <c r="I124" s="15"/>
      <c r="J124" s="15"/>
      <c r="K124" s="15"/>
      <c r="L124" s="15"/>
    </row>
    <row r="125" spans="1:12">
      <c r="A125" s="15" t="s">
        <v>151</v>
      </c>
      <c r="B125" s="16">
        <v>140000</v>
      </c>
      <c r="C125" s="15" t="s">
        <v>8</v>
      </c>
      <c r="D125" s="15" t="s">
        <v>21</v>
      </c>
      <c r="E125" s="15"/>
      <c r="F125" s="15" t="s">
        <v>17</v>
      </c>
      <c r="G125" s="15" t="s">
        <v>163</v>
      </c>
      <c r="H125" s="15"/>
      <c r="I125" s="15"/>
      <c r="J125" s="15"/>
      <c r="K125" s="15"/>
      <c r="L125" s="15"/>
    </row>
    <row r="126" spans="1:12">
      <c r="A126" s="15"/>
      <c r="B126" s="17"/>
      <c r="C126" s="15"/>
      <c r="D126" s="15"/>
      <c r="E126" s="15"/>
      <c r="F126" s="15"/>
      <c r="G126" s="15"/>
      <c r="H126" s="15"/>
      <c r="I126" s="15"/>
      <c r="J126" s="15"/>
      <c r="K126" s="15"/>
      <c r="L126" s="15"/>
    </row>
    <row r="127" spans="1:12">
      <c r="A127" s="15" t="s">
        <v>2</v>
      </c>
      <c r="B127" s="13" t="s">
        <v>201</v>
      </c>
      <c r="C127" s="15"/>
      <c r="D127" s="15"/>
      <c r="E127" s="15"/>
      <c r="F127" s="15"/>
      <c r="G127" s="15"/>
      <c r="H127" s="15"/>
      <c r="I127" s="15"/>
      <c r="J127" s="15"/>
      <c r="K127" s="15"/>
      <c r="L127" s="15"/>
    </row>
    <row r="128" spans="1:12">
      <c r="A128" s="15" t="s">
        <v>6</v>
      </c>
      <c r="B128" s="15" t="s">
        <v>202</v>
      </c>
      <c r="C128" s="15"/>
      <c r="D128" s="15"/>
      <c r="E128" s="15"/>
      <c r="F128" s="15"/>
      <c r="G128" s="15"/>
      <c r="H128" s="15"/>
      <c r="I128" s="15"/>
      <c r="J128" s="15"/>
      <c r="K128" s="15"/>
      <c r="L128" s="15"/>
    </row>
    <row r="129" spans="1:12">
      <c r="A129" s="15" t="s">
        <v>53</v>
      </c>
      <c r="B129" s="15" t="s">
        <v>204</v>
      </c>
      <c r="C129" s="15"/>
      <c r="D129" s="15"/>
      <c r="E129" s="15"/>
      <c r="F129" s="15"/>
      <c r="G129" s="15"/>
      <c r="H129" s="15"/>
      <c r="I129" s="15"/>
      <c r="J129" s="15"/>
      <c r="K129" s="15"/>
      <c r="L129" s="15"/>
    </row>
    <row r="130" spans="1:12">
      <c r="A130" s="5" t="s">
        <v>5</v>
      </c>
      <c r="B130" s="5" t="s">
        <v>55</v>
      </c>
      <c r="C130" s="15"/>
      <c r="D130" s="15"/>
      <c r="E130" s="15"/>
      <c r="F130" s="15"/>
      <c r="G130" s="15"/>
      <c r="H130" s="15"/>
      <c r="I130" s="15"/>
      <c r="J130" s="15"/>
      <c r="K130" s="15"/>
      <c r="L130" s="15"/>
    </row>
    <row r="131" spans="1:12">
      <c r="A131" s="15" t="s">
        <v>7</v>
      </c>
      <c r="B131" s="15" t="s">
        <v>8</v>
      </c>
      <c r="C131" s="15"/>
      <c r="D131" s="15"/>
      <c r="E131" s="15"/>
      <c r="F131" s="15"/>
      <c r="G131" s="15"/>
      <c r="H131" s="15"/>
      <c r="I131" s="15"/>
      <c r="J131" s="15"/>
      <c r="K131" s="15"/>
      <c r="L131" s="15"/>
    </row>
    <row r="132" spans="1:12">
      <c r="A132" s="15" t="s">
        <v>14</v>
      </c>
      <c r="B132" s="15" t="str">
        <f>B127</f>
        <v>liquid hydrogen regasification</v>
      </c>
      <c r="C132" s="15"/>
      <c r="D132" s="15"/>
      <c r="E132" s="15"/>
      <c r="F132" s="15"/>
      <c r="G132" s="15"/>
      <c r="H132" s="15"/>
      <c r="I132" s="15"/>
      <c r="J132" s="15"/>
      <c r="K132" s="15"/>
      <c r="L132" s="15"/>
    </row>
    <row r="133" spans="1:12">
      <c r="A133" s="15" t="s">
        <v>13</v>
      </c>
      <c r="B133" s="15" t="s">
        <v>21</v>
      </c>
      <c r="C133" s="15"/>
      <c r="D133" s="15"/>
      <c r="E133" s="15"/>
      <c r="F133" s="15"/>
      <c r="G133" s="15"/>
      <c r="H133" s="15"/>
      <c r="I133" s="15"/>
      <c r="J133" s="15"/>
      <c r="K133" s="15"/>
      <c r="L133" s="15"/>
    </row>
    <row r="134" spans="1:12">
      <c r="A134" s="15" t="s">
        <v>10</v>
      </c>
      <c r="B134" s="15"/>
      <c r="C134" s="15"/>
      <c r="D134" s="15"/>
      <c r="E134" s="15"/>
      <c r="F134" s="15"/>
      <c r="G134" s="15"/>
      <c r="H134" s="15"/>
      <c r="I134" s="15"/>
      <c r="J134" s="15"/>
      <c r="K134" s="15"/>
      <c r="L134" s="15"/>
    </row>
    <row r="135" spans="1:12">
      <c r="A135" s="15" t="s">
        <v>11</v>
      </c>
      <c r="B135" s="15" t="s">
        <v>12</v>
      </c>
      <c r="C135" s="15" t="s">
        <v>7</v>
      </c>
      <c r="D135" s="15" t="s">
        <v>13</v>
      </c>
      <c r="E135" s="15" t="s">
        <v>19</v>
      </c>
      <c r="F135" s="15" t="s">
        <v>9</v>
      </c>
      <c r="G135" s="15" t="s">
        <v>14</v>
      </c>
      <c r="H135" s="15" t="s">
        <v>6</v>
      </c>
      <c r="I135" s="15" t="s">
        <v>18</v>
      </c>
      <c r="J135" s="15" t="s">
        <v>140</v>
      </c>
      <c r="K135" s="15" t="s">
        <v>141</v>
      </c>
      <c r="L135" s="15" t="s">
        <v>142</v>
      </c>
    </row>
    <row r="136" spans="1:12">
      <c r="A136" s="15" t="str">
        <f>B132</f>
        <v>liquid hydrogen regasification</v>
      </c>
      <c r="B136" s="16">
        <v>1</v>
      </c>
      <c r="C136" s="15" t="s">
        <v>8</v>
      </c>
      <c r="D136" s="15" t="s">
        <v>21</v>
      </c>
      <c r="E136" s="15"/>
      <c r="F136" s="15" t="s">
        <v>16</v>
      </c>
      <c r="G136" s="15" t="str">
        <f>B132</f>
        <v>liquid hydrogen regasification</v>
      </c>
      <c r="H136" s="15"/>
      <c r="I136" s="15"/>
      <c r="J136" s="15"/>
      <c r="K136" s="15"/>
      <c r="L136" s="15"/>
    </row>
    <row r="137" spans="1:12">
      <c r="A137" s="15" t="s">
        <v>146</v>
      </c>
      <c r="B137" s="16">
        <f>0.88+0.47</f>
        <v>1.35</v>
      </c>
      <c r="C137" s="15" t="s">
        <v>8</v>
      </c>
      <c r="D137" s="15" t="s">
        <v>68</v>
      </c>
      <c r="E137" s="15"/>
      <c r="F137" s="15" t="s">
        <v>17</v>
      </c>
      <c r="G137" s="15" t="s">
        <v>164</v>
      </c>
      <c r="H137" s="15"/>
      <c r="I137" s="15"/>
      <c r="J137" s="15"/>
      <c r="K137" s="15"/>
      <c r="L137" s="15"/>
    </row>
    <row r="138" spans="1:12">
      <c r="A138" s="15" t="s">
        <v>205</v>
      </c>
      <c r="B138" s="17">
        <v>3.4299999999999999E-9</v>
      </c>
      <c r="C138" s="15" t="s">
        <v>69</v>
      </c>
      <c r="D138" s="15" t="s">
        <v>13</v>
      </c>
      <c r="E138" s="15"/>
      <c r="F138" s="15" t="s">
        <v>17</v>
      </c>
      <c r="G138" t="s">
        <v>206</v>
      </c>
      <c r="H138" s="15" t="s">
        <v>207</v>
      </c>
      <c r="I138" s="15"/>
      <c r="J138" s="15"/>
      <c r="K138" s="15"/>
      <c r="L138" s="15"/>
    </row>
    <row r="139" spans="1:12">
      <c r="A139" s="15" t="s">
        <v>71</v>
      </c>
      <c r="B139" s="16">
        <v>5.0000000000000001E-3</v>
      </c>
      <c r="C139" s="15"/>
      <c r="D139" s="15" t="s">
        <v>21</v>
      </c>
      <c r="E139" s="12" t="s">
        <v>30</v>
      </c>
      <c r="F139" s="15" t="s">
        <v>22</v>
      </c>
      <c r="G139" s="15"/>
      <c r="H139" s="15" t="s">
        <v>203</v>
      </c>
      <c r="I139" s="15"/>
      <c r="J139" s="15"/>
      <c r="K139" s="15"/>
      <c r="L139" s="15"/>
    </row>
    <row r="140" spans="1:12">
      <c r="A140" s="15"/>
      <c r="B140" s="12"/>
      <c r="C140" s="15"/>
      <c r="D140" s="15"/>
      <c r="E140" s="15"/>
      <c r="F140" s="15"/>
      <c r="G140" s="15"/>
      <c r="H140" s="15"/>
      <c r="I140" s="15"/>
      <c r="J140" s="15"/>
      <c r="K140" s="15"/>
      <c r="L140" s="15"/>
    </row>
    <row r="141" spans="1:12">
      <c r="A141" s="15" t="s">
        <v>2</v>
      </c>
      <c r="B141" s="13" t="s">
        <v>152</v>
      </c>
      <c r="C141" s="15"/>
      <c r="D141" s="15"/>
      <c r="E141" s="15"/>
      <c r="F141" s="15"/>
      <c r="G141" s="15"/>
      <c r="H141" s="15"/>
      <c r="I141" s="15"/>
      <c r="J141" s="15"/>
      <c r="K141" s="15"/>
      <c r="L141" s="15"/>
    </row>
    <row r="142" spans="1:12">
      <c r="A142" s="15" t="s">
        <v>6</v>
      </c>
      <c r="B142" s="15" t="s">
        <v>189</v>
      </c>
      <c r="C142" s="15"/>
      <c r="D142" s="15"/>
      <c r="E142" s="15"/>
      <c r="F142" s="15"/>
      <c r="G142" s="15"/>
      <c r="H142" s="15"/>
      <c r="I142" s="15"/>
      <c r="J142" s="15"/>
      <c r="K142" s="15"/>
      <c r="L142" s="15"/>
    </row>
    <row r="143" spans="1:12">
      <c r="A143" s="15" t="s">
        <v>53</v>
      </c>
      <c r="B143" s="15" t="s">
        <v>212</v>
      </c>
      <c r="C143" s="15"/>
      <c r="D143" s="15"/>
      <c r="E143" s="15"/>
      <c r="F143" s="15"/>
      <c r="G143" s="15"/>
      <c r="H143" s="15"/>
      <c r="I143" s="15"/>
      <c r="J143" s="15"/>
      <c r="K143" s="15"/>
      <c r="L143" s="15"/>
    </row>
    <row r="144" spans="1:12">
      <c r="A144" s="5" t="s">
        <v>5</v>
      </c>
      <c r="B144" s="5" t="s">
        <v>55</v>
      </c>
      <c r="C144" s="15"/>
      <c r="D144" s="15"/>
      <c r="E144" s="15"/>
      <c r="F144" s="15"/>
      <c r="G144" s="15"/>
      <c r="H144" s="15"/>
      <c r="I144" s="15"/>
      <c r="J144" s="15"/>
      <c r="K144" s="15"/>
      <c r="L144" s="15"/>
    </row>
    <row r="145" spans="1:12">
      <c r="A145" s="15" t="s">
        <v>7</v>
      </c>
      <c r="B145" s="15" t="s">
        <v>8</v>
      </c>
      <c r="C145" s="15"/>
      <c r="D145" s="15"/>
      <c r="E145" s="15"/>
      <c r="F145" s="15"/>
      <c r="G145" s="15"/>
      <c r="H145" s="15"/>
      <c r="I145" s="15"/>
      <c r="J145" s="15"/>
      <c r="K145" s="15"/>
      <c r="L145" s="15"/>
    </row>
    <row r="146" spans="1:12">
      <c r="A146" s="15" t="s">
        <v>14</v>
      </c>
      <c r="B146" s="15" t="s">
        <v>152</v>
      </c>
      <c r="C146" s="15"/>
      <c r="D146" s="15"/>
      <c r="E146" s="15"/>
      <c r="F146" s="15"/>
      <c r="G146" s="15"/>
      <c r="H146" s="15"/>
      <c r="I146" s="15"/>
      <c r="J146" s="15"/>
      <c r="K146" s="15"/>
      <c r="L146" s="15"/>
    </row>
    <row r="147" spans="1:12">
      <c r="A147" s="15" t="s">
        <v>13</v>
      </c>
      <c r="B147" s="15" t="s">
        <v>21</v>
      </c>
      <c r="C147" s="15"/>
      <c r="D147" s="15"/>
      <c r="E147" s="15"/>
      <c r="F147" s="15"/>
      <c r="G147" s="15"/>
      <c r="H147" s="15"/>
      <c r="I147" s="15"/>
      <c r="J147" s="15"/>
      <c r="K147" s="15"/>
      <c r="L147" s="15"/>
    </row>
    <row r="148" spans="1:12">
      <c r="A148" s="15" t="s">
        <v>10</v>
      </c>
      <c r="B148" s="15"/>
      <c r="C148" s="15"/>
      <c r="D148" s="15"/>
      <c r="E148" s="15"/>
      <c r="F148" s="15"/>
      <c r="G148" s="15"/>
      <c r="H148" s="15"/>
      <c r="I148" s="15"/>
      <c r="J148" s="15"/>
      <c r="K148" s="15"/>
      <c r="L148" s="15"/>
    </row>
    <row r="149" spans="1:12">
      <c r="A149" s="15" t="s">
        <v>11</v>
      </c>
      <c r="B149" s="15" t="s">
        <v>12</v>
      </c>
      <c r="C149" s="15" t="s">
        <v>7</v>
      </c>
      <c r="D149" s="15" t="s">
        <v>13</v>
      </c>
      <c r="E149" s="15" t="s">
        <v>19</v>
      </c>
      <c r="F149" s="15" t="s">
        <v>9</v>
      </c>
      <c r="G149" s="15" t="s">
        <v>14</v>
      </c>
      <c r="H149" s="15" t="s">
        <v>6</v>
      </c>
      <c r="I149" s="15" t="s">
        <v>18</v>
      </c>
      <c r="J149" s="15" t="s">
        <v>140</v>
      </c>
      <c r="K149" s="15" t="s">
        <v>141</v>
      </c>
      <c r="L149" s="15" t="s">
        <v>142</v>
      </c>
    </row>
    <row r="150" spans="1:12">
      <c r="A150" s="15" t="str">
        <f>B146</f>
        <v>gaseous hydrogen production</v>
      </c>
      <c r="B150" s="16">
        <v>1</v>
      </c>
      <c r="C150" s="15" t="s">
        <v>8</v>
      </c>
      <c r="D150" s="15" t="s">
        <v>21</v>
      </c>
      <c r="E150" s="15"/>
      <c r="F150" s="15" t="s">
        <v>16</v>
      </c>
      <c r="G150" s="15" t="str">
        <f>B146</f>
        <v>gaseous hydrogen production</v>
      </c>
      <c r="H150" s="15" t="s">
        <v>143</v>
      </c>
      <c r="I150" s="15"/>
      <c r="J150" s="15"/>
      <c r="K150" s="15"/>
      <c r="L150" s="15"/>
    </row>
    <row r="151" spans="1:12">
      <c r="A151" s="15" t="s">
        <v>66</v>
      </c>
      <c r="B151">
        <f>B154</f>
        <v>3.0000000000000001E-3</v>
      </c>
      <c r="C151" t="s">
        <v>69</v>
      </c>
      <c r="D151" t="s">
        <v>21</v>
      </c>
      <c r="F151" t="s">
        <v>17</v>
      </c>
      <c r="G151" t="s">
        <v>67</v>
      </c>
      <c r="H151" t="s">
        <v>74</v>
      </c>
    </row>
    <row r="152" spans="1:12">
      <c r="A152" s="15" t="s">
        <v>205</v>
      </c>
      <c r="B152" s="17">
        <v>3.4299999999999999E-9</v>
      </c>
      <c r="C152" s="15" t="s">
        <v>69</v>
      </c>
      <c r="D152" s="15" t="s">
        <v>13</v>
      </c>
      <c r="E152" s="15"/>
      <c r="F152" s="15" t="s">
        <v>17</v>
      </c>
      <c r="G152" t="s">
        <v>206</v>
      </c>
      <c r="H152" s="15" t="s">
        <v>208</v>
      </c>
      <c r="I152" s="15"/>
      <c r="J152" s="15"/>
      <c r="K152" s="15"/>
      <c r="L152" s="15"/>
    </row>
    <row r="153" spans="1:12">
      <c r="A153" s="15" t="s">
        <v>146</v>
      </c>
      <c r="B153" s="16">
        <v>1.25</v>
      </c>
      <c r="C153" s="15" t="s">
        <v>8</v>
      </c>
      <c r="D153" s="15" t="s">
        <v>68</v>
      </c>
      <c r="E153" s="15"/>
      <c r="F153" s="15" t="s">
        <v>17</v>
      </c>
      <c r="G153" s="15" t="s">
        <v>164</v>
      </c>
      <c r="H153" s="15" t="s">
        <v>153</v>
      </c>
      <c r="I153" s="15"/>
      <c r="J153" s="15"/>
      <c r="K153" s="15"/>
      <c r="L153" s="15"/>
    </row>
    <row r="154" spans="1:12">
      <c r="A154" s="15" t="s">
        <v>71</v>
      </c>
      <c r="B154" s="16">
        <v>3.0000000000000001E-3</v>
      </c>
      <c r="C154" s="15"/>
      <c r="D154" s="15" t="s">
        <v>21</v>
      </c>
      <c r="E154" s="12" t="s">
        <v>30</v>
      </c>
      <c r="F154" s="15" t="s">
        <v>22</v>
      </c>
      <c r="G154" s="15"/>
      <c r="H154" s="15" t="s">
        <v>153</v>
      </c>
      <c r="I154" s="15"/>
      <c r="J154" s="15"/>
      <c r="K154" s="15"/>
      <c r="L154" s="15"/>
    </row>
    <row r="155" spans="1:12">
      <c r="A155" s="15" t="s">
        <v>159</v>
      </c>
      <c r="B155" s="12">
        <v>3.8000000000000002E-4</v>
      </c>
      <c r="C155" s="15"/>
      <c r="D155" s="15" t="s">
        <v>149</v>
      </c>
      <c r="E155" s="15" t="s">
        <v>154</v>
      </c>
      <c r="F155" s="15" t="s">
        <v>22</v>
      </c>
      <c r="G155" s="15"/>
      <c r="H155" s="15" t="s">
        <v>153</v>
      </c>
      <c r="I155" s="15"/>
      <c r="J155" s="15"/>
      <c r="K155" s="15"/>
      <c r="L155" s="15"/>
    </row>
    <row r="156" spans="1:12">
      <c r="A156" s="15" t="s">
        <v>156</v>
      </c>
      <c r="B156" s="15">
        <v>9.4600000000000004E-2</v>
      </c>
      <c r="C156" s="15"/>
      <c r="D156" s="15" t="s">
        <v>149</v>
      </c>
      <c r="E156" s="15" t="s">
        <v>155</v>
      </c>
      <c r="F156" s="15" t="s">
        <v>22</v>
      </c>
      <c r="G156" s="15"/>
      <c r="H156" s="15" t="s">
        <v>153</v>
      </c>
      <c r="I156" s="15"/>
      <c r="J156" s="15"/>
      <c r="K156" s="15"/>
      <c r="L156" s="15"/>
    </row>
    <row r="157" spans="1:12">
      <c r="A157" s="15" t="s">
        <v>157</v>
      </c>
      <c r="B157" s="15">
        <v>9.5000000000000001E-2</v>
      </c>
      <c r="C157" s="15"/>
      <c r="D157" s="15" t="s">
        <v>149</v>
      </c>
      <c r="E157" s="15" t="s">
        <v>158</v>
      </c>
      <c r="F157" s="15" t="s">
        <v>22</v>
      </c>
      <c r="G157" s="15"/>
      <c r="H157" s="15" t="s">
        <v>153</v>
      </c>
      <c r="I157" s="15"/>
      <c r="J157" s="15"/>
      <c r="K157" s="15"/>
      <c r="L157" s="15"/>
    </row>
    <row r="158" spans="1:12">
      <c r="A158" s="15"/>
      <c r="B158" s="15"/>
      <c r="C158" s="15"/>
      <c r="D158" s="15"/>
      <c r="E158" s="15"/>
      <c r="F158" s="15"/>
      <c r="G158" s="15"/>
      <c r="H158" s="15"/>
      <c r="I158" s="15"/>
      <c r="J158" s="15"/>
      <c r="K158" s="15"/>
      <c r="L158" s="15"/>
    </row>
    <row r="159" spans="1:12">
      <c r="A159" s="15" t="s">
        <v>2</v>
      </c>
      <c r="B159" s="13" t="s">
        <v>167</v>
      </c>
      <c r="C159" s="15"/>
      <c r="D159" s="15"/>
      <c r="E159" s="15"/>
      <c r="F159" s="15"/>
      <c r="G159" s="15"/>
      <c r="H159" s="15"/>
      <c r="I159" s="15"/>
      <c r="J159" s="15"/>
      <c r="K159" s="15"/>
      <c r="L159" s="15"/>
    </row>
    <row r="160" spans="1:12">
      <c r="A160" s="15" t="s">
        <v>6</v>
      </c>
      <c r="B160" t="s">
        <v>216</v>
      </c>
      <c r="C160" s="15"/>
      <c r="D160" s="15"/>
      <c r="E160" s="15"/>
      <c r="F160" s="15"/>
      <c r="G160" s="15"/>
      <c r="H160" s="15"/>
      <c r="I160" s="15"/>
      <c r="J160" s="15"/>
      <c r="K160" s="15"/>
      <c r="L160" s="15"/>
    </row>
    <row r="161" spans="1:12">
      <c r="A161" s="15" t="s">
        <v>53</v>
      </c>
      <c r="B161" s="15" t="s">
        <v>174</v>
      </c>
      <c r="C161" s="15"/>
      <c r="D161" s="15"/>
      <c r="E161" s="15"/>
      <c r="F161" s="15"/>
      <c r="G161" s="15"/>
      <c r="H161" s="15"/>
      <c r="I161" s="15"/>
      <c r="J161" s="15"/>
      <c r="K161" s="15"/>
      <c r="L161" s="15"/>
    </row>
    <row r="162" spans="1:12">
      <c r="A162" s="5" t="s">
        <v>5</v>
      </c>
      <c r="B162" s="5" t="s">
        <v>55</v>
      </c>
      <c r="C162" s="15"/>
      <c r="D162" s="15"/>
      <c r="E162" s="15"/>
      <c r="F162" s="15"/>
      <c r="G162" s="15"/>
      <c r="H162" s="15"/>
      <c r="I162" s="15"/>
      <c r="J162" s="15"/>
      <c r="K162" s="15"/>
      <c r="L162" s="15"/>
    </row>
    <row r="163" spans="1:12">
      <c r="A163" s="15" t="s">
        <v>7</v>
      </c>
      <c r="B163" s="15" t="s">
        <v>8</v>
      </c>
      <c r="C163" s="15"/>
      <c r="D163" s="15"/>
      <c r="E163" s="15"/>
      <c r="F163" s="15"/>
      <c r="G163" s="15"/>
      <c r="H163" s="15"/>
      <c r="I163" s="15"/>
      <c r="J163" s="15"/>
      <c r="K163" s="15"/>
      <c r="L163" s="15"/>
    </row>
    <row r="164" spans="1:12">
      <c r="A164" s="15" t="s">
        <v>14</v>
      </c>
      <c r="B164" s="15" t="s">
        <v>167</v>
      </c>
      <c r="C164" s="15"/>
      <c r="D164" s="15"/>
      <c r="E164" s="15"/>
      <c r="F164" s="15"/>
      <c r="G164" s="15"/>
      <c r="H164" s="15"/>
      <c r="I164" s="15"/>
      <c r="J164" s="15"/>
      <c r="K164" s="15"/>
      <c r="L164" s="15"/>
    </row>
    <row r="165" spans="1:12">
      <c r="A165" s="15" t="s">
        <v>13</v>
      </c>
      <c r="B165" s="15" t="s">
        <v>21</v>
      </c>
      <c r="C165" s="15"/>
      <c r="D165" s="15"/>
      <c r="E165" s="15"/>
      <c r="F165" s="15"/>
      <c r="G165" s="15"/>
      <c r="H165" s="15"/>
      <c r="I165" s="15"/>
      <c r="J165" s="15"/>
      <c r="K165" s="15"/>
      <c r="L165" s="15"/>
    </row>
    <row r="166" spans="1:12">
      <c r="A166" s="15" t="s">
        <v>10</v>
      </c>
      <c r="B166" s="15"/>
      <c r="C166" s="15"/>
      <c r="D166" s="15"/>
      <c r="E166" s="15"/>
      <c r="F166" s="15"/>
      <c r="G166" s="15"/>
      <c r="H166" s="15"/>
      <c r="I166" s="15"/>
      <c r="J166" s="15"/>
      <c r="K166" s="15"/>
      <c r="L166" s="15"/>
    </row>
    <row r="167" spans="1:12">
      <c r="A167" s="15" t="s">
        <v>11</v>
      </c>
      <c r="B167" s="15" t="s">
        <v>12</v>
      </c>
      <c r="C167" s="15" t="s">
        <v>7</v>
      </c>
      <c r="D167" s="15" t="s">
        <v>13</v>
      </c>
      <c r="E167" s="15" t="s">
        <v>19</v>
      </c>
      <c r="F167" s="15" t="s">
        <v>9</v>
      </c>
      <c r="G167" s="15" t="s">
        <v>14</v>
      </c>
      <c r="H167" s="15" t="s">
        <v>6</v>
      </c>
      <c r="I167" s="15" t="s">
        <v>18</v>
      </c>
      <c r="J167" s="15" t="s">
        <v>140</v>
      </c>
      <c r="K167" s="15" t="s">
        <v>141</v>
      </c>
      <c r="L167" s="15" t="s">
        <v>142</v>
      </c>
    </row>
    <row r="168" spans="1:12">
      <c r="A168" s="15" t="str">
        <f>B164</f>
        <v>ammonia cracking</v>
      </c>
      <c r="B168" s="16">
        <v>1</v>
      </c>
      <c r="C168" s="15" t="s">
        <v>8</v>
      </c>
      <c r="D168" s="15" t="s">
        <v>21</v>
      </c>
      <c r="E168" s="15"/>
      <c r="F168" s="15" t="s">
        <v>16</v>
      </c>
      <c r="G168" s="15" t="str">
        <f>B164</f>
        <v>ammonia cracking</v>
      </c>
      <c r="H168" s="15" t="s">
        <v>143</v>
      </c>
      <c r="I168" s="15"/>
      <c r="J168" s="15"/>
      <c r="K168" s="15"/>
      <c r="L168" s="15"/>
    </row>
    <row r="169" spans="1:12" ht="15.6">
      <c r="A169" s="3" t="s">
        <v>66</v>
      </c>
      <c r="B169">
        <v>0.35</v>
      </c>
      <c r="C169" t="s">
        <v>69</v>
      </c>
      <c r="D169" t="s">
        <v>21</v>
      </c>
      <c r="F169" t="s">
        <v>17</v>
      </c>
      <c r="G169" t="s">
        <v>67</v>
      </c>
      <c r="H169" t="s">
        <v>196</v>
      </c>
    </row>
    <row r="170" spans="1:12">
      <c r="A170" s="15" t="s">
        <v>168</v>
      </c>
      <c r="B170" s="17">
        <f>1/(28*1000*300*50)</f>
        <v>2.380952380952381E-9</v>
      </c>
      <c r="C170" s="15" t="s">
        <v>8</v>
      </c>
      <c r="D170" s="15" t="s">
        <v>13</v>
      </c>
      <c r="E170" s="15"/>
      <c r="F170" s="15" t="s">
        <v>17</v>
      </c>
      <c r="G170" s="15" t="s">
        <v>169</v>
      </c>
      <c r="H170" s="15" t="s">
        <v>173</v>
      </c>
      <c r="I170" s="15"/>
      <c r="J170" s="15"/>
      <c r="K170" s="15"/>
      <c r="L170" s="15"/>
    </row>
    <row r="171" spans="1:12">
      <c r="A171" s="15" t="s">
        <v>170</v>
      </c>
      <c r="B171" s="17">
        <f>1/(28*1000*300*50)</f>
        <v>2.380952380952381E-9</v>
      </c>
      <c r="C171" s="15" t="s">
        <v>8</v>
      </c>
      <c r="D171" s="15" t="s">
        <v>13</v>
      </c>
      <c r="E171" s="15"/>
      <c r="F171" s="15" t="s">
        <v>17</v>
      </c>
      <c r="G171" s="15" t="s">
        <v>171</v>
      </c>
      <c r="H171" s="15" t="s">
        <v>172</v>
      </c>
      <c r="I171" s="15"/>
      <c r="J171" s="15"/>
      <c r="K171" s="15"/>
      <c r="L171" s="15"/>
    </row>
    <row r="172" spans="1:12">
      <c r="A172" t="s">
        <v>78</v>
      </c>
      <c r="B172" s="18">
        <f>3.086+0.6</f>
        <v>3.6859999999999999</v>
      </c>
      <c r="C172" t="s">
        <v>69</v>
      </c>
      <c r="D172" t="s">
        <v>68</v>
      </c>
      <c r="F172" t="s">
        <v>17</v>
      </c>
      <c r="G172" t="s">
        <v>64</v>
      </c>
      <c r="H172" t="s">
        <v>217</v>
      </c>
    </row>
    <row r="174" spans="1:12">
      <c r="A174" t="s">
        <v>2</v>
      </c>
      <c r="B174" s="13" t="s">
        <v>175</v>
      </c>
    </row>
    <row r="175" spans="1:12">
      <c r="A175" t="s">
        <v>6</v>
      </c>
      <c r="B175" t="s">
        <v>188</v>
      </c>
    </row>
    <row r="176" spans="1:12">
      <c r="A176" t="s">
        <v>53</v>
      </c>
      <c r="B176" t="s">
        <v>209</v>
      </c>
    </row>
    <row r="177" spans="1:12">
      <c r="A177" s="5" t="s">
        <v>5</v>
      </c>
      <c r="B177" s="12" t="s">
        <v>215</v>
      </c>
    </row>
    <row r="178" spans="1:12">
      <c r="A178" t="s">
        <v>7</v>
      </c>
      <c r="B178" t="s">
        <v>8</v>
      </c>
    </row>
    <row r="179" spans="1:12">
      <c r="A179" t="s">
        <v>14</v>
      </c>
      <c r="B179" t="str">
        <f>B174</f>
        <v>liquid ammonia production</v>
      </c>
    </row>
    <row r="180" spans="1:12">
      <c r="A180" t="s">
        <v>13</v>
      </c>
      <c r="B180" t="s">
        <v>21</v>
      </c>
    </row>
    <row r="181" spans="1:12">
      <c r="A181" t="s">
        <v>10</v>
      </c>
    </row>
    <row r="182" spans="1:12">
      <c r="A182" t="s">
        <v>11</v>
      </c>
      <c r="B182" t="s">
        <v>12</v>
      </c>
      <c r="C182" t="s">
        <v>7</v>
      </c>
      <c r="D182" t="s">
        <v>13</v>
      </c>
      <c r="E182" t="s">
        <v>19</v>
      </c>
      <c r="F182" t="s">
        <v>9</v>
      </c>
      <c r="G182" t="s">
        <v>14</v>
      </c>
      <c r="H182" t="s">
        <v>6</v>
      </c>
      <c r="I182" t="s">
        <v>18</v>
      </c>
      <c r="J182" t="s">
        <v>140</v>
      </c>
      <c r="K182" t="s">
        <v>141</v>
      </c>
      <c r="L182" t="s">
        <v>142</v>
      </c>
    </row>
    <row r="183" spans="1:12">
      <c r="A183" t="str">
        <f>B179</f>
        <v>liquid ammonia production</v>
      </c>
      <c r="B183" s="18">
        <v>1</v>
      </c>
      <c r="C183" t="s">
        <v>8</v>
      </c>
      <c r="D183" t="s">
        <v>21</v>
      </c>
      <c r="F183" t="s">
        <v>16</v>
      </c>
      <c r="G183" t="s">
        <v>176</v>
      </c>
      <c r="H183" t="s">
        <v>177</v>
      </c>
    </row>
    <row r="184" spans="1:12">
      <c r="A184" t="s">
        <v>179</v>
      </c>
      <c r="B184" s="18">
        <v>0.81499999999999995</v>
      </c>
      <c r="C184" t="s">
        <v>8</v>
      </c>
      <c r="D184" t="s">
        <v>21</v>
      </c>
      <c r="F184" t="s">
        <v>17</v>
      </c>
      <c r="G184" t="s">
        <v>179</v>
      </c>
      <c r="H184" t="s">
        <v>145</v>
      </c>
    </row>
    <row r="185" spans="1:12">
      <c r="A185" t="s">
        <v>180</v>
      </c>
      <c r="B185" s="18">
        <v>5.1499999999999998E-5</v>
      </c>
      <c r="C185" t="s">
        <v>8</v>
      </c>
      <c r="D185" t="s">
        <v>21</v>
      </c>
      <c r="F185" t="s">
        <v>17</v>
      </c>
      <c r="G185" t="s">
        <v>180</v>
      </c>
      <c r="H185" t="s">
        <v>145</v>
      </c>
    </row>
    <row r="186" spans="1:12">
      <c r="A186" t="s">
        <v>170</v>
      </c>
      <c r="B186" s="18">
        <v>3.29E-10</v>
      </c>
      <c r="C186" t="s">
        <v>8</v>
      </c>
      <c r="D186" t="s">
        <v>13</v>
      </c>
      <c r="F186" t="s">
        <v>17</v>
      </c>
      <c r="G186" t="s">
        <v>171</v>
      </c>
    </row>
    <row r="187" spans="1:12">
      <c r="A187" t="s">
        <v>146</v>
      </c>
      <c r="B187" s="18">
        <v>1.44</v>
      </c>
      <c r="C187" t="s">
        <v>8</v>
      </c>
      <c r="D187" t="s">
        <v>68</v>
      </c>
      <c r="F187" t="s">
        <v>17</v>
      </c>
      <c r="G187" t="s">
        <v>164</v>
      </c>
    </row>
    <row r="188" spans="1:12">
      <c r="A188" t="s">
        <v>181</v>
      </c>
      <c r="B188" s="18">
        <v>5.1499999999999998E-5</v>
      </c>
      <c r="C188" t="s">
        <v>138</v>
      </c>
      <c r="D188" t="s">
        <v>21</v>
      </c>
      <c r="F188" t="s">
        <v>17</v>
      </c>
      <c r="G188" t="s">
        <v>197</v>
      </c>
    </row>
    <row r="189" spans="1:12">
      <c r="A189" t="s">
        <v>157</v>
      </c>
      <c r="B189" s="18">
        <v>0.14899999999999999</v>
      </c>
      <c r="D189" t="s">
        <v>149</v>
      </c>
      <c r="E189" s="15" t="s">
        <v>158</v>
      </c>
      <c r="F189" t="s">
        <v>22</v>
      </c>
    </row>
    <row r="190" spans="1:12">
      <c r="A190" t="s">
        <v>71</v>
      </c>
      <c r="B190" s="18">
        <v>7.67E-4</v>
      </c>
      <c r="D190" t="s">
        <v>21</v>
      </c>
      <c r="E190" s="12" t="s">
        <v>30</v>
      </c>
      <c r="F190" t="s">
        <v>22</v>
      </c>
    </row>
    <row r="191" spans="1:12">
      <c r="A191" t="s">
        <v>20</v>
      </c>
      <c r="B191" s="18">
        <v>1.6299999999999999E-3</v>
      </c>
      <c r="D191" t="s">
        <v>21</v>
      </c>
      <c r="E191" s="12" t="s">
        <v>30</v>
      </c>
      <c r="F191" t="s">
        <v>22</v>
      </c>
    </row>
    <row r="192" spans="1:12">
      <c r="A192" t="s">
        <v>25</v>
      </c>
      <c r="B192" s="18">
        <v>1E-3</v>
      </c>
      <c r="D192" t="s">
        <v>21</v>
      </c>
      <c r="E192" s="12" t="s">
        <v>30</v>
      </c>
      <c r="F192" t="s">
        <v>22</v>
      </c>
    </row>
    <row r="193" spans="1:12">
      <c r="A193" t="s">
        <v>156</v>
      </c>
      <c r="B193" s="18">
        <v>4.7600000000000003E-2</v>
      </c>
      <c r="D193" t="s">
        <v>149</v>
      </c>
      <c r="E193" s="12" t="s">
        <v>30</v>
      </c>
      <c r="F193" t="s">
        <v>22</v>
      </c>
    </row>
    <row r="194" spans="1:12">
      <c r="A194" t="s">
        <v>156</v>
      </c>
      <c r="B194" s="18">
        <v>0.10100000000000001</v>
      </c>
      <c r="D194" t="s">
        <v>149</v>
      </c>
      <c r="E194" s="15" t="s">
        <v>155</v>
      </c>
      <c r="F194" t="s">
        <v>22</v>
      </c>
    </row>
    <row r="196" spans="1:12">
      <c r="A196" t="s">
        <v>2</v>
      </c>
      <c r="B196" s="13" t="s">
        <v>179</v>
      </c>
    </row>
    <row r="197" spans="1:12">
      <c r="A197" t="s">
        <v>6</v>
      </c>
      <c r="B197" t="s">
        <v>192</v>
      </c>
    </row>
    <row r="198" spans="1:12">
      <c r="A198" t="s">
        <v>53</v>
      </c>
      <c r="B198" t="s">
        <v>210</v>
      </c>
    </row>
    <row r="199" spans="1:12">
      <c r="A199" s="5" t="s">
        <v>5</v>
      </c>
      <c r="B199" s="12" t="s">
        <v>214</v>
      </c>
    </row>
    <row r="200" spans="1:12">
      <c r="A200" t="s">
        <v>7</v>
      </c>
      <c r="B200" t="s">
        <v>8</v>
      </c>
    </row>
    <row r="201" spans="1:12">
      <c r="A201" t="s">
        <v>14</v>
      </c>
      <c r="B201" t="s">
        <v>179</v>
      </c>
    </row>
    <row r="202" spans="1:12">
      <c r="A202" t="s">
        <v>13</v>
      </c>
      <c r="B202" t="s">
        <v>21</v>
      </c>
    </row>
    <row r="203" spans="1:12">
      <c r="A203" t="s">
        <v>10</v>
      </c>
    </row>
    <row r="204" spans="1:12">
      <c r="A204" t="s">
        <v>11</v>
      </c>
      <c r="B204" t="s">
        <v>12</v>
      </c>
      <c r="C204" t="s">
        <v>7</v>
      </c>
      <c r="D204" t="s">
        <v>13</v>
      </c>
      <c r="E204" t="s">
        <v>19</v>
      </c>
      <c r="F204" t="s">
        <v>9</v>
      </c>
      <c r="G204" t="s">
        <v>14</v>
      </c>
      <c r="H204" t="s">
        <v>6</v>
      </c>
      <c r="I204" t="s">
        <v>18</v>
      </c>
      <c r="J204" t="s">
        <v>140</v>
      </c>
      <c r="K204" t="s">
        <v>141</v>
      </c>
      <c r="L204" t="s">
        <v>142</v>
      </c>
    </row>
    <row r="205" spans="1:12">
      <c r="A205" t="s">
        <v>179</v>
      </c>
      <c r="B205" s="18">
        <v>1</v>
      </c>
      <c r="C205" t="s">
        <v>8</v>
      </c>
      <c r="D205" t="s">
        <v>21</v>
      </c>
      <c r="F205" t="s">
        <v>16</v>
      </c>
      <c r="G205" t="s">
        <v>179</v>
      </c>
      <c r="H205" t="s">
        <v>182</v>
      </c>
    </row>
    <row r="206" spans="1:12">
      <c r="A206" t="s">
        <v>183</v>
      </c>
      <c r="B206" s="18">
        <v>4.4300000000000002E-10</v>
      </c>
      <c r="C206" t="s">
        <v>8</v>
      </c>
      <c r="D206" t="s">
        <v>13</v>
      </c>
      <c r="F206" t="s">
        <v>17</v>
      </c>
      <c r="G206" t="s">
        <v>195</v>
      </c>
    </row>
    <row r="207" spans="1:12">
      <c r="A207" t="s">
        <v>157</v>
      </c>
      <c r="B207" s="18">
        <v>4.0000000000000001E-3</v>
      </c>
      <c r="D207" t="s">
        <v>149</v>
      </c>
      <c r="E207" s="15" t="s">
        <v>158</v>
      </c>
      <c r="F207" t="s">
        <v>22</v>
      </c>
    </row>
    <row r="208" spans="1:12">
      <c r="A208" t="s">
        <v>156</v>
      </c>
      <c r="B208" s="18">
        <v>2.4499999999999999E-3</v>
      </c>
      <c r="D208" t="s">
        <v>149</v>
      </c>
      <c r="E208" s="15" t="s">
        <v>155</v>
      </c>
      <c r="F208" t="s">
        <v>22</v>
      </c>
    </row>
    <row r="210" spans="1:12">
      <c r="A210" t="s">
        <v>2</v>
      </c>
      <c r="B210" s="13" t="s">
        <v>180</v>
      </c>
    </row>
    <row r="211" spans="1:12">
      <c r="A211" t="s">
        <v>6</v>
      </c>
      <c r="B211" t="s">
        <v>184</v>
      </c>
    </row>
    <row r="212" spans="1:12">
      <c r="A212" t="s">
        <v>53</v>
      </c>
      <c r="B212" t="s">
        <v>211</v>
      </c>
    </row>
    <row r="213" spans="1:12">
      <c r="A213" s="5" t="s">
        <v>5</v>
      </c>
      <c r="B213" s="12" t="s">
        <v>214</v>
      </c>
    </row>
    <row r="214" spans="1:12">
      <c r="A214" t="s">
        <v>7</v>
      </c>
      <c r="B214" t="s">
        <v>8</v>
      </c>
    </row>
    <row r="215" spans="1:12">
      <c r="A215" t="s">
        <v>14</v>
      </c>
      <c r="B215" t="s">
        <v>180</v>
      </c>
    </row>
    <row r="216" spans="1:12">
      <c r="A216" t="s">
        <v>13</v>
      </c>
      <c r="B216" t="s">
        <v>21</v>
      </c>
    </row>
    <row r="217" spans="1:12">
      <c r="A217" t="s">
        <v>10</v>
      </c>
    </row>
    <row r="218" spans="1:12">
      <c r="A218" t="s">
        <v>11</v>
      </c>
      <c r="B218" t="s">
        <v>12</v>
      </c>
      <c r="C218" t="s">
        <v>7</v>
      </c>
      <c r="D218" t="s">
        <v>13</v>
      </c>
      <c r="E218" t="s">
        <v>19</v>
      </c>
      <c r="F218" t="s">
        <v>9</v>
      </c>
      <c r="G218" t="s">
        <v>14</v>
      </c>
      <c r="H218" t="s">
        <v>6</v>
      </c>
      <c r="I218" t="s">
        <v>18</v>
      </c>
      <c r="J218" t="s">
        <v>140</v>
      </c>
      <c r="K218" t="s">
        <v>141</v>
      </c>
      <c r="L218" t="s">
        <v>142</v>
      </c>
    </row>
    <row r="219" spans="1:12">
      <c r="A219" t="s">
        <v>180</v>
      </c>
      <c r="B219" s="18">
        <v>1</v>
      </c>
      <c r="C219" t="s">
        <v>8</v>
      </c>
      <c r="D219" t="s">
        <v>21</v>
      </c>
      <c r="F219" t="s">
        <v>16</v>
      </c>
      <c r="G219" t="s">
        <v>180</v>
      </c>
      <c r="H219" t="s">
        <v>185</v>
      </c>
    </row>
    <row r="220" spans="1:12">
      <c r="A220" t="s">
        <v>186</v>
      </c>
      <c r="B220" s="18">
        <v>0.91700000000000004</v>
      </c>
      <c r="C220" t="s">
        <v>8</v>
      </c>
      <c r="D220" t="s">
        <v>21</v>
      </c>
      <c r="F220" t="s">
        <v>17</v>
      </c>
      <c r="G220" t="s">
        <v>193</v>
      </c>
    </row>
    <row r="221" spans="1:12">
      <c r="A221" t="s">
        <v>200</v>
      </c>
      <c r="B221" s="18">
        <v>0.03</v>
      </c>
      <c r="C221" t="s">
        <v>69</v>
      </c>
      <c r="D221" t="s">
        <v>21</v>
      </c>
      <c r="F221" t="s">
        <v>17</v>
      </c>
      <c r="G221" t="s">
        <v>198</v>
      </c>
      <c r="H221" t="s">
        <v>199</v>
      </c>
    </row>
    <row r="222" spans="1:12">
      <c r="A222" t="s">
        <v>187</v>
      </c>
      <c r="B222" s="18">
        <v>5.2499999999999998E-2</v>
      </c>
      <c r="C222" t="s">
        <v>8</v>
      </c>
      <c r="D222" t="s">
        <v>21</v>
      </c>
      <c r="F222" t="s">
        <v>17</v>
      </c>
      <c r="G222" t="s">
        <v>194</v>
      </c>
    </row>
    <row r="223" spans="1:12">
      <c r="A223" t="s">
        <v>146</v>
      </c>
      <c r="B223" s="18">
        <v>1.78</v>
      </c>
      <c r="C223" t="s">
        <v>8</v>
      </c>
      <c r="D223" t="s">
        <v>68</v>
      </c>
      <c r="F223" t="s">
        <v>17</v>
      </c>
      <c r="G223" t="s">
        <v>164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7"/>
  <sheetViews>
    <sheetView workbookViewId="0">
      <selection activeCell="D13" sqref="D13"/>
    </sheetView>
  </sheetViews>
  <sheetFormatPr baseColWidth="10" defaultRowHeight="14.4"/>
  <sheetData>
    <row r="1" spans="1:12">
      <c r="A1" t="s">
        <v>57</v>
      </c>
    </row>
    <row r="3" spans="1:12" ht="15.6">
      <c r="A3" s="3" t="s">
        <v>66</v>
      </c>
      <c r="B3">
        <v>200.74</v>
      </c>
      <c r="C3" t="s">
        <v>8</v>
      </c>
      <c r="D3" t="s">
        <v>21</v>
      </c>
      <c r="F3" t="s">
        <v>17</v>
      </c>
      <c r="G3" t="s">
        <v>135</v>
      </c>
    </row>
    <row r="4" spans="1:12" ht="15.6">
      <c r="A4" s="3" t="s">
        <v>66</v>
      </c>
      <c r="B4" s="14">
        <v>1.0162</v>
      </c>
      <c r="C4" s="2" t="s">
        <v>8</v>
      </c>
      <c r="D4" s="2" t="s">
        <v>21</v>
      </c>
      <c r="F4" s="2" t="s">
        <v>17</v>
      </c>
      <c r="G4" s="3" t="s">
        <v>66</v>
      </c>
      <c r="H4" s="2"/>
      <c r="I4" s="2"/>
      <c r="J4" s="2"/>
      <c r="K4" s="2"/>
      <c r="L4" s="2"/>
    </row>
    <row r="5" spans="1:12" ht="15.6">
      <c r="A5" s="3" t="s">
        <v>66</v>
      </c>
      <c r="B5" s="14">
        <v>1.0162</v>
      </c>
      <c r="C5" s="2" t="s">
        <v>8</v>
      </c>
      <c r="D5" s="2" t="s">
        <v>21</v>
      </c>
      <c r="F5" s="2" t="s">
        <v>17</v>
      </c>
      <c r="G5" s="3" t="s">
        <v>66</v>
      </c>
      <c r="H5" s="2"/>
      <c r="I5" s="2"/>
      <c r="J5" s="2"/>
      <c r="K5" s="2"/>
      <c r="L5" s="2"/>
    </row>
    <row r="6" spans="1:12">
      <c r="A6" t="s">
        <v>178</v>
      </c>
      <c r="B6" s="18">
        <v>0.17599999999999999</v>
      </c>
      <c r="C6" t="s">
        <v>8</v>
      </c>
      <c r="D6" t="s">
        <v>21</v>
      </c>
      <c r="F6" t="s">
        <v>17</v>
      </c>
      <c r="G6" t="s">
        <v>178</v>
      </c>
    </row>
    <row r="7" spans="1:12">
      <c r="A7" s="15" t="s">
        <v>146</v>
      </c>
      <c r="B7" s="16">
        <v>0.6</v>
      </c>
      <c r="C7" s="15" t="s">
        <v>8</v>
      </c>
      <c r="D7" s="15" t="s">
        <v>68</v>
      </c>
      <c r="E7" s="15"/>
      <c r="F7" s="15" t="s">
        <v>17</v>
      </c>
      <c r="G7" s="15" t="s">
        <v>164</v>
      </c>
      <c r="H7" s="15" t="s">
        <v>153</v>
      </c>
      <c r="I7" s="15"/>
      <c r="J7" s="15"/>
      <c r="K7" s="15"/>
      <c r="L7" s="15"/>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4.4">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2026-08-24T15:02:43Z</dcterms:modified>
</cp:coreProperties>
</file>