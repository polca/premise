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8880" tabRatio="600" firstSheet="0" activeTab="0" autoFilterDateGrouping="1"/>
  </bookViews>
  <sheets>
    <sheet xmlns:r="http://schemas.openxmlformats.org/officeDocument/2006/relationships" name="Syngas" sheetId="1" state="visible" r:id="rId1"/>
  </sheets>
  <definedNames/>
  <calcPr calcId="191029" fullCalcOnLoad="1"/>
</workbook>
</file>

<file path=xl/styles.xml><?xml version="1.0" encoding="utf-8"?>
<styleSheet xmlns="http://schemas.openxmlformats.org/spreadsheetml/2006/main">
  <numFmts count="1">
    <numFmt numFmtId="164" formatCode="0.0E+00"/>
  </numFmts>
  <fonts count="6">
    <font>
      <name val="Calibri"/>
      <family val="2"/>
      <color theme="1"/>
      <sz val="11"/>
      <scheme val="minor"/>
    </font>
    <font>
      <name val="Calibri"/>
      <family val="2"/>
      <color theme="1"/>
      <sz val="12"/>
      <scheme val="minor"/>
    </font>
    <font>
      <name val="Calibri"/>
      <family val="2"/>
      <b val="1"/>
      <color theme="1"/>
      <sz val="11"/>
      <scheme val="minor"/>
    </font>
    <font>
      <name val="Calibri"/>
      <family val="2"/>
      <b val="1"/>
      <color theme="1"/>
      <sz val="12"/>
      <scheme val="minor"/>
    </font>
    <font>
      <name val="Calibri"/>
      <family val="2"/>
      <color theme="1"/>
      <sz val="12"/>
      <scheme val="minor"/>
    </font>
    <font>
      <name val="Calibri (Body)"/>
      <sz val="12"/>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3" fillId="0" borderId="0" pivotButton="0" quotePrefix="0" xfId="0"/>
    <xf numFmtId="0" fontId="4" fillId="0" borderId="0" pivotButton="0" quotePrefix="0" xfId="0"/>
    <xf numFmtId="164" fontId="0" fillId="0" borderId="0" pivotButton="0" quotePrefix="0" xfId="0"/>
    <xf numFmtId="0" fontId="2" fillId="0" borderId="0" pivotButton="0" quotePrefix="0" xfId="0"/>
    <xf numFmtId="11" fontId="0" fillId="0" borderId="0" pivotButton="0" quotePrefix="0" xfId="0"/>
    <xf numFmtId="0" fontId="5" fillId="0" borderId="0" pivotButton="0" quotePrefix="0" xfId="0"/>
    <xf numFmtId="0" fontId="1"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S195"/>
  <sheetViews>
    <sheetView tabSelected="1" workbookViewId="0">
      <selection activeCell="G35" sqref="G35"/>
    </sheetView>
  </sheetViews>
  <sheetFormatPr baseColWidth="10" defaultColWidth="8.83203125" defaultRowHeight="15"/>
  <cols>
    <col width="49.6640625" customWidth="1" min="1" max="1"/>
    <col width="12" bestFit="1" customWidth="1" min="2" max="2"/>
    <col width="11.6640625" bestFit="1" customWidth="1" min="17" max="17"/>
    <col width="12" bestFit="1" customWidth="1" min="18" max="18"/>
  </cols>
  <sheetData>
    <row r="1">
      <c r="A1" s="4" t="inlineStr">
        <is>
          <t>database</t>
        </is>
      </c>
      <c r="B1" t="inlineStr">
        <is>
          <t>syngas from coal</t>
        </is>
      </c>
    </row>
    <row r="2">
      <c r="A2" s="4" t="n"/>
    </row>
    <row r="3" ht="16" customHeight="1">
      <c r="A3" s="1" t="inlineStr">
        <is>
          <t>Activity</t>
        </is>
      </c>
      <c r="B3" s="1" t="inlineStr">
        <is>
          <t>Methane, synthetic, gaseous, 5 bar, from coal-based hydrogen, at fuelling station</t>
        </is>
      </c>
    </row>
    <row r="4">
      <c r="A4" t="inlineStr">
        <is>
          <t>location</t>
        </is>
      </c>
      <c r="B4" t="inlineStr">
        <is>
          <t>RER</t>
        </is>
      </c>
    </row>
    <row r="5">
      <c r="A5" t="inlineStr">
        <is>
          <t>production amount</t>
        </is>
      </c>
      <c r="B5" t="n">
        <v>1</v>
      </c>
    </row>
    <row r="6">
      <c r="A6" t="inlineStr">
        <is>
          <t>reference product</t>
        </is>
      </c>
      <c r="B6" t="inlineStr">
        <is>
          <t>methane, high pressure</t>
        </is>
      </c>
    </row>
    <row r="7">
      <c r="A7" t="inlineStr">
        <is>
          <t>type</t>
        </is>
      </c>
      <c r="B7" t="inlineStr">
        <is>
          <t>process</t>
        </is>
      </c>
    </row>
    <row r="8">
      <c r="A8" t="inlineStr">
        <is>
          <t>unit</t>
        </is>
      </c>
      <c r="B8" t="inlineStr">
        <is>
          <t>kilogram</t>
        </is>
      </c>
    </row>
    <row r="9">
      <c r="A9" t="inlineStr">
        <is>
          <t>comment</t>
        </is>
      </c>
      <c r="B9" t="inlineStr">
        <is>
          <t>This includes the distribution to the fuelling station, the pipeline, the losses during distribution (assumed to be 2%), the fuelling station infrastructure, and the losses at the fuelling station, all taken and aggregated from ecoinvent.</t>
        </is>
      </c>
    </row>
    <row r="10" ht="16" customHeight="1">
      <c r="A10" s="1" t="inlineStr">
        <is>
          <t>Exchanges</t>
        </is>
      </c>
    </row>
    <row r="11">
      <c r="A11" t="inlineStr">
        <is>
          <t>name</t>
        </is>
      </c>
      <c r="B11" t="inlineStr">
        <is>
          <t>amount</t>
        </is>
      </c>
      <c r="C11" t="inlineStr">
        <is>
          <t>database</t>
        </is>
      </c>
      <c r="D11" t="inlineStr">
        <is>
          <t>location</t>
        </is>
      </c>
      <c r="E11" t="inlineStr">
        <is>
          <t>categories</t>
        </is>
      </c>
      <c r="F11" t="inlineStr">
        <is>
          <t>unit</t>
        </is>
      </c>
      <c r="G11" t="inlineStr">
        <is>
          <t>type</t>
        </is>
      </c>
      <c r="H11" t="inlineStr">
        <is>
          <t>reference product</t>
        </is>
      </c>
    </row>
    <row r="12">
      <c r="A12" t="inlineStr">
        <is>
          <t>Methane, synthetic, gaseous, 5 bar, from coal-based hydrogen, at fuelling station</t>
        </is>
      </c>
      <c r="B12" t="n">
        <v>1</v>
      </c>
      <c r="C12" t="inlineStr">
        <is>
          <t>syngas</t>
        </is>
      </c>
      <c r="D12" t="inlineStr">
        <is>
          <t>RER</t>
        </is>
      </c>
      <c r="F12" t="inlineStr">
        <is>
          <t>kilogram</t>
        </is>
      </c>
      <c r="G12" t="inlineStr">
        <is>
          <t>production</t>
        </is>
      </c>
      <c r="H12" t="inlineStr">
        <is>
          <t>methane, high pressure</t>
        </is>
      </c>
    </row>
    <row r="13">
      <c r="A13" t="inlineStr">
        <is>
          <t>methane, from coal-based hydrogen</t>
        </is>
      </c>
      <c r="B13" t="n">
        <v>1.02</v>
      </c>
      <c r="C13" t="inlineStr">
        <is>
          <t>syngas</t>
        </is>
      </c>
      <c r="D13" t="inlineStr">
        <is>
          <t>RER</t>
        </is>
      </c>
      <c r="F13" t="inlineStr">
        <is>
          <t>kilogram</t>
        </is>
      </c>
      <c r="G13" t="inlineStr">
        <is>
          <t>technosphere</t>
        </is>
      </c>
      <c r="H13" t="inlineStr">
        <is>
          <t>methane, from coal-based hydrogen</t>
        </is>
      </c>
    </row>
    <row r="14" ht="16" customHeight="1">
      <c r="A14" s="2" t="inlineStr">
        <is>
          <t>market group for electricity, medium voltage</t>
        </is>
      </c>
      <c r="B14">
        <f>(0.0028236*0.669)+0.208</f>
        <v>0.2098889884</v>
      </c>
      <c r="C14" t="inlineStr">
        <is>
          <t>ecoinvent</t>
        </is>
      </c>
      <c r="D14" t="inlineStr">
        <is>
          <t>RER</t>
        </is>
      </c>
      <c r="F14" t="inlineStr">
        <is>
          <t>kilowatt hour</t>
        </is>
      </c>
      <c r="G14" t="inlineStr">
        <is>
          <t>technosphere</t>
        </is>
      </c>
      <c r="H14" s="2" t="inlineStr">
        <is>
          <t>electricity, medium voltage</t>
        </is>
      </c>
    </row>
    <row r="15">
      <c r="A15" t="inlineStr">
        <is>
          <t>heat and power co-generation, biogas, gas engine</t>
        </is>
      </c>
      <c r="B15">
        <f>0.061874*0.669</f>
        <v>4.1393706000000002E-2</v>
      </c>
      <c r="C15" t="inlineStr">
        <is>
          <t>ecoinvent</t>
        </is>
      </c>
      <c r="D15" t="inlineStr">
        <is>
          <t>CH</t>
        </is>
      </c>
      <c r="F15" t="inlineStr">
        <is>
          <t>megajoule</t>
        </is>
      </c>
      <c r="G15" t="inlineStr">
        <is>
          <t>technosphere</t>
        </is>
      </c>
      <c r="H15" t="inlineStr">
        <is>
          <t>heat, central or small-scale, other than natural gas</t>
        </is>
      </c>
    </row>
    <row r="16">
      <c r="A16" t="inlineStr">
        <is>
          <t>pipeline construction, natural gas, high pressure distribution network</t>
        </is>
      </c>
      <c r="B16">
        <f>0.000000034944*0.669</f>
        <v>2.3377536E-8</v>
      </c>
      <c r="C16" t="inlineStr">
        <is>
          <t>ecoinvent</t>
        </is>
      </c>
      <c r="D16" t="inlineStr">
        <is>
          <t>RoW</t>
        </is>
      </c>
      <c r="F16" t="inlineStr">
        <is>
          <t>kilometer</t>
        </is>
      </c>
      <c r="G16" t="inlineStr">
        <is>
          <t>technosphere</t>
        </is>
      </c>
      <c r="H16" t="inlineStr">
        <is>
          <t>pipeline, natural gas, high pressure distribution network</t>
        </is>
      </c>
    </row>
    <row r="17">
      <c r="A17" t="inlineStr">
        <is>
          <t>market for natural gas service station</t>
        </is>
      </c>
      <c r="B17" s="5" t="n">
        <v>8.48e-08</v>
      </c>
      <c r="C17" t="inlineStr">
        <is>
          <t>ecoinvent</t>
        </is>
      </c>
      <c r="D17" t="inlineStr">
        <is>
          <t>GLO</t>
        </is>
      </c>
      <c r="F17" t="inlineStr">
        <is>
          <t>unit</t>
        </is>
      </c>
      <c r="G17" t="inlineStr">
        <is>
          <t>technosphere</t>
        </is>
      </c>
      <c r="H17" t="inlineStr">
        <is>
          <t>natural gas service station</t>
        </is>
      </c>
    </row>
    <row r="18">
      <c r="A18" t="inlineStr">
        <is>
          <t>Carbon dioxide, non-fossil</t>
        </is>
      </c>
      <c r="B18">
        <f>(0.00000521*0.669)+0.000010376</f>
        <v>1.386149E-5</v>
      </c>
      <c r="C18" t="inlineStr">
        <is>
          <t>biosphere3</t>
        </is>
      </c>
      <c r="E18" t="inlineStr">
        <is>
          <t>air</t>
        </is>
      </c>
      <c r="F18" t="inlineStr">
        <is>
          <t>kilogram</t>
        </is>
      </c>
      <c r="G18" t="inlineStr">
        <is>
          <t>biosphere</t>
        </is>
      </c>
    </row>
    <row r="19">
      <c r="A19" t="inlineStr">
        <is>
          <t>Hydrogen sulfide</t>
        </is>
      </c>
      <c r="B19">
        <f>(0.000000000597*0.669)+0.000000004</f>
        <v>4.3993930000000006E-9</v>
      </c>
      <c r="C19" t="inlineStr">
        <is>
          <t>biosphere3</t>
        </is>
      </c>
      <c r="E19" t="inlineStr">
        <is>
          <t>air</t>
        </is>
      </c>
      <c r="F19" t="inlineStr">
        <is>
          <t>kilogram</t>
        </is>
      </c>
      <c r="G19" t="inlineStr">
        <is>
          <t>biosphere</t>
        </is>
      </c>
    </row>
    <row r="20">
      <c r="A20" t="inlineStr">
        <is>
          <t>Methane, non-fossil</t>
        </is>
      </c>
      <c r="B20">
        <f>(0.00018*0.669)+0.00018</f>
        <v>3.0042000000000003E-4</v>
      </c>
      <c r="C20" t="inlineStr">
        <is>
          <t>biosphere3</t>
        </is>
      </c>
      <c r="E20" t="inlineStr">
        <is>
          <t>air</t>
        </is>
      </c>
      <c r="F20" t="inlineStr">
        <is>
          <t>kilogram</t>
        </is>
      </c>
      <c r="G20" t="inlineStr">
        <is>
          <t>biosphere</t>
        </is>
      </c>
    </row>
    <row r="21">
      <c r="A21" t="inlineStr">
        <is>
          <t>Nitrogen</t>
        </is>
      </c>
      <c r="B21">
        <f>0.0000018*0.669</f>
        <v>1.2042E-6</v>
      </c>
      <c r="C21" t="inlineStr">
        <is>
          <t>biosphere3</t>
        </is>
      </c>
      <c r="E21" t="inlineStr">
        <is>
          <t>air</t>
        </is>
      </c>
      <c r="F21" t="inlineStr">
        <is>
          <t>kilogram</t>
        </is>
      </c>
      <c r="G21" t="inlineStr">
        <is>
          <t>biosphere</t>
        </is>
      </c>
    </row>
    <row r="22"/>
    <row r="23" ht="16" customHeight="1">
      <c r="A23" s="1" t="inlineStr">
        <is>
          <t>Activity</t>
        </is>
      </c>
      <c r="B23" s="1" t="inlineStr">
        <is>
          <t>methane, from coal-based hydrogen</t>
        </is>
      </c>
    </row>
    <row r="24">
      <c r="A24" t="inlineStr">
        <is>
          <t>production amount</t>
        </is>
      </c>
      <c r="B24" t="n">
        <v>1</v>
      </c>
    </row>
    <row r="25" ht="16" customHeight="1">
      <c r="A25" t="inlineStr">
        <is>
          <t>reference product</t>
        </is>
      </c>
      <c r="B25" s="2" t="inlineStr">
        <is>
          <t>methane, from coal-based hydrogen</t>
        </is>
      </c>
    </row>
    <row r="26">
      <c r="A26" t="inlineStr">
        <is>
          <t>type</t>
        </is>
      </c>
      <c r="B26" t="inlineStr">
        <is>
          <t>process</t>
        </is>
      </c>
    </row>
    <row r="27">
      <c r="A27" t="inlineStr">
        <is>
          <t>unit</t>
        </is>
      </c>
      <c r="B27" t="inlineStr">
        <is>
          <t>kilogram</t>
        </is>
      </c>
    </row>
    <row r="28">
      <c r="A28" t="inlineStr">
        <is>
          <t>location</t>
        </is>
      </c>
      <c r="B28" t="inlineStr">
        <is>
          <t>RER</t>
        </is>
      </c>
    </row>
    <row r="29">
      <c r="A29" t="inlineStr">
        <is>
          <t>comment</t>
        </is>
      </c>
      <c r="B29" t="inlineStr">
        <is>
          <t>Originally in cubic meter. Composition: 96% CH4, 4% CO2, Density of gas: .708 kg/Nm3
The coal gasification process provides the necessary CO2. Hence, the eneded amount of CO2
is not released in the atmosphere as it ends up in the fuel instead.
So, we correct that here.</t>
        </is>
      </c>
    </row>
    <row r="30">
      <c r="A30" t="inlineStr">
        <is>
          <t>source</t>
        </is>
      </c>
      <c r="B30" t="inlineStr">
        <is>
          <t>Life cycle assessment of power-to-gas with biogas as the carbon source, Zhang et al., 2020, Sustainable Energy and Fuels, https://doi.org/10.1039/C9SE00986H</t>
        </is>
      </c>
    </row>
    <row r="31" ht="16" customHeight="1">
      <c r="A31" s="1" t="inlineStr">
        <is>
          <t>Exchanges</t>
        </is>
      </c>
    </row>
    <row r="32">
      <c r="A32" t="inlineStr">
        <is>
          <t>name</t>
        </is>
      </c>
      <c r="B32" t="inlineStr">
        <is>
          <t>amount</t>
        </is>
      </c>
      <c r="C32" t="inlineStr">
        <is>
          <t>location</t>
        </is>
      </c>
      <c r="D32" t="inlineStr">
        <is>
          <t>unit</t>
        </is>
      </c>
      <c r="E32" t="inlineStr">
        <is>
          <t>categories</t>
        </is>
      </c>
      <c r="F32" t="inlineStr">
        <is>
          <t>type</t>
        </is>
      </c>
      <c r="G32" t="inlineStr">
        <is>
          <t>uncertainty type</t>
        </is>
      </c>
      <c r="H32" t="inlineStr">
        <is>
          <t>loc</t>
        </is>
      </c>
      <c r="I32" t="inlineStr">
        <is>
          <t>scale</t>
        </is>
      </c>
      <c r="J32" t="inlineStr">
        <is>
          <t>database</t>
        </is>
      </c>
      <c r="K32" t="inlineStr">
        <is>
          <t>reference product</t>
        </is>
      </c>
      <c r="L32" t="inlineStr">
        <is>
          <t>comment</t>
        </is>
      </c>
    </row>
    <row r="33" ht="16" customHeight="1">
      <c r="A33" s="2" t="inlineStr">
        <is>
          <t>methane, from coal-based hydrogen</t>
        </is>
      </c>
      <c r="B33" t="n">
        <v>1</v>
      </c>
      <c r="C33" t="inlineStr">
        <is>
          <t>RER</t>
        </is>
      </c>
      <c r="D33" t="inlineStr">
        <is>
          <t>kilogram</t>
        </is>
      </c>
      <c r="E33" t="inlineStr">
        <is>
          <t>Power to Gas::4.1 Methanation::Chemical</t>
        </is>
      </c>
      <c r="F33" t="inlineStr">
        <is>
          <t>production</t>
        </is>
      </c>
      <c r="J33" t="inlineStr">
        <is>
          <t>syngas</t>
        </is>
      </c>
      <c r="K33" s="2" t="inlineStr">
        <is>
          <t>methane, from coal-based hydrogen</t>
        </is>
      </c>
    </row>
    <row r="34" ht="16" customHeight="1">
      <c r="A34" s="6" t="inlineStr">
        <is>
          <t>Sabatier reaction methanation unit construction</t>
        </is>
      </c>
      <c r="B34" t="n">
        <v>8.06180790960452e-06</v>
      </c>
      <c r="C34" t="inlineStr">
        <is>
          <t>RER</t>
        </is>
      </c>
      <c r="D34" t="inlineStr">
        <is>
          <t>unit</t>
        </is>
      </c>
      <c r="E34" t="inlineStr">
        <is>
          <t>Materials/fuels</t>
        </is>
      </c>
      <c r="F34" t="inlineStr">
        <is>
          <t>technosphere</t>
        </is>
      </c>
      <c r="G34" t="n">
        <v>2</v>
      </c>
      <c r="H34" t="n">
        <v>-12.07368390548453</v>
      </c>
      <c r="I34" t="n">
        <v>0.4186237622668511</v>
      </c>
      <c r="J34" t="inlineStr">
        <is>
          <t>syngas</t>
        </is>
      </c>
      <c r="K34" s="6" t="inlineStr">
        <is>
          <t>Sabatier reaction methanation unit</t>
        </is>
      </c>
      <c r="Q34" s="3" t="n"/>
      <c r="S34" s="3" t="n"/>
    </row>
    <row r="35" ht="16" customHeight="1">
      <c r="A35" s="7" t="inlineStr">
        <is>
          <t>hydrogen production, coal gasification</t>
        </is>
      </c>
      <c r="B35" t="n">
        <v>0.5077966101694915</v>
      </c>
      <c r="C35" t="inlineStr">
        <is>
          <t>RoW</t>
        </is>
      </c>
      <c r="D35" t="inlineStr">
        <is>
          <t>kilogram</t>
        </is>
      </c>
      <c r="E35" t="inlineStr">
        <is>
          <t>Materials/fuels</t>
        </is>
      </c>
      <c r="F35" t="inlineStr">
        <is>
          <t>technosphere</t>
        </is>
      </c>
      <c r="G35" t="n">
        <v>1</v>
      </c>
      <c r="J35" t="inlineStr">
        <is>
          <t>syngas</t>
        </is>
      </c>
      <c r="K35" s="7" t="inlineStr">
        <is>
          <t>hydrogen, gaseous, low pressure</t>
        </is>
      </c>
      <c r="Q35" s="3" t="n"/>
      <c r="S35" s="3" t="n"/>
    </row>
    <row r="36" ht="16" customHeight="1">
      <c r="A36" s="6" t="inlineStr">
        <is>
          <t>production of nickel-based catalyst for methanation</t>
        </is>
      </c>
      <c r="B36" t="n">
        <v>0.0001765536723163842</v>
      </c>
      <c r="C36" t="inlineStr">
        <is>
          <t>RER</t>
        </is>
      </c>
      <c r="D36" t="inlineStr">
        <is>
          <t>kilogram</t>
        </is>
      </c>
      <c r="E36" t="inlineStr">
        <is>
          <t>Materials/fuels</t>
        </is>
      </c>
      <c r="F36" t="inlineStr">
        <is>
          <t>technosphere</t>
        </is>
      </c>
      <c r="G36" t="n">
        <v>2</v>
      </c>
      <c r="H36" t="n">
        <v>-8.987196820661973</v>
      </c>
      <c r="I36" t="n">
        <v>0.07421000255913658</v>
      </c>
      <c r="J36" t="inlineStr">
        <is>
          <t>syngas</t>
        </is>
      </c>
      <c r="K36" s="6" t="inlineStr">
        <is>
          <t>nickel-based catalyst for methanation</t>
        </is>
      </c>
      <c r="Q36" s="3" t="n"/>
      <c r="S36" s="3" t="n"/>
    </row>
    <row r="37" ht="16" customHeight="1">
      <c r="A37" s="2" t="inlineStr">
        <is>
          <t>Carbon dioxide, fossil</t>
        </is>
      </c>
      <c r="B37" t="n">
        <v>-2.768</v>
      </c>
      <c r="D37" t="inlineStr">
        <is>
          <t>kilogram</t>
        </is>
      </c>
      <c r="E37" t="inlineStr">
        <is>
          <t>air</t>
        </is>
      </c>
      <c r="F37" t="inlineStr">
        <is>
          <t>biosphere</t>
        </is>
      </c>
      <c r="J37" t="inlineStr">
        <is>
          <t>biosphere3</t>
        </is>
      </c>
    </row>
    <row r="38" ht="16" customHeight="1">
      <c r="A38" s="1" t="n"/>
      <c r="B38" s="1" t="n"/>
    </row>
    <row r="39"/>
    <row r="40" ht="16" customHeight="1">
      <c r="B40" s="2" t="n"/>
    </row>
    <row r="41"/>
    <row r="42"/>
    <row r="43"/>
    <row r="44"/>
    <row r="45" ht="16" customHeight="1">
      <c r="A45" s="1" t="n"/>
    </row>
    <row r="46"/>
    <row r="47" ht="16" customHeight="1">
      <c r="A47" s="2" t="n"/>
      <c r="K47" s="2" t="n"/>
    </row>
    <row r="48"/>
    <row r="49"/>
    <row r="50" ht="16" customHeight="1">
      <c r="A50" s="1" t="n"/>
      <c r="B50" s="1" t="n"/>
    </row>
    <row r="51"/>
    <row r="52" ht="16" customHeight="1">
      <c r="B52" s="2" t="n"/>
    </row>
    <row r="53"/>
    <row r="54"/>
    <row r="55"/>
    <row r="56"/>
    <row r="57" ht="16" customHeight="1">
      <c r="A57" s="1" t="n"/>
    </row>
    <row r="58"/>
    <row r="59"/>
    <row r="60" ht="16" customHeight="1">
      <c r="A60" s="2" t="n"/>
      <c r="M60" s="2" t="n"/>
    </row>
    <row r="61"/>
    <row r="62"/>
    <row r="63"/>
    <row r="64"/>
    <row r="65" ht="16" customHeight="1">
      <c r="A65" s="1" t="n"/>
      <c r="B65" s="1" t="n"/>
    </row>
    <row r="66"/>
    <row r="67" ht="16" customHeight="1">
      <c r="B67" s="2" t="n"/>
    </row>
    <row r="68"/>
    <row r="69"/>
    <row r="70"/>
    <row r="71"/>
    <row r="72" ht="16" customHeight="1">
      <c r="A72" s="1" t="n"/>
    </row>
    <row r="73"/>
    <row r="74" ht="16" customHeight="1">
      <c r="A74" s="2" t="n"/>
      <c r="J74" s="2" t="n"/>
    </row>
    <row r="75" ht="16" customHeight="1">
      <c r="A75" s="2" t="n"/>
    </row>
    <row r="76" ht="16" customHeight="1">
      <c r="A76" s="2" t="n"/>
    </row>
    <row r="77" ht="16" customHeight="1">
      <c r="A77" s="2" t="n"/>
    </row>
    <row r="78" ht="16" customHeight="1">
      <c r="A78" s="2" t="n"/>
    </row>
    <row r="79"/>
    <row r="80"/>
    <row r="81" ht="16" customHeight="1">
      <c r="A81" s="2" t="n"/>
    </row>
    <row r="82"/>
    <row r="83" ht="16" customHeight="1">
      <c r="A83" s="1" t="n"/>
      <c r="B83" s="1" t="n"/>
    </row>
    <row r="84"/>
    <row r="85" ht="16" customHeight="1">
      <c r="B85" s="2" t="n"/>
    </row>
    <row r="86"/>
    <row r="87"/>
    <row r="88"/>
    <row r="89"/>
    <row r="90" ht="16" customHeight="1">
      <c r="A90" s="1" t="n"/>
    </row>
    <row r="91"/>
    <row r="92" ht="16" customHeight="1">
      <c r="A92" s="2" t="n"/>
      <c r="J92" s="2" t="n"/>
    </row>
    <row r="93"/>
    <row r="94"/>
    <row r="95"/>
    <row r="96"/>
    <row r="97"/>
    <row r="98"/>
    <row r="99" ht="16" customHeight="1">
      <c r="A99" s="1" t="n"/>
      <c r="B99" s="1" t="n"/>
    </row>
    <row r="100"/>
    <row r="101" ht="16" customHeight="1">
      <c r="B101" s="2" t="n"/>
    </row>
    <row r="102"/>
    <row r="103"/>
    <row r="104"/>
    <row r="105"/>
    <row r="106" ht="16" customHeight="1">
      <c r="A106" s="1" t="n"/>
    </row>
    <row r="107"/>
    <row r="108" ht="16" customHeight="1">
      <c r="A108" s="2" t="n"/>
      <c r="J108" s="2" t="n"/>
    </row>
    <row r="109"/>
    <row r="110"/>
    <row r="111"/>
    <row r="112"/>
    <row r="113"/>
    <row r="114"/>
    <row r="115" ht="16" customHeight="1">
      <c r="A115" s="1" t="n"/>
      <c r="B115" s="1" t="n"/>
    </row>
    <row r="116"/>
    <row r="117" ht="16" customHeight="1">
      <c r="B117" s="2" t="n"/>
    </row>
    <row r="118"/>
    <row r="119"/>
    <row r="120"/>
    <row r="121"/>
    <row r="122" ht="16" customHeight="1">
      <c r="A122" s="1" t="n"/>
    </row>
    <row r="123"/>
    <row r="124" ht="16" customHeight="1">
      <c r="A124" s="2" t="n"/>
      <c r="J124" s="2" t="n"/>
    </row>
    <row r="125"/>
    <row r="126"/>
    <row r="127"/>
    <row r="128" ht="16" customHeight="1">
      <c r="A128" s="1" t="n"/>
      <c r="B128" s="1" t="n"/>
    </row>
    <row r="129"/>
    <row r="130" ht="16" customHeight="1">
      <c r="B130" s="2" t="n"/>
    </row>
    <row r="131"/>
    <row r="132"/>
    <row r="133"/>
    <row r="134"/>
    <row r="135" ht="16" customHeight="1">
      <c r="A135" s="1" t="n"/>
    </row>
    <row r="136"/>
    <row r="137" ht="16" customHeight="1">
      <c r="A137" s="2" t="n"/>
    </row>
    <row r="138"/>
    <row r="139"/>
    <row r="140"/>
    <row r="141"/>
    <row r="142"/>
    <row r="143"/>
    <row r="144"/>
    <row r="145"/>
    <row r="146" ht="16" customHeight="1">
      <c r="A146" s="1" t="n"/>
      <c r="B146" s="1" t="n"/>
    </row>
    <row r="147"/>
    <row r="148"/>
    <row r="149"/>
    <row r="150"/>
    <row r="151"/>
    <row r="152"/>
    <row r="153" ht="16" customHeight="1">
      <c r="A153" s="1" t="n"/>
    </row>
    <row r="154"/>
    <row r="155"/>
    <row r="156"/>
    <row r="157"/>
    <row r="158"/>
    <row r="159" ht="16" customHeight="1">
      <c r="A159" s="1" t="n"/>
      <c r="B159" s="1" t="n"/>
    </row>
    <row r="160"/>
    <row r="161"/>
    <row r="162"/>
    <row r="163"/>
    <row r="164"/>
    <row r="165"/>
    <row r="166" ht="16" customHeight="1">
      <c r="A166" s="1" t="n"/>
    </row>
    <row r="167"/>
    <row r="168"/>
    <row r="169"/>
    <row r="170"/>
    <row r="171"/>
    <row r="172"/>
    <row r="173" ht="16" customHeight="1">
      <c r="A173" s="1" t="n"/>
      <c r="B173" s="1" t="n"/>
    </row>
    <row r="174"/>
    <row r="175" ht="16" customHeight="1">
      <c r="B175" s="2" t="n"/>
    </row>
    <row r="176"/>
    <row r="177"/>
    <row r="178"/>
    <row r="179"/>
    <row r="180" ht="16" customHeight="1">
      <c r="A180" s="1" t="n"/>
    </row>
    <row r="181"/>
    <row r="182" ht="16" customHeight="1">
      <c r="A182" s="2" t="n"/>
      <c r="J182" s="2" t="n"/>
    </row>
    <row r="183"/>
    <row r="184"/>
    <row r="185"/>
    <row r="186"/>
    <row r="187"/>
    <row r="188" ht="16" customHeight="1">
      <c r="A188" s="1" t="n"/>
      <c r="B188" s="1" t="n"/>
    </row>
    <row r="189"/>
    <row r="190"/>
    <row r="191"/>
    <row r="192"/>
    <row r="193"/>
    <row r="194"/>
    <row r="195" ht="16" customHeight="1">
      <c r="A195" s="1" t="n"/>
    </row>
  </sheetData>
  <pageMargins left="0.7" right="0.7" top="0.75" bottom="0.75" header="0.3" footer="0.3"/>
  <pageSetup orientation="portrait" paperSize="9" horizontalDpi="300" verticalDpi="300"/>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Romain Sacchi</dc:creator>
  <dcterms:created xmlns:dcterms="http://purl.org/dc/terms/" xmlns:xsi="http://www.w3.org/2001/XMLSchema-instance" xsi:type="dcterms:W3CDTF">2020-03-25T12:49:40Z</dcterms:created>
  <dcterms:modified xmlns:dcterms="http://purl.org/dc/terms/" xmlns:xsi="http://www.w3.org/2001/XMLSchema-instance" xsi:type="dcterms:W3CDTF">2026-07-07T13:56:55Z</dcterms:modified>
  <cp:lastModifiedBy>Romain Sacchi</cp:lastModifiedBy>
</cp:coreProperties>
</file>