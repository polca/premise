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xmlns:r="http://schemas.openxmlformats.org/officeDocument/2006/relationships" name="backfilling" sheetId="1" state="visible" r:id="rId1"/>
    <sheet xmlns:r="http://schemas.openxmlformats.org/officeDocument/2006/relationships" name="flocculation-flotation" sheetId="2" state="visible" r:id="rId2"/>
    <sheet xmlns:r="http://schemas.openxmlformats.org/officeDocument/2006/relationships" name="mwroasting_lea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zoomScaleNormal="100" workbookViewId="0">
      <selection activeCell="B21" sqref="B21"/>
    </sheetView>
  </sheetViews>
  <sheetFormatPr baseColWidth="8" defaultRowHeight="15"/>
  <cols>
    <col width="50.85546875" bestFit="1" customWidth="1" style="4" min="1" max="1"/>
    <col width="55.42578125" customWidth="1" style="4" min="2" max="2"/>
    <col width="25.140625" bestFit="1" customWidth="1" style="4" min="3" max="3"/>
    <col width="26.140625" bestFit="1" customWidth="1" style="4" min="4" max="4"/>
    <col width="17.7109375" bestFit="1" customWidth="1" style="4" min="5" max="5"/>
    <col width="25.5703125" bestFit="1" customWidth="1" style="4" min="6" max="6"/>
    <col width="13.42578125" bestFit="1" customWidth="1" style="4" min="7" max="7"/>
    <col width="15.7109375" bestFit="1" customWidth="1" style="4" min="8" max="8"/>
    <col width="18.140625" bestFit="1" customWidth="1" style="4" min="9" max="9"/>
  </cols>
  <sheetData>
    <row r="1" ht="15.75" customHeight="1" s="4">
      <c r="A1" s="1" t="inlineStr">
        <is>
          <t>Database</t>
        </is>
      </c>
      <c r="B1" s="2" t="inlineStr">
        <is>
          <t>tailings</t>
        </is>
      </c>
    </row>
    <row r="2"/>
    <row r="3" ht="15.75" customHeight="1" s="4">
      <c r="A3" s="1" t="inlineStr">
        <is>
          <t>Activity</t>
        </is>
      </c>
      <c r="B3" s="1" t="inlineStr">
        <is>
          <t>treatment of sulfidic tailings, generic, backfilling</t>
        </is>
      </c>
    </row>
    <row r="4">
      <c r="A4" t="inlineStr">
        <is>
          <t>comment</t>
        </is>
      </c>
      <c r="B4" t="inlineStr">
        <is>
          <t>Original inventory from Adrianto, L. R., Ciacci, L., Pfister, S., &amp; Hellweg, S. (2023). Toward sustainable reprocessing and valorization of sulfidic copper tailings: Scenarios and prospective LCA. Science of the Total Environment, 871, 162038. https://doi.org/10.1016/j.scitotenv.2023.162038</t>
        </is>
      </c>
    </row>
    <row r="5">
      <c r="A5" t="inlineStr">
        <is>
          <t>source</t>
        </is>
      </c>
      <c r="B5" t="inlineStr">
        <is>
          <t>Adrianto, L. R., Ciacci, L., Pfister, S., &amp; Hellweg, S. (2023). Toward sustainable reprocessing and valorization of sulfidic copper tailings: Scenarios and prospective LCA. Science of the Total Environment, 871, 162038. https://doi.org/10.1016/j.scitotenv.2023.162038</t>
        </is>
      </c>
    </row>
    <row r="6">
      <c r="A6" t="inlineStr">
        <is>
          <t>location</t>
        </is>
      </c>
      <c r="B6" t="inlineStr">
        <is>
          <t>GLO</t>
        </is>
      </c>
    </row>
    <row r="7">
      <c r="A7" t="inlineStr">
        <is>
          <t>reference product</t>
        </is>
      </c>
      <c r="B7" t="inlineStr">
        <is>
          <t>sulfidic tailings, generic</t>
        </is>
      </c>
    </row>
    <row r="8">
      <c r="A8" t="inlineStr">
        <is>
          <t>unit</t>
        </is>
      </c>
      <c r="B8" t="inlineStr">
        <is>
          <t>kilogram</t>
        </is>
      </c>
    </row>
    <row r="9" ht="15.75" customHeight="1" s="4">
      <c r="A9" s="1" t="inlineStr">
        <is>
          <t>Exchanges</t>
        </is>
      </c>
    </row>
    <row r="10">
      <c r="A10" t="inlineStr">
        <is>
          <t>name</t>
        </is>
      </c>
      <c r="B10" t="inlineStr">
        <is>
          <t>amount</t>
        </is>
      </c>
      <c r="C10" t="inlineStr">
        <is>
          <t>database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reference product</t>
        </is>
      </c>
    </row>
    <row r="11">
      <c r="A11" t="inlineStr">
        <is>
          <t>Carbon dioxide, fossil</t>
        </is>
      </c>
      <c r="B11" t="n">
        <v>0.0144</v>
      </c>
      <c r="C11" t="inlineStr">
        <is>
          <t>biosphere3</t>
        </is>
      </c>
      <c r="E11" t="inlineStr">
        <is>
          <t>kilogram</t>
        </is>
      </c>
      <c r="F11" t="inlineStr">
        <is>
          <t>air</t>
        </is>
      </c>
      <c r="G11" t="inlineStr">
        <is>
          <t>biosphere</t>
        </is>
      </c>
    </row>
    <row r="12">
      <c r="A12" t="inlineStr">
        <is>
          <t>Carbon dioxide, non-fossil</t>
        </is>
      </c>
      <c r="B12" t="n">
        <v>0.00123</v>
      </c>
      <c r="C12" t="inlineStr">
        <is>
          <t>biosphere3</t>
        </is>
      </c>
      <c r="E12" t="inlineStr">
        <is>
          <t>kilogram</t>
        </is>
      </c>
      <c r="F12" t="inlineStr">
        <is>
          <t>air</t>
        </is>
      </c>
      <c r="G12" t="inlineStr">
        <is>
          <t>biosphere</t>
        </is>
      </c>
    </row>
    <row r="13">
      <c r="A13" t="inlineStr">
        <is>
          <t>Occupation, dump site</t>
        </is>
      </c>
      <c r="B13" t="n">
        <v>4.8e-05</v>
      </c>
      <c r="C13" t="inlineStr">
        <is>
          <t>biosphere3</t>
        </is>
      </c>
      <c r="E13" t="inlineStr">
        <is>
          <t>square meter-year</t>
        </is>
      </c>
      <c r="F13" t="inlineStr">
        <is>
          <t>natural resource::land</t>
        </is>
      </c>
      <c r="G13" t="inlineStr">
        <is>
          <t>biosphere</t>
        </is>
      </c>
    </row>
    <row r="14">
      <c r="A14" t="inlineStr">
        <is>
          <t>Transformation, from unspecified</t>
        </is>
      </c>
      <c r="B14" t="n">
        <v>7.5758e-06</v>
      </c>
      <c r="C14" t="inlineStr">
        <is>
          <t>biosphere3</t>
        </is>
      </c>
      <c r="E14" t="inlineStr">
        <is>
          <t>square meter</t>
        </is>
      </c>
      <c r="F14" t="inlineStr">
        <is>
          <t>natural resource::land</t>
        </is>
      </c>
      <c r="G14" t="inlineStr">
        <is>
          <t>biosphere</t>
        </is>
      </c>
    </row>
    <row r="15">
      <c r="A15" t="inlineStr">
        <is>
          <t>Transformation, to dump site</t>
        </is>
      </c>
      <c r="B15" t="n">
        <v>7.5758e-06</v>
      </c>
      <c r="C15" t="inlineStr">
        <is>
          <t>biosphere3</t>
        </is>
      </c>
      <c r="E15" t="inlineStr">
        <is>
          <t>square meter</t>
        </is>
      </c>
      <c r="F15" t="inlineStr">
        <is>
          <t>natural resource::land</t>
        </is>
      </c>
      <c r="G15" t="inlineStr">
        <is>
          <t>biosphere</t>
        </is>
      </c>
    </row>
    <row r="16">
      <c r="A16" t="inlineStr">
        <is>
          <t>Volume occupied, underground deposit</t>
        </is>
      </c>
      <c r="B16" t="n">
        <v>0.000625</v>
      </c>
      <c r="C16" t="inlineStr">
        <is>
          <t>biosphere3</t>
        </is>
      </c>
      <c r="E16" t="inlineStr">
        <is>
          <t>cubic meter</t>
        </is>
      </c>
      <c r="F16" t="inlineStr">
        <is>
          <t>natural resource::in ground</t>
        </is>
      </c>
      <c r="G16" t="inlineStr">
        <is>
          <t>biosphere</t>
        </is>
      </c>
    </row>
    <row r="17">
      <c r="A17" t="inlineStr">
        <is>
          <t>Water, unspecified natural origin</t>
        </is>
      </c>
      <c r="B17" t="n">
        <v>4.8e-05</v>
      </c>
      <c r="C17" t="inlineStr">
        <is>
          <t>biosphere3</t>
        </is>
      </c>
      <c r="E17" t="inlineStr">
        <is>
          <t>cubic meter</t>
        </is>
      </c>
      <c r="F17" t="inlineStr">
        <is>
          <t>natural resource::in water</t>
        </is>
      </c>
      <c r="G17" t="inlineStr">
        <is>
          <t>biosphere</t>
        </is>
      </c>
    </row>
    <row r="18" ht="15.75" customHeight="1" s="4">
      <c r="A18" t="inlineStr">
        <is>
          <t>treatment of sulfidic tailings, generic, backfilling</t>
        </is>
      </c>
      <c r="B18" t="n">
        <v>-1</v>
      </c>
      <c r="C18" s="2" t="inlineStr">
        <is>
          <t>backfilling</t>
        </is>
      </c>
      <c r="D18" t="inlineStr">
        <is>
          <t>GLO</t>
        </is>
      </c>
      <c r="E18" t="inlineStr">
        <is>
          <t>kilogram</t>
        </is>
      </c>
      <c r="G18" t="inlineStr">
        <is>
          <t>production</t>
        </is>
      </c>
      <c r="H18" t="inlineStr">
        <is>
          <t>sulfidic tailings, generic</t>
        </is>
      </c>
    </row>
    <row r="19">
      <c r="A19" t="inlineStr">
        <is>
          <t>market for cement, Portland</t>
        </is>
      </c>
      <c r="B19" t="n">
        <v>0.0076</v>
      </c>
      <c r="C19" t="inlineStr">
        <is>
          <t>ecoinvent_3.8_cutoff</t>
        </is>
      </c>
      <c r="D19" t="inlineStr">
        <is>
          <t>Europe without Switzerland</t>
        </is>
      </c>
      <c r="E19" t="inlineStr">
        <is>
          <t>kilogram</t>
        </is>
      </c>
      <c r="G19" t="inlineStr">
        <is>
          <t>technosphere</t>
        </is>
      </c>
      <c r="H19" t="inlineStr">
        <is>
          <t>cement, Portland</t>
        </is>
      </c>
    </row>
    <row r="20">
      <c r="A20" t="inlineStr">
        <is>
          <t>cement production, blast furnace slag 70-100%</t>
        </is>
      </c>
      <c r="B20" t="n">
        <v>0.0292</v>
      </c>
      <c r="C20" t="inlineStr">
        <is>
          <t>ecoinvent_3.8_cutoff</t>
        </is>
      </c>
      <c r="D20" t="inlineStr">
        <is>
          <t>US</t>
        </is>
      </c>
      <c r="E20" t="inlineStr">
        <is>
          <t>kilogram</t>
        </is>
      </c>
      <c r="G20" t="inlineStr">
        <is>
          <t>technosphere</t>
        </is>
      </c>
      <c r="H20" t="inlineStr">
        <is>
          <t>cement, blast furnace slag 70-100%</t>
        </is>
      </c>
    </row>
    <row r="21">
      <c r="A21" t="inlineStr">
        <is>
          <t>market for diesel</t>
        </is>
      </c>
      <c r="B21" t="n">
        <v>1.6e-05</v>
      </c>
      <c r="C21" t="inlineStr">
        <is>
          <t>ecoinvent_3.8_cutoff</t>
        </is>
      </c>
      <c r="D21" t="inlineStr">
        <is>
          <t>Europe without Switzerland</t>
        </is>
      </c>
      <c r="E21" t="inlineStr">
        <is>
          <t>kilogram</t>
        </is>
      </c>
      <c r="G21" t="inlineStr">
        <is>
          <t>technosphere</t>
        </is>
      </c>
      <c r="H21" t="inlineStr">
        <is>
          <t>diesel</t>
        </is>
      </c>
    </row>
    <row r="22">
      <c r="A22" t="inlineStr">
        <is>
          <t>market for diesel</t>
        </is>
      </c>
      <c r="B22" t="n">
        <v>6.2e-05</v>
      </c>
      <c r="C22" t="inlineStr">
        <is>
          <t>ecoinvent_3.8_cutoff</t>
        </is>
      </c>
      <c r="D22" t="inlineStr">
        <is>
          <t>Europe without Switzerland</t>
        </is>
      </c>
      <c r="E22" t="inlineStr">
        <is>
          <t>kilogram</t>
        </is>
      </c>
      <c r="G22" t="inlineStr">
        <is>
          <t>technosphere</t>
        </is>
      </c>
      <c r="H22" t="inlineStr">
        <is>
          <t>diesel</t>
        </is>
      </c>
    </row>
    <row r="23">
      <c r="A23" t="inlineStr">
        <is>
          <t>market for fibre, polyester</t>
        </is>
      </c>
      <c r="B23" t="n">
        <v>2.2e-07</v>
      </c>
      <c r="C23" t="inlineStr">
        <is>
          <t>ecoinvent_3.8_cutoff</t>
        </is>
      </c>
      <c r="D23" t="inlineStr">
        <is>
          <t>GLO</t>
        </is>
      </c>
      <c r="E23" t="inlineStr">
        <is>
          <t>kilogram</t>
        </is>
      </c>
      <c r="G23" t="inlineStr">
        <is>
          <t>technosphere</t>
        </is>
      </c>
      <c r="H23" t="inlineStr">
        <is>
          <t>fibre, polyester</t>
        </is>
      </c>
    </row>
    <row r="24">
      <c r="A24" t="inlineStr">
        <is>
          <t>market for lubricating oil</t>
        </is>
      </c>
      <c r="B24" t="n">
        <v>6.34e-07</v>
      </c>
      <c r="C24" t="inlineStr">
        <is>
          <t>ecoinvent_3.8_cutoff</t>
        </is>
      </c>
      <c r="D24" t="inlineStr">
        <is>
          <t>RER</t>
        </is>
      </c>
      <c r="E24" t="inlineStr">
        <is>
          <t>kilogram</t>
        </is>
      </c>
      <c r="G24" t="inlineStr">
        <is>
          <t>technosphere</t>
        </is>
      </c>
      <c r="H24" t="inlineStr">
        <is>
          <t>lubricating oil</t>
        </is>
      </c>
    </row>
    <row r="25">
      <c r="A25" t="inlineStr">
        <is>
          <t>market for nylon 6</t>
        </is>
      </c>
      <c r="B25" t="n">
        <v>7.6e-07</v>
      </c>
      <c r="C25" t="inlineStr">
        <is>
          <t>ecoinvent_3.8_cutoff</t>
        </is>
      </c>
      <c r="D25" t="inlineStr">
        <is>
          <t>RER</t>
        </is>
      </c>
      <c r="E25" t="inlineStr">
        <is>
          <t>kilogram</t>
        </is>
      </c>
      <c r="G25" t="inlineStr">
        <is>
          <t>technosphere</t>
        </is>
      </c>
      <c r="H25" t="inlineStr">
        <is>
          <t>nylon 6</t>
        </is>
      </c>
    </row>
    <row r="26">
      <c r="A26" t="inlineStr">
        <is>
          <t>market for quicklime, milled, packed</t>
        </is>
      </c>
      <c r="B26" t="n">
        <v>0.000108</v>
      </c>
      <c r="C26" t="inlineStr">
        <is>
          <t>ecoinvent_3.8_cutoff</t>
        </is>
      </c>
      <c r="D26" t="inlineStr">
        <is>
          <t>RER</t>
        </is>
      </c>
      <c r="E26" t="inlineStr">
        <is>
          <t>kilogram</t>
        </is>
      </c>
      <c r="G26" t="inlineStr">
        <is>
          <t>technosphere</t>
        </is>
      </c>
      <c r="H26" t="inlineStr">
        <is>
          <t>quicklime, milled, packed</t>
        </is>
      </c>
    </row>
    <row r="27">
      <c r="A27" t="inlineStr">
        <is>
          <t>market group for electricity, medium voltage</t>
        </is>
      </c>
      <c r="B27" t="n">
        <v>0.008</v>
      </c>
      <c r="C27" t="inlineStr">
        <is>
          <t>ecoinvent_3.8_cutoff</t>
        </is>
      </c>
      <c r="D27" t="inlineStr">
        <is>
          <t>Europe without Switzerland</t>
        </is>
      </c>
      <c r="E27" t="inlineStr">
        <is>
          <t>kilowatt hour</t>
        </is>
      </c>
      <c r="G27" t="inlineStr">
        <is>
          <t>technosphere</t>
        </is>
      </c>
      <c r="H27" t="inlineStr">
        <is>
          <t>electricity, medium voltage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tabSelected="1" workbookViewId="0">
      <selection activeCell="B7" sqref="B7"/>
    </sheetView>
  </sheetViews>
  <sheetFormatPr baseColWidth="8" defaultRowHeight="15"/>
  <cols>
    <col width="54.5703125" bestFit="1" customWidth="1" style="4" min="1" max="1"/>
    <col width="80.28515625" customWidth="1" style="4" min="2" max="2"/>
    <col width="20" bestFit="1" customWidth="1" style="4" min="3" max="3"/>
    <col width="26.140625" bestFit="1" customWidth="1" style="4" min="4" max="4"/>
    <col width="17.7109375" bestFit="1" customWidth="1" style="4" min="5" max="5"/>
    <col width="20.7109375" bestFit="1" customWidth="1" style="4" min="6" max="6"/>
    <col width="13.42578125" bestFit="1" customWidth="1" style="4" min="7" max="7"/>
    <col width="22.28515625" bestFit="1" customWidth="1" style="4" min="8" max="8"/>
  </cols>
  <sheetData>
    <row r="1" ht="15.75" customHeight="1" s="4">
      <c r="A1" s="1" t="inlineStr">
        <is>
          <t>Activity</t>
        </is>
      </c>
      <c r="B1" s="1" t="inlineStr">
        <is>
          <t>treatment of sulfidic tailings, flocculation-flotation process</t>
        </is>
      </c>
    </row>
    <row r="2">
      <c r="A2" t="inlineStr">
        <is>
          <t>comment</t>
        </is>
      </c>
      <c r="B2" t="inlineStr">
        <is>
          <t>The original dataset treats 1000kg of tailings, producing: 413kg aluminosilicate fraction (Si-Al) and 287kg of pyrite rich fraction. These can be use to produce CSA cement, ceramic tiles, or Portland cement. Hence, it is a multifunctional process (treatment of tailings + 2 products). Here, we do not model the use of the products downstream. Hence, following the cut-off approach, we attribute all environmental burderns to the treatment activity.
Original inventory from 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3">
      <c r="A3" t="inlineStr">
        <is>
          <t>source</t>
        </is>
      </c>
      <c r="B3" t="inlineStr">
        <is>
          <t>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4">
      <c r="A4" t="inlineStr">
        <is>
          <t>location</t>
        </is>
      </c>
      <c r="B4" t="inlineStr">
        <is>
          <t>GLO</t>
        </is>
      </c>
    </row>
    <row r="5">
      <c r="A5" t="inlineStr">
        <is>
          <t>reference product</t>
        </is>
      </c>
      <c r="B5" t="inlineStr">
        <is>
          <t>sulfidic tailings, generic</t>
        </is>
      </c>
    </row>
    <row r="6">
      <c r="A6" t="inlineStr">
        <is>
          <t>unit</t>
        </is>
      </c>
      <c r="B6" t="inlineStr">
        <is>
          <t>kilogram</t>
        </is>
      </c>
    </row>
    <row r="7" ht="15.75" customHeight="1" s="4">
      <c r="A7" s="1" t="inlineStr">
        <is>
          <t>Exchanges</t>
        </is>
      </c>
    </row>
    <row r="8">
      <c r="A8" s="3" t="inlineStr">
        <is>
          <t>name</t>
        </is>
      </c>
      <c r="B8" s="3" t="inlineStr">
        <is>
          <t>amount</t>
        </is>
      </c>
      <c r="C8" s="3" t="inlineStr">
        <is>
          <t>database</t>
        </is>
      </c>
      <c r="D8" s="3" t="inlineStr">
        <is>
          <t>location</t>
        </is>
      </c>
      <c r="E8" s="3" t="inlineStr">
        <is>
          <t>unit</t>
        </is>
      </c>
      <c r="F8" s="3" t="inlineStr">
        <is>
          <t>categories</t>
        </is>
      </c>
      <c r="G8" s="3" t="inlineStr">
        <is>
          <t>type</t>
        </is>
      </c>
      <c r="H8" s="3" t="inlineStr">
        <is>
          <t>reference product</t>
        </is>
      </c>
      <c r="I8" s="3" t="inlineStr">
        <is>
          <t>comment</t>
        </is>
      </c>
    </row>
    <row r="9" ht="15.75" customHeight="1" s="4">
      <c r="A9" t="inlineStr">
        <is>
          <t>treatment of sulfidic tailings, flocculation-flotation process</t>
        </is>
      </c>
      <c r="B9" t="n">
        <v>-1</v>
      </c>
      <c r="C9" s="2" t="inlineStr">
        <is>
          <t>route_A</t>
        </is>
      </c>
      <c r="D9" t="inlineStr">
        <is>
          <t>GLO</t>
        </is>
      </c>
      <c r="E9" t="inlineStr">
        <is>
          <t>kilogram</t>
        </is>
      </c>
      <c r="G9" t="inlineStr">
        <is>
          <t>production</t>
        </is>
      </c>
      <c r="H9" t="inlineStr">
        <is>
          <t>sulfidic tailings, generic</t>
        </is>
      </c>
      <c r="I9" t="inlineStr">
        <is>
          <t>Original inventory treats 1 tonne of tailings</t>
        </is>
      </c>
    </row>
    <row r="10">
      <c r="A10" t="inlineStr">
        <is>
          <t>market for polyacrylamide</t>
        </is>
      </c>
      <c r="B10">
        <f>0.03/1000</f>
        <v>2.9999999999999997E-5</v>
      </c>
      <c r="C10" t="inlineStr">
        <is>
          <t>ecoinvent_3.8_cutoff</t>
        </is>
      </c>
      <c r="D10" t="inlineStr">
        <is>
          <t>GLO</t>
        </is>
      </c>
      <c r="E10" t="inlineStr">
        <is>
          <t>kilogram</t>
        </is>
      </c>
      <c r="G10" t="inlineStr">
        <is>
          <t>technosphere</t>
        </is>
      </c>
      <c r="H10" t="inlineStr">
        <is>
          <t>polyacrylamide</t>
        </is>
      </c>
    </row>
    <row r="11">
      <c r="A11" t="inlineStr">
        <is>
          <t>market group for electricity, medium voltage</t>
        </is>
      </c>
      <c r="B11">
        <f>25.63/1000</f>
        <v>2.563E-2</v>
      </c>
      <c r="C11" t="inlineStr">
        <is>
          <t>ecoinvent_3.8_cutoff</t>
        </is>
      </c>
      <c r="D11" t="inlineStr">
        <is>
          <t>Europe without Switzerland</t>
        </is>
      </c>
      <c r="E11" t="inlineStr">
        <is>
          <t>kilowatt hour</t>
        </is>
      </c>
      <c r="G11" t="inlineStr">
        <is>
          <t>technosphere</t>
        </is>
      </c>
      <c r="H11" t="inlineStr">
        <is>
          <t>electricity, medium voltage</t>
        </is>
      </c>
    </row>
    <row r="12">
      <c r="A12" t="inlineStr">
        <is>
          <t>xanthate production</t>
        </is>
      </c>
      <c r="B12">
        <f>0.1/1000</f>
        <v>1E-4</v>
      </c>
      <c r="C12" t="inlineStr">
        <is>
          <t>route_A</t>
        </is>
      </c>
      <c r="D12" t="inlineStr">
        <is>
          <t>GLO</t>
        </is>
      </c>
      <c r="E12" t="inlineStr">
        <is>
          <t>kilogram</t>
        </is>
      </c>
      <c r="G12" t="inlineStr">
        <is>
          <t>technosphere</t>
        </is>
      </c>
      <c r="H12" t="inlineStr">
        <is>
          <t>xanthate</t>
        </is>
      </c>
    </row>
    <row r="13">
      <c r="A13" t="inlineStr">
        <is>
          <t>treatment of wastewater, average, capacity 1E9l/year</t>
        </is>
      </c>
      <c r="B13">
        <f>-0.3/1000</f>
        <v>-2.9999999999999997E-4</v>
      </c>
      <c r="C13" t="inlineStr">
        <is>
          <t>ecoinvent_3.8_cutoff</t>
        </is>
      </c>
      <c r="D13" t="inlineStr">
        <is>
          <t>Europe without Switzerland</t>
        </is>
      </c>
      <c r="E13" t="inlineStr">
        <is>
          <t>cubic meter</t>
        </is>
      </c>
      <c r="G13" t="inlineStr">
        <is>
          <t>technosphere</t>
        </is>
      </c>
      <c r="H13" t="inlineStr">
        <is>
          <t>wastewater, average</t>
        </is>
      </c>
    </row>
    <row r="14"/>
    <row r="15"/>
    <row r="16" ht="15.75" customHeight="1" s="4">
      <c r="A16" s="1" t="inlineStr">
        <is>
          <t>Activity</t>
        </is>
      </c>
      <c r="B16" s="3" t="inlineStr">
        <is>
          <t>xanthate production</t>
        </is>
      </c>
    </row>
    <row r="17">
      <c r="A17" t="inlineStr">
        <is>
          <t>comment</t>
        </is>
      </c>
      <c r="B17" t="inlineStr">
        <is>
          <t>Original inventory from 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18">
      <c r="A18" t="inlineStr">
        <is>
          <t>source</t>
        </is>
      </c>
      <c r="B18" t="inlineStr">
        <is>
          <t>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19">
      <c r="A19" t="inlineStr">
        <is>
          <t>location</t>
        </is>
      </c>
      <c r="B19" t="inlineStr">
        <is>
          <t>GLO</t>
        </is>
      </c>
    </row>
    <row r="20">
      <c r="A20" t="inlineStr">
        <is>
          <t>reference product</t>
        </is>
      </c>
      <c r="B20" t="inlineStr">
        <is>
          <t>xanthate</t>
        </is>
      </c>
    </row>
    <row r="21">
      <c r="A21" t="inlineStr">
        <is>
          <t>unit</t>
        </is>
      </c>
      <c r="B21" t="inlineStr">
        <is>
          <t>kilogram</t>
        </is>
      </c>
    </row>
    <row r="22" ht="15.75" customHeight="1" s="4">
      <c r="A22" s="1" t="inlineStr">
        <is>
          <t>Exchanges</t>
        </is>
      </c>
    </row>
    <row r="23">
      <c r="A23" s="3" t="inlineStr">
        <is>
          <t>name</t>
        </is>
      </c>
      <c r="B23" s="3" t="inlineStr">
        <is>
          <t>amount</t>
        </is>
      </c>
      <c r="C23" s="3" t="inlineStr">
        <is>
          <t>database</t>
        </is>
      </c>
      <c r="D23" s="3" t="inlineStr">
        <is>
          <t>location</t>
        </is>
      </c>
      <c r="E23" s="3" t="inlineStr">
        <is>
          <t>unit</t>
        </is>
      </c>
      <c r="F23" s="3" t="inlineStr">
        <is>
          <t>categories</t>
        </is>
      </c>
      <c r="G23" s="3" t="inlineStr">
        <is>
          <t>type</t>
        </is>
      </c>
      <c r="H23" s="3" t="inlineStr">
        <is>
          <t>reference product</t>
        </is>
      </c>
      <c r="I23" s="3" t="inlineStr">
        <is>
          <t>comment</t>
        </is>
      </c>
    </row>
    <row r="24" ht="15.75" customHeight="1" s="4">
      <c r="A24" t="inlineStr">
        <is>
          <t>xanthate production</t>
        </is>
      </c>
      <c r="B24" t="n">
        <v>1</v>
      </c>
      <c r="C24" s="2" t="inlineStr">
        <is>
          <t>route_A</t>
        </is>
      </c>
      <c r="D24" t="inlineStr">
        <is>
          <t>GLO</t>
        </is>
      </c>
      <c r="E24" t="inlineStr">
        <is>
          <t>kilogram</t>
        </is>
      </c>
      <c r="G24" t="inlineStr">
        <is>
          <t>production</t>
        </is>
      </c>
      <c r="H24" t="inlineStr">
        <is>
          <t>xanthate</t>
        </is>
      </c>
      <c r="I24" t="inlineStr">
        <is>
          <t>Original inventory produces 1 tonne of xanthate</t>
        </is>
      </c>
    </row>
    <row r="25">
      <c r="A25" t="inlineStr">
        <is>
          <t>carbon disulfide production</t>
        </is>
      </c>
      <c r="B25">
        <f>530/1000</f>
        <v>0.53</v>
      </c>
      <c r="C25" t="inlineStr">
        <is>
          <t>route_A</t>
        </is>
      </c>
      <c r="D25" t="inlineStr">
        <is>
          <t>GLO</t>
        </is>
      </c>
      <c r="E25" t="inlineStr">
        <is>
          <t>kilogram</t>
        </is>
      </c>
      <c r="G25" t="inlineStr">
        <is>
          <t>technosphere</t>
        </is>
      </c>
      <c r="H25" t="inlineStr">
        <is>
          <t>carbon disulfide</t>
        </is>
      </c>
    </row>
    <row r="26">
      <c r="A26" t="inlineStr">
        <is>
          <t>market group for electricity, medium voltage</t>
        </is>
      </c>
      <c r="B26">
        <f>163.9/1000</f>
        <v>0.16390000000000002</v>
      </c>
      <c r="C26" t="inlineStr">
        <is>
          <t>ecoinvent_3.8_cutoff</t>
        </is>
      </c>
      <c r="D26" t="inlineStr">
        <is>
          <t>Europe without Switzerland</t>
        </is>
      </c>
      <c r="E26" t="inlineStr">
        <is>
          <t>kilowatt hour</t>
        </is>
      </c>
      <c r="G26" t="inlineStr">
        <is>
          <t>technosphere</t>
        </is>
      </c>
      <c r="H26" t="inlineStr">
        <is>
          <t>electricity, medium voltage</t>
        </is>
      </c>
    </row>
    <row r="27">
      <c r="A27" t="inlineStr">
        <is>
          <t>market for tap water</t>
        </is>
      </c>
      <c r="B27">
        <f>1580/1000</f>
        <v>1.58</v>
      </c>
      <c r="C27" t="inlineStr">
        <is>
          <t>ecoinvent_3.8_cutoff</t>
        </is>
      </c>
      <c r="D27" t="inlineStr">
        <is>
          <t>Europe without Switzerland</t>
        </is>
      </c>
      <c r="E27" t="inlineStr">
        <is>
          <t>kilogram</t>
        </is>
      </c>
      <c r="G27" t="inlineStr">
        <is>
          <t>technosphere</t>
        </is>
      </c>
      <c r="H27" t="inlineStr">
        <is>
          <t>tap water</t>
        </is>
      </c>
    </row>
    <row r="28">
      <c r="A28" t="inlineStr">
        <is>
          <t>market for sodium hydroxide, without water, in 50% solution state</t>
        </is>
      </c>
      <c r="B28">
        <f>280/1000</f>
        <v>0.28000000000000003</v>
      </c>
      <c r="C28" t="inlineStr">
        <is>
          <t>ecoinvent_3.8_cutoff</t>
        </is>
      </c>
      <c r="D28" t="inlineStr">
        <is>
          <t>GLO</t>
        </is>
      </c>
      <c r="E28" t="inlineStr">
        <is>
          <t>kilogram</t>
        </is>
      </c>
      <c r="G28" t="inlineStr">
        <is>
          <t>technosphere</t>
        </is>
      </c>
      <c r="H28" t="inlineStr">
        <is>
          <t>sodium hydroxide, without water, in 50% solution state</t>
        </is>
      </c>
    </row>
    <row r="29">
      <c r="A29" t="inlineStr">
        <is>
          <t>market for ethanol, without water, in 99.7% solution state, from ethylene</t>
        </is>
      </c>
      <c r="B29">
        <f>320/1000</f>
        <v>0.32</v>
      </c>
      <c r="C29" t="inlineStr">
        <is>
          <t>ecoinvent_3.8_cutoff</t>
        </is>
      </c>
      <c r="D29" t="inlineStr">
        <is>
          <t>RER</t>
        </is>
      </c>
      <c r="E29" t="inlineStr">
        <is>
          <t>kilogram</t>
        </is>
      </c>
      <c r="G29" t="inlineStr">
        <is>
          <t>technosphere</t>
        </is>
      </c>
      <c r="H29" t="inlineStr">
        <is>
          <t>ethanol, without water, in 99.7% solution state, from ethylene</t>
        </is>
      </c>
    </row>
    <row r="30">
      <c r="A30" t="inlineStr">
        <is>
          <t>market for nitrogen, liquid</t>
        </is>
      </c>
      <c r="B30">
        <f>27.52/1000</f>
        <v>2.7519999999999999E-2</v>
      </c>
      <c r="C30" t="inlineStr">
        <is>
          <t>ecoinvent_3.8_cutoff</t>
        </is>
      </c>
      <c r="D30" t="inlineStr">
        <is>
          <t>RER</t>
        </is>
      </c>
      <c r="E30" t="inlineStr">
        <is>
          <t>kilogram</t>
        </is>
      </c>
      <c r="G30" t="inlineStr">
        <is>
          <t>technosphere</t>
        </is>
      </c>
      <c r="H30" t="inlineStr">
        <is>
          <t>nitrogen, liquid</t>
        </is>
      </c>
    </row>
    <row r="31"/>
    <row r="32"/>
    <row r="33" ht="15.75" customHeight="1" s="4">
      <c r="A33" s="1" t="inlineStr">
        <is>
          <t>Activity</t>
        </is>
      </c>
      <c r="B33" s="3" t="inlineStr">
        <is>
          <t>carbon disulfide production</t>
        </is>
      </c>
    </row>
    <row r="34">
      <c r="A34" t="inlineStr">
        <is>
          <t>comment</t>
        </is>
      </c>
      <c r="B34" t="inlineStr">
        <is>
          <t>Original inventory based on Kunene et al. (2014).
Inventory obtained from from 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35">
      <c r="A35" t="inlineStr">
        <is>
          <t>source</t>
        </is>
      </c>
      <c r="B35" t="inlineStr">
        <is>
          <t>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36">
      <c r="A36" t="inlineStr">
        <is>
          <t>location</t>
        </is>
      </c>
      <c r="B36" t="inlineStr">
        <is>
          <t>GLO</t>
        </is>
      </c>
    </row>
    <row r="37">
      <c r="A37" t="inlineStr">
        <is>
          <t>reference product</t>
        </is>
      </c>
      <c r="B37" t="inlineStr">
        <is>
          <t>carbon disulfide</t>
        </is>
      </c>
    </row>
    <row r="38">
      <c r="A38" t="inlineStr">
        <is>
          <t>unit</t>
        </is>
      </c>
      <c r="B38" t="inlineStr">
        <is>
          <t>kilogram</t>
        </is>
      </c>
    </row>
    <row r="39" ht="15.75" customHeight="1" s="4">
      <c r="A39" s="1" t="inlineStr">
        <is>
          <t>Exchanges</t>
        </is>
      </c>
    </row>
    <row r="40">
      <c r="A40" s="3" t="inlineStr">
        <is>
          <t>name</t>
        </is>
      </c>
      <c r="B40" s="3" t="inlineStr">
        <is>
          <t>amount</t>
        </is>
      </c>
      <c r="C40" s="3" t="inlineStr">
        <is>
          <t>database</t>
        </is>
      </c>
      <c r="D40" s="3" t="inlineStr">
        <is>
          <t>location</t>
        </is>
      </c>
      <c r="E40" s="3" t="inlineStr">
        <is>
          <t>unit</t>
        </is>
      </c>
      <c r="F40" s="3" t="inlineStr">
        <is>
          <t>categories</t>
        </is>
      </c>
      <c r="G40" s="3" t="inlineStr">
        <is>
          <t>type</t>
        </is>
      </c>
      <c r="H40" s="3" t="inlineStr">
        <is>
          <t>reference product</t>
        </is>
      </c>
      <c r="I40" s="3" t="inlineStr">
        <is>
          <t>comment</t>
        </is>
      </c>
    </row>
    <row r="41" ht="15.75" customHeight="1" s="4">
      <c r="A41" t="inlineStr">
        <is>
          <t>carbon disulfide production</t>
        </is>
      </c>
      <c r="B41" t="n">
        <v>1</v>
      </c>
      <c r="C41" s="2" t="inlineStr">
        <is>
          <t>route_A</t>
        </is>
      </c>
      <c r="D41" t="inlineStr">
        <is>
          <t>GLO</t>
        </is>
      </c>
      <c r="E41" t="inlineStr">
        <is>
          <t>kilogram</t>
        </is>
      </c>
      <c r="G41" t="inlineStr">
        <is>
          <t>production</t>
        </is>
      </c>
      <c r="H41" t="inlineStr">
        <is>
          <t>carbon disulfide</t>
        </is>
      </c>
      <c r="I41" t="inlineStr">
        <is>
          <t>Original inventory produces 1 tonne of CS2</t>
        </is>
      </c>
    </row>
    <row r="42">
      <c r="A42" t="inlineStr">
        <is>
          <t>market group for electricity, medium voltage</t>
        </is>
      </c>
      <c r="B42">
        <f>225/1000</f>
        <v>0.22500000000000001</v>
      </c>
      <c r="C42" t="inlineStr">
        <is>
          <t>ecoinvent_3.8_cutoff</t>
        </is>
      </c>
      <c r="D42" t="inlineStr">
        <is>
          <t>Europe without Switzerland</t>
        </is>
      </c>
      <c r="E42" t="inlineStr">
        <is>
          <t>kilowatt hour</t>
        </is>
      </c>
      <c r="G42" t="inlineStr">
        <is>
          <t>technosphere</t>
        </is>
      </c>
      <c r="H42" t="inlineStr">
        <is>
          <t>electricity, medium voltage</t>
        </is>
      </c>
    </row>
    <row r="43">
      <c r="A43" t="inlineStr">
        <is>
          <t>market group for heat, district or industrial, natural gas</t>
        </is>
      </c>
      <c r="B43">
        <f>7510/1000</f>
        <v>7.51</v>
      </c>
      <c r="C43" t="inlineStr">
        <is>
          <t>ecoinvent_3.8_cutoff</t>
        </is>
      </c>
      <c r="D43" t="inlineStr">
        <is>
          <t>RER</t>
        </is>
      </c>
      <c r="E43" t="inlineStr">
        <is>
          <t>megajoule</t>
        </is>
      </c>
      <c r="G43" t="inlineStr">
        <is>
          <t>technosphere</t>
        </is>
      </c>
      <c r="H43" t="inlineStr">
        <is>
          <t>heat, district or industrial, natural gas</t>
        </is>
      </c>
    </row>
    <row r="44">
      <c r="A44" t="inlineStr">
        <is>
          <t>market for heat, from steam, in chemical industry</t>
        </is>
      </c>
      <c r="B44">
        <f>6540/1000</f>
        <v>6.54</v>
      </c>
      <c r="C44" t="inlineStr">
        <is>
          <t>ecoinvent_3.8_cutoff</t>
        </is>
      </c>
      <c r="D44" t="inlineStr">
        <is>
          <t>RER</t>
        </is>
      </c>
      <c r="E44" t="inlineStr">
        <is>
          <t>megajoule</t>
        </is>
      </c>
      <c r="G44" t="inlineStr">
        <is>
          <t>technosphere</t>
        </is>
      </c>
      <c r="H44" t="inlineStr">
        <is>
          <t>heat, from steam, in chemical industry</t>
        </is>
      </c>
    </row>
    <row r="45">
      <c r="A45" t="inlineStr">
        <is>
          <t>market group for tap water</t>
        </is>
      </c>
      <c r="B45">
        <f>1380/1000</f>
        <v>1.38</v>
      </c>
      <c r="C45" t="inlineStr">
        <is>
          <t>ecoinvent_3.8_cutoff</t>
        </is>
      </c>
      <c r="D45" t="inlineStr">
        <is>
          <t>RER</t>
        </is>
      </c>
      <c r="E45" t="inlineStr">
        <is>
          <t>kilogram</t>
        </is>
      </c>
      <c r="G45" t="inlineStr">
        <is>
          <t>technosphere</t>
        </is>
      </c>
      <c r="H45" t="inlineStr">
        <is>
          <t>tap water</t>
        </is>
      </c>
    </row>
    <row r="46">
      <c r="A46" t="inlineStr">
        <is>
          <t>natural gas production, low pressure, vehicle grade</t>
        </is>
      </c>
      <c r="B46">
        <f>224.02/1000</f>
        <v>0.22402</v>
      </c>
      <c r="C46" t="inlineStr">
        <is>
          <t>ecoinvent_3.8_cutoff</t>
        </is>
      </c>
      <c r="D46" t="inlineStr">
        <is>
          <t>RoW</t>
        </is>
      </c>
      <c r="E46" t="inlineStr">
        <is>
          <t>kilogram</t>
        </is>
      </c>
      <c r="G46" t="inlineStr">
        <is>
          <t>technosphere</t>
        </is>
      </c>
      <c r="H46" t="inlineStr">
        <is>
          <t>natural gas, low pressure, vehicle grade</t>
        </is>
      </c>
    </row>
    <row r="47">
      <c r="A47" t="inlineStr">
        <is>
          <t>sulfur production, petroleum refinery operation</t>
        </is>
      </c>
      <c r="B47">
        <f>881.78/1000</f>
        <v>0.88178000000000001</v>
      </c>
      <c r="C47" t="inlineStr">
        <is>
          <t>ecoinvent_3.8_cutoff</t>
        </is>
      </c>
      <c r="D47" t="inlineStr">
        <is>
          <t>Europe without Switzerland</t>
        </is>
      </c>
      <c r="E47" t="inlineStr">
        <is>
          <t>kilogram</t>
        </is>
      </c>
      <c r="G47" t="inlineStr">
        <is>
          <t>technosphere</t>
        </is>
      </c>
      <c r="H47" t="inlineStr">
        <is>
          <t>sulfur</t>
        </is>
      </c>
    </row>
    <row r="48">
      <c r="A48" t="inlineStr">
        <is>
          <t>treatment of wastewater, average, capacity 1E9l/year</t>
        </is>
      </c>
      <c r="B48">
        <f>-0.56/1000</f>
        <v>-5.6000000000000006E-4</v>
      </c>
      <c r="C48" t="inlineStr">
        <is>
          <t>ecoinvent_3.8_cutoff</t>
        </is>
      </c>
      <c r="D48" t="inlineStr">
        <is>
          <t>Europe without Switzerland</t>
        </is>
      </c>
      <c r="E48" t="inlineStr">
        <is>
          <t>cubic meter</t>
        </is>
      </c>
      <c r="G48" t="inlineStr">
        <is>
          <t>technosphere</t>
        </is>
      </c>
      <c r="H48" t="inlineStr">
        <is>
          <t>wastewater, average</t>
        </is>
      </c>
    </row>
    <row r="49">
      <c r="A49" t="inlineStr">
        <is>
          <t>market group for municipal solid waste</t>
        </is>
      </c>
      <c r="B49">
        <f>-1.86/1000</f>
        <v>-1.8600000000000001E-3</v>
      </c>
      <c r="C49" t="inlineStr">
        <is>
          <t>ecoinvent_3.8_cutoff</t>
        </is>
      </c>
      <c r="D49" t="inlineStr">
        <is>
          <t>Europe without Switzerland</t>
        </is>
      </c>
      <c r="E49" t="inlineStr">
        <is>
          <t>kilogram</t>
        </is>
      </c>
      <c r="G49" t="inlineStr">
        <is>
          <t>technosphere</t>
        </is>
      </c>
      <c r="H49" t="inlineStr">
        <is>
          <t>municipal solid waste</t>
        </is>
      </c>
    </row>
    <row r="50">
      <c r="A50" t="inlineStr">
        <is>
          <t>treatment of refinery sludge, hazardous waste incineration</t>
        </is>
      </c>
      <c r="B50">
        <f>-2.4/1000</f>
        <v>-2.3999999999999998E-3</v>
      </c>
      <c r="C50" t="inlineStr">
        <is>
          <t>ecoinvent_3.8_cutoff</t>
        </is>
      </c>
      <c r="D50" t="inlineStr">
        <is>
          <t>Europe without Switzerland</t>
        </is>
      </c>
      <c r="E50" t="inlineStr">
        <is>
          <t>kilogram</t>
        </is>
      </c>
      <c r="G50" t="inlineStr">
        <is>
          <t>technosphere</t>
        </is>
      </c>
      <c r="H50" t="inlineStr">
        <is>
          <t>refinery sludge</t>
        </is>
      </c>
    </row>
    <row r="51">
      <c r="A51" t="inlineStr">
        <is>
          <t>market for nitrogen, liquid</t>
        </is>
      </c>
      <c r="B51">
        <f>16.33/1000</f>
        <v>1.6329999999999997E-2</v>
      </c>
      <c r="C51" t="inlineStr">
        <is>
          <t>ecoinvent_3.8_cutoff</t>
        </is>
      </c>
      <c r="D51" t="inlineStr">
        <is>
          <t>RER</t>
        </is>
      </c>
      <c r="E51" t="inlineStr">
        <is>
          <t>kilogram</t>
        </is>
      </c>
      <c r="G51" t="inlineStr">
        <is>
          <t>technosphere</t>
        </is>
      </c>
      <c r="H51" t="inlineStr">
        <is>
          <t>nitrogen, liquid</t>
        </is>
      </c>
    </row>
    <row r="52">
      <c r="A52" t="inlineStr">
        <is>
          <t>Sulfur dioxide</t>
        </is>
      </c>
      <c r="B52">
        <f>40.5/1000</f>
        <v>4.0500000000000001E-2</v>
      </c>
      <c r="C52" t="inlineStr">
        <is>
          <t>biosphere3</t>
        </is>
      </c>
      <c r="E52" t="inlineStr">
        <is>
          <t>kilogram</t>
        </is>
      </c>
      <c r="F52" t="inlineStr">
        <is>
          <t>air</t>
        </is>
      </c>
      <c r="G52" t="inlineStr">
        <is>
          <t>biosphere</t>
        </is>
      </c>
    </row>
    <row r="53">
      <c r="A53" t="inlineStr">
        <is>
          <t>Carbon dioxide, fossil</t>
        </is>
      </c>
      <c r="B53">
        <f>362.36/1000</f>
        <v>0.36236000000000002</v>
      </c>
      <c r="C53" t="inlineStr">
        <is>
          <t>biosphere3</t>
        </is>
      </c>
      <c r="E53" t="inlineStr">
        <is>
          <t>kilogram</t>
        </is>
      </c>
      <c r="F53" t="inlineStr">
        <is>
          <t>air</t>
        </is>
      </c>
      <c r="G53" t="inlineStr">
        <is>
          <t>biosphere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B30" sqref="B30"/>
    </sheetView>
  </sheetViews>
  <sheetFormatPr baseColWidth="8" defaultRowHeight="15"/>
  <cols>
    <col width="54.5703125" bestFit="1" customWidth="1" style="4" min="1" max="1"/>
    <col width="76.140625" customWidth="1" style="4" min="2" max="2"/>
    <col width="20" bestFit="1" customWidth="1" style="4" min="3" max="3"/>
    <col width="26.140625" bestFit="1" customWidth="1" style="4" min="4" max="4"/>
    <col width="12.85546875" bestFit="1" customWidth="1" style="4" min="5" max="5"/>
    <col width="10.140625" bestFit="1" customWidth="1" style="4" min="6" max="6"/>
    <col width="13.42578125" bestFit="1" customWidth="1" style="4" min="7" max="7"/>
    <col width="25.85546875" bestFit="1" customWidth="1" style="4" min="8" max="8"/>
    <col width="39.85546875" bestFit="1" customWidth="1" style="4" min="9" max="9"/>
  </cols>
  <sheetData>
    <row r="1" ht="15.75" customHeight="1" s="4">
      <c r="A1" s="1" t="inlineStr">
        <is>
          <t>Activity</t>
        </is>
      </c>
      <c r="B1" s="1" t="inlineStr">
        <is>
          <t>treatment of sulfidic tailings, roasting and leaching</t>
        </is>
      </c>
    </row>
    <row r="2">
      <c r="A2" t="inlineStr">
        <is>
          <t>comment</t>
        </is>
      </c>
      <c r="B2" t="inlineStr">
        <is>
          <t>The original dataset treats 1000kg of tailings, producing: 344.86 kg aluminosilicate fraction (Si-Al);  239.65 of PLS fraction; 68.97 of SO2; 4.05 kg of SO3; and surplus heat. These can be use to produce: ceramic tiles, or Portland cement (Al-Si fraction); and, metals or sulfuric acid. Hence, it is a multifunctional process (treatment of tailings + different products). Here, we do not model the use of the products downstream. Hence, following the cut-off approach, we attribute all environmental burderns to the treatment activity.
Original inventory from 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3">
      <c r="A3" t="inlineStr">
        <is>
          <t>source</t>
        </is>
      </c>
      <c r="B3" t="inlineStr">
        <is>
          <t>Adrianto, L. R., &amp; Pfister, S. (2022). Prospective environmental assessment of reprocessing and valorization alternatives for sulfidic copper tailings. Resources, Conservation and Recycling, 186, 106567. https://doi.org/10.1016/j.resconrec.2022.106567</t>
        </is>
      </c>
    </row>
    <row r="4">
      <c r="A4" t="inlineStr">
        <is>
          <t>location</t>
        </is>
      </c>
      <c r="B4" t="inlineStr">
        <is>
          <t>GLO</t>
        </is>
      </c>
    </row>
    <row r="5">
      <c r="A5" t="inlineStr">
        <is>
          <t>reference product</t>
        </is>
      </c>
      <c r="B5" t="inlineStr">
        <is>
          <t>sulfidic tailings, generic</t>
        </is>
      </c>
    </row>
    <row r="6">
      <c r="A6" t="inlineStr">
        <is>
          <t>unit</t>
        </is>
      </c>
      <c r="B6" t="inlineStr">
        <is>
          <t>kilogram</t>
        </is>
      </c>
    </row>
    <row r="7" ht="15.75" customHeight="1" s="4">
      <c r="A7" s="1" t="inlineStr">
        <is>
          <t>Exchanges</t>
        </is>
      </c>
    </row>
    <row r="8">
      <c r="A8" s="3" t="inlineStr">
        <is>
          <t>name</t>
        </is>
      </c>
      <c r="B8" s="3" t="inlineStr">
        <is>
          <t>amount</t>
        </is>
      </c>
      <c r="C8" s="3" t="inlineStr">
        <is>
          <t>database</t>
        </is>
      </c>
      <c r="D8" s="3" t="inlineStr">
        <is>
          <t>location</t>
        </is>
      </c>
      <c r="E8" s="3" t="inlineStr">
        <is>
          <t>unit</t>
        </is>
      </c>
      <c r="F8" s="3" t="inlineStr">
        <is>
          <t>categories</t>
        </is>
      </c>
      <c r="G8" s="3" t="inlineStr">
        <is>
          <t>type</t>
        </is>
      </c>
      <c r="H8" s="3" t="inlineStr">
        <is>
          <t>reference product</t>
        </is>
      </c>
      <c r="I8" s="3" t="inlineStr">
        <is>
          <t>comment</t>
        </is>
      </c>
    </row>
    <row r="9" ht="15.75" customHeight="1" s="4">
      <c r="A9" t="inlineStr">
        <is>
          <t>treatment of sulfidic tailings, roasting and leaching</t>
        </is>
      </c>
      <c r="B9" t="n">
        <v>-1</v>
      </c>
      <c r="C9" s="2" t="inlineStr">
        <is>
          <t>route_B</t>
        </is>
      </c>
      <c r="D9" t="inlineStr">
        <is>
          <t>GLO</t>
        </is>
      </c>
      <c r="E9" t="inlineStr">
        <is>
          <t>kilogram</t>
        </is>
      </c>
      <c r="G9" t="inlineStr">
        <is>
          <t>production</t>
        </is>
      </c>
      <c r="H9" t="inlineStr">
        <is>
          <t>sulfidic tailings, generic</t>
        </is>
      </c>
      <c r="I9" t="inlineStr">
        <is>
          <t>Original inventory treats 1 tonne of tailings</t>
        </is>
      </c>
    </row>
    <row r="10">
      <c r="A10" t="inlineStr">
        <is>
          <t>market group for electricity, medium voltage</t>
        </is>
      </c>
      <c r="B10">
        <f>28.54/1000</f>
        <v>2.8539999999999999E-2</v>
      </c>
      <c r="C10" t="inlineStr">
        <is>
          <t>ecoinvent_3.8_cutoff</t>
        </is>
      </c>
      <c r="D10" t="inlineStr">
        <is>
          <t>Europe without Switzerland</t>
        </is>
      </c>
      <c r="E10" t="inlineStr">
        <is>
          <t>kilowatt hour</t>
        </is>
      </c>
      <c r="G10" t="inlineStr">
        <is>
          <t>technosphere</t>
        </is>
      </c>
      <c r="H10" t="inlineStr">
        <is>
          <t>electricity, medium voltage</t>
        </is>
      </c>
    </row>
    <row r="11">
      <c r="A11" t="inlineStr">
        <is>
          <t>market group for heat, district or industrial, natural gas</t>
        </is>
      </c>
      <c r="B11">
        <f>228.79/1000</f>
        <v>0.22878999999999999</v>
      </c>
      <c r="C11" t="inlineStr">
        <is>
          <t>ecoinvent_3.8_cutoff</t>
        </is>
      </c>
      <c r="D11" t="inlineStr">
        <is>
          <t>RER</t>
        </is>
      </c>
      <c r="E11" t="inlineStr">
        <is>
          <t>megajoule</t>
        </is>
      </c>
      <c r="G11" t="inlineStr">
        <is>
          <t>technosphere</t>
        </is>
      </c>
      <c r="H11" t="inlineStr">
        <is>
          <t>heat, district or industrial, natural gas</t>
        </is>
      </c>
    </row>
    <row r="12">
      <c r="A12" t="inlineStr">
        <is>
          <t>market for ammonia, anhydrous, liquid</t>
        </is>
      </c>
      <c r="B12">
        <f>1.99/1000</f>
        <v>1.99E-3</v>
      </c>
      <c r="C12" t="inlineStr">
        <is>
          <t>ecoinvent_3.8_cutoff</t>
        </is>
      </c>
      <c r="D12" t="inlineStr">
        <is>
          <t>RER</t>
        </is>
      </c>
      <c r="E12" t="inlineStr">
        <is>
          <t>kilogram</t>
        </is>
      </c>
      <c r="G12" t="inlineStr">
        <is>
          <t>technosphere</t>
        </is>
      </c>
      <c r="H12" t="inlineStr">
        <is>
          <t>ammonia, anhydrous, liquid</t>
        </is>
      </c>
    </row>
    <row r="13">
      <c r="A13" t="inlineStr">
        <is>
          <t>market for ammonium carbonate</t>
        </is>
      </c>
      <c r="B13">
        <f>5.61/1000</f>
        <v>5.6100000000000004E-3</v>
      </c>
      <c r="C13" t="inlineStr">
        <is>
          <t>ecoinvent_3.8_cutoff</t>
        </is>
      </c>
      <c r="D13" t="inlineStr">
        <is>
          <t>RER</t>
        </is>
      </c>
      <c r="E13" t="inlineStr">
        <is>
          <t>kilogram</t>
        </is>
      </c>
      <c r="G13" t="inlineStr">
        <is>
          <t>technosphere</t>
        </is>
      </c>
      <c r="H13" t="inlineStr">
        <is>
          <t>ammonium carbonate</t>
        </is>
      </c>
    </row>
    <row r="14">
      <c r="A14" t="inlineStr">
        <is>
          <t>market for nitrogen, liquid</t>
        </is>
      </c>
      <c r="B14">
        <f>7.51/1000</f>
        <v>7.5100000000000002E-3</v>
      </c>
      <c r="C14" t="inlineStr">
        <is>
          <t>ecoinvent_3.8_cutoff</t>
        </is>
      </c>
      <c r="D14" t="inlineStr">
        <is>
          <t>RER</t>
        </is>
      </c>
      <c r="E14" t="inlineStr">
        <is>
          <t>kilogram</t>
        </is>
      </c>
      <c r="G14" t="inlineStr">
        <is>
          <t>technosphere</t>
        </is>
      </c>
      <c r="H14" t="inlineStr">
        <is>
          <t>nitrogen, liquid</t>
        </is>
      </c>
    </row>
    <row r="15">
      <c r="A15" t="inlineStr">
        <is>
          <t>market for tap water</t>
        </is>
      </c>
      <c r="B15">
        <f>584.5/1000</f>
        <v>0.58450000000000002</v>
      </c>
      <c r="C15" t="inlineStr">
        <is>
          <t>ecoinvent_3.8_cutoff</t>
        </is>
      </c>
      <c r="D15" t="inlineStr">
        <is>
          <t>Europe without Switzerland</t>
        </is>
      </c>
      <c r="E15" t="inlineStr">
        <is>
          <t>kilogram</t>
        </is>
      </c>
      <c r="G15" t="inlineStr">
        <is>
          <t>technosphere</t>
        </is>
      </c>
      <c r="H15" t="inlineStr">
        <is>
          <t>tap water</t>
        </is>
      </c>
    </row>
    <row r="16">
      <c r="A16" t="inlineStr">
        <is>
          <t>Water</t>
        </is>
      </c>
      <c r="B16">
        <f>0.3/1000</f>
        <v>2.9999999999999997E-4</v>
      </c>
      <c r="C16" t="inlineStr">
        <is>
          <t>biosphere3</t>
        </is>
      </c>
      <c r="E16" t="inlineStr">
        <is>
          <t>cubic meter</t>
        </is>
      </c>
      <c r="F16" t="inlineStr">
        <is>
          <t>air</t>
        </is>
      </c>
      <c r="G16" t="inlineStr">
        <is>
          <t>biosphere</t>
        </is>
      </c>
    </row>
    <row r="17">
      <c r="A17" t="inlineStr">
        <is>
          <t>Ammonia</t>
        </is>
      </c>
      <c r="B17">
        <f>0.004/1000</f>
        <v>3.9999999999999998E-6</v>
      </c>
      <c r="C17" t="inlineStr">
        <is>
          <t>biosphere3</t>
        </is>
      </c>
      <c r="E17" t="inlineStr">
        <is>
          <t>kilogram</t>
        </is>
      </c>
      <c r="F17" t="inlineStr">
        <is>
          <t>air</t>
        </is>
      </c>
      <c r="G17" t="inlineStr">
        <is>
          <t>biosphere</t>
        </is>
      </c>
    </row>
    <row r="18">
      <c r="A18" t="inlineStr">
        <is>
          <t>Ammonium carbonate</t>
        </is>
      </c>
      <c r="B18">
        <f>0.0112/1000</f>
        <v>1.1199999999999999E-5</v>
      </c>
      <c r="C18" t="inlineStr">
        <is>
          <t>biosphere3</t>
        </is>
      </c>
      <c r="E18" t="inlineStr">
        <is>
          <t>kilogram</t>
        </is>
      </c>
      <c r="F18" t="inlineStr">
        <is>
          <t>air</t>
        </is>
      </c>
      <c r="G18" t="inlineStr">
        <is>
          <t>biosphere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Hahn Menacho Alvaro Jose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2026-07-07T14:16:35Z</dcterms:modified>
  <cp:lastModifiedBy>Hahn Menacho Alvaro Jose</cp:lastModifiedBy>
</cp:coreProperties>
</file>